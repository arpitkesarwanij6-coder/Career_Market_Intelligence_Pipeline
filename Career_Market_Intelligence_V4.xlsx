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01 - Job Database" sheetId="2" state="visible" r:id="rId4"/>
    <sheet name="02 - Dashboard" sheetId="3" state="visible" r:id="rId5"/>
    <sheet name="03 - Skill Intelligence" sheetId="4" state="visible" r:id="rId6"/>
    <sheet name="04 - Role Intelligence" sheetId="5" state="visible" r:id="rId7"/>
    <sheet name="05 - Country Intelligence" sheetId="6" state="visible" r:id="rId8"/>
    <sheet name="06 - Company Intelligence" sheetId="7" state="visible" r:id="rId9"/>
    <sheet name="07 - My Skill Gap" sheetId="8" state="visible" r:id="rId10"/>
    <sheet name="08 - Trend Over Time" sheetId="9" state="visible" r:id="rId11"/>
    <sheet name="09 - Compensation Breakdown" sheetId="10" state="visible" r:id="rId12"/>
    <sheet name="10 - Skill x Role Heatmap" sheetId="11" state="visible" r:id="rId13"/>
    <sheet name="00 - Lists" sheetId="12" state="hidden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D2" authorId="0">
      <text>
        <r>
          <rPr>
            <sz val="10"/>
            <rFont val="Arial"/>
            <family val="2"/>
          </rPr>
          <t xml:space="preserve">Calculated from Date Found vs today's date. Refreshes automatically whenever the file is opened/recalculated.</t>
        </r>
      </text>
    </comment>
    <comment ref="CE2" authorId="0">
      <text>
        <r>
          <rPr>
            <sz val="10"/>
            <rFont val="Arial"/>
            <family val="2"/>
          </rPr>
          <t xml:space="preserve">This column is CALCULATED (inferred), not observed data. It estimates viability from Visa Sponsorship + Level + Country only, as a rough heuristic — it does not know actual degree requirements, experience-year cutoffs, or company-specific sponsorship history. Treat as a starting filter, not a verified fact.</t>
        </r>
      </text>
    </comment>
  </commentList>
</comments>
</file>

<file path=xl/sharedStrings.xml><?xml version="1.0" encoding="utf-8"?>
<sst xmlns="http://schemas.openxmlformats.org/spreadsheetml/2006/main" count="1115" uniqueCount="412">
  <si>
    <t xml:space="preserve">CAREER MARKET INTELLIGENCE — VERSION 3</t>
  </si>
  <si>
    <t xml:space="preserve">How this workbook is built</t>
  </si>
  <si>
    <t xml:space="preserve">This is the structure only — no bulk job data yet, on purpose. The workflow is:</t>
  </si>
  <si>
    <t xml:space="preserve">1. Structure first (this file)  →  2. Standardized categories (already built in)  →  3. Enter jobs one by one  →  4. Dashboard reveals patterns automatically  →  5. Use patterns to decide what to learn next.</t>
  </si>
  <si>
    <t xml:space="preserve">What's new in V3</t>
  </si>
  <si>
    <t xml:space="preserve">- Optional Base / Bonus / Equity comp breakdown per job (01 - Job Database, cols BD-BR) instead of one lump Total Comp figure.</t>
  </si>
  <si>
    <t xml:space="preserve">- New 09 - Compensation Breakdown sheet: avg base/bonus/equity and split %, by role and by country.</t>
  </si>
  <si>
    <t xml:space="preserve">- New 10 - Skill x Role Heatmap: 🟩🟨🟥 visual version of the role x skill matrix from 04.</t>
  </si>
  <si>
    <t xml:space="preserve">- 05 - Country Intelligence: added INR 1Cr+ Count, USD 150k+ Count, and Visa Evidence Documented columns.</t>
  </si>
  <si>
    <t xml:space="preserve">- 02 - Dashboard: new Filtered View panel (bottom of sheet) — pick Role / Level / Country / Min Comp / Visa / Relocation and see matching-job KPIs update live.</t>
  </si>
  <si>
    <t xml:space="preserve">- 07 - My Skill Gap: added Target Level %, Gap vs Target, Priority vs Target, and a High-Paying Jobs Demand % column so you can compare a skill's overall market frequency against its frequency in 50L+/100k+ roles specifically.</t>
  </si>
  <si>
    <t xml:space="preserve">- 08 - Trend Over Time: added Avg Total Comp, International Jobs %, and Top Role per quarter.</t>
  </si>
  <si>
    <t xml:space="preserve">- Job Database, 01-08 sheet structures, formulas, and color conventions from V2 are unchanged — V3 only appends new columns/sheets, so nothing you already logged needs to move.</t>
  </si>
  <si>
    <t xml:space="preserve">Refinements added (same V3 file — no V4)</t>
  </si>
  <si>
    <t xml:space="preserve">- High-paying segmentation: 01 - Job Database now flags INR 20L/30L/75L/1Cr/1.5Cr/2Cr+ and USD 150k/200k/250k/300k+ (cols BS-CB), and 05 - Country Intelligence has matching count columns (AT-BA) so you can see the upper tail by country.</t>
  </si>
  <si>
    <t xml:space="preserve">- Level dropdown now separates Intern and New Grad (00 - Lists, col B) instead of one combined 'New Grad / Intern' option — Dashboard and Role Intelligence New Grad %/counts now sum both.</t>
  </si>
  <si>
    <t xml:space="preserve">- New Intl Candidate Viability (India-&gt;USA) column (01 - Job Database, col CE) — a calculated heuristic from Visa Sponsorship + Level + Country only. It's an inference, not a verified fact; see the cell comment on CE2.</t>
  </si>
  <si>
    <t xml:space="preserve">- New Source Type column (col CC): Official company careers / LinkedIn / Levels.fyi / Indeed / Wellfound / Other.</t>
  </si>
  <si>
    <t xml:space="preserve">- New Job Freshness column (col CD): auto-flags 0-7d / 8-30d / 31-60d / 60d+ since Date Found, so stale postings don't skew the analysis.</t>
  </si>
  <si>
    <t xml:space="preserve">- Observed vs Inferred: two new dropdown columns, Visa Sponsorship Data Type and Relocation Data Type (cols CF-CG), sit next to the existing evidence/source text fields (BQ-BR) so you can mark whether each is something the posting stated outright or something you inferred.</t>
  </si>
  <si>
    <t xml:space="preserve">Tab order</t>
  </si>
  <si>
    <t xml:space="preserve">01 - Job Database        one row per job posting, plus optional Base/Bonus/Equity breakdown (cols BD-BR), high-paying flags, source type, freshness, and Intl viability (cols BS-CG).</t>
  </si>
  <si>
    <t xml:space="preserve">02 - Dashboard            KPIs + Top 5 companies / roles / skills / countries. Fully automatic.</t>
  </si>
  <si>
    <t xml:space="preserve">03 - Skill Intelligence   every tracked skill, % of jobs requiring it, heat-scaled.</t>
  </si>
  <si>
    <t xml:space="preserve">04 - Role Intelligence    compares roles, plus a role x skill demand matrix.</t>
  </si>
  <si>
    <t xml:space="preserve">05 - Country Intelligence jobs / comp / visa / relocation / top skill / high-paying tiers, by country.</t>
  </si>
  <si>
    <t xml:space="preserve">06 - Company Intelligence jobs / comp / sponsorship, by company.</t>
  </si>
  <si>
    <t xml:space="preserve">07 - My Skill Gap         your level per skill vs market demand; now also splits demand for high-paying jobs vs overall, and tracks a target level.</t>
  </si>
  <si>
    <t xml:space="preserve">08 - Trend Over Time      jobs, skill demand, comp, international share, and top role, broken out by quarter.</t>
  </si>
  <si>
    <t xml:space="preserve">09 - Compensation Breakdown  base vs bonus vs equity split, averaged by role and by country (needs comp breakdown entered).</t>
  </si>
  <si>
    <t xml:space="preserve">10 - Skill x Role Heatmap    same data as 04's matrix, shown as a 🟩🟨🟥 heatmap for a faster visual read.</t>
  </si>
  <si>
    <t xml:space="preserve">Color legend</t>
  </si>
  <si>
    <t xml:space="preserve">White cells in 01 - Job Database  →  type here for every new job.</t>
  </si>
  <si>
    <t xml:space="preserve">Yellow cells (07 - My Skill Gap)  →  type your current skill level here (0-100%).</t>
  </si>
  <si>
    <t xml:space="preserve">Gray cells                       →  formulas. Never overwrite.</t>
  </si>
  <si>
    <t xml:space="preserve">Light green row 3 in 01 - Job Database  →  the EXAMPLE row. Overwrite it or leave it (it's excluded from all analytics).</t>
  </si>
  <si>
    <t xml:space="preserve">Adding a job — quick steps</t>
  </si>
  <si>
    <t xml:space="preserve">1. Go to 01 - Job Database, first fully blank row.</t>
  </si>
  <si>
    <t xml:space="preserve">2. Fill Date Found, Company, Role Title, then pick from the dropdowns (Standardized Role, Level, Country, Location Type, Visa, Relocation, Currency).</t>
  </si>
  <si>
    <t xml:space="preserve">3. Enter Salary Min / Max in the currency you selected — INR Lakhs and USD equivalents, and the 50L+/100k+ flags, calculate themselves.</t>
  </si>
  <si>
    <t xml:space="preserve">4. Mark every skill column the posting explicitly requires as 'Yes' (leave 'No' or blank otherwise).</t>
  </si>
  <si>
    <t xml:space="preserve">5. Leave 'Exclude From Analysis' blank unless you want to retire a stale posting from the dashboards without deleting it.</t>
  </si>
  <si>
    <t xml:space="preserve">6. Every dashboard and intelligence sheet updates immediately — no manual refresh needed.</t>
  </si>
  <si>
    <t xml:space="preserve">Notes / assumptions</t>
  </si>
  <si>
    <t xml:space="preserve">FX rates (00 - Lists, hidden sheet) are approximate, dated Jan 2026 — update them periodically for accuracy.</t>
  </si>
  <si>
    <t xml:space="preserve">Company, Country, and Role lists are pre-populated with major targets but Country/Role are fixed dropdowns; Company also accepts free text if a company isn't on the preset list.</t>
  </si>
  <si>
    <t xml:space="preserve">Skill list (32 skills) is fixed by design so every skill can be tracked with simple, error-free formulas — extending it later means adding a column in 01 - Job Database and mirroring it across sheets 03/04/05/07/08.</t>
  </si>
  <si>
    <t xml:space="preserve">01 · JOB DATABASE  —  one job posting = one row. Enter data only in white cells; colored/formula cells are automatic.</t>
  </si>
  <si>
    <t xml:space="preserve">Job ID</t>
  </si>
  <si>
    <t xml:space="preserve">Date Found</t>
  </si>
  <si>
    <t xml:space="preserve">Company</t>
  </si>
  <si>
    <t xml:space="preserve">Role Title (Raw)</t>
  </si>
  <si>
    <t xml:space="preserve">Standardized Role</t>
  </si>
  <si>
    <t xml:space="preserve">Level</t>
  </si>
  <si>
    <t xml:space="preserve">Country</t>
  </si>
  <si>
    <t xml:space="preserve">City</t>
  </si>
  <si>
    <t xml:space="preserve">Location Type</t>
  </si>
  <si>
    <t xml:space="preserve">Visa Sponsorship</t>
  </si>
  <si>
    <t xml:space="preserve">Relocation Support</t>
  </si>
  <si>
    <t xml:space="preserve">Currency</t>
  </si>
  <si>
    <t xml:space="preserve">Salary Min</t>
  </si>
  <si>
    <t xml:space="preserve">Salary Max</t>
  </si>
  <si>
    <t xml:space="preserve">Total Comp Min (INR Lakhs)</t>
  </si>
  <si>
    <t xml:space="preserve">Total Comp Max (INR Lakhs)</t>
  </si>
  <si>
    <t xml:space="preserve">Total Comp Min (USD)</t>
  </si>
  <si>
    <t xml:space="preserve">Total Comp Max (USD)</t>
  </si>
  <si>
    <t xml:space="preserve">Meets INR 50L+</t>
  </si>
  <si>
    <t xml:space="preserve">Meets USD 100k+</t>
  </si>
  <si>
    <t xml:space="preserve">Discovery URL</t>
  </si>
  <si>
    <t xml:space="preserve">Notes</t>
  </si>
  <si>
    <t xml:space="preserve">Exclude From Analysis</t>
  </si>
  <si>
    <t xml:space="preserve">C++</t>
  </si>
  <si>
    <t xml:space="preserve">Python</t>
  </si>
  <si>
    <t xml:space="preserve">Java</t>
  </si>
  <si>
    <t xml:space="preserve">Go</t>
  </si>
  <si>
    <t xml:space="preserve">Rust</t>
  </si>
  <si>
    <t xml:space="preserve">JavaScript/TypeScript</t>
  </si>
  <si>
    <t xml:space="preserve">C</t>
  </si>
  <si>
    <t xml:space="preserve">SQL</t>
  </si>
  <si>
    <t xml:space="preserve">Linux</t>
  </si>
  <si>
    <t xml:space="preserve">Operating Systems</t>
  </si>
  <si>
    <t xml:space="preserve">Multithreading &amp; Concurrency</t>
  </si>
  <si>
    <t xml:space="preserve">Networking</t>
  </si>
  <si>
    <t xml:space="preserve">Distributed Systems</t>
  </si>
  <si>
    <t xml:space="preserve">Compilers</t>
  </si>
  <si>
    <t xml:space="preserve">AWS</t>
  </si>
  <si>
    <t xml:space="preserve">Azure</t>
  </si>
  <si>
    <t xml:space="preserve">GCP</t>
  </si>
  <si>
    <t xml:space="preserve">Kubernetes</t>
  </si>
  <si>
    <t xml:space="preserve">Docker</t>
  </si>
  <si>
    <t xml:space="preserve">Terraform</t>
  </si>
  <si>
    <t xml:space="preserve">CI/CD</t>
  </si>
  <si>
    <t xml:space="preserve">Data Structures &amp; Algorithms</t>
  </si>
  <si>
    <t xml:space="preserve">Machine Learning</t>
  </si>
  <si>
    <t xml:space="preserve">Deep Learning</t>
  </si>
  <si>
    <t xml:space="preserve">PyTorch/TensorFlow</t>
  </si>
  <si>
    <t xml:space="preserve">LLMs / NLP</t>
  </si>
  <si>
    <t xml:space="preserve">CUDA / GPU Programming</t>
  </si>
  <si>
    <t xml:space="preserve">Big Data (Spark/Hadoop)</t>
  </si>
  <si>
    <t xml:space="preserve">System Design</t>
  </si>
  <si>
    <t xml:space="preserve">Microservices / API Design</t>
  </si>
  <si>
    <t xml:space="preserve">Security / Cryptography</t>
  </si>
  <si>
    <t xml:space="preserve">Testing / QA</t>
  </si>
  <si>
    <t xml:space="preserve">Base Comp Min</t>
  </si>
  <si>
    <t xml:space="preserve">Base Comp Max</t>
  </si>
  <si>
    <t xml:space="preserve">Bonus Min (Annual)</t>
  </si>
  <si>
    <t xml:space="preserve">Bonus Max (Annual)</t>
  </si>
  <si>
    <t xml:space="preserve">Equity Min (Annual, Amortized)</t>
  </si>
  <si>
    <t xml:space="preserve">Equity Max (Annual, Amortized)</t>
  </si>
  <si>
    <t xml:space="preserve">Comp Breakdown Entered?</t>
  </si>
  <si>
    <t xml:space="preserve">Base Min (INR Lakhs)</t>
  </si>
  <si>
    <t xml:space="preserve">Base Max (INR Lakhs)</t>
  </si>
  <si>
    <t xml:space="preserve">Bonus Min (INR Lakhs)</t>
  </si>
  <si>
    <t xml:space="preserve">Bonus Max (INR Lakhs)</t>
  </si>
  <si>
    <t xml:space="preserve">Equity Min (INR Lakhs)</t>
  </si>
  <si>
    <t xml:space="preserve">Equity Max (INR Lakhs)</t>
  </si>
  <si>
    <t xml:space="preserve">Visa Sponsorship Evidence / Source</t>
  </si>
  <si>
    <t xml:space="preserve">Relocation Evidence / Source</t>
  </si>
  <si>
    <t xml:space="preserve">Meets INR 20L+</t>
  </si>
  <si>
    <t xml:space="preserve">Meets INR 30L+</t>
  </si>
  <si>
    <t xml:space="preserve">Meets INR 75L+</t>
  </si>
  <si>
    <t xml:space="preserve">Meets INR 1Cr+</t>
  </si>
  <si>
    <t xml:space="preserve">Meets INR 1.5Cr+</t>
  </si>
  <si>
    <t xml:space="preserve">Meets INR 2Cr+</t>
  </si>
  <si>
    <t xml:space="preserve">Meets USD 150k+</t>
  </si>
  <si>
    <t xml:space="preserve">Meets USD 200k+</t>
  </si>
  <si>
    <t xml:space="preserve">Meets USD 250k+</t>
  </si>
  <si>
    <t xml:space="preserve">Meets USD 300k+</t>
  </si>
  <si>
    <t xml:space="preserve">Job Source</t>
  </si>
  <si>
    <t xml:space="preserve">Job Freshness</t>
  </si>
  <si>
    <t xml:space="preserve">Intl Candidate Viability (India-&gt;USA)</t>
  </si>
  <si>
    <t xml:space="preserve">Visa Sponsorship Data Type</t>
  </si>
  <si>
    <t xml:space="preserve">Relocation Data Type</t>
  </si>
  <si>
    <t xml:space="preserve">Source Type</t>
  </si>
  <si>
    <t xml:space="preserve">Original / Official Source</t>
  </si>
  <si>
    <t xml:space="preserve">Official Job URL</t>
  </si>
  <si>
    <t xml:space="preserve">Data Source / Evidence</t>
  </si>
  <si>
    <t xml:space="preserve">Additional Skills Detected (Unmapped)</t>
  </si>
  <si>
    <t xml:space="preserve">HTML</t>
  </si>
  <si>
    <t xml:space="preserve">CSS</t>
  </si>
  <si>
    <t xml:space="preserve">MySQL</t>
  </si>
  <si>
    <t xml:space="preserve">Git</t>
  </si>
  <si>
    <t xml:space="preserve">PostgreSQL</t>
  </si>
  <si>
    <t xml:space="preserve">Jenkins</t>
  </si>
  <si>
    <t xml:space="preserve">Selenium</t>
  </si>
  <si>
    <t xml:space="preserve">Bamboo</t>
  </si>
  <si>
    <t xml:space="preserve">Argo</t>
  </si>
  <si>
    <t xml:space="preserve">Playwright</t>
  </si>
  <si>
    <t xml:space="preserve">Cypress</t>
  </si>
  <si>
    <t xml:space="preserve">Google</t>
  </si>
  <si>
    <t xml:space="preserve">Software Engineer III, Backend Infrastructure</t>
  </si>
  <si>
    <t xml:space="preserve">Backend Engineer</t>
  </si>
  <si>
    <t xml:space="preserve">Mid (2-5y)</t>
  </si>
  <si>
    <t xml:space="preserve">USA</t>
  </si>
  <si>
    <t xml:space="preserve">Mountain View, CA</t>
  </si>
  <si>
    <t xml:space="preserve">Onsite</t>
  </si>
  <si>
    <t xml:space="preserve">Yes</t>
  </si>
  <si>
    <t xml:space="preserve">USD</t>
  </si>
  <si>
    <t xml:space="preserve">https://careers.google.com/jobs/...</t>
  </si>
  <si>
    <t xml:space="preserve">EXAMPLE ROW — delete or overwrite. Shows expected format.</t>
  </si>
  <si>
    <t xml:space="preserve">No</t>
  </si>
  <si>
    <t xml:space="preserve">Sample: Google careers page states H-1B sponsorship available for eligible roles</t>
  </si>
  <si>
    <t xml:space="preserve">Sample: relocation package confirmed in written offer</t>
  </si>
  <si>
    <t xml:space="preserve">LinkedIn</t>
  </si>
  <si>
    <t xml:space="preserve">Observed</t>
  </si>
  <si>
    <t xml:space="preserve">Company Careers</t>
  </si>
  <si>
    <t xml:space="preserve">Google Careers</t>
  </si>
  <si>
    <t xml:space="preserve">Sample: job discovered on LinkedIn; salary confirmed on Google careers posting; visa evidence from Google careers page</t>
  </si>
  <si>
    <t xml:space="preserve">2026-08-22</t>
  </si>
  <si>
    <t xml:space="preserve">Amazon</t>
  </si>
  <si>
    <t xml:space="preserve">Software Development Engineer, Amazon Optics</t>
  </si>
  <si>
    <t xml:space="preserve">Software Engineer</t>
  </si>
  <si>
    <t xml:space="preserve">Unknown</t>
  </si>
  <si>
    <t xml:space="preserve">Multiple (Annapolis Junction, New York, Arlington, Herndon)</t>
  </si>
  <si>
    <t xml:space="preserve">143700.00</t>
  </si>
  <si>
    <t xml:space="preserve">213800.00</t>
  </si>
  <si>
    <t xml:space="preserve">https://www.amazon.jobs/en/jobs/10511479/software-development-engineer-amazon-optics</t>
  </si>
  <si>
    <t xml:space="preserve">Base salary ranges vary by location: Annapolis Junction, MD / Arlington, VA / Herndon, VA: 143,700 - 194,400 USD; New York, NY: 158,100 - 213,800 USD.</t>
  </si>
  <si>
    <t xml:space="preserve">Amazon.jobs</t>
  </si>
  <si>
    <t xml:space="preserve">Company Website</t>
  </si>
  <si>
    <t xml:space="preserve">Amazon Job Posting</t>
  </si>
  <si>
    <t xml:space="preserve">C#</t>
  </si>
  <si>
    <t xml:space="preserve">02 · DASHBOARD  —  the market picture, updated automatically as you add jobs</t>
  </si>
  <si>
    <t xml:space="preserve">Total Opportunities Tracked:</t>
  </si>
  <si>
    <t xml:space="preserve">OVERVIEW</t>
  </si>
  <si>
    <t xml:space="preserve">Total Opportunities</t>
  </si>
  <si>
    <t xml:space="preserve">India Opportunities</t>
  </si>
  <si>
    <t xml:space="preserve">International Opportunities</t>
  </si>
  <si>
    <t xml:space="preserve">Countries Represented</t>
  </si>
  <si>
    <t xml:space="preserve">INR 50L+ Opportunities</t>
  </si>
  <si>
    <t xml:space="preserve">USD 100k+ Opportunities</t>
  </si>
  <si>
    <t xml:space="preserve">USD 150k+ Opportunities</t>
  </si>
  <si>
    <t xml:space="preserve">New Grad Opportunities</t>
  </si>
  <si>
    <t xml:space="preserve">Visa Sponsorship %</t>
  </si>
  <si>
    <t xml:space="preserve">H-1B / Visa Support Count</t>
  </si>
  <si>
    <t xml:space="preserve">Relocation Support %</t>
  </si>
  <si>
    <t xml:space="preserve">New Grad Share</t>
  </si>
  <si>
    <t xml:space="preserve">TOP 5 COMPANIES</t>
  </si>
  <si>
    <t xml:space="preserve">TOP 5 ROLES</t>
  </si>
  <si>
    <t xml:space="preserve">#</t>
  </si>
  <si>
    <t xml:space="preserve">Jobs</t>
  </si>
  <si>
    <t xml:space="preserve">Role</t>
  </si>
  <si>
    <t xml:space="preserve">TOP 5 TECHNOLOGIES / SKILLS</t>
  </si>
  <si>
    <t xml:space="preserve">TOP 5 COUNTRIES</t>
  </si>
  <si>
    <t xml:space="preserve">Skill</t>
  </si>
  <si>
    <t xml:space="preserve">Tip: these tables auto-update the moment you log a matching job in 01 - Job Database. All zero right now because no real jobs are logged yet.</t>
  </si>
  <si>
    <t xml:space="preserve">FILTERED VIEW  —  pick any combination below (leave blank to include all jobs)</t>
  </si>
  <si>
    <t xml:space="preserve">Min Total Comp (INR L)</t>
  </si>
  <si>
    <t xml:space="preserve">Matching Jobs</t>
  </si>
  <si>
    <t xml:space="preserve">Avg Total Comp Min (INR L)</t>
  </si>
  <si>
    <t xml:space="preserve">Visa Sponsorship % (of matches)</t>
  </si>
  <si>
    <t xml:space="preserve">India Share (of matches)</t>
  </si>
  <si>
    <t xml:space="preserve">Note: 'Min Total Comp' filters on Total Comp Min (INR Lakhs). Visa/Relocation dropdowns match Yes/No/Unknown exactly.</t>
  </si>
  <si>
    <t xml:space="preserve">03 · SKILL INTELLIGENCE  —  which skills appear most often across every job you've logged</t>
  </si>
  <si>
    <t xml:space="preserve">Total Active Jobs Logged:</t>
  </si>
  <si>
    <t xml:space="preserve">Category</t>
  </si>
  <si>
    <t xml:space="preserve">Jobs Requiring</t>
  </si>
  <si>
    <t xml:space="preserve">% of Active Jobs</t>
  </si>
  <si>
    <t xml:space="preserve">RankKey (helper)</t>
  </si>
  <si>
    <t xml:space="preserve">Languages</t>
  </si>
  <si>
    <t xml:space="preserve">Systems</t>
  </si>
  <si>
    <t xml:space="preserve">Cloud/Infra</t>
  </si>
  <si>
    <t xml:space="preserve">Data/ML/AI</t>
  </si>
  <si>
    <t xml:space="preserve">Architecture</t>
  </si>
  <si>
    <t xml:space="preserve">Newly Discovered</t>
  </si>
  <si>
    <t xml:space="preserve">04 · ROLE INTELLIGENCE  —  compare roles, then see which skills each one actually demands</t>
  </si>
  <si>
    <t xml:space="preserve">Jobs Count</t>
  </si>
  <si>
    <t xml:space="preserve">Avg Comp Min (INR Lakhs)</t>
  </si>
  <si>
    <t xml:space="preserve">Avg Comp Min (USD)</t>
  </si>
  <si>
    <t xml:space="preserve">INR 50L+ Count</t>
  </si>
  <si>
    <t xml:space="preserve">New Grad %</t>
  </si>
  <si>
    <t xml:space="preserve">SWE / General</t>
  </si>
  <si>
    <t xml:space="preserve">Frontend Engineer</t>
  </si>
  <si>
    <t xml:space="preserve">Cloud Engineer</t>
  </si>
  <si>
    <t xml:space="preserve">DevOps Engineer</t>
  </si>
  <si>
    <t xml:space="preserve">SRE</t>
  </si>
  <si>
    <t xml:space="preserve">Data Engineer</t>
  </si>
  <si>
    <t xml:space="preserve">ML Engineer</t>
  </si>
  <si>
    <t xml:space="preserve">AI Engineer</t>
  </si>
  <si>
    <t xml:space="preserve">Systems Engineer</t>
  </si>
  <si>
    <t xml:space="preserve">Security Engineer</t>
  </si>
  <si>
    <t xml:space="preserve">Embedded Engineer</t>
  </si>
  <si>
    <t xml:space="preserve">Compiler Engineer</t>
  </si>
  <si>
    <t xml:space="preserve">Platform Engineer</t>
  </si>
  <si>
    <t xml:space="preserve">Infrastructure Engineer</t>
  </si>
  <si>
    <t xml:space="preserve">Quant / Trading Engineer</t>
  </si>
  <si>
    <t xml:space="preserve">Role x Skill demand matrix — % of that role's logged jobs requiring each skill</t>
  </si>
  <si>
    <t xml:space="preserve">05 · COUNTRY INTELLIGENCE  —  where the opportunities and the visa/relocation support actually are</t>
  </si>
  <si>
    <t xml:space="preserve">Top Skill</t>
  </si>
  <si>
    <t xml:space="preserve">MaxCount</t>
  </si>
  <si>
    <t xml:space="preserve">INR 1Cr+ Count</t>
  </si>
  <si>
    <t xml:space="preserve">USD 150k+ Count</t>
  </si>
  <si>
    <t xml:space="preserve">Visa Evidence Documented</t>
  </si>
  <si>
    <t xml:space="preserve">INR 20L+ Count</t>
  </si>
  <si>
    <t xml:space="preserve">INR 30L+ Count</t>
  </si>
  <si>
    <t xml:space="preserve">INR 75L+ Count</t>
  </si>
  <si>
    <t xml:space="preserve">INR 1.5Cr+ Count</t>
  </si>
  <si>
    <t xml:space="preserve">INR 2Cr+ Count</t>
  </si>
  <si>
    <t xml:space="preserve">USD 200k+ Count</t>
  </si>
  <si>
    <t xml:space="preserve">USD 250k+ Count</t>
  </si>
  <si>
    <t xml:space="preserve">USD 300k+ Count</t>
  </si>
  <si>
    <t xml:space="preserve">India</t>
  </si>
  <si>
    <t xml:space="preserve">UK</t>
  </si>
  <si>
    <t xml:space="preserve">Germany</t>
  </si>
  <si>
    <t xml:space="preserve">Netherlands</t>
  </si>
  <si>
    <t xml:space="preserve">Switzerland</t>
  </si>
  <si>
    <t xml:space="preserve">Ireland</t>
  </si>
  <si>
    <t xml:space="preserve">Canada</t>
  </si>
  <si>
    <t xml:space="preserve">Singapore</t>
  </si>
  <si>
    <t xml:space="preserve">Australia</t>
  </si>
  <si>
    <t xml:space="preserve">UAE</t>
  </si>
  <si>
    <t xml:space="preserve">Japan</t>
  </si>
  <si>
    <t xml:space="preserve">France</t>
  </si>
  <si>
    <t xml:space="preserve">Sweden</t>
  </si>
  <si>
    <t xml:space="preserve">Israel</t>
  </si>
  <si>
    <t xml:space="preserve">South Korea</t>
  </si>
  <si>
    <t xml:space="preserve">New Zealand</t>
  </si>
  <si>
    <t xml:space="preserve">Other</t>
  </si>
  <si>
    <t xml:space="preserve">06 · COMPANY INTELLIGENCE  —  compensation, sponsorship, and volume by employer</t>
  </si>
  <si>
    <t xml:space="preserve">Visa Sponsorship Count</t>
  </si>
  <si>
    <t xml:space="preserve">Relocation Support Count</t>
  </si>
  <si>
    <t xml:space="preserve">Meta</t>
  </si>
  <si>
    <t xml:space="preserve">Apple</t>
  </si>
  <si>
    <t xml:space="preserve">Netflix</t>
  </si>
  <si>
    <t xml:space="preserve">Microsoft</t>
  </si>
  <si>
    <t xml:space="preserve">Nvidia</t>
  </si>
  <si>
    <t xml:space="preserve">OpenAI</t>
  </si>
  <si>
    <t xml:space="preserve">Anthropic</t>
  </si>
  <si>
    <t xml:space="preserve">DeepMind</t>
  </si>
  <si>
    <t xml:space="preserve">Tesla</t>
  </si>
  <si>
    <t xml:space="preserve">Uber</t>
  </si>
  <si>
    <t xml:space="preserve">Airbnb</t>
  </si>
  <si>
    <t xml:space="preserve">Stripe</t>
  </si>
  <si>
    <t xml:space="preserve">Databricks</t>
  </si>
  <si>
    <t xml:space="preserve">Snowflake</t>
  </si>
  <si>
    <t xml:space="preserve">Palantir</t>
  </si>
  <si>
    <t xml:space="preserve">Bloomberg</t>
  </si>
  <si>
    <t xml:space="preserve">Jane Street</t>
  </si>
  <si>
    <t xml:space="preserve">Citadel</t>
  </si>
  <si>
    <t xml:space="preserve">Two Sigma</t>
  </si>
  <si>
    <t xml:space="preserve">Jump Trading</t>
  </si>
  <si>
    <t xml:space="preserve">Optiver</t>
  </si>
  <si>
    <t xml:space="preserve">IBM</t>
  </si>
  <si>
    <t xml:space="preserve">Oracle</t>
  </si>
  <si>
    <t xml:space="preserve">Salesforce</t>
  </si>
  <si>
    <t xml:space="preserve">Adobe</t>
  </si>
  <si>
    <t xml:space="preserve">Intel</t>
  </si>
  <si>
    <t xml:space="preserve">AMD</t>
  </si>
  <si>
    <t xml:space="preserve">Qualcomm</t>
  </si>
  <si>
    <t xml:space="preserve">ARM</t>
  </si>
  <si>
    <t xml:space="preserve">Samsung</t>
  </si>
  <si>
    <t xml:space="preserve">SAP</t>
  </si>
  <si>
    <t xml:space="preserve">Spotify</t>
  </si>
  <si>
    <t xml:space="preserve">Atlassian</t>
  </si>
  <si>
    <t xml:space="preserve">Shopify</t>
  </si>
  <si>
    <t xml:space="preserve">ByteDance</t>
  </si>
  <si>
    <t xml:space="preserve">Goldman Sachs</t>
  </si>
  <si>
    <t xml:space="preserve">JPMorgan</t>
  </si>
  <si>
    <t xml:space="preserve">Morgan Stanley</t>
  </si>
  <si>
    <t xml:space="preserve">Deutsche Bank</t>
  </si>
  <si>
    <t xml:space="preserve">Visa</t>
  </si>
  <si>
    <t xml:space="preserve">Mastercard</t>
  </si>
  <si>
    <t xml:space="preserve">Zoom</t>
  </si>
  <si>
    <t xml:space="preserve">ServiceNow</t>
  </si>
  <si>
    <t xml:space="preserve">JOB SOURCE INTELLIGENCE  —  where your best opportunities come from</t>
  </si>
  <si>
    <t xml:space="preserve">High-TC (INR 50L+ / USD 100k+)</t>
  </si>
  <si>
    <t xml:space="preserve">International</t>
  </si>
  <si>
    <t xml:space="preserve">Wellfound</t>
  </si>
  <si>
    <t xml:space="preserve">Indeed</t>
  </si>
  <si>
    <t xml:space="preserve">Naukri</t>
  </si>
  <si>
    <t xml:space="preserve">Levels.fyi</t>
  </si>
  <si>
    <t xml:space="preserve">Government / Official Immigration</t>
  </si>
  <si>
    <t xml:space="preserve">Referral</t>
  </si>
  <si>
    <t xml:space="preserve">University Career Portal</t>
  </si>
  <si>
    <t xml:space="preserve">07 · MY SKILL GAP  —  enter your current level (0-100%) for each skill; priority is computed for you</t>
  </si>
  <si>
    <t xml:space="preserve">Edit only the yellow column (My Current Level %). Everything else updates automatically.</t>
  </si>
  <si>
    <t xml:space="preserve">Market Demand %</t>
  </si>
  <si>
    <t xml:space="preserve">My Current Level %</t>
  </si>
  <si>
    <t xml:space="preserve">Gap (Demand - Mine)</t>
  </si>
  <si>
    <t xml:space="preserve">Priority</t>
  </si>
  <si>
    <t xml:space="preserve">Target Level % (yours)</t>
  </si>
  <si>
    <t xml:space="preserve">Gap vs Target (Target - Mine)</t>
  </si>
  <si>
    <t xml:space="preserve">Priority (vs Target)</t>
  </si>
  <si>
    <t xml:space="preserve">High-Paying Jobs Demand % (50L+/100k+)</t>
  </si>
  <si>
    <t xml:space="preserve">High-Paying vs Overall Delta</t>
  </si>
  <si>
    <t xml:space="preserve">Column J shows skill demand among jobs meeting the INR 50L+ / USD 100k+ threshold only, so you can see which skills matter most for high-paying roles specifically vs the overall market (column C).</t>
  </si>
  <si>
    <t xml:space="preserve">08 · TREND OVER TIME  —  is the market shifting? tracked by the quarter you logged each job</t>
  </si>
  <si>
    <t xml:space="preserve">Quarter</t>
  </si>
  <si>
    <t xml:space="preserve">Jobs Logged</t>
  </si>
  <si>
    <t xml:space="preserve">AI / ML / LLM %</t>
  </si>
  <si>
    <t xml:space="preserve">Rust %</t>
  </si>
  <si>
    <t xml:space="preserve">CUDA / GPU %</t>
  </si>
  <si>
    <t xml:space="preserve">Kubernetes %</t>
  </si>
  <si>
    <t xml:space="preserve">Distributed Systems %</t>
  </si>
  <si>
    <t xml:space="preserve">International Jobs %</t>
  </si>
  <si>
    <t xml:space="preserve">Top Role This Quarter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</si>
  <si>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</si>
  <si>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</si>
  <si>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</si>
  <si>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</si>
  <si>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</si>
  <si>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</si>
  <si>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</si>
  <si>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</si>
  <si>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</si>
  <si>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</si>
  <si>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Note: AI/ML/LLM % counts a job if it flags Machine Learning, Deep Learning, OR LLMs/NLP as required (simple sum of the three counts here — refine later if a job could double-count).</t>
  </si>
  <si>
    <t xml:space="preserve">Helper columns N onward count jobs per role per quarter, used only to compute 'Top Role This Quarter' (col L). Safe to hide.</t>
  </si>
  <si>
    <t xml:space="preserve">09 · COMPENSATION BREAKDOWN  —  Base vs Bonus vs Equity, by role and country (only jobs with breakdown entered)</t>
  </si>
  <si>
    <t xml:space="preserve">Pulls from '01 - Job Database' columns Base/Bonus/Equity Min/Max. Only counts jobs where 'Comp Breakdown Entered?' = Yes. All amounts in INR Lakhs, averaged. Split % is of the Min-amount total.</t>
  </si>
  <si>
    <t xml:space="preserve">By Role</t>
  </si>
  <si>
    <t xml:space="preserve">Jobs w/ Breakdown</t>
  </si>
  <si>
    <t xml:space="preserve">Avg Base Min (L)</t>
  </si>
  <si>
    <t xml:space="preserve">Avg Base Max (L)</t>
  </si>
  <si>
    <t xml:space="preserve">Avg Bonus Min (L)</t>
  </si>
  <si>
    <t xml:space="preserve">Avg Bonus Max (L)</t>
  </si>
  <si>
    <t xml:space="preserve">Avg Equity Min (L)</t>
  </si>
  <si>
    <t xml:space="preserve">Avg Equity Max (L)</t>
  </si>
  <si>
    <t xml:space="preserve">Base % of TC (Min)</t>
  </si>
  <si>
    <t xml:space="preserve">Bonus % of TC (Min)</t>
  </si>
  <si>
    <t xml:space="preserve">Equity % of TC (Min)</t>
  </si>
  <si>
    <t xml:space="preserve">By Country</t>
  </si>
  <si>
    <t xml:space="preserve">10 · SKILL × ROLE HEATMAP  —  visual read of '04 - Role Intelligence' demand matrix</t>
  </si>
  <si>
    <t xml:space="preserve">🟩 = required in 50%+ of that role's logged jobs   🟨 = 15–49%   🟥 = 1–14%   ⬜ = no data yet / 0%</t>
  </si>
  <si>
    <t xml:space="preserve">Yes/No/Unknown</t>
  </si>
  <si>
    <t xml:space="preserve">Yes/No</t>
  </si>
  <si>
    <t xml:space="preserve">Skill Category</t>
  </si>
  <si>
    <t xml:space="preserve">FX Code</t>
  </si>
  <si>
    <t xml:space="preserve">Rate -&gt; INR</t>
  </si>
  <si>
    <t xml:space="preserve">Rate -&gt; USD</t>
  </si>
  <si>
    <t xml:space="preserve">Data Type</t>
  </si>
  <si>
    <t xml:space="preserve">Intern</t>
  </si>
  <si>
    <t xml:space="preserve">INR</t>
  </si>
  <si>
    <t xml:space="preserve">New Grad</t>
  </si>
  <si>
    <t xml:space="preserve">Remote</t>
  </si>
  <si>
    <t xml:space="preserve">Inferred</t>
  </si>
  <si>
    <t xml:space="preserve">Job Board</t>
  </si>
  <si>
    <t xml:space="preserve">Junior (0-2y)</t>
  </si>
  <si>
    <t xml:space="preserve">Hybrid</t>
  </si>
  <si>
    <t xml:space="preserve">EUR</t>
  </si>
  <si>
    <t xml:space="preserve">GBP</t>
  </si>
  <si>
    <t xml:space="preserve">Senior (5-8y)</t>
  </si>
  <si>
    <t xml:space="preserve">SGD</t>
  </si>
  <si>
    <t xml:space="preserve">Government / Immigration</t>
  </si>
  <si>
    <t xml:space="preserve">Staff / Principal (8y+)</t>
  </si>
  <si>
    <t xml:space="preserve">CAD</t>
  </si>
  <si>
    <t xml:space="preserve">Aggregator</t>
  </si>
  <si>
    <t xml:space="preserve">AUD</t>
  </si>
  <si>
    <t xml:space="preserve">AED</t>
  </si>
  <si>
    <t xml:space="preserve">JPY</t>
  </si>
  <si>
    <t xml:space="preserve">CHF</t>
  </si>
  <si>
    <t xml:space="preserve">Assumption: approx FX rates, Jan 2026. Edit rows 2-11 to refresh.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</si>
</sst>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"/>
    <numFmt numFmtId="167" formatCode="#,##0.0"/>
    <numFmt numFmtId="168" formatCode="0.0%"/>
    <numFmt numFmtId="169" formatCode="0%"/>
    <numFmt numFmtId="170" formatCode="\+0.0%;\-0.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1F1F1F"/>
      <name val="Arial"/>
      <family val="0"/>
      <charset val="1"/>
    </font>
    <font>
      <i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2E5395"/>
      </patternFill>
    </fill>
    <fill>
      <patternFill patternType="solid">
        <fgColor rgb="FF2E5395"/>
        <bgColor rgb="FF1F4E78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D9D9"/>
      </patternFill>
    </fill>
    <fill>
      <patternFill patternType="solid">
        <fgColor rgb="FFFFFFFF"/>
        <bgColor rgb="FFFAFAFA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AFA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false" applyAlignment="true" applyProtection="false">
      <alignment horizontal="right" vertical="bottom" textRotation="90" wrapText="true" indent="0" shrinkToFit="false"/>
      <protection locked="true" hidden="false"/>
    </xf>
    <xf numFmtId="167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9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 val="1"/>
        <color rgb="FFFFFFFF"/>
      </font>
      <fill>
        <patternFill>
          <bgColor rgb="FFF8696B"/>
        </patternFill>
      </fill>
    </dxf>
    <dxf>
      <fill>
        <patternFill>
          <bgColor rgb="FFFFEB8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AFAFA"/>
      <rgbColor rgb="FFFF00FF"/>
      <rgbColor rgb="FF00FFFF"/>
      <rgbColor rgb="FF800000"/>
      <rgbColor rgb="FF006100"/>
      <rgbColor rgb="FF000080"/>
      <rgbColor rgb="FF70AD47"/>
      <rgbColor rgb="FF800080"/>
      <rgbColor rgb="FF4F81BD"/>
      <rgbColor rgb="FFBFBFBF"/>
      <rgbColor rgb="FF808080"/>
      <rgbColor rgb="FFEDEDED"/>
      <rgbColor rgb="FFBE4B48"/>
      <rgbColor rgb="FFFFF2CC"/>
      <rgbColor rgb="FFE2EFDA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595959"/>
      <rgbColor rgb="FF0000FF"/>
      <rgbColor rgb="FF00CCFF"/>
      <rgbColor rgb="FFF2F2F2"/>
      <rgbColor rgb="FFC6EFCE"/>
      <rgbColor rgb="FFFFEB84"/>
      <rgbColor rgb="FFD9E1F2"/>
      <rgbColor rgb="FFEAD1DC"/>
      <rgbColor rgb="FFFCE4D6"/>
      <rgbColor rgb="FFFFC7CE"/>
      <rgbColor rgb="FF4472C4"/>
      <rgbColor rgb="FF46AAC4"/>
      <rgbColor rgb="FF98B855"/>
      <rgbColor rgb="FFFFC000"/>
      <rgbColor rgb="FFFF9900"/>
      <rgbColor rgb="FFED7D31"/>
      <rgbColor rgb="FF7D5FA0"/>
      <rgbColor rgb="FF878787"/>
      <rgbColor rgb="FF1F4E78"/>
      <rgbColor rgb="FF4A7EBB"/>
      <rgbColor rgb="FF003300"/>
      <rgbColor rgb="FF375623"/>
      <rgbColor rgb="FF8B4513"/>
      <rgbColor rgb="FF7030A0"/>
      <rgbColor rgb="FF2E5395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Skill demand across logged jobs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'03 - Skill Intelligence'!C5</c:f>
              <c:strCache>
                <c:ptCount val="1"/>
                <c:pt idx="0">
                  <c:v>Jobs Requiring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'03 - Skill Intelligence'!$B$6:$B$37</c:f>
              <c:strCache>
                <c:ptCount val="32"/>
                <c:pt idx="0">
                  <c:v>C++</c:v>
                </c:pt>
                <c:pt idx="1">
                  <c:v>Python</c:v>
                </c:pt>
                <c:pt idx="2">
                  <c:v>Java</c:v>
                </c:pt>
                <c:pt idx="3">
                  <c:v>Go</c:v>
                </c:pt>
                <c:pt idx="4">
                  <c:v>Rust</c:v>
                </c:pt>
                <c:pt idx="5">
                  <c:v>JavaScript/TypeScript</c:v>
                </c:pt>
                <c:pt idx="6">
                  <c:v>C</c:v>
                </c:pt>
                <c:pt idx="7">
                  <c:v>SQL</c:v>
                </c:pt>
                <c:pt idx="8">
                  <c:v>Linux</c:v>
                </c:pt>
                <c:pt idx="9">
                  <c:v>Operating Systems</c:v>
                </c:pt>
                <c:pt idx="10">
                  <c:v>Multithreading &amp; Concurrency</c:v>
                </c:pt>
                <c:pt idx="11">
                  <c:v>Networking</c:v>
                </c:pt>
                <c:pt idx="12">
                  <c:v>Distributed Systems</c:v>
                </c:pt>
                <c:pt idx="13">
                  <c:v>Compilers</c:v>
                </c:pt>
                <c:pt idx="14">
                  <c:v>AWS</c:v>
                </c:pt>
                <c:pt idx="15">
                  <c:v>Azure</c:v>
                </c:pt>
                <c:pt idx="16">
                  <c:v>GCP</c:v>
                </c:pt>
                <c:pt idx="17">
                  <c:v>Kubernetes</c:v>
                </c:pt>
                <c:pt idx="18">
                  <c:v>Docker</c:v>
                </c:pt>
                <c:pt idx="19">
                  <c:v>Terraform</c:v>
                </c:pt>
                <c:pt idx="20">
                  <c:v>CI/CD</c:v>
                </c:pt>
                <c:pt idx="21">
                  <c:v>Data Structures &amp; Algorithms</c:v>
                </c:pt>
                <c:pt idx="22">
                  <c:v>Machine Learning</c:v>
                </c:pt>
                <c:pt idx="23">
                  <c:v>Deep Learning</c:v>
                </c:pt>
                <c:pt idx="24">
                  <c:v>PyTorch/TensorFlow</c:v>
                </c:pt>
                <c:pt idx="25">
                  <c:v>LLMs / NLP</c:v>
                </c:pt>
                <c:pt idx="26">
                  <c:v>CUDA / GPU Programming</c:v>
                </c:pt>
                <c:pt idx="27">
                  <c:v>Big Data (Spark/Hadoop)</c:v>
                </c:pt>
                <c:pt idx="28">
                  <c:v>System Design</c:v>
                </c:pt>
                <c:pt idx="29">
                  <c:v>Microservices / API Design</c:v>
                </c:pt>
                <c:pt idx="30">
                  <c:v>Security / Cryptography</c:v>
                </c:pt>
                <c:pt idx="31">
                  <c:v>Testing / QA</c:v>
                </c:pt>
              </c:strCache>
            </c:strRef>
          </c:cat>
          <c:val>
            <c:numRef>
              <c:f>'03 - Skill Intelligence'!$C$6:$C$37</c:f>
              <c:numCache>
                <c:formatCode>General</c:formatCode>
                <c:ptCount val="3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</c:ser>
        <c:gapWidth val="150"/>
        <c:overlap val="0"/>
        <c:axId val="49725757"/>
        <c:axId val="80422076"/>
      </c:barChart>
      <c:catAx>
        <c:axId val="4972575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Jobs requiring skill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422076"/>
        <c:crosses val="autoZero"/>
        <c:auto val="1"/>
        <c:lblAlgn val="ctr"/>
        <c:lblOffset val="100"/>
        <c:noMultiLvlLbl val="0"/>
      </c:catAx>
      <c:valAx>
        <c:axId val="80422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7257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Jobs logged per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'08 - Trend Over Time'!B3</c:f>
              <c:strCache>
                <c:ptCount val="1"/>
                <c:pt idx="0">
                  <c:v>Jobs Logged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'08 - Trend Over Time'!$A$4:$A$13</c:f>
              <c:strCache>
                <c:ptCount val="10"/>
                <c:pt idx="0">
                  <c:v>2026 Q3</c:v>
                </c:pt>
                <c:pt idx="1">
                  <c:v>2026 Q4</c:v>
                </c:pt>
                <c:pt idx="2">
                  <c:v>2027 Q1</c:v>
                </c:pt>
                <c:pt idx="3">
                  <c:v>2027 Q2</c:v>
                </c:pt>
                <c:pt idx="4">
                  <c:v>2027 Q3</c:v>
                </c:pt>
                <c:pt idx="5">
                  <c:v>2027 Q4</c:v>
                </c:pt>
                <c:pt idx="6">
                  <c:v>2028 Q1</c:v>
                </c:pt>
                <c:pt idx="7">
                  <c:v>2028 Q2</c:v>
                </c:pt>
                <c:pt idx="8">
                  <c:v>2028 Q3</c:v>
                </c:pt>
                <c:pt idx="9">
                  <c:v>2028 Q4</c:v>
                </c:pt>
              </c:strCache>
            </c:strRef>
          </c:cat>
          <c:val>
            <c:numRef>
              <c:f>'08 - Trend Over Time'!$B$4:$B$13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88415"/>
        <c:axId val="30731377"/>
      </c:lineChart>
      <c:catAx>
        <c:axId val="8588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731377"/>
        <c:crosses val="autoZero"/>
        <c:auto val="1"/>
        <c:lblAlgn val="ctr"/>
        <c:lblOffset val="100"/>
        <c:noMultiLvlLbl val="0"/>
      </c:catAx>
      <c:valAx>
        <c:axId val="30731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Jobs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884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Skill demand trend (% of quarter's jobs)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'08 - Trend Over Time'!C3</c:f>
              <c:strCache>
                <c:ptCount val="1"/>
                <c:pt idx="0">
                  <c:v>AI / ML / LLM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'08 - Trend Over Time'!$A$4:$A$13</c:f>
              <c:strCache>
                <c:ptCount val="10"/>
                <c:pt idx="0">
                  <c:v>2026 Q3</c:v>
                </c:pt>
                <c:pt idx="1">
                  <c:v>2026 Q4</c:v>
                </c:pt>
                <c:pt idx="2">
                  <c:v>2027 Q1</c:v>
                </c:pt>
                <c:pt idx="3">
                  <c:v>2027 Q2</c:v>
                </c:pt>
                <c:pt idx="4">
                  <c:v>2027 Q3</c:v>
                </c:pt>
                <c:pt idx="5">
                  <c:v>2027 Q4</c:v>
                </c:pt>
                <c:pt idx="6">
                  <c:v>2028 Q1</c:v>
                </c:pt>
                <c:pt idx="7">
                  <c:v>2028 Q2</c:v>
                </c:pt>
                <c:pt idx="8">
                  <c:v>2028 Q3</c:v>
                </c:pt>
                <c:pt idx="9">
                  <c:v>2028 Q4</c:v>
                </c:pt>
              </c:strCache>
            </c:strRef>
          </c:cat>
          <c:val>
            <c:numRef>
              <c:f>'08 - Trend Over Time'!$C$4:$C$13</c:f>
              <c:numCache>
                <c:formatCode>General</c:formatCode>
                <c:ptCount val="10"/>
              </c:numCache>
            </c:numRef>
          </c:val>
          <c:smooth val="1"/>
        </c:ser>
        <c:ser>
          <c:idx val="1"/>
          <c:order val="1"/>
          <c:tx>
            <c:strRef>
              <c:f>'08 - Trend Over Time'!D3</c:f>
              <c:strCache>
                <c:ptCount val="1"/>
                <c:pt idx="0">
                  <c:v>Rust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'08 - Trend Over Time'!$A$4:$A$13</c:f>
              <c:strCache>
                <c:ptCount val="10"/>
                <c:pt idx="0">
                  <c:v>2026 Q3</c:v>
                </c:pt>
                <c:pt idx="1">
                  <c:v>2026 Q4</c:v>
                </c:pt>
                <c:pt idx="2">
                  <c:v>2027 Q1</c:v>
                </c:pt>
                <c:pt idx="3">
                  <c:v>2027 Q2</c:v>
                </c:pt>
                <c:pt idx="4">
                  <c:v>2027 Q3</c:v>
                </c:pt>
                <c:pt idx="5">
                  <c:v>2027 Q4</c:v>
                </c:pt>
                <c:pt idx="6">
                  <c:v>2028 Q1</c:v>
                </c:pt>
                <c:pt idx="7">
                  <c:v>2028 Q2</c:v>
                </c:pt>
                <c:pt idx="8">
                  <c:v>2028 Q3</c:v>
                </c:pt>
                <c:pt idx="9">
                  <c:v>2028 Q4</c:v>
                </c:pt>
              </c:strCache>
            </c:strRef>
          </c:cat>
          <c:val>
            <c:numRef>
              <c:f>'08 - Trend Over Time'!$D$4:$D$13</c:f>
              <c:numCache>
                <c:formatCode>General</c:formatCode>
                <c:ptCount val="10"/>
              </c:numCache>
            </c:numRef>
          </c:val>
          <c:smooth val="1"/>
        </c:ser>
        <c:ser>
          <c:idx val="2"/>
          <c:order val="2"/>
          <c:tx>
            <c:strRef>
              <c:f>'08 - Trend Over Time'!E3</c:f>
              <c:strCache>
                <c:ptCount val="1"/>
                <c:pt idx="0">
                  <c:v>CUDA / GPU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'08 - Trend Over Time'!$A$4:$A$13</c:f>
              <c:strCache>
                <c:ptCount val="10"/>
                <c:pt idx="0">
                  <c:v>2026 Q3</c:v>
                </c:pt>
                <c:pt idx="1">
                  <c:v>2026 Q4</c:v>
                </c:pt>
                <c:pt idx="2">
                  <c:v>2027 Q1</c:v>
                </c:pt>
                <c:pt idx="3">
                  <c:v>2027 Q2</c:v>
                </c:pt>
                <c:pt idx="4">
                  <c:v>2027 Q3</c:v>
                </c:pt>
                <c:pt idx="5">
                  <c:v>2027 Q4</c:v>
                </c:pt>
                <c:pt idx="6">
                  <c:v>2028 Q1</c:v>
                </c:pt>
                <c:pt idx="7">
                  <c:v>2028 Q2</c:v>
                </c:pt>
                <c:pt idx="8">
                  <c:v>2028 Q3</c:v>
                </c:pt>
                <c:pt idx="9">
                  <c:v>2028 Q4</c:v>
                </c:pt>
              </c:strCache>
            </c:strRef>
          </c:cat>
          <c:val>
            <c:numRef>
              <c:f>'08 - Trend Over Time'!$E$4:$E$13</c:f>
              <c:numCache>
                <c:formatCode>General</c:formatCode>
                <c:ptCount val="10"/>
              </c:numCache>
            </c:numRef>
          </c:val>
          <c:smooth val="1"/>
        </c:ser>
        <c:ser>
          <c:idx val="3"/>
          <c:order val="3"/>
          <c:tx>
            <c:strRef>
              <c:f>'08 - Trend Over Time'!F3</c:f>
              <c:strCache>
                <c:ptCount val="1"/>
                <c:pt idx="0">
                  <c:v>Kubernetes 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'08 - Trend Over Time'!$A$4:$A$13</c:f>
              <c:strCache>
                <c:ptCount val="10"/>
                <c:pt idx="0">
                  <c:v>2026 Q3</c:v>
                </c:pt>
                <c:pt idx="1">
                  <c:v>2026 Q4</c:v>
                </c:pt>
                <c:pt idx="2">
                  <c:v>2027 Q1</c:v>
                </c:pt>
                <c:pt idx="3">
                  <c:v>2027 Q2</c:v>
                </c:pt>
                <c:pt idx="4">
                  <c:v>2027 Q3</c:v>
                </c:pt>
                <c:pt idx="5">
                  <c:v>2027 Q4</c:v>
                </c:pt>
                <c:pt idx="6">
                  <c:v>2028 Q1</c:v>
                </c:pt>
                <c:pt idx="7">
                  <c:v>2028 Q2</c:v>
                </c:pt>
                <c:pt idx="8">
                  <c:v>2028 Q3</c:v>
                </c:pt>
                <c:pt idx="9">
                  <c:v>2028 Q4</c:v>
                </c:pt>
              </c:strCache>
            </c:strRef>
          </c:cat>
          <c:val>
            <c:numRef>
              <c:f>'08 - Trend Over Time'!$F$4:$F$13</c:f>
              <c:numCache>
                <c:formatCode>General</c:formatCode>
                <c:ptCount val="10"/>
              </c:numCache>
            </c:numRef>
          </c:val>
          <c:smooth val="1"/>
        </c:ser>
        <c:ser>
          <c:idx val="4"/>
          <c:order val="4"/>
          <c:tx>
            <c:strRef>
              <c:f>'08 - Trend Over Time'!G3</c:f>
              <c:strCache>
                <c:ptCount val="1"/>
                <c:pt idx="0">
                  <c:v>Distributed Systems %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'08 - Trend Over Time'!$A$4:$A$13</c:f>
              <c:strCache>
                <c:ptCount val="10"/>
                <c:pt idx="0">
                  <c:v>2026 Q3</c:v>
                </c:pt>
                <c:pt idx="1">
                  <c:v>2026 Q4</c:v>
                </c:pt>
                <c:pt idx="2">
                  <c:v>2027 Q1</c:v>
                </c:pt>
                <c:pt idx="3">
                  <c:v>2027 Q2</c:v>
                </c:pt>
                <c:pt idx="4">
                  <c:v>2027 Q3</c:v>
                </c:pt>
                <c:pt idx="5">
                  <c:v>2027 Q4</c:v>
                </c:pt>
                <c:pt idx="6">
                  <c:v>2028 Q1</c:v>
                </c:pt>
                <c:pt idx="7">
                  <c:v>2028 Q2</c:v>
                </c:pt>
                <c:pt idx="8">
                  <c:v>2028 Q3</c:v>
                </c:pt>
                <c:pt idx="9">
                  <c:v>2028 Q4</c:v>
                </c:pt>
              </c:strCache>
            </c:strRef>
          </c:cat>
          <c:val>
            <c:numRef>
              <c:f>'08 - Trend Over Time'!$G$4:$G$13</c:f>
              <c:numCache>
                <c:formatCode>General</c:formatCode>
                <c:ptCount val="1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343945"/>
        <c:axId val="32698360"/>
      </c:lineChart>
      <c:catAx>
        <c:axId val="173439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698360"/>
        <c:crosses val="autoZero"/>
        <c:auto val="1"/>
        <c:lblAlgn val="ctr"/>
        <c:lblOffset val="100"/>
        <c:noMultiLvlLbl val="0"/>
      </c:catAx>
      <c:valAx>
        <c:axId val="32698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of jobs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3439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15</xdr:col>
      <xdr:colOff>253080</xdr:colOff>
      <xdr:row>37</xdr:row>
      <xdr:rowOff>39600</xdr:rowOff>
    </xdr:to>
    <xdr:graphicFrame>
      <xdr:nvGraphicFramePr>
        <xdr:cNvPr id="1" name="Chart 1"/>
        <xdr:cNvGraphicFramePr/>
      </xdr:nvGraphicFramePr>
      <xdr:xfrm>
        <a:off x="5827320" y="923760"/>
        <a:ext cx="5756760" cy="646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69120</xdr:rowOff>
    </xdr:from>
    <xdr:to>
      <xdr:col>8</xdr:col>
      <xdr:colOff>304200</xdr:colOff>
      <xdr:row>31</xdr:row>
      <xdr:rowOff>67320</xdr:rowOff>
    </xdr:to>
    <xdr:graphicFrame>
      <xdr:nvGraphicFramePr>
        <xdr:cNvPr id="2" name="Chart 1"/>
        <xdr:cNvGraphicFramePr/>
      </xdr:nvGraphicFramePr>
      <xdr:xfrm>
        <a:off x="0" y="3717360"/>
        <a:ext cx="791676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32</xdr:row>
      <xdr:rowOff>69120</xdr:rowOff>
    </xdr:from>
    <xdr:to>
      <xdr:col>8</xdr:col>
      <xdr:colOff>304200</xdr:colOff>
      <xdr:row>49</xdr:row>
      <xdr:rowOff>67320</xdr:rowOff>
    </xdr:to>
    <xdr:graphicFrame>
      <xdr:nvGraphicFramePr>
        <xdr:cNvPr id="3" name="Chart 2"/>
        <xdr:cNvGraphicFramePr/>
      </xdr:nvGraphicFramePr>
      <xdr:xfrm>
        <a:off x="0" y="7146360"/>
        <a:ext cx="791676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4"/>
      <c r="B6" s="4"/>
      <c r="C6" s="4"/>
      <c r="D6" s="4"/>
      <c r="E6" s="4"/>
      <c r="F6" s="4"/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</row>
    <row r="8" customFormat="false" ht="15" hidden="false" customHeight="true" outlineLevel="0" collapsed="false">
      <c r="A8" s="6" t="s">
        <v>5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6" t="s">
        <v>6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6" t="s">
        <v>7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6" t="s">
        <v>8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6" t="s">
        <v>9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6" t="s">
        <v>10</v>
      </c>
      <c r="B13" s="6"/>
      <c r="C13" s="6"/>
      <c r="D13" s="6"/>
      <c r="E13" s="6"/>
      <c r="F13" s="6"/>
    </row>
    <row r="14" customFormat="false" ht="15" hidden="false" customHeight="true" outlineLevel="0" collapsed="false">
      <c r="A14" s="6" t="s">
        <v>11</v>
      </c>
      <c r="B14" s="6"/>
      <c r="C14" s="6"/>
      <c r="D14" s="6"/>
      <c r="E14" s="6"/>
      <c r="F14" s="6"/>
    </row>
    <row r="15" customFormat="false" ht="15" hidden="false" customHeight="true" outlineLevel="0" collapsed="false">
      <c r="A15" s="6" t="s">
        <v>12</v>
      </c>
      <c r="B15" s="6"/>
      <c r="C15" s="6"/>
      <c r="D15" s="6"/>
      <c r="E15" s="6"/>
      <c r="F15" s="6"/>
    </row>
    <row r="16" customFormat="false" ht="15" hidden="false" customHeight="true" outlineLevel="0" collapsed="false">
      <c r="A16" s="5" t="s">
        <v>13</v>
      </c>
      <c r="B16" s="5"/>
      <c r="C16" s="5"/>
      <c r="D16" s="5"/>
      <c r="E16" s="5"/>
      <c r="F16" s="5"/>
    </row>
    <row r="17" customFormat="false" ht="15" hidden="false" customHeight="true" outlineLevel="0" collapsed="false">
      <c r="A17" s="7" t="s">
        <v>14</v>
      </c>
      <c r="B17" s="7"/>
      <c r="C17" s="7"/>
      <c r="D17" s="7"/>
      <c r="E17" s="7"/>
      <c r="F17" s="7"/>
    </row>
    <row r="18" customFormat="false" ht="15" hidden="false" customHeight="true" outlineLevel="0" collapsed="false">
      <c r="A18" s="7" t="s">
        <v>15</v>
      </c>
      <c r="B18" s="7"/>
      <c r="C18" s="7"/>
      <c r="D18" s="7"/>
      <c r="E18" s="7"/>
      <c r="F18" s="7"/>
    </row>
    <row r="19" customFormat="false" ht="15" hidden="false" customHeight="true" outlineLevel="0" collapsed="false">
      <c r="A19" s="7" t="s">
        <v>16</v>
      </c>
      <c r="B19" s="7"/>
      <c r="C19" s="7"/>
      <c r="D19" s="7"/>
      <c r="E19" s="7"/>
      <c r="F19" s="7"/>
    </row>
    <row r="20" customFormat="false" ht="15" hidden="false" customHeight="true" outlineLevel="0" collapsed="false">
      <c r="A20" s="7" t="s">
        <v>17</v>
      </c>
      <c r="B20" s="7"/>
      <c r="C20" s="7"/>
      <c r="D20" s="7"/>
      <c r="E20" s="7"/>
      <c r="F20" s="7"/>
    </row>
    <row r="21" customFormat="false" ht="15" hidden="false" customHeight="true" outlineLevel="0" collapsed="false">
      <c r="A21" s="7" t="s">
        <v>18</v>
      </c>
      <c r="B21" s="7"/>
      <c r="C21" s="7"/>
      <c r="D21" s="7"/>
      <c r="E21" s="7"/>
      <c r="F21" s="7"/>
    </row>
    <row r="22" customFormat="false" ht="15" hidden="false" customHeight="true" outlineLevel="0" collapsed="false">
      <c r="A22" s="7" t="s">
        <v>19</v>
      </c>
      <c r="B22" s="7"/>
      <c r="C22" s="7"/>
      <c r="D22" s="7"/>
      <c r="E22" s="7"/>
      <c r="F22" s="7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</row>
    <row r="31" customFormat="false" ht="15" hidden="false" customHeight="true" outlineLevel="0" collapsed="false">
      <c r="A31" s="3" t="s">
        <v>20</v>
      </c>
      <c r="B31" s="3"/>
      <c r="C31" s="3"/>
      <c r="D31" s="3"/>
      <c r="E31" s="3"/>
      <c r="F31" s="3"/>
    </row>
    <row r="32" customFormat="false" ht="15" hidden="false" customHeight="true" outlineLevel="0" collapsed="false">
      <c r="A32" s="4" t="s">
        <v>21</v>
      </c>
      <c r="B32" s="4"/>
      <c r="C32" s="4"/>
      <c r="D32" s="4"/>
      <c r="E32" s="4"/>
      <c r="F32" s="4"/>
    </row>
    <row r="33" customFormat="false" ht="15" hidden="false" customHeight="true" outlineLevel="0" collapsed="false">
      <c r="A33" s="4" t="s">
        <v>22</v>
      </c>
      <c r="B33" s="4"/>
      <c r="C33" s="4"/>
      <c r="D33" s="4"/>
      <c r="E33" s="4"/>
      <c r="F33" s="4"/>
    </row>
    <row r="34" customFormat="false" ht="15" hidden="false" customHeight="true" outlineLevel="0" collapsed="false">
      <c r="A34" s="4" t="s">
        <v>23</v>
      </c>
      <c r="B34" s="4"/>
      <c r="C34" s="4"/>
      <c r="D34" s="4"/>
      <c r="E34" s="4"/>
      <c r="F34" s="4"/>
    </row>
    <row r="35" customFormat="false" ht="15" hidden="false" customHeight="true" outlineLevel="0" collapsed="false">
      <c r="A35" s="9" t="s">
        <v>24</v>
      </c>
    </row>
    <row r="36" customFormat="false" ht="15" hidden="false" customHeight="true" outlineLevel="0" collapsed="false">
      <c r="A36" s="9" t="s">
        <v>25</v>
      </c>
    </row>
    <row r="37" customFormat="false" ht="15" hidden="false" customHeight="true" outlineLevel="0" collapsed="false">
      <c r="A37" s="9" t="s">
        <v>26</v>
      </c>
    </row>
    <row r="38" customFormat="false" ht="15" hidden="false" customHeight="true" outlineLevel="0" collapsed="false">
      <c r="A38" s="9" t="s">
        <v>27</v>
      </c>
    </row>
    <row r="39" customFormat="false" ht="15" hidden="false" customHeight="true" outlineLevel="0" collapsed="false">
      <c r="A39" s="9" t="s">
        <v>28</v>
      </c>
    </row>
    <row r="40" customFormat="false" ht="15" hidden="false" customHeight="true" outlineLevel="0" collapsed="false">
      <c r="A40" s="10" t="s">
        <v>29</v>
      </c>
    </row>
    <row r="41" customFormat="false" ht="15" hidden="false" customHeight="true" outlineLevel="0" collapsed="false">
      <c r="A41" s="10" t="s">
        <v>30</v>
      </c>
    </row>
    <row r="42" customFormat="false" ht="15" hidden="false" customHeight="true" outlineLevel="0" collapsed="false"/>
    <row r="43" customFormat="false" ht="15" hidden="false" customHeight="true" outlineLevel="0" collapsed="false">
      <c r="A43" s="9"/>
    </row>
    <row r="44" customFormat="false" ht="15" hidden="false" customHeight="true" outlineLevel="0" collapsed="false">
      <c r="A44" s="11" t="s">
        <v>31</v>
      </c>
    </row>
    <row r="45" customFormat="false" ht="15" hidden="false" customHeight="true" outlineLevel="0" collapsed="false">
      <c r="A45" s="9" t="s">
        <v>32</v>
      </c>
    </row>
    <row r="46" customFormat="false" ht="15" hidden="false" customHeight="true" outlineLevel="0" collapsed="false">
      <c r="A46" s="9" t="s">
        <v>33</v>
      </c>
    </row>
    <row r="47" customFormat="false" ht="23.25" hidden="false" customHeight="true" outlineLevel="0" collapsed="false">
      <c r="A47" s="9" t="s">
        <v>34</v>
      </c>
    </row>
    <row r="48" customFormat="false" ht="23.25" hidden="false" customHeight="true" outlineLevel="0" collapsed="false">
      <c r="A48" s="9" t="s">
        <v>35</v>
      </c>
    </row>
    <row r="49" customFormat="false" ht="15" hidden="false" customHeight="true" outlineLevel="0" collapsed="false">
      <c r="A49" s="9"/>
    </row>
    <row r="50" customFormat="false" ht="15" hidden="false" customHeight="true" outlineLevel="0" collapsed="false">
      <c r="A50" s="11" t="s">
        <v>36</v>
      </c>
    </row>
    <row r="51" customFormat="false" ht="15" hidden="false" customHeight="true" outlineLevel="0" collapsed="false">
      <c r="A51" s="9" t="s">
        <v>37</v>
      </c>
    </row>
    <row r="52" customFormat="false" ht="15" hidden="false" customHeight="true" outlineLevel="0" collapsed="false">
      <c r="A52" s="9" t="s">
        <v>38</v>
      </c>
    </row>
    <row r="53" customFormat="false" ht="15" hidden="false" customHeight="true" outlineLevel="0" collapsed="false">
      <c r="A53" s="9" t="s">
        <v>39</v>
      </c>
    </row>
    <row r="54" customFormat="false" ht="15" hidden="false" customHeight="true" outlineLevel="0" collapsed="false">
      <c r="A54" s="9" t="s">
        <v>40</v>
      </c>
    </row>
    <row r="55" customFormat="false" ht="15" hidden="false" customHeight="true" outlineLevel="0" collapsed="false">
      <c r="A55" s="9" t="s">
        <v>41</v>
      </c>
    </row>
    <row r="56" customFormat="false" ht="15" hidden="false" customHeight="true" outlineLevel="0" collapsed="false">
      <c r="A56" s="9" t="s">
        <v>42</v>
      </c>
    </row>
    <row r="57" customFormat="false" ht="15" hidden="false" customHeight="true" outlineLevel="0" collapsed="false">
      <c r="A57" s="9"/>
    </row>
    <row r="58" customFormat="false" ht="15" hidden="false" customHeight="true" outlineLevel="0" collapsed="false">
      <c r="A58" s="11" t="s">
        <v>43</v>
      </c>
    </row>
    <row r="59" customFormat="false" ht="15" hidden="false" customHeight="true" outlineLevel="0" collapsed="false">
      <c r="A59" s="9" t="s">
        <v>44</v>
      </c>
    </row>
    <row r="60" customFormat="false" ht="23.25" hidden="false" customHeight="true" outlineLevel="0" collapsed="false">
      <c r="A60" s="9" t="s">
        <v>45</v>
      </c>
    </row>
    <row r="61" customFormat="false" ht="23.25" hidden="false" customHeight="true" outlineLevel="0" collapsed="false">
      <c r="A61" s="9" t="s">
        <v>46</v>
      </c>
    </row>
  </sheetData>
  <mergeCells count="33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CW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N7" activeCellId="0" sqref="N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41.68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50.23"/>
    <col collapsed="false" customWidth="true" hidden="false" outlineLevel="0" max="9" min="9" style="1" width="12"/>
    <col collapsed="false" customWidth="true" hidden="false" outlineLevel="0" max="11" min="10" style="1" width="13"/>
    <col collapsed="false" customWidth="true" hidden="false" outlineLevel="0" max="12" min="12" style="1" width="9"/>
    <col collapsed="false" customWidth="true" hidden="false" outlineLevel="0" max="14" min="13" style="1" width="12"/>
    <col collapsed="false" customWidth="true" hidden="false" outlineLevel="0" max="16" min="15" style="1" width="14"/>
    <col collapsed="false" customWidth="true" hidden="false" outlineLevel="0" max="18" min="17" style="1" width="13"/>
    <col collapsed="false" customWidth="true" hidden="false" outlineLevel="0" max="20" min="19" style="1" width="11"/>
    <col collapsed="false" customWidth="true" hidden="false" outlineLevel="0" max="21" min="21" style="1" width="22"/>
    <col collapsed="false" customWidth="true" hidden="false" outlineLevel="0" max="22" min="22" style="1" width="29.3"/>
    <col collapsed="false" customWidth="true" hidden="false" outlineLevel="0" max="23" min="23" style="1" width="15.1"/>
    <col collapsed="false" customWidth="true" hidden="false" outlineLevel="0" max="54" min="24" style="1" width="11"/>
    <col collapsed="false" customWidth="true" hidden="false" outlineLevel="0" max="55" min="55" style="1" width="13.92"/>
    <col collapsed="false" customWidth="true" hidden="false" outlineLevel="0" max="59" min="56" style="1" width="14"/>
    <col collapsed="false" customWidth="true" hidden="false" outlineLevel="0" max="61" min="60" style="1" width="16"/>
    <col collapsed="false" customWidth="true" hidden="false" outlineLevel="0" max="64" min="62" style="1" width="14"/>
    <col collapsed="false" customWidth="true" hidden="false" outlineLevel="0" max="65" min="65" style="1" width="19.2"/>
    <col collapsed="false" customWidth="true" hidden="false" outlineLevel="0" max="68" min="66" style="1" width="14"/>
    <col collapsed="false" customWidth="true" hidden="false" outlineLevel="0" max="70" min="69" style="1" width="32"/>
    <col collapsed="false" customWidth="true" hidden="false" outlineLevel="0" max="85" min="71" style="1" width="16"/>
    <col collapsed="false" customWidth="true" hidden="false" outlineLevel="0" max="87" min="86" style="1" width="22"/>
    <col collapsed="false" customWidth="true" hidden="false" outlineLevel="0" max="88" min="88" style="1" width="82.99"/>
    <col collapsed="false" customWidth="true" hidden="false" outlineLevel="0" max="89" min="89" style="1" width="90.2"/>
    <col collapsed="false" customWidth="true" hidden="false" outlineLevel="0" max="90" min="90" style="1" width="34"/>
    <col collapsed="false" customWidth="true" hidden="false" outlineLevel="0" max="101" min="91" style="1" width="12"/>
  </cols>
  <sheetData>
    <row r="1" customFormat="false" ht="27.75" hidden="false" customHeight="true" outlineLevel="0" collapsed="false">
      <c r="A1" s="2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customFormat="false" ht="33.75" hidden="false" customHeight="true" outlineLevel="0" collapsed="false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12" t="s">
        <v>54</v>
      </c>
      <c r="H2" s="12" t="s">
        <v>55</v>
      </c>
      <c r="I2" s="12" t="s">
        <v>56</v>
      </c>
      <c r="J2" s="12" t="s">
        <v>57</v>
      </c>
      <c r="K2" s="12" t="s">
        <v>58</v>
      </c>
      <c r="L2" s="12" t="s">
        <v>59</v>
      </c>
      <c r="M2" s="12" t="s">
        <v>60</v>
      </c>
      <c r="N2" s="12" t="s">
        <v>61</v>
      </c>
      <c r="O2" s="12" t="s">
        <v>62</v>
      </c>
      <c r="P2" s="12" t="s">
        <v>63</v>
      </c>
      <c r="Q2" s="12" t="s">
        <v>64</v>
      </c>
      <c r="R2" s="12" t="s">
        <v>65</v>
      </c>
      <c r="S2" s="12" t="s">
        <v>66</v>
      </c>
      <c r="T2" s="12" t="s">
        <v>67</v>
      </c>
      <c r="U2" s="12" t="s">
        <v>68</v>
      </c>
      <c r="V2" s="12" t="s">
        <v>69</v>
      </c>
      <c r="W2" s="12" t="s">
        <v>70</v>
      </c>
      <c r="X2" s="13" t="s">
        <v>71</v>
      </c>
      <c r="Y2" s="13" t="s">
        <v>72</v>
      </c>
      <c r="Z2" s="13" t="s">
        <v>73</v>
      </c>
      <c r="AA2" s="13" t="s">
        <v>74</v>
      </c>
      <c r="AB2" s="13" t="s">
        <v>75</v>
      </c>
      <c r="AC2" s="13" t="s">
        <v>76</v>
      </c>
      <c r="AD2" s="13" t="s">
        <v>77</v>
      </c>
      <c r="AE2" s="13" t="s">
        <v>78</v>
      </c>
      <c r="AF2" s="14" t="s">
        <v>79</v>
      </c>
      <c r="AG2" s="14" t="s">
        <v>80</v>
      </c>
      <c r="AH2" s="14" t="s">
        <v>81</v>
      </c>
      <c r="AI2" s="14" t="s">
        <v>82</v>
      </c>
      <c r="AJ2" s="14" t="s">
        <v>83</v>
      </c>
      <c r="AK2" s="14" t="s">
        <v>84</v>
      </c>
      <c r="AL2" s="15" t="s">
        <v>85</v>
      </c>
      <c r="AM2" s="15" t="s">
        <v>86</v>
      </c>
      <c r="AN2" s="15" t="s">
        <v>87</v>
      </c>
      <c r="AO2" s="15" t="s">
        <v>88</v>
      </c>
      <c r="AP2" s="15" t="s">
        <v>89</v>
      </c>
      <c r="AQ2" s="15" t="s">
        <v>90</v>
      </c>
      <c r="AR2" s="15" t="s">
        <v>91</v>
      </c>
      <c r="AS2" s="16" t="s">
        <v>92</v>
      </c>
      <c r="AT2" s="16" t="s">
        <v>93</v>
      </c>
      <c r="AU2" s="16" t="s">
        <v>94</v>
      </c>
      <c r="AV2" s="16" t="s">
        <v>95</v>
      </c>
      <c r="AW2" s="16" t="s">
        <v>96</v>
      </c>
      <c r="AX2" s="16" t="s">
        <v>97</v>
      </c>
      <c r="AY2" s="16" t="s">
        <v>98</v>
      </c>
      <c r="AZ2" s="17" t="s">
        <v>99</v>
      </c>
      <c r="BA2" s="17" t="s">
        <v>100</v>
      </c>
      <c r="BB2" s="17" t="s">
        <v>101</v>
      </c>
      <c r="BC2" s="17" t="s">
        <v>102</v>
      </c>
      <c r="BD2" s="18" t="s">
        <v>103</v>
      </c>
      <c r="BE2" s="18" t="s">
        <v>104</v>
      </c>
      <c r="BF2" s="18" t="s">
        <v>105</v>
      </c>
      <c r="BG2" s="18" t="s">
        <v>106</v>
      </c>
      <c r="BH2" s="18" t="s">
        <v>107</v>
      </c>
      <c r="BI2" s="18" t="s">
        <v>108</v>
      </c>
      <c r="BJ2" s="18" t="s">
        <v>109</v>
      </c>
      <c r="BK2" s="18" t="s">
        <v>110</v>
      </c>
      <c r="BL2" s="18" t="s">
        <v>111</v>
      </c>
      <c r="BM2" s="18" t="s">
        <v>112</v>
      </c>
      <c r="BN2" s="18" t="s">
        <v>113</v>
      </c>
      <c r="BO2" s="18" t="s">
        <v>114</v>
      </c>
      <c r="BP2" s="18" t="s">
        <v>115</v>
      </c>
      <c r="BQ2" s="18" t="s">
        <v>116</v>
      </c>
      <c r="BR2" s="18" t="s">
        <v>117</v>
      </c>
      <c r="BS2" s="19" t="s">
        <v>118</v>
      </c>
      <c r="BT2" s="19" t="s">
        <v>119</v>
      </c>
      <c r="BU2" s="19" t="s">
        <v>120</v>
      </c>
      <c r="BV2" s="19" t="s">
        <v>121</v>
      </c>
      <c r="BW2" s="19" t="s">
        <v>122</v>
      </c>
      <c r="BX2" s="19" t="s">
        <v>123</v>
      </c>
      <c r="BY2" s="19" t="s">
        <v>124</v>
      </c>
      <c r="BZ2" s="19" t="s">
        <v>125</v>
      </c>
      <c r="CA2" s="19" t="s">
        <v>126</v>
      </c>
      <c r="CB2" s="19" t="s">
        <v>127</v>
      </c>
      <c r="CC2" s="19" t="s">
        <v>128</v>
      </c>
      <c r="CD2" s="19" t="s">
        <v>129</v>
      </c>
      <c r="CE2" s="19" t="s">
        <v>130</v>
      </c>
      <c r="CF2" s="19" t="s">
        <v>131</v>
      </c>
      <c r="CG2" s="19" t="s">
        <v>132</v>
      </c>
      <c r="CH2" s="19" t="s">
        <v>133</v>
      </c>
      <c r="CI2" s="19" t="s">
        <v>134</v>
      </c>
      <c r="CJ2" s="19" t="s">
        <v>135</v>
      </c>
      <c r="CK2" s="19" t="s">
        <v>136</v>
      </c>
      <c r="CL2" s="19" t="s">
        <v>137</v>
      </c>
      <c r="CM2" s="13" t="s">
        <v>138</v>
      </c>
      <c r="CN2" s="13" t="s">
        <v>139</v>
      </c>
      <c r="CO2" s="13" t="s">
        <v>140</v>
      </c>
      <c r="CP2" s="13" t="s">
        <v>141</v>
      </c>
      <c r="CQ2" s="13" t="s">
        <v>142</v>
      </c>
      <c r="CR2" s="13" t="s">
        <v>143</v>
      </c>
      <c r="CS2" s="13" t="s">
        <v>144</v>
      </c>
      <c r="CT2" s="13" t="s">
        <v>145</v>
      </c>
      <c r="CU2" s="13" t="s">
        <v>146</v>
      </c>
      <c r="CV2" s="13" t="s">
        <v>147</v>
      </c>
      <c r="CW2" s="13" t="s">
        <v>148</v>
      </c>
    </row>
    <row r="3" customFormat="false" ht="15" hidden="false" customHeight="true" outlineLevel="0" collapsed="false">
      <c r="A3" s="20" t="n">
        <v>0</v>
      </c>
      <c r="B3" s="21" t="n">
        <v>46235</v>
      </c>
      <c r="C3" s="20" t="s">
        <v>149</v>
      </c>
      <c r="D3" s="20" t="s">
        <v>150</v>
      </c>
      <c r="E3" s="20" t="s">
        <v>151</v>
      </c>
      <c r="F3" s="20" t="s">
        <v>152</v>
      </c>
      <c r="G3" s="20" t="s">
        <v>153</v>
      </c>
      <c r="H3" s="20" t="s">
        <v>154</v>
      </c>
      <c r="I3" s="20" t="s">
        <v>155</v>
      </c>
      <c r="J3" s="20" t="s">
        <v>156</v>
      </c>
      <c r="K3" s="20" t="s">
        <v>156</v>
      </c>
      <c r="L3" s="20" t="s">
        <v>157</v>
      </c>
      <c r="M3" s="22" t="n">
        <v>185000</v>
      </c>
      <c r="N3" s="22" t="n">
        <v>230000</v>
      </c>
      <c r="O3" s="23" t="n">
        <f aca="false">IFERROR(IF(M3="","",M3*INDEX('00 - Lists'!$M$2:$M$11,MATCH(L3,'00 - Lists'!$L$2:$L$11,0))/100000),"")</f>
        <v>160.95</v>
      </c>
      <c r="P3" s="23" t="n">
        <f aca="false">IFERROR(IF(N3="","",N3*INDEX('00 - Lists'!$M$2:$M$11,MATCH(L3,'00 - Lists'!$L$2:$L$11,0))/100000),"")</f>
        <v>200.1</v>
      </c>
      <c r="Q3" s="22" t="n">
        <f aca="false">IFERROR(IF(M3="","",M3*INDEX('00 - Lists'!$N$2:$N$11,MATCH(L3,'00 - Lists'!$L$2:$L$11,0))),"")</f>
        <v>185000</v>
      </c>
      <c r="R3" s="22" t="n">
        <f aca="false">IFERROR(IF(N3="","",N3*INDEX('00 - Lists'!$N$2:$N$11,MATCH(L3,'00 - Lists'!$L$2:$L$11,0))),"")</f>
        <v>230000</v>
      </c>
      <c r="S3" s="20" t="str">
        <f aca="false">IF(O3="","",IF(O3&gt;=50,"Yes","No"))</f>
        <v>Yes</v>
      </c>
      <c r="T3" s="20" t="str">
        <f aca="false">IF(Q3="","",IF(Q3&gt;=100000,"Yes","No"))</f>
        <v>Yes</v>
      </c>
      <c r="U3" s="20" t="s">
        <v>158</v>
      </c>
      <c r="V3" s="20" t="s">
        <v>159</v>
      </c>
      <c r="W3" s="20" t="s">
        <v>156</v>
      </c>
      <c r="X3" s="20" t="s">
        <v>156</v>
      </c>
      <c r="Y3" s="20" t="s">
        <v>160</v>
      </c>
      <c r="Z3" s="20" t="s">
        <v>160</v>
      </c>
      <c r="AA3" s="20" t="s">
        <v>156</v>
      </c>
      <c r="AB3" s="20" t="s">
        <v>160</v>
      </c>
      <c r="AC3" s="20" t="s">
        <v>160</v>
      </c>
      <c r="AD3" s="20" t="s">
        <v>160</v>
      </c>
      <c r="AE3" s="20" t="s">
        <v>160</v>
      </c>
      <c r="AF3" s="20" t="s">
        <v>156</v>
      </c>
      <c r="AG3" s="20" t="s">
        <v>160</v>
      </c>
      <c r="AH3" s="20" t="s">
        <v>160</v>
      </c>
      <c r="AI3" s="20" t="s">
        <v>156</v>
      </c>
      <c r="AJ3" s="20" t="s">
        <v>156</v>
      </c>
      <c r="AK3" s="20" t="s">
        <v>160</v>
      </c>
      <c r="AL3" s="20" t="s">
        <v>160</v>
      </c>
      <c r="AM3" s="20" t="s">
        <v>160</v>
      </c>
      <c r="AN3" s="20" t="s">
        <v>160</v>
      </c>
      <c r="AO3" s="20" t="s">
        <v>156</v>
      </c>
      <c r="AP3" s="20" t="s">
        <v>160</v>
      </c>
      <c r="AQ3" s="20" t="s">
        <v>160</v>
      </c>
      <c r="AR3" s="20" t="s">
        <v>160</v>
      </c>
      <c r="AS3" s="20" t="s">
        <v>156</v>
      </c>
      <c r="AT3" s="20" t="s">
        <v>160</v>
      </c>
      <c r="AU3" s="20" t="s">
        <v>160</v>
      </c>
      <c r="AV3" s="20" t="s">
        <v>160</v>
      </c>
      <c r="AW3" s="20" t="s">
        <v>160</v>
      </c>
      <c r="AX3" s="20" t="s">
        <v>160</v>
      </c>
      <c r="AY3" s="20" t="s">
        <v>160</v>
      </c>
      <c r="AZ3" s="20" t="s">
        <v>156</v>
      </c>
      <c r="BA3" s="20" t="s">
        <v>160</v>
      </c>
      <c r="BB3" s="20" t="s">
        <v>160</v>
      </c>
      <c r="BC3" s="20" t="s">
        <v>160</v>
      </c>
      <c r="BD3" s="24" t="n">
        <v>165000</v>
      </c>
      <c r="BE3" s="24" t="n">
        <v>195000</v>
      </c>
      <c r="BF3" s="24" t="n">
        <v>15000</v>
      </c>
      <c r="BG3" s="24" t="n">
        <v>20000</v>
      </c>
      <c r="BH3" s="24" t="n">
        <v>20000</v>
      </c>
      <c r="BI3" s="24" t="n">
        <v>25000</v>
      </c>
      <c r="BJ3" s="25" t="str">
        <f aca="false">IF(OR($BD3&lt;&gt;"",$BF3&lt;&gt;"",$BH3&lt;&gt;""),"Yes","No")</f>
        <v>Yes</v>
      </c>
      <c r="BK3" s="25" t="n">
        <f aca="false">IFERROR(IF(BD3="","",BD3*INDEX('00 - Lists'!$M$2:$M$11,MATCH(L3,'00 - Lists'!$L$2:$L$11,0))/100000),"")</f>
        <v>143.55</v>
      </c>
      <c r="BL3" s="25" t="n">
        <f aca="false">IFERROR(IF(BE3="","",BE3*INDEX('00 - Lists'!$M$2:$M$11,MATCH(L3,'00 - Lists'!$L$2:$L$11,0))/100000),"")</f>
        <v>169.65</v>
      </c>
      <c r="BM3" s="25" t="n">
        <f aca="false">IFERROR(IF(BF3="","",BF3*INDEX('00 - Lists'!$M$2:$M$11,MATCH(L3,'00 - Lists'!$L$2:$L$11,0))/100000),"")</f>
        <v>13.05</v>
      </c>
      <c r="BN3" s="25" t="n">
        <f aca="false">IFERROR(IF(BG3="","",BG3*INDEX('00 - Lists'!$M$2:$M$11,MATCH(L3,'00 - Lists'!$L$2:$L$11,0))/100000),"")</f>
        <v>17.4</v>
      </c>
      <c r="BO3" s="25" t="n">
        <f aca="false">IFERROR(IF(BH3="","",BH3*INDEX('00 - Lists'!$M$2:$M$11,MATCH(L3,'00 - Lists'!$L$2:$L$11,0))/100000),"")</f>
        <v>17.4</v>
      </c>
      <c r="BP3" s="25" t="n">
        <f aca="false">IFERROR(IF(BI3="","",BI3*INDEX('00 - Lists'!$M$2:$M$11,MATCH(L3,'00 - Lists'!$L$2:$L$11,0))/100000),"")</f>
        <v>21.75</v>
      </c>
      <c r="BQ3" s="25" t="s">
        <v>161</v>
      </c>
      <c r="BR3" s="25" t="s">
        <v>162</v>
      </c>
      <c r="BS3" s="25" t="str">
        <f aca="false">IF(O3="","",IF(O3&gt;=20,"Yes","No"))</f>
        <v>Yes</v>
      </c>
      <c r="BT3" s="25" t="str">
        <f aca="false">IF(O3="","",IF(O3&gt;=30,"Yes","No"))</f>
        <v>Yes</v>
      </c>
      <c r="BU3" s="25" t="str">
        <f aca="false">IF(O3="","",IF(O3&gt;=75,"Yes","No"))</f>
        <v>Yes</v>
      </c>
      <c r="BV3" s="25" t="str">
        <f aca="false">IF(O3="","",IF(O3&gt;=100,"Yes","No"))</f>
        <v>Yes</v>
      </c>
      <c r="BW3" s="25" t="str">
        <f aca="false">IF(O3="","",IF(O3&gt;=150,"Yes","No"))</f>
        <v>Yes</v>
      </c>
      <c r="BX3" s="25" t="str">
        <f aca="false">IF(O3="","",IF(O3&gt;=200,"Yes","No"))</f>
        <v>No</v>
      </c>
      <c r="BY3" s="25" t="str">
        <f aca="false">IF(Q3="","",IF(Q3&gt;=150000,"Yes","No"))</f>
        <v>Yes</v>
      </c>
      <c r="BZ3" s="25" t="str">
        <f aca="false">IF(Q3="","",IF(Q3&gt;=200000,"Yes","No"))</f>
        <v>No</v>
      </c>
      <c r="CA3" s="25" t="str">
        <f aca="false">IF(Q3="","",IF(Q3&gt;=250000,"Yes","No"))</f>
        <v>No</v>
      </c>
      <c r="CB3" s="25" t="str">
        <f aca="false">IF(Q3="","",IF(Q3&gt;=300000,"Yes","No"))</f>
        <v>No</v>
      </c>
      <c r="CC3" s="25" t="s">
        <v>163</v>
      </c>
      <c r="CD3" s="25" t="str">
        <f aca="true">IF(B3="","",IF(TODAY()-B3&lt;=7,"🟢 0-7d",IF(TODAY()-B3&lt;=30,"🟡 8-30d",IF(TODAY()-B3&lt;=60,"🟠 31-60d","🔴 60d+"))))</f>
        <v>🟡 8-30d</v>
      </c>
      <c r="CE3" s="25" t="str">
        <f aca="false">IF(G3="","",IF(G3&lt;&gt;"USA","N/A - Not USA Role",IF(J3="Yes",IF(OR(F3="Intern",F3="New Grad"),"🟡 Possible","🟢 Strong"),IF(J3="No","🔴 Difficult","⚪ Unknown"))))</f>
        <v>🟢 Strong</v>
      </c>
      <c r="CF3" s="25" t="s">
        <v>164</v>
      </c>
      <c r="CG3" s="25" t="s">
        <v>164</v>
      </c>
      <c r="CH3" s="25" t="s">
        <v>165</v>
      </c>
      <c r="CI3" s="25" t="s">
        <v>166</v>
      </c>
      <c r="CJ3" s="25" t="s">
        <v>158</v>
      </c>
      <c r="CK3" s="25" t="s">
        <v>167</v>
      </c>
    </row>
    <row r="4" customFormat="false" ht="15" hidden="false" customHeight="true" outlineLevel="0" collapsed="false">
      <c r="A4" s="26" t="n">
        <f aca="false">IF($C4="","",ROW()-3)</f>
        <v>1</v>
      </c>
      <c r="B4" s="27" t="s">
        <v>168</v>
      </c>
      <c r="C4" s="28" t="s">
        <v>169</v>
      </c>
      <c r="D4" s="28" t="s">
        <v>170</v>
      </c>
      <c r="E4" s="28" t="s">
        <v>171</v>
      </c>
      <c r="F4" s="28" t="s">
        <v>172</v>
      </c>
      <c r="G4" s="28" t="s">
        <v>153</v>
      </c>
      <c r="H4" s="28" t="s">
        <v>173</v>
      </c>
      <c r="I4" s="28" t="s">
        <v>172</v>
      </c>
      <c r="J4" s="28" t="s">
        <v>172</v>
      </c>
      <c r="K4" s="28" t="s">
        <v>172</v>
      </c>
      <c r="L4" s="28" t="s">
        <v>157</v>
      </c>
      <c r="M4" s="29" t="s">
        <v>174</v>
      </c>
      <c r="N4" s="29" t="s">
        <v>175</v>
      </c>
      <c r="O4" s="30" t="n">
        <f aca="false">IFERROR(IF(M4="","",M4*INDEX('00 - Lists'!$M$2:$M$11,MATCH(L4,'00 - Lists'!$L$2:$L$11,0))/100000),"")</f>
        <v>125.019</v>
      </c>
      <c r="P4" s="30" t="n">
        <f aca="false">IFERROR(IF(N4="","",N4*INDEX('00 - Lists'!$M$2:$M$11,MATCH(L4,'00 - Lists'!$L$2:$L$11,0))/100000),"")</f>
        <v>186.006</v>
      </c>
      <c r="Q4" s="31" t="n">
        <f aca="false">IFERROR(IF(M4="","",M4*INDEX('00 - Lists'!$N$2:$N$11,MATCH(L4,'00 - Lists'!$L$2:$L$11,0))),"")</f>
        <v>143700</v>
      </c>
      <c r="R4" s="31" t="n">
        <f aca="false">IFERROR(IF(N4="","",N4*INDEX('00 - Lists'!$N$2:$N$11,MATCH(L4,'00 - Lists'!$L$2:$L$11,0))),"")</f>
        <v>213800</v>
      </c>
      <c r="S4" s="32" t="str">
        <f aca="false">IF(O4="","",IF(O4&gt;=50,"Yes","No"))</f>
        <v>Yes</v>
      </c>
      <c r="T4" s="32" t="str">
        <f aca="false">IF(Q4="","",IF(Q4&gt;=100000,"Yes","No"))</f>
        <v>Yes</v>
      </c>
      <c r="U4" s="28" t="s">
        <v>176</v>
      </c>
      <c r="V4" s="28" t="s">
        <v>177</v>
      </c>
      <c r="W4" s="28" t="s">
        <v>160</v>
      </c>
      <c r="X4" s="33" t="s">
        <v>156</v>
      </c>
      <c r="Y4" s="33" t="s">
        <v>172</v>
      </c>
      <c r="Z4" s="33" t="s">
        <v>156</v>
      </c>
      <c r="AA4" s="33" t="s">
        <v>160</v>
      </c>
      <c r="AB4" s="33" t="s">
        <v>160</v>
      </c>
      <c r="AC4" s="33" t="s">
        <v>160</v>
      </c>
      <c r="AD4" s="33" t="s">
        <v>160</v>
      </c>
      <c r="AE4" s="33" t="s">
        <v>160</v>
      </c>
      <c r="AF4" s="33" t="s">
        <v>172</v>
      </c>
      <c r="AG4" s="33" t="s">
        <v>172</v>
      </c>
      <c r="AH4" s="33" t="s">
        <v>156</v>
      </c>
      <c r="AI4" s="33" t="s">
        <v>172</v>
      </c>
      <c r="AJ4" s="33" t="s">
        <v>156</v>
      </c>
      <c r="AK4" s="33" t="s">
        <v>160</v>
      </c>
      <c r="AL4" s="33" t="s">
        <v>156</v>
      </c>
      <c r="AM4" s="33" t="s">
        <v>160</v>
      </c>
      <c r="AN4" s="33" t="s">
        <v>160</v>
      </c>
      <c r="AO4" s="33" t="s">
        <v>160</v>
      </c>
      <c r="AP4" s="33" t="s">
        <v>172</v>
      </c>
      <c r="AQ4" s="33" t="s">
        <v>172</v>
      </c>
      <c r="AR4" s="33" t="s">
        <v>172</v>
      </c>
      <c r="AS4" s="33" t="s">
        <v>172</v>
      </c>
      <c r="AT4" s="33" t="s">
        <v>156</v>
      </c>
      <c r="AU4" s="33" t="s">
        <v>156</v>
      </c>
      <c r="AV4" s="33" t="s">
        <v>172</v>
      </c>
      <c r="AW4" s="33" t="s">
        <v>156</v>
      </c>
      <c r="AX4" s="33" t="s">
        <v>172</v>
      </c>
      <c r="AY4" s="33" t="s">
        <v>160</v>
      </c>
      <c r="AZ4" s="33" t="s">
        <v>156</v>
      </c>
      <c r="BA4" s="33" t="s">
        <v>156</v>
      </c>
      <c r="BB4" s="33" t="s">
        <v>156</v>
      </c>
      <c r="BC4" s="33" t="s">
        <v>156</v>
      </c>
      <c r="BD4" s="1" t="s">
        <v>174</v>
      </c>
      <c r="BE4" s="1" t="s">
        <v>175</v>
      </c>
      <c r="BJ4" s="34" t="str">
        <f aca="false">IF(OR($BD4&lt;&gt;"",$BF4&lt;&gt;"",$BH4&lt;&gt;""),"Yes","No")</f>
        <v>Yes</v>
      </c>
      <c r="BK4" s="35" t="n">
        <f aca="false">IFERROR(IF(BD4="","",BD4*INDEX('00 - Lists'!$M$2:$M$11,MATCH(L4,'00 - Lists'!$L$2:$L$11,0))/100000),"")</f>
        <v>125.019</v>
      </c>
      <c r="BL4" s="35" t="n">
        <f aca="false">IFERROR(IF(BE4="","",BE4*INDEX('00 - Lists'!$M$2:$M$11,MATCH(L4,'00 - Lists'!$L$2:$L$11,0))/100000),"")</f>
        <v>186.006</v>
      </c>
      <c r="BM4" s="35" t="str">
        <f aca="false">IFERROR(IF(BF4="","",BF4*INDEX('00 - Lists'!$M$2:$M$11,MATCH(L4,'00 - Lists'!$L$2:$L$11,0))/100000),"")</f>
        <v/>
      </c>
      <c r="BN4" s="35" t="str">
        <f aca="false">IFERROR(IF(BG4="","",BG4*INDEX('00 - Lists'!$M$2:$M$11,MATCH(L4,'00 - Lists'!$L$2:$L$11,0))/100000),"")</f>
        <v/>
      </c>
      <c r="BO4" s="35" t="str">
        <f aca="false">IFERROR(IF(BH4="","",BH4*INDEX('00 - Lists'!$M$2:$M$11,MATCH(L4,'00 - Lists'!$L$2:$L$11,0))/100000),"")</f>
        <v/>
      </c>
      <c r="BP4" s="35" t="str">
        <f aca="false">IFERROR(IF(BI4="","",BI4*INDEX('00 - Lists'!$M$2:$M$11,MATCH(L4,'00 - Lists'!$L$2:$L$11,0))/100000),"")</f>
        <v/>
      </c>
      <c r="BS4" s="36" t="str">
        <f aca="false">IF(O4="","",IF(O4&gt;=20,"Yes","No"))</f>
        <v>Yes</v>
      </c>
      <c r="BT4" s="36" t="str">
        <f aca="false">IF(O4="","",IF(O4&gt;=30,"Yes","No"))</f>
        <v>Yes</v>
      </c>
      <c r="BU4" s="36" t="str">
        <f aca="false">IF(O4="","",IF(O4&gt;=75,"Yes","No"))</f>
        <v>Yes</v>
      </c>
      <c r="BV4" s="36" t="str">
        <f aca="false">IF(O4="","",IF(O4&gt;=100,"Yes","No"))</f>
        <v>Yes</v>
      </c>
      <c r="BW4" s="36" t="str">
        <f aca="false">IF(O4="","",IF(O4&gt;=150,"Yes","No"))</f>
        <v>No</v>
      </c>
      <c r="BX4" s="36" t="str">
        <f aca="false">IF(O4="","",IF(O4&gt;=200,"Yes","No"))</f>
        <v>No</v>
      </c>
      <c r="BY4" s="36" t="str">
        <f aca="false">IF(Q4="","",IF(Q4&gt;=150000,"Yes","No"))</f>
        <v>No</v>
      </c>
      <c r="BZ4" s="36" t="str">
        <f aca="false">IF(Q4="","",IF(Q4&gt;=200000,"Yes","No"))</f>
        <v>No</v>
      </c>
      <c r="CA4" s="36" t="str">
        <f aca="false">IF(Q4="","",IF(Q4&gt;=250000,"Yes","No"))</f>
        <v>No</v>
      </c>
      <c r="CB4" s="36" t="str">
        <f aca="false">IF(Q4="","",IF(Q4&gt;=300000,"Yes","No"))</f>
        <v>No</v>
      </c>
      <c r="CC4" s="37" t="s">
        <v>178</v>
      </c>
      <c r="CD4" s="36" t="str">
        <f aca="true">IF(B4="","",IF(TODAY()-B4&lt;=7,"🟢 0-7d",IF(TODAY()-B4&lt;=30,"🟡 8-30d",IF(TODAY()-B4&lt;=60,"🟠 31-60d","🔴 60d+"))))</f>
        <v>🟢 0-7d</v>
      </c>
      <c r="CE4" s="36" t="str">
        <f aca="false">IF(G4="","",IF(G4&lt;&gt;"USA","N/A - Not USA Role",IF(J4="Yes",IF(OR(F4="Intern",F4="New Grad"),"🟡 Possible","🟢 Strong"),IF(J4="No","🔴 Difficult","⚪ Unknown"))))</f>
        <v>⚪ Unknown</v>
      </c>
      <c r="CF4" s="37"/>
      <c r="CG4" s="37"/>
      <c r="CH4" s="38" t="s">
        <v>179</v>
      </c>
      <c r="CI4" s="38" t="s">
        <v>169</v>
      </c>
      <c r="CJ4" s="38" t="s">
        <v>176</v>
      </c>
      <c r="CK4" s="38" t="s">
        <v>180</v>
      </c>
      <c r="CL4" s="1" t="s">
        <v>181</v>
      </c>
    </row>
    <row r="5" customFormat="false" ht="15" hidden="false" customHeight="true" outlineLevel="0" collapsed="false">
      <c r="A5" s="26" t="str">
        <f aca="false">IF($C5="","",ROW()-3)</f>
        <v/>
      </c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9"/>
      <c r="N5" s="29"/>
      <c r="O5" s="30" t="str">
        <f aca="false">IFERROR(IF(M5="","",M5*INDEX('00 - Lists'!$M$2:$M$11,MATCH(L5,'00 - Lists'!$L$2:$L$11,0))/100000),"")</f>
        <v/>
      </c>
      <c r="P5" s="30" t="str">
        <f aca="false">IFERROR(IF(N5="","",N5*INDEX('00 - Lists'!$M$2:$M$11,MATCH(L5,'00 - Lists'!$L$2:$L$11,0))/100000),"")</f>
        <v/>
      </c>
      <c r="Q5" s="31" t="str">
        <f aca="false">IFERROR(IF(M5="","",M5*INDEX('00 - Lists'!$N$2:$N$11,MATCH(L5,'00 - Lists'!$L$2:$L$11,0))),"")</f>
        <v/>
      </c>
      <c r="R5" s="31" t="str">
        <f aca="false">IFERROR(IF(N5="","",N5*INDEX('00 - Lists'!$N$2:$N$11,MATCH(L5,'00 - Lists'!$L$2:$L$11,0))),"")</f>
        <v/>
      </c>
      <c r="S5" s="32" t="str">
        <f aca="false">IF(O5="","",IF(O5&gt;=50,"Yes","No"))</f>
        <v/>
      </c>
      <c r="T5" s="32" t="str">
        <f aca="false">IF(Q5="","",IF(Q5&gt;=100000,"Yes","No"))</f>
        <v/>
      </c>
      <c r="U5" s="28"/>
      <c r="V5" s="28"/>
      <c r="W5" s="28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J5" s="34" t="str">
        <f aca="false">IF(OR($BD5&lt;&gt;"",$BF5&lt;&gt;"",$BH5&lt;&gt;""),"Yes","No")</f>
        <v>No</v>
      </c>
      <c r="BK5" s="35" t="str">
        <f aca="false">IFERROR(IF(BD5="","",BD5*INDEX('00 - Lists'!$M$2:$M$11,MATCH(L5,'00 - Lists'!$L$2:$L$11,0))/100000),"")</f>
        <v/>
      </c>
      <c r="BL5" s="35" t="str">
        <f aca="false">IFERROR(IF(BE5="","",BE5*INDEX('00 - Lists'!$M$2:$M$11,MATCH(L5,'00 - Lists'!$L$2:$L$11,0))/100000),"")</f>
        <v/>
      </c>
      <c r="BM5" s="35" t="str">
        <f aca="false">IFERROR(IF(BF5="","",BF5*INDEX('00 - Lists'!$M$2:$M$11,MATCH(L5,'00 - Lists'!$L$2:$L$11,0))/100000),"")</f>
        <v/>
      </c>
      <c r="BN5" s="35" t="str">
        <f aca="false">IFERROR(IF(BG5="","",BG5*INDEX('00 - Lists'!$M$2:$M$11,MATCH(L5,'00 - Lists'!$L$2:$L$11,0))/100000),"")</f>
        <v/>
      </c>
      <c r="BO5" s="35" t="str">
        <f aca="false">IFERROR(IF(BH5="","",BH5*INDEX('00 - Lists'!$M$2:$M$11,MATCH(L5,'00 - Lists'!$L$2:$L$11,0))/100000),"")</f>
        <v/>
      </c>
      <c r="BP5" s="35" t="str">
        <f aca="false">IFERROR(IF(BI5="","",BI5*INDEX('00 - Lists'!$M$2:$M$11,MATCH(L5,'00 - Lists'!$L$2:$L$11,0))/100000),"")</f>
        <v/>
      </c>
      <c r="BS5" s="36" t="str">
        <f aca="false">IF(O5="","",IF(O5&gt;=20,"Yes","No"))</f>
        <v/>
      </c>
      <c r="BT5" s="36" t="str">
        <f aca="false">IF(O5="","",IF(O5&gt;=30,"Yes","No"))</f>
        <v/>
      </c>
      <c r="BU5" s="36" t="str">
        <f aca="false">IF(O5="","",IF(O5&gt;=75,"Yes","No"))</f>
        <v/>
      </c>
      <c r="BV5" s="36" t="str">
        <f aca="false">IF(O5="","",IF(O5&gt;=100,"Yes","No"))</f>
        <v/>
      </c>
      <c r="BW5" s="36" t="str">
        <f aca="false">IF(O5="","",IF(O5&gt;=150,"Yes","No"))</f>
        <v/>
      </c>
      <c r="BX5" s="36" t="str">
        <f aca="false">IF(O5="","",IF(O5&gt;=200,"Yes","No"))</f>
        <v/>
      </c>
      <c r="BY5" s="36" t="str">
        <f aca="false">IF(Q5="","",IF(Q5&gt;=150000,"Yes","No"))</f>
        <v/>
      </c>
      <c r="BZ5" s="36" t="str">
        <f aca="false">IF(Q5="","",IF(Q5&gt;=200000,"Yes","No"))</f>
        <v/>
      </c>
      <c r="CA5" s="36" t="str">
        <f aca="false">IF(Q5="","",IF(Q5&gt;=250000,"Yes","No"))</f>
        <v/>
      </c>
      <c r="CB5" s="36" t="str">
        <f aca="false">IF(Q5="","",IF(Q5&gt;=300000,"Yes","No"))</f>
        <v/>
      </c>
      <c r="CC5" s="37"/>
      <c r="CD5" s="36" t="str">
        <f aca="true">IF(B5="","",IF(TODAY()-B5&lt;=7,"🟢 0-7d",IF(TODAY()-B5&lt;=30,"🟡 8-30d",IF(TODAY()-B5&lt;=60,"🟠 31-60d","🔴 60d+"))))</f>
        <v/>
      </c>
      <c r="CE5" s="36" t="str">
        <f aca="false">IF(G5="","",IF(G5&lt;&gt;"USA","N/A - Not USA Role",IF(J5="Yes",IF(OR(F5="Intern",F5="New Grad"),"🟡 Possible","🟢 Strong"),IF(J5="No","🔴 Difficult","⚪ Unknown"))))</f>
        <v/>
      </c>
      <c r="CF5" s="37"/>
      <c r="CG5" s="37"/>
      <c r="CH5" s="38"/>
      <c r="CI5" s="38"/>
      <c r="CJ5" s="38"/>
      <c r="CK5" s="38"/>
    </row>
    <row r="6" customFormat="false" ht="15" hidden="false" customHeight="true" outlineLevel="0" collapsed="false">
      <c r="A6" s="26" t="str">
        <f aca="false">IF($C6="","",ROW()-3)</f>
        <v/>
      </c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30" t="str">
        <f aca="false">IFERROR(IF(M6="","",M6*INDEX('00 - Lists'!$M$2:$M$11,MATCH(L6,'00 - Lists'!$L$2:$L$11,0))/100000),"")</f>
        <v/>
      </c>
      <c r="P6" s="30" t="str">
        <f aca="false">IFERROR(IF(N6="","",N6*INDEX('00 - Lists'!$M$2:$M$11,MATCH(L6,'00 - Lists'!$L$2:$L$11,0))/100000),"")</f>
        <v/>
      </c>
      <c r="Q6" s="31" t="str">
        <f aca="false">IFERROR(IF(M6="","",M6*INDEX('00 - Lists'!$N$2:$N$11,MATCH(L6,'00 - Lists'!$L$2:$L$11,0))),"")</f>
        <v/>
      </c>
      <c r="R6" s="31" t="str">
        <f aca="false">IFERROR(IF(N6="","",N6*INDEX('00 - Lists'!$N$2:$N$11,MATCH(L6,'00 - Lists'!$L$2:$L$11,0))),"")</f>
        <v/>
      </c>
      <c r="S6" s="32" t="str">
        <f aca="false">IF(O6="","",IF(O6&gt;=50,"Yes","No"))</f>
        <v/>
      </c>
      <c r="T6" s="32" t="str">
        <f aca="false">IF(Q6="","",IF(Q6&gt;=100000,"Yes","No"))</f>
        <v/>
      </c>
      <c r="U6" s="28"/>
      <c r="V6" s="28"/>
      <c r="W6" s="28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J6" s="34" t="str">
        <f aca="false">IF(OR($BD6&lt;&gt;"",$BF6&lt;&gt;"",$BH6&lt;&gt;""),"Yes","No")</f>
        <v>No</v>
      </c>
      <c r="BK6" s="35" t="str">
        <f aca="false">IFERROR(IF(BD6="","",BD6*INDEX('00 - Lists'!$M$2:$M$11,MATCH(L6,'00 - Lists'!$L$2:$L$11,0))/100000),"")</f>
        <v/>
      </c>
      <c r="BL6" s="35" t="str">
        <f aca="false">IFERROR(IF(BE6="","",BE6*INDEX('00 - Lists'!$M$2:$M$11,MATCH(L6,'00 - Lists'!$L$2:$L$11,0))/100000),"")</f>
        <v/>
      </c>
      <c r="BM6" s="35" t="str">
        <f aca="false">IFERROR(IF(BF6="","",BF6*INDEX('00 - Lists'!$M$2:$M$11,MATCH(L6,'00 - Lists'!$L$2:$L$11,0))/100000),"")</f>
        <v/>
      </c>
      <c r="BN6" s="35" t="str">
        <f aca="false">IFERROR(IF(BG6="","",BG6*INDEX('00 - Lists'!$M$2:$M$11,MATCH(L6,'00 - Lists'!$L$2:$L$11,0))/100000),"")</f>
        <v/>
      </c>
      <c r="BO6" s="35" t="str">
        <f aca="false">IFERROR(IF(BH6="","",BH6*INDEX('00 - Lists'!$M$2:$M$11,MATCH(L6,'00 - Lists'!$L$2:$L$11,0))/100000),"")</f>
        <v/>
      </c>
      <c r="BP6" s="35" t="str">
        <f aca="false">IFERROR(IF(BI6="","",BI6*INDEX('00 - Lists'!$M$2:$M$11,MATCH(L6,'00 - Lists'!$L$2:$L$11,0))/100000),"")</f>
        <v/>
      </c>
      <c r="BS6" s="36" t="str">
        <f aca="false">IF(O6="","",IF(O6&gt;=20,"Yes","No"))</f>
        <v/>
      </c>
      <c r="BT6" s="36" t="str">
        <f aca="false">IF(O6="","",IF(O6&gt;=30,"Yes","No"))</f>
        <v/>
      </c>
      <c r="BU6" s="36" t="str">
        <f aca="false">IF(O6="","",IF(O6&gt;=75,"Yes","No"))</f>
        <v/>
      </c>
      <c r="BV6" s="36" t="str">
        <f aca="false">IF(O6="","",IF(O6&gt;=100,"Yes","No"))</f>
        <v/>
      </c>
      <c r="BW6" s="36" t="str">
        <f aca="false">IF(O6="","",IF(O6&gt;=150,"Yes","No"))</f>
        <v/>
      </c>
      <c r="BX6" s="36" t="str">
        <f aca="false">IF(O6="","",IF(O6&gt;=200,"Yes","No"))</f>
        <v/>
      </c>
      <c r="BY6" s="36" t="str">
        <f aca="false">IF(Q6="","",IF(Q6&gt;=150000,"Yes","No"))</f>
        <v/>
      </c>
      <c r="BZ6" s="36" t="str">
        <f aca="false">IF(Q6="","",IF(Q6&gt;=200000,"Yes","No"))</f>
        <v/>
      </c>
      <c r="CA6" s="36" t="str">
        <f aca="false">IF(Q6="","",IF(Q6&gt;=250000,"Yes","No"))</f>
        <v/>
      </c>
      <c r="CB6" s="36" t="str">
        <f aca="false">IF(Q6="","",IF(Q6&gt;=300000,"Yes","No"))</f>
        <v/>
      </c>
      <c r="CC6" s="37"/>
      <c r="CD6" s="36" t="str">
        <f aca="true">IF(B6="","",IF(TODAY()-B6&lt;=7,"🟢 0-7d",IF(TODAY()-B6&lt;=30,"🟡 8-30d",IF(TODAY()-B6&lt;=60,"🟠 31-60d","🔴 60d+"))))</f>
        <v/>
      </c>
      <c r="CE6" s="36" t="str">
        <f aca="false">IF(G6="","",IF(G6&lt;&gt;"USA","N/A - Not USA Role",IF(J6="Yes",IF(OR(F6="Intern",F6="New Grad"),"🟡 Possible","🟢 Strong"),IF(J6="No","🔴 Difficult","⚪ Unknown"))))</f>
        <v/>
      </c>
      <c r="CF6" s="37"/>
      <c r="CG6" s="37"/>
      <c r="CH6" s="38"/>
      <c r="CI6" s="38"/>
      <c r="CJ6" s="38"/>
      <c r="CK6" s="38"/>
    </row>
    <row r="7" customFormat="false" ht="15" hidden="false" customHeight="true" outlineLevel="0" collapsed="false">
      <c r="A7" s="26" t="str">
        <f aca="false">IF($C7="","",ROW()-3)</f>
        <v/>
      </c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  <c r="N7" s="29"/>
      <c r="O7" s="30" t="str">
        <f aca="false">IFERROR(IF(M7="","",M7*INDEX('00 - Lists'!$M$2:$M$11,MATCH(L7,'00 - Lists'!$L$2:$L$11,0))/100000),"")</f>
        <v/>
      </c>
      <c r="P7" s="30" t="str">
        <f aca="false">IFERROR(IF(N7="","",N7*INDEX('00 - Lists'!$M$2:$M$11,MATCH(L7,'00 - Lists'!$L$2:$L$11,0))/100000),"")</f>
        <v/>
      </c>
      <c r="Q7" s="31" t="str">
        <f aca="false">IFERROR(IF(M7="","",M7*INDEX('00 - Lists'!$N$2:$N$11,MATCH(L7,'00 - Lists'!$L$2:$L$11,0))),"")</f>
        <v/>
      </c>
      <c r="R7" s="31" t="str">
        <f aca="false">IFERROR(IF(N7="","",N7*INDEX('00 - Lists'!$N$2:$N$11,MATCH(L7,'00 - Lists'!$L$2:$L$11,0))),"")</f>
        <v/>
      </c>
      <c r="S7" s="32" t="str">
        <f aca="false">IF(O7="","",IF(O7&gt;=50,"Yes","No"))</f>
        <v/>
      </c>
      <c r="T7" s="32" t="str">
        <f aca="false">IF(Q7="","",IF(Q7&gt;=100000,"Yes","No"))</f>
        <v/>
      </c>
      <c r="U7" s="28"/>
      <c r="V7" s="28"/>
      <c r="W7" s="28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J7" s="34" t="str">
        <f aca="false">IF(OR($BD7&lt;&gt;"",$BF7&lt;&gt;"",$BH7&lt;&gt;""),"Yes","No")</f>
        <v>No</v>
      </c>
      <c r="BK7" s="35" t="str">
        <f aca="false">IFERROR(IF(BD7="","",BD7*INDEX('00 - Lists'!$M$2:$M$11,MATCH(L7,'00 - Lists'!$L$2:$L$11,0))/100000),"")</f>
        <v/>
      </c>
      <c r="BL7" s="35" t="str">
        <f aca="false">IFERROR(IF(BE7="","",BE7*INDEX('00 - Lists'!$M$2:$M$11,MATCH(L7,'00 - Lists'!$L$2:$L$11,0))/100000),"")</f>
        <v/>
      </c>
      <c r="BM7" s="35" t="str">
        <f aca="false">IFERROR(IF(BF7="","",BF7*INDEX('00 - Lists'!$M$2:$M$11,MATCH(L7,'00 - Lists'!$L$2:$L$11,0))/100000),"")</f>
        <v/>
      </c>
      <c r="BN7" s="35" t="str">
        <f aca="false">IFERROR(IF(BG7="","",BG7*INDEX('00 - Lists'!$M$2:$M$11,MATCH(L7,'00 - Lists'!$L$2:$L$11,0))/100000),"")</f>
        <v/>
      </c>
      <c r="BO7" s="35" t="str">
        <f aca="false">IFERROR(IF(BH7="","",BH7*INDEX('00 - Lists'!$M$2:$M$11,MATCH(L7,'00 - Lists'!$L$2:$L$11,0))/100000),"")</f>
        <v/>
      </c>
      <c r="BP7" s="35" t="str">
        <f aca="false">IFERROR(IF(BI7="","",BI7*INDEX('00 - Lists'!$M$2:$M$11,MATCH(L7,'00 - Lists'!$L$2:$L$11,0))/100000),"")</f>
        <v/>
      </c>
      <c r="BS7" s="36" t="str">
        <f aca="false">IF(O7="","",IF(O7&gt;=20,"Yes","No"))</f>
        <v/>
      </c>
      <c r="BT7" s="36" t="str">
        <f aca="false">IF(O7="","",IF(O7&gt;=30,"Yes","No"))</f>
        <v/>
      </c>
      <c r="BU7" s="36" t="str">
        <f aca="false">IF(O7="","",IF(O7&gt;=75,"Yes","No"))</f>
        <v/>
      </c>
      <c r="BV7" s="36" t="str">
        <f aca="false">IF(O7="","",IF(O7&gt;=100,"Yes","No"))</f>
        <v/>
      </c>
      <c r="BW7" s="36" t="str">
        <f aca="false">IF(O7="","",IF(O7&gt;=150,"Yes","No"))</f>
        <v/>
      </c>
      <c r="BX7" s="36" t="str">
        <f aca="false">IF(O7="","",IF(O7&gt;=200,"Yes","No"))</f>
        <v/>
      </c>
      <c r="BY7" s="36" t="str">
        <f aca="false">IF(Q7="","",IF(Q7&gt;=150000,"Yes","No"))</f>
        <v/>
      </c>
      <c r="BZ7" s="36" t="str">
        <f aca="false">IF(Q7="","",IF(Q7&gt;=200000,"Yes","No"))</f>
        <v/>
      </c>
      <c r="CA7" s="36" t="str">
        <f aca="false">IF(Q7="","",IF(Q7&gt;=250000,"Yes","No"))</f>
        <v/>
      </c>
      <c r="CB7" s="36" t="str">
        <f aca="false">IF(Q7="","",IF(Q7&gt;=300000,"Yes","No"))</f>
        <v/>
      </c>
      <c r="CC7" s="37"/>
      <c r="CD7" s="36" t="str">
        <f aca="true">IF(B7="","",IF(TODAY()-B7&lt;=7,"🟢 0-7d",IF(TODAY()-B7&lt;=30,"🟡 8-30d",IF(TODAY()-B7&lt;=60,"🟠 31-60d","🔴 60d+"))))</f>
        <v/>
      </c>
      <c r="CE7" s="36" t="str">
        <f aca="false">IF(G7="","",IF(G7&lt;&gt;"USA","N/A - Not USA Role",IF(J7="Yes",IF(OR(F7="Intern",F7="New Grad"),"🟡 Possible","🟢 Strong"),IF(J7="No","🔴 Difficult","⚪ Unknown"))))</f>
        <v/>
      </c>
      <c r="CF7" s="37"/>
      <c r="CG7" s="37"/>
      <c r="CH7" s="38"/>
      <c r="CI7" s="38"/>
      <c r="CJ7" s="38"/>
      <c r="CK7" s="38"/>
    </row>
    <row r="8" customFormat="false" ht="15" hidden="false" customHeight="true" outlineLevel="0" collapsed="false">
      <c r="A8" s="26" t="str">
        <f aca="false">IF($C8="","",ROW()-3)</f>
        <v/>
      </c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9"/>
      <c r="O8" s="30" t="str">
        <f aca="false">IFERROR(IF(M8="","",M8*INDEX('00 - Lists'!$M$2:$M$11,MATCH(L8,'00 - Lists'!$L$2:$L$11,0))/100000),"")</f>
        <v/>
      </c>
      <c r="P8" s="30" t="str">
        <f aca="false">IFERROR(IF(N8="","",N8*INDEX('00 - Lists'!$M$2:$M$11,MATCH(L8,'00 - Lists'!$L$2:$L$11,0))/100000),"")</f>
        <v/>
      </c>
      <c r="Q8" s="31" t="str">
        <f aca="false">IFERROR(IF(M8="","",M8*INDEX('00 - Lists'!$N$2:$N$11,MATCH(L8,'00 - Lists'!$L$2:$L$11,0))),"")</f>
        <v/>
      </c>
      <c r="R8" s="31" t="str">
        <f aca="false">IFERROR(IF(N8="","",N8*INDEX('00 - Lists'!$N$2:$N$11,MATCH(L8,'00 - Lists'!$L$2:$L$11,0))),"")</f>
        <v/>
      </c>
      <c r="S8" s="32" t="str">
        <f aca="false">IF(O8="","",IF(O8&gt;=50,"Yes","No"))</f>
        <v/>
      </c>
      <c r="T8" s="32" t="str">
        <f aca="false">IF(Q8="","",IF(Q8&gt;=100000,"Yes","No"))</f>
        <v/>
      </c>
      <c r="U8" s="28"/>
      <c r="V8" s="28"/>
      <c r="W8" s="28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J8" s="34" t="str">
        <f aca="false">IF(OR($BD8&lt;&gt;"",$BF8&lt;&gt;"",$BH8&lt;&gt;""),"Yes","No")</f>
        <v>No</v>
      </c>
      <c r="BK8" s="35" t="str">
        <f aca="false">IFERROR(IF(BD8="","",BD8*INDEX('00 - Lists'!$M$2:$M$11,MATCH(L8,'00 - Lists'!$L$2:$L$11,0))/100000),"")</f>
        <v/>
      </c>
      <c r="BL8" s="35" t="str">
        <f aca="false">IFERROR(IF(BE8="","",BE8*INDEX('00 - Lists'!$M$2:$M$11,MATCH(L8,'00 - Lists'!$L$2:$L$11,0))/100000),"")</f>
        <v/>
      </c>
      <c r="BM8" s="35" t="str">
        <f aca="false">IFERROR(IF(BF8="","",BF8*INDEX('00 - Lists'!$M$2:$M$11,MATCH(L8,'00 - Lists'!$L$2:$L$11,0))/100000),"")</f>
        <v/>
      </c>
      <c r="BN8" s="35" t="str">
        <f aca="false">IFERROR(IF(BG8="","",BG8*INDEX('00 - Lists'!$M$2:$M$11,MATCH(L8,'00 - Lists'!$L$2:$L$11,0))/100000),"")</f>
        <v/>
      </c>
      <c r="BO8" s="35" t="str">
        <f aca="false">IFERROR(IF(BH8="","",BH8*INDEX('00 - Lists'!$M$2:$M$11,MATCH(L8,'00 - Lists'!$L$2:$L$11,0))/100000),"")</f>
        <v/>
      </c>
      <c r="BP8" s="35" t="str">
        <f aca="false">IFERROR(IF(BI8="","",BI8*INDEX('00 - Lists'!$M$2:$M$11,MATCH(L8,'00 - Lists'!$L$2:$L$11,0))/100000),"")</f>
        <v/>
      </c>
      <c r="BS8" s="36" t="str">
        <f aca="false">IF(O8="","",IF(O8&gt;=20,"Yes","No"))</f>
        <v/>
      </c>
      <c r="BT8" s="36" t="str">
        <f aca="false">IF(O8="","",IF(O8&gt;=30,"Yes","No"))</f>
        <v/>
      </c>
      <c r="BU8" s="36" t="str">
        <f aca="false">IF(O8="","",IF(O8&gt;=75,"Yes","No"))</f>
        <v/>
      </c>
      <c r="BV8" s="36" t="str">
        <f aca="false">IF(O8="","",IF(O8&gt;=100,"Yes","No"))</f>
        <v/>
      </c>
      <c r="BW8" s="36" t="str">
        <f aca="false">IF(O8="","",IF(O8&gt;=150,"Yes","No"))</f>
        <v/>
      </c>
      <c r="BX8" s="36" t="str">
        <f aca="false">IF(O8="","",IF(O8&gt;=200,"Yes","No"))</f>
        <v/>
      </c>
      <c r="BY8" s="36" t="str">
        <f aca="false">IF(Q8="","",IF(Q8&gt;=150000,"Yes","No"))</f>
        <v/>
      </c>
      <c r="BZ8" s="36" t="str">
        <f aca="false">IF(Q8="","",IF(Q8&gt;=200000,"Yes","No"))</f>
        <v/>
      </c>
      <c r="CA8" s="36" t="str">
        <f aca="false">IF(Q8="","",IF(Q8&gt;=250000,"Yes","No"))</f>
        <v/>
      </c>
      <c r="CB8" s="36" t="str">
        <f aca="false">IF(Q8="","",IF(Q8&gt;=300000,"Yes","No"))</f>
        <v/>
      </c>
      <c r="CC8" s="37"/>
      <c r="CD8" s="36" t="str">
        <f aca="true">IF(B8="","",IF(TODAY()-B8&lt;=7,"🟢 0-7d",IF(TODAY()-B8&lt;=30,"🟡 8-30d",IF(TODAY()-B8&lt;=60,"🟠 31-60d","🔴 60d+"))))</f>
        <v/>
      </c>
      <c r="CE8" s="36" t="str">
        <f aca="false">IF(G8="","",IF(G8&lt;&gt;"USA","N/A - Not USA Role",IF(J8="Yes",IF(OR(F8="Intern",F8="New Grad"),"🟡 Possible","🟢 Strong"),IF(J8="No","🔴 Difficult","⚪ Unknown"))))</f>
        <v/>
      </c>
      <c r="CF8" s="37"/>
      <c r="CG8" s="37"/>
      <c r="CH8" s="38"/>
      <c r="CI8" s="38"/>
      <c r="CJ8" s="38"/>
      <c r="CK8" s="38"/>
    </row>
    <row r="9" customFormat="false" ht="15" hidden="false" customHeight="true" outlineLevel="0" collapsed="false">
      <c r="A9" s="26" t="str">
        <f aca="false">IF($C9="","",ROW()-3)</f>
        <v/>
      </c>
      <c r="B9" s="27"/>
      <c r="C9" s="28"/>
      <c r="D9" s="28"/>
      <c r="E9" s="28"/>
      <c r="F9" s="28"/>
      <c r="G9" s="28"/>
      <c r="H9" s="28"/>
      <c r="I9" s="28"/>
      <c r="J9" s="28"/>
      <c r="K9" s="28"/>
      <c r="L9" s="28"/>
      <c r="M9" s="29"/>
      <c r="N9" s="29"/>
      <c r="O9" s="30" t="str">
        <f aca="false">IFERROR(IF(M9="","",M9*INDEX('00 - Lists'!$M$2:$M$11,MATCH(L9,'00 - Lists'!$L$2:$L$11,0))/100000),"")</f>
        <v/>
      </c>
      <c r="P9" s="30" t="str">
        <f aca="false">IFERROR(IF(N9="","",N9*INDEX('00 - Lists'!$M$2:$M$11,MATCH(L9,'00 - Lists'!$L$2:$L$11,0))/100000),"")</f>
        <v/>
      </c>
      <c r="Q9" s="31" t="str">
        <f aca="false">IFERROR(IF(M9="","",M9*INDEX('00 - Lists'!$N$2:$N$11,MATCH(L9,'00 - Lists'!$L$2:$L$11,0))),"")</f>
        <v/>
      </c>
      <c r="R9" s="31" t="str">
        <f aca="false">IFERROR(IF(N9="","",N9*INDEX('00 - Lists'!$N$2:$N$11,MATCH(L9,'00 - Lists'!$L$2:$L$11,0))),"")</f>
        <v/>
      </c>
      <c r="S9" s="32" t="str">
        <f aca="false">IF(O9="","",IF(O9&gt;=50,"Yes","No"))</f>
        <v/>
      </c>
      <c r="T9" s="32" t="str">
        <f aca="false">IF(Q9="","",IF(Q9&gt;=100000,"Yes","No"))</f>
        <v/>
      </c>
      <c r="U9" s="28"/>
      <c r="V9" s="28"/>
      <c r="W9" s="28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J9" s="34" t="str">
        <f aca="false">IF(OR($BD9&lt;&gt;"",$BF9&lt;&gt;"",$BH9&lt;&gt;""),"Yes","No")</f>
        <v>No</v>
      </c>
      <c r="BK9" s="35" t="str">
        <f aca="false">IFERROR(IF(BD9="","",BD9*INDEX('00 - Lists'!$M$2:$M$11,MATCH(L9,'00 - Lists'!$L$2:$L$11,0))/100000),"")</f>
        <v/>
      </c>
      <c r="BL9" s="35" t="str">
        <f aca="false">IFERROR(IF(BE9="","",BE9*INDEX('00 - Lists'!$M$2:$M$11,MATCH(L9,'00 - Lists'!$L$2:$L$11,0))/100000),"")</f>
        <v/>
      </c>
      <c r="BM9" s="35" t="str">
        <f aca="false">IFERROR(IF(BF9="","",BF9*INDEX('00 - Lists'!$M$2:$M$11,MATCH(L9,'00 - Lists'!$L$2:$L$11,0))/100000),"")</f>
        <v/>
      </c>
      <c r="BN9" s="35" t="str">
        <f aca="false">IFERROR(IF(BG9="","",BG9*INDEX('00 - Lists'!$M$2:$M$11,MATCH(L9,'00 - Lists'!$L$2:$L$11,0))/100000),"")</f>
        <v/>
      </c>
      <c r="BO9" s="35" t="str">
        <f aca="false">IFERROR(IF(BH9="","",BH9*INDEX('00 - Lists'!$M$2:$M$11,MATCH(L9,'00 - Lists'!$L$2:$L$11,0))/100000),"")</f>
        <v/>
      </c>
      <c r="BP9" s="35" t="str">
        <f aca="false">IFERROR(IF(BI9="","",BI9*INDEX('00 - Lists'!$M$2:$M$11,MATCH(L9,'00 - Lists'!$L$2:$L$11,0))/100000),"")</f>
        <v/>
      </c>
      <c r="BS9" s="36" t="str">
        <f aca="false">IF(O9="","",IF(O9&gt;=20,"Yes","No"))</f>
        <v/>
      </c>
      <c r="BT9" s="36" t="str">
        <f aca="false">IF(O9="","",IF(O9&gt;=30,"Yes","No"))</f>
        <v/>
      </c>
      <c r="BU9" s="36" t="str">
        <f aca="false">IF(O9="","",IF(O9&gt;=75,"Yes","No"))</f>
        <v/>
      </c>
      <c r="BV9" s="36" t="str">
        <f aca="false">IF(O9="","",IF(O9&gt;=100,"Yes","No"))</f>
        <v/>
      </c>
      <c r="BW9" s="36" t="str">
        <f aca="false">IF(O9="","",IF(O9&gt;=150,"Yes","No"))</f>
        <v/>
      </c>
      <c r="BX9" s="36" t="str">
        <f aca="false">IF(O9="","",IF(O9&gt;=200,"Yes","No"))</f>
        <v/>
      </c>
      <c r="BY9" s="36" t="str">
        <f aca="false">IF(Q9="","",IF(Q9&gt;=150000,"Yes","No"))</f>
        <v/>
      </c>
      <c r="BZ9" s="36" t="str">
        <f aca="false">IF(Q9="","",IF(Q9&gt;=200000,"Yes","No"))</f>
        <v/>
      </c>
      <c r="CA9" s="36" t="str">
        <f aca="false">IF(Q9="","",IF(Q9&gt;=250000,"Yes","No"))</f>
        <v/>
      </c>
      <c r="CB9" s="36" t="str">
        <f aca="false">IF(Q9="","",IF(Q9&gt;=300000,"Yes","No"))</f>
        <v/>
      </c>
      <c r="CC9" s="37"/>
      <c r="CD9" s="36" t="str">
        <f aca="true">IF(B9="","",IF(TODAY()-B9&lt;=7,"🟢 0-7d",IF(TODAY()-B9&lt;=30,"🟡 8-30d",IF(TODAY()-B9&lt;=60,"🟠 31-60d","🔴 60d+"))))</f>
        <v/>
      </c>
      <c r="CE9" s="36" t="str">
        <f aca="false">IF(G9="","",IF(G9&lt;&gt;"USA","N/A - Not USA Role",IF(J9="Yes",IF(OR(F9="Intern",F9="New Grad"),"🟡 Possible","🟢 Strong"),IF(J9="No","🔴 Difficult","⚪ Unknown"))))</f>
        <v/>
      </c>
      <c r="CF9" s="37"/>
      <c r="CG9" s="37"/>
      <c r="CH9" s="38"/>
      <c r="CI9" s="38"/>
      <c r="CJ9" s="38"/>
      <c r="CK9" s="38"/>
    </row>
    <row r="10" customFormat="false" ht="15" hidden="false" customHeight="true" outlineLevel="0" collapsed="false">
      <c r="A10" s="26" t="str">
        <f aca="false">IF($C10="","",ROW()-3)</f>
        <v/>
      </c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9"/>
      <c r="N10" s="29"/>
      <c r="O10" s="30" t="str">
        <f aca="false">IFERROR(IF(M10="","",M10*INDEX('00 - Lists'!$M$2:$M$11,MATCH(L10,'00 - Lists'!$L$2:$L$11,0))/100000),"")</f>
        <v/>
      </c>
      <c r="P10" s="30" t="str">
        <f aca="false">IFERROR(IF(N10="","",N10*INDEX('00 - Lists'!$M$2:$M$11,MATCH(L10,'00 - Lists'!$L$2:$L$11,0))/100000),"")</f>
        <v/>
      </c>
      <c r="Q10" s="31" t="str">
        <f aca="false">IFERROR(IF(M10="","",M10*INDEX('00 - Lists'!$N$2:$N$11,MATCH(L10,'00 - Lists'!$L$2:$L$11,0))),"")</f>
        <v/>
      </c>
      <c r="R10" s="31" t="str">
        <f aca="false">IFERROR(IF(N10="","",N10*INDEX('00 - Lists'!$N$2:$N$11,MATCH(L10,'00 - Lists'!$L$2:$L$11,0))),"")</f>
        <v/>
      </c>
      <c r="S10" s="32" t="str">
        <f aca="false">IF(O10="","",IF(O10&gt;=50,"Yes","No"))</f>
        <v/>
      </c>
      <c r="T10" s="32" t="str">
        <f aca="false">IF(Q10="","",IF(Q10&gt;=100000,"Yes","No"))</f>
        <v/>
      </c>
      <c r="U10" s="28"/>
      <c r="V10" s="28"/>
      <c r="W10" s="28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J10" s="34" t="str">
        <f aca="false">IF(OR($BD10&lt;&gt;"",$BF10&lt;&gt;"",$BH10&lt;&gt;""),"Yes","No")</f>
        <v>No</v>
      </c>
      <c r="BK10" s="35" t="str">
        <f aca="false">IFERROR(IF(BD10="","",BD10*INDEX('00 - Lists'!$M$2:$M$11,MATCH(L10,'00 - Lists'!$L$2:$L$11,0))/100000),"")</f>
        <v/>
      </c>
      <c r="BL10" s="35" t="str">
        <f aca="false">IFERROR(IF(BE10="","",BE10*INDEX('00 - Lists'!$M$2:$M$11,MATCH(L10,'00 - Lists'!$L$2:$L$11,0))/100000),"")</f>
        <v/>
      </c>
      <c r="BM10" s="35" t="str">
        <f aca="false">IFERROR(IF(BF10="","",BF10*INDEX('00 - Lists'!$M$2:$M$11,MATCH(L10,'00 - Lists'!$L$2:$L$11,0))/100000),"")</f>
        <v/>
      </c>
      <c r="BN10" s="35" t="str">
        <f aca="false">IFERROR(IF(BG10="","",BG10*INDEX('00 - Lists'!$M$2:$M$11,MATCH(L10,'00 - Lists'!$L$2:$L$11,0))/100000),"")</f>
        <v/>
      </c>
      <c r="BO10" s="35" t="str">
        <f aca="false">IFERROR(IF(BH10="","",BH10*INDEX('00 - Lists'!$M$2:$M$11,MATCH(L10,'00 - Lists'!$L$2:$L$11,0))/100000),"")</f>
        <v/>
      </c>
      <c r="BP10" s="35" t="str">
        <f aca="false">IFERROR(IF(BI10="","",BI10*INDEX('00 - Lists'!$M$2:$M$11,MATCH(L10,'00 - Lists'!$L$2:$L$11,0))/100000),"")</f>
        <v/>
      </c>
      <c r="BS10" s="36" t="str">
        <f aca="false">IF(O10="","",IF(O10&gt;=20,"Yes","No"))</f>
        <v/>
      </c>
      <c r="BT10" s="36" t="str">
        <f aca="false">IF(O10="","",IF(O10&gt;=30,"Yes","No"))</f>
        <v/>
      </c>
      <c r="BU10" s="36" t="str">
        <f aca="false">IF(O10="","",IF(O10&gt;=75,"Yes","No"))</f>
        <v/>
      </c>
      <c r="BV10" s="36" t="str">
        <f aca="false">IF(O10="","",IF(O10&gt;=100,"Yes","No"))</f>
        <v/>
      </c>
      <c r="BW10" s="36" t="str">
        <f aca="false">IF(O10="","",IF(O10&gt;=150,"Yes","No"))</f>
        <v/>
      </c>
      <c r="BX10" s="36" t="str">
        <f aca="false">IF(O10="","",IF(O10&gt;=200,"Yes","No"))</f>
        <v/>
      </c>
      <c r="BY10" s="36" t="str">
        <f aca="false">IF(Q10="","",IF(Q10&gt;=150000,"Yes","No"))</f>
        <v/>
      </c>
      <c r="BZ10" s="36" t="str">
        <f aca="false">IF(Q10="","",IF(Q10&gt;=200000,"Yes","No"))</f>
        <v/>
      </c>
      <c r="CA10" s="36" t="str">
        <f aca="false">IF(Q10="","",IF(Q10&gt;=250000,"Yes","No"))</f>
        <v/>
      </c>
      <c r="CB10" s="36" t="str">
        <f aca="false">IF(Q10="","",IF(Q10&gt;=300000,"Yes","No"))</f>
        <v/>
      </c>
      <c r="CC10" s="37"/>
      <c r="CD10" s="36" t="str">
        <f aca="true">IF(B10="","",IF(TODAY()-B10&lt;=7,"🟢 0-7d",IF(TODAY()-B10&lt;=30,"🟡 8-30d",IF(TODAY()-B10&lt;=60,"🟠 31-60d","🔴 60d+"))))</f>
        <v/>
      </c>
      <c r="CE10" s="36" t="str">
        <f aca="false">IF(G10="","",IF(G10&lt;&gt;"USA","N/A - Not USA Role",IF(J10="Yes",IF(OR(F10="Intern",F10="New Grad"),"🟡 Possible","🟢 Strong"),IF(J10="No","🔴 Difficult","⚪ Unknown"))))</f>
        <v/>
      </c>
      <c r="CF10" s="37"/>
      <c r="CG10" s="37"/>
      <c r="CH10" s="38"/>
      <c r="CI10" s="38"/>
      <c r="CJ10" s="38"/>
      <c r="CK10" s="38"/>
    </row>
    <row r="11" customFormat="false" ht="15" hidden="false" customHeight="true" outlineLevel="0" collapsed="false">
      <c r="A11" s="26" t="str">
        <f aca="false">IF($C11="","",ROW()-3)</f>
        <v/>
      </c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9"/>
      <c r="N11" s="29"/>
      <c r="O11" s="30" t="str">
        <f aca="false">IFERROR(IF(M11="","",M11*INDEX('00 - Lists'!$M$2:$M$11,MATCH(L11,'00 - Lists'!$L$2:$L$11,0))/100000),"")</f>
        <v/>
      </c>
      <c r="P11" s="30" t="str">
        <f aca="false">IFERROR(IF(N11="","",N11*INDEX('00 - Lists'!$M$2:$M$11,MATCH(L11,'00 - Lists'!$L$2:$L$11,0))/100000),"")</f>
        <v/>
      </c>
      <c r="Q11" s="31" t="str">
        <f aca="false">IFERROR(IF(M11="","",M11*INDEX('00 - Lists'!$N$2:$N$11,MATCH(L11,'00 - Lists'!$L$2:$L$11,0))),"")</f>
        <v/>
      </c>
      <c r="R11" s="31" t="str">
        <f aca="false">IFERROR(IF(N11="","",N11*INDEX('00 - Lists'!$N$2:$N$11,MATCH(L11,'00 - Lists'!$L$2:$L$11,0))),"")</f>
        <v/>
      </c>
      <c r="S11" s="32" t="str">
        <f aca="false">IF(O11="","",IF(O11&gt;=50,"Yes","No"))</f>
        <v/>
      </c>
      <c r="T11" s="32" t="str">
        <f aca="false">IF(Q11="","",IF(Q11&gt;=100000,"Yes","No"))</f>
        <v/>
      </c>
      <c r="U11" s="28"/>
      <c r="V11" s="28"/>
      <c r="W11" s="28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J11" s="34" t="str">
        <f aca="false">IF(OR($BD11&lt;&gt;"",$BF11&lt;&gt;"",$BH11&lt;&gt;""),"Yes","No")</f>
        <v>No</v>
      </c>
      <c r="BK11" s="35" t="str">
        <f aca="false">IFERROR(IF(BD11="","",BD11*INDEX('00 - Lists'!$M$2:$M$11,MATCH(L11,'00 - Lists'!$L$2:$L$11,0))/100000),"")</f>
        <v/>
      </c>
      <c r="BL11" s="35" t="str">
        <f aca="false">IFERROR(IF(BE11="","",BE11*INDEX('00 - Lists'!$M$2:$M$11,MATCH(L11,'00 - Lists'!$L$2:$L$11,0))/100000),"")</f>
        <v/>
      </c>
      <c r="BM11" s="35" t="str">
        <f aca="false">IFERROR(IF(BF11="","",BF11*INDEX('00 - Lists'!$M$2:$M$11,MATCH(L11,'00 - Lists'!$L$2:$L$11,0))/100000),"")</f>
        <v/>
      </c>
      <c r="BN11" s="35" t="str">
        <f aca="false">IFERROR(IF(BG11="","",BG11*INDEX('00 - Lists'!$M$2:$M$11,MATCH(L11,'00 - Lists'!$L$2:$L$11,0))/100000),"")</f>
        <v/>
      </c>
      <c r="BO11" s="35" t="str">
        <f aca="false">IFERROR(IF(BH11="","",BH11*INDEX('00 - Lists'!$M$2:$M$11,MATCH(L11,'00 - Lists'!$L$2:$L$11,0))/100000),"")</f>
        <v/>
      </c>
      <c r="BP11" s="35" t="str">
        <f aca="false">IFERROR(IF(BI11="","",BI11*INDEX('00 - Lists'!$M$2:$M$11,MATCH(L11,'00 - Lists'!$L$2:$L$11,0))/100000),"")</f>
        <v/>
      </c>
      <c r="BS11" s="36" t="str">
        <f aca="false">IF(O11="","",IF(O11&gt;=20,"Yes","No"))</f>
        <v/>
      </c>
      <c r="BT11" s="36" t="str">
        <f aca="false">IF(O11="","",IF(O11&gt;=30,"Yes","No"))</f>
        <v/>
      </c>
      <c r="BU11" s="36" t="str">
        <f aca="false">IF(O11="","",IF(O11&gt;=75,"Yes","No"))</f>
        <v/>
      </c>
      <c r="BV11" s="36" t="str">
        <f aca="false">IF(O11="","",IF(O11&gt;=100,"Yes","No"))</f>
        <v/>
      </c>
      <c r="BW11" s="36" t="str">
        <f aca="false">IF(O11="","",IF(O11&gt;=150,"Yes","No"))</f>
        <v/>
      </c>
      <c r="BX11" s="36" t="str">
        <f aca="false">IF(O11="","",IF(O11&gt;=200,"Yes","No"))</f>
        <v/>
      </c>
      <c r="BY11" s="36" t="str">
        <f aca="false">IF(Q11="","",IF(Q11&gt;=150000,"Yes","No"))</f>
        <v/>
      </c>
      <c r="BZ11" s="36" t="str">
        <f aca="false">IF(Q11="","",IF(Q11&gt;=200000,"Yes","No"))</f>
        <v/>
      </c>
      <c r="CA11" s="36" t="str">
        <f aca="false">IF(Q11="","",IF(Q11&gt;=250000,"Yes","No"))</f>
        <v/>
      </c>
      <c r="CB11" s="36" t="str">
        <f aca="false">IF(Q11="","",IF(Q11&gt;=300000,"Yes","No"))</f>
        <v/>
      </c>
      <c r="CC11" s="37"/>
      <c r="CD11" s="36" t="str">
        <f aca="true">IF(B11="","",IF(TODAY()-B11&lt;=7,"🟢 0-7d",IF(TODAY()-B11&lt;=30,"🟡 8-30d",IF(TODAY()-B11&lt;=60,"🟠 31-60d","🔴 60d+"))))</f>
        <v/>
      </c>
      <c r="CE11" s="36" t="str">
        <f aca="false">IF(G11="","",IF(G11&lt;&gt;"USA","N/A - Not USA Role",IF(J11="Yes",IF(OR(F11="Intern",F11="New Grad"),"🟡 Possible","🟢 Strong"),IF(J11="No","🔴 Difficult","⚪ Unknown"))))</f>
        <v/>
      </c>
      <c r="CF11" s="37"/>
      <c r="CG11" s="37"/>
      <c r="CH11" s="38"/>
      <c r="CI11" s="38"/>
      <c r="CJ11" s="38"/>
      <c r="CK11" s="38"/>
    </row>
    <row r="12" customFormat="false" ht="15" hidden="false" customHeight="true" outlineLevel="0" collapsed="false">
      <c r="A12" s="26" t="str">
        <f aca="false">IF($C12="","",ROW()-3)</f>
        <v/>
      </c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9"/>
      <c r="N12" s="29"/>
      <c r="O12" s="30" t="str">
        <f aca="false">IFERROR(IF(M12="","",M12*INDEX('00 - Lists'!$M$2:$M$11,MATCH(L12,'00 - Lists'!$L$2:$L$11,0))/100000),"")</f>
        <v/>
      </c>
      <c r="P12" s="30" t="str">
        <f aca="false">IFERROR(IF(N12="","",N12*INDEX('00 - Lists'!$M$2:$M$11,MATCH(L12,'00 - Lists'!$L$2:$L$11,0))/100000),"")</f>
        <v/>
      </c>
      <c r="Q12" s="31" t="str">
        <f aca="false">IFERROR(IF(M12="","",M12*INDEX('00 - Lists'!$N$2:$N$11,MATCH(L12,'00 - Lists'!$L$2:$L$11,0))),"")</f>
        <v/>
      </c>
      <c r="R12" s="31" t="str">
        <f aca="false">IFERROR(IF(N12="","",N12*INDEX('00 - Lists'!$N$2:$N$11,MATCH(L12,'00 - Lists'!$L$2:$L$11,0))),"")</f>
        <v/>
      </c>
      <c r="S12" s="32" t="str">
        <f aca="false">IF(O12="","",IF(O12&gt;=50,"Yes","No"))</f>
        <v/>
      </c>
      <c r="T12" s="32" t="str">
        <f aca="false">IF(Q12="","",IF(Q12&gt;=100000,"Yes","No"))</f>
        <v/>
      </c>
      <c r="U12" s="28"/>
      <c r="V12" s="28"/>
      <c r="W12" s="28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J12" s="34" t="str">
        <f aca="false">IF(OR($BD12&lt;&gt;"",$BF12&lt;&gt;"",$BH12&lt;&gt;""),"Yes","No")</f>
        <v>No</v>
      </c>
      <c r="BK12" s="35" t="str">
        <f aca="false">IFERROR(IF(BD12="","",BD12*INDEX('00 - Lists'!$M$2:$M$11,MATCH(L12,'00 - Lists'!$L$2:$L$11,0))/100000),"")</f>
        <v/>
      </c>
      <c r="BL12" s="35" t="str">
        <f aca="false">IFERROR(IF(BE12="","",BE12*INDEX('00 - Lists'!$M$2:$M$11,MATCH(L12,'00 - Lists'!$L$2:$L$11,0))/100000),"")</f>
        <v/>
      </c>
      <c r="BM12" s="35" t="str">
        <f aca="false">IFERROR(IF(BF12="","",BF12*INDEX('00 - Lists'!$M$2:$M$11,MATCH(L12,'00 - Lists'!$L$2:$L$11,0))/100000),"")</f>
        <v/>
      </c>
      <c r="BN12" s="35" t="str">
        <f aca="false">IFERROR(IF(BG12="","",BG12*INDEX('00 - Lists'!$M$2:$M$11,MATCH(L12,'00 - Lists'!$L$2:$L$11,0))/100000),"")</f>
        <v/>
      </c>
      <c r="BO12" s="35" t="str">
        <f aca="false">IFERROR(IF(BH12="","",BH12*INDEX('00 - Lists'!$M$2:$M$11,MATCH(L12,'00 - Lists'!$L$2:$L$11,0))/100000),"")</f>
        <v/>
      </c>
      <c r="BP12" s="35" t="str">
        <f aca="false">IFERROR(IF(BI12="","",BI12*INDEX('00 - Lists'!$M$2:$M$11,MATCH(L12,'00 - Lists'!$L$2:$L$11,0))/100000),"")</f>
        <v/>
      </c>
      <c r="BS12" s="36" t="str">
        <f aca="false">IF(O12="","",IF(O12&gt;=20,"Yes","No"))</f>
        <v/>
      </c>
      <c r="BT12" s="36" t="str">
        <f aca="false">IF(O12="","",IF(O12&gt;=30,"Yes","No"))</f>
        <v/>
      </c>
      <c r="BU12" s="36" t="str">
        <f aca="false">IF(O12="","",IF(O12&gt;=75,"Yes","No"))</f>
        <v/>
      </c>
      <c r="BV12" s="36" t="str">
        <f aca="false">IF(O12="","",IF(O12&gt;=100,"Yes","No"))</f>
        <v/>
      </c>
      <c r="BW12" s="36" t="str">
        <f aca="false">IF(O12="","",IF(O12&gt;=150,"Yes","No"))</f>
        <v/>
      </c>
      <c r="BX12" s="36" t="str">
        <f aca="false">IF(O12="","",IF(O12&gt;=200,"Yes","No"))</f>
        <v/>
      </c>
      <c r="BY12" s="36" t="str">
        <f aca="false">IF(Q12="","",IF(Q12&gt;=150000,"Yes","No"))</f>
        <v/>
      </c>
      <c r="BZ12" s="36" t="str">
        <f aca="false">IF(Q12="","",IF(Q12&gt;=200000,"Yes","No"))</f>
        <v/>
      </c>
      <c r="CA12" s="36" t="str">
        <f aca="false">IF(Q12="","",IF(Q12&gt;=250000,"Yes","No"))</f>
        <v/>
      </c>
      <c r="CB12" s="36" t="str">
        <f aca="false">IF(Q12="","",IF(Q12&gt;=300000,"Yes","No"))</f>
        <v/>
      </c>
      <c r="CC12" s="37"/>
      <c r="CD12" s="36" t="str">
        <f aca="true">IF(B12="","",IF(TODAY()-B12&lt;=7,"🟢 0-7d",IF(TODAY()-B12&lt;=30,"🟡 8-30d",IF(TODAY()-B12&lt;=60,"🟠 31-60d","🔴 60d+"))))</f>
        <v/>
      </c>
      <c r="CE12" s="36" t="str">
        <f aca="false">IF(G12="","",IF(G12&lt;&gt;"USA","N/A - Not USA Role",IF(J12="Yes",IF(OR(F12="Intern",F12="New Grad"),"🟡 Possible","🟢 Strong"),IF(J12="No","🔴 Difficult","⚪ Unknown"))))</f>
        <v/>
      </c>
      <c r="CF12" s="37"/>
      <c r="CG12" s="37"/>
      <c r="CH12" s="38"/>
      <c r="CI12" s="38"/>
      <c r="CJ12" s="38"/>
      <c r="CK12" s="38"/>
    </row>
    <row r="13" customFormat="false" ht="15" hidden="false" customHeight="true" outlineLevel="0" collapsed="false">
      <c r="A13" s="26" t="str">
        <f aca="false">IF($C13="","",ROW()-3)</f>
        <v/>
      </c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9"/>
      <c r="N13" s="29"/>
      <c r="O13" s="30" t="str">
        <f aca="false">IFERROR(IF(M13="","",M13*INDEX('00 - Lists'!$M$2:$M$11,MATCH(L13,'00 - Lists'!$L$2:$L$11,0))/100000),"")</f>
        <v/>
      </c>
      <c r="P13" s="30" t="str">
        <f aca="false">IFERROR(IF(N13="","",N13*INDEX('00 - Lists'!$M$2:$M$11,MATCH(L13,'00 - Lists'!$L$2:$L$11,0))/100000),"")</f>
        <v/>
      </c>
      <c r="Q13" s="31" t="str">
        <f aca="false">IFERROR(IF(M13="","",M13*INDEX('00 - Lists'!$N$2:$N$11,MATCH(L13,'00 - Lists'!$L$2:$L$11,0))),"")</f>
        <v/>
      </c>
      <c r="R13" s="31" t="str">
        <f aca="false">IFERROR(IF(N13="","",N13*INDEX('00 - Lists'!$N$2:$N$11,MATCH(L13,'00 - Lists'!$L$2:$L$11,0))),"")</f>
        <v/>
      </c>
      <c r="S13" s="32" t="str">
        <f aca="false">IF(O13="","",IF(O13&gt;=50,"Yes","No"))</f>
        <v/>
      </c>
      <c r="T13" s="32" t="str">
        <f aca="false">IF(Q13="","",IF(Q13&gt;=100000,"Yes","No"))</f>
        <v/>
      </c>
      <c r="U13" s="28"/>
      <c r="V13" s="28"/>
      <c r="W13" s="28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J13" s="34" t="str">
        <f aca="false">IF(OR($BD13&lt;&gt;"",$BF13&lt;&gt;"",$BH13&lt;&gt;""),"Yes","No")</f>
        <v>No</v>
      </c>
      <c r="BK13" s="35" t="str">
        <f aca="false">IFERROR(IF(BD13="","",BD13*INDEX('00 - Lists'!$M$2:$M$11,MATCH(L13,'00 - Lists'!$L$2:$L$11,0))/100000),"")</f>
        <v/>
      </c>
      <c r="BL13" s="35" t="str">
        <f aca="false">IFERROR(IF(BE13="","",BE13*INDEX('00 - Lists'!$M$2:$M$11,MATCH(L13,'00 - Lists'!$L$2:$L$11,0))/100000),"")</f>
        <v/>
      </c>
      <c r="BM13" s="35" t="str">
        <f aca="false">IFERROR(IF(BF13="","",BF13*INDEX('00 - Lists'!$M$2:$M$11,MATCH(L13,'00 - Lists'!$L$2:$L$11,0))/100000),"")</f>
        <v/>
      </c>
      <c r="BN13" s="35" t="str">
        <f aca="false">IFERROR(IF(BG13="","",BG13*INDEX('00 - Lists'!$M$2:$M$11,MATCH(L13,'00 - Lists'!$L$2:$L$11,0))/100000),"")</f>
        <v/>
      </c>
      <c r="BO13" s="35" t="str">
        <f aca="false">IFERROR(IF(BH13="","",BH13*INDEX('00 - Lists'!$M$2:$M$11,MATCH(L13,'00 - Lists'!$L$2:$L$11,0))/100000),"")</f>
        <v/>
      </c>
      <c r="BP13" s="35" t="str">
        <f aca="false">IFERROR(IF(BI13="","",BI13*INDEX('00 - Lists'!$M$2:$M$11,MATCH(L13,'00 - Lists'!$L$2:$L$11,0))/100000),"")</f>
        <v/>
      </c>
      <c r="BS13" s="36" t="str">
        <f aca="false">IF(O13="","",IF(O13&gt;=20,"Yes","No"))</f>
        <v/>
      </c>
      <c r="BT13" s="36" t="str">
        <f aca="false">IF(O13="","",IF(O13&gt;=30,"Yes","No"))</f>
        <v/>
      </c>
      <c r="BU13" s="36" t="str">
        <f aca="false">IF(O13="","",IF(O13&gt;=75,"Yes","No"))</f>
        <v/>
      </c>
      <c r="BV13" s="36" t="str">
        <f aca="false">IF(O13="","",IF(O13&gt;=100,"Yes","No"))</f>
        <v/>
      </c>
      <c r="BW13" s="36" t="str">
        <f aca="false">IF(O13="","",IF(O13&gt;=150,"Yes","No"))</f>
        <v/>
      </c>
      <c r="BX13" s="36" t="str">
        <f aca="false">IF(O13="","",IF(O13&gt;=200,"Yes","No"))</f>
        <v/>
      </c>
      <c r="BY13" s="36" t="str">
        <f aca="false">IF(Q13="","",IF(Q13&gt;=150000,"Yes","No"))</f>
        <v/>
      </c>
      <c r="BZ13" s="36" t="str">
        <f aca="false">IF(Q13="","",IF(Q13&gt;=200000,"Yes","No"))</f>
        <v/>
      </c>
      <c r="CA13" s="36" t="str">
        <f aca="false">IF(Q13="","",IF(Q13&gt;=250000,"Yes","No"))</f>
        <v/>
      </c>
      <c r="CB13" s="36" t="str">
        <f aca="false">IF(Q13="","",IF(Q13&gt;=300000,"Yes","No"))</f>
        <v/>
      </c>
      <c r="CC13" s="37"/>
      <c r="CD13" s="36" t="str">
        <f aca="true">IF(B13="","",IF(TODAY()-B13&lt;=7,"🟢 0-7d",IF(TODAY()-B13&lt;=30,"🟡 8-30d",IF(TODAY()-B13&lt;=60,"🟠 31-60d","🔴 60d+"))))</f>
        <v/>
      </c>
      <c r="CE13" s="36" t="str">
        <f aca="false">IF(G13="","",IF(G13&lt;&gt;"USA","N/A - Not USA Role",IF(J13="Yes",IF(OR(F13="Intern",F13="New Grad"),"🟡 Possible","🟢 Strong"),IF(J13="No","🔴 Difficult","⚪ Unknown"))))</f>
        <v/>
      </c>
      <c r="CF13" s="37"/>
      <c r="CG13" s="37"/>
      <c r="CH13" s="38"/>
      <c r="CI13" s="38"/>
      <c r="CJ13" s="38"/>
      <c r="CK13" s="38"/>
    </row>
    <row r="14" customFormat="false" ht="15" hidden="false" customHeight="true" outlineLevel="0" collapsed="false">
      <c r="A14" s="26" t="str">
        <f aca="false">IF($C14="","",ROW()-3)</f>
        <v/>
      </c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9"/>
      <c r="N14" s="29"/>
      <c r="O14" s="30" t="str">
        <f aca="false">IFERROR(IF(M14="","",M14*INDEX('00 - Lists'!$M$2:$M$11,MATCH(L14,'00 - Lists'!$L$2:$L$11,0))/100000),"")</f>
        <v/>
      </c>
      <c r="P14" s="30" t="str">
        <f aca="false">IFERROR(IF(N14="","",N14*INDEX('00 - Lists'!$M$2:$M$11,MATCH(L14,'00 - Lists'!$L$2:$L$11,0))/100000),"")</f>
        <v/>
      </c>
      <c r="Q14" s="31" t="str">
        <f aca="false">IFERROR(IF(M14="","",M14*INDEX('00 - Lists'!$N$2:$N$11,MATCH(L14,'00 - Lists'!$L$2:$L$11,0))),"")</f>
        <v/>
      </c>
      <c r="R14" s="31" t="str">
        <f aca="false">IFERROR(IF(N14="","",N14*INDEX('00 - Lists'!$N$2:$N$11,MATCH(L14,'00 - Lists'!$L$2:$L$11,0))),"")</f>
        <v/>
      </c>
      <c r="S14" s="32" t="str">
        <f aca="false">IF(O14="","",IF(O14&gt;=50,"Yes","No"))</f>
        <v/>
      </c>
      <c r="T14" s="32" t="str">
        <f aca="false">IF(Q14="","",IF(Q14&gt;=100000,"Yes","No"))</f>
        <v/>
      </c>
      <c r="U14" s="28"/>
      <c r="V14" s="28"/>
      <c r="W14" s="28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J14" s="34" t="str">
        <f aca="false">IF(OR($BD14&lt;&gt;"",$BF14&lt;&gt;"",$BH14&lt;&gt;""),"Yes","No")</f>
        <v>No</v>
      </c>
      <c r="BK14" s="35" t="str">
        <f aca="false">IFERROR(IF(BD14="","",BD14*INDEX('00 - Lists'!$M$2:$M$11,MATCH(L14,'00 - Lists'!$L$2:$L$11,0))/100000),"")</f>
        <v/>
      </c>
      <c r="BL14" s="35" t="str">
        <f aca="false">IFERROR(IF(BE14="","",BE14*INDEX('00 - Lists'!$M$2:$M$11,MATCH(L14,'00 - Lists'!$L$2:$L$11,0))/100000),"")</f>
        <v/>
      </c>
      <c r="BM14" s="35" t="str">
        <f aca="false">IFERROR(IF(BF14="","",BF14*INDEX('00 - Lists'!$M$2:$M$11,MATCH(L14,'00 - Lists'!$L$2:$L$11,0))/100000),"")</f>
        <v/>
      </c>
      <c r="BN14" s="35" t="str">
        <f aca="false">IFERROR(IF(BG14="","",BG14*INDEX('00 - Lists'!$M$2:$M$11,MATCH(L14,'00 - Lists'!$L$2:$L$11,0))/100000),"")</f>
        <v/>
      </c>
      <c r="BO14" s="35" t="str">
        <f aca="false">IFERROR(IF(BH14="","",BH14*INDEX('00 - Lists'!$M$2:$M$11,MATCH(L14,'00 - Lists'!$L$2:$L$11,0))/100000),"")</f>
        <v/>
      </c>
      <c r="BP14" s="35" t="str">
        <f aca="false">IFERROR(IF(BI14="","",BI14*INDEX('00 - Lists'!$M$2:$M$11,MATCH(L14,'00 - Lists'!$L$2:$L$11,0))/100000),"")</f>
        <v/>
      </c>
      <c r="BS14" s="36" t="str">
        <f aca="false">IF(O14="","",IF(O14&gt;=20,"Yes","No"))</f>
        <v/>
      </c>
      <c r="BT14" s="36" t="str">
        <f aca="false">IF(O14="","",IF(O14&gt;=30,"Yes","No"))</f>
        <v/>
      </c>
      <c r="BU14" s="36" t="str">
        <f aca="false">IF(O14="","",IF(O14&gt;=75,"Yes","No"))</f>
        <v/>
      </c>
      <c r="BV14" s="36" t="str">
        <f aca="false">IF(O14="","",IF(O14&gt;=100,"Yes","No"))</f>
        <v/>
      </c>
      <c r="BW14" s="36" t="str">
        <f aca="false">IF(O14="","",IF(O14&gt;=150,"Yes","No"))</f>
        <v/>
      </c>
      <c r="BX14" s="36" t="str">
        <f aca="false">IF(O14="","",IF(O14&gt;=200,"Yes","No"))</f>
        <v/>
      </c>
      <c r="BY14" s="36" t="str">
        <f aca="false">IF(Q14="","",IF(Q14&gt;=150000,"Yes","No"))</f>
        <v/>
      </c>
      <c r="BZ14" s="36" t="str">
        <f aca="false">IF(Q14="","",IF(Q14&gt;=200000,"Yes","No"))</f>
        <v/>
      </c>
      <c r="CA14" s="36" t="str">
        <f aca="false">IF(Q14="","",IF(Q14&gt;=250000,"Yes","No"))</f>
        <v/>
      </c>
      <c r="CB14" s="36" t="str">
        <f aca="false">IF(Q14="","",IF(Q14&gt;=300000,"Yes","No"))</f>
        <v/>
      </c>
      <c r="CC14" s="37"/>
      <c r="CD14" s="36" t="str">
        <f aca="true">IF(B14="","",IF(TODAY()-B14&lt;=7,"🟢 0-7d",IF(TODAY()-B14&lt;=30,"🟡 8-30d",IF(TODAY()-B14&lt;=60,"🟠 31-60d","🔴 60d+"))))</f>
        <v/>
      </c>
      <c r="CE14" s="36" t="str">
        <f aca="false">IF(G14="","",IF(G14&lt;&gt;"USA","N/A - Not USA Role",IF(J14="Yes",IF(OR(F14="Intern",F14="New Grad"),"🟡 Possible","🟢 Strong"),IF(J14="No","🔴 Difficult","⚪ Unknown"))))</f>
        <v/>
      </c>
      <c r="CF14" s="37"/>
      <c r="CG14" s="37"/>
      <c r="CH14" s="38"/>
      <c r="CI14" s="38"/>
      <c r="CJ14" s="38"/>
      <c r="CK14" s="38"/>
    </row>
    <row r="15" customFormat="false" ht="15" hidden="false" customHeight="true" outlineLevel="0" collapsed="false">
      <c r="A15" s="26" t="str">
        <f aca="false">IF($C15="","",ROW()-3)</f>
        <v/>
      </c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9"/>
      <c r="N15" s="29"/>
      <c r="O15" s="30" t="str">
        <f aca="false">IFERROR(IF(M15="","",M15*INDEX('00 - Lists'!$M$2:$M$11,MATCH(L15,'00 - Lists'!$L$2:$L$11,0))/100000),"")</f>
        <v/>
      </c>
      <c r="P15" s="30" t="str">
        <f aca="false">IFERROR(IF(N15="","",N15*INDEX('00 - Lists'!$M$2:$M$11,MATCH(L15,'00 - Lists'!$L$2:$L$11,0))/100000),"")</f>
        <v/>
      </c>
      <c r="Q15" s="31" t="str">
        <f aca="false">IFERROR(IF(M15="","",M15*INDEX('00 - Lists'!$N$2:$N$11,MATCH(L15,'00 - Lists'!$L$2:$L$11,0))),"")</f>
        <v/>
      </c>
      <c r="R15" s="31" t="str">
        <f aca="false">IFERROR(IF(N15="","",N15*INDEX('00 - Lists'!$N$2:$N$11,MATCH(L15,'00 - Lists'!$L$2:$L$11,0))),"")</f>
        <v/>
      </c>
      <c r="S15" s="32" t="str">
        <f aca="false">IF(O15="","",IF(O15&gt;=50,"Yes","No"))</f>
        <v/>
      </c>
      <c r="T15" s="32" t="str">
        <f aca="false">IF(Q15="","",IF(Q15&gt;=100000,"Yes","No"))</f>
        <v/>
      </c>
      <c r="U15" s="28"/>
      <c r="V15" s="28"/>
      <c r="W15" s="28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J15" s="34" t="str">
        <f aca="false">IF(OR($BD15&lt;&gt;"",$BF15&lt;&gt;"",$BH15&lt;&gt;""),"Yes","No")</f>
        <v>No</v>
      </c>
      <c r="BK15" s="35" t="str">
        <f aca="false">IFERROR(IF(BD15="","",BD15*INDEX('00 - Lists'!$M$2:$M$11,MATCH(L15,'00 - Lists'!$L$2:$L$11,0))/100000),"")</f>
        <v/>
      </c>
      <c r="BL15" s="35" t="str">
        <f aca="false">IFERROR(IF(BE15="","",BE15*INDEX('00 - Lists'!$M$2:$M$11,MATCH(L15,'00 - Lists'!$L$2:$L$11,0))/100000),"")</f>
        <v/>
      </c>
      <c r="BM15" s="35" t="str">
        <f aca="false">IFERROR(IF(BF15="","",BF15*INDEX('00 - Lists'!$M$2:$M$11,MATCH(L15,'00 - Lists'!$L$2:$L$11,0))/100000),"")</f>
        <v/>
      </c>
      <c r="BN15" s="35" t="str">
        <f aca="false">IFERROR(IF(BG15="","",BG15*INDEX('00 - Lists'!$M$2:$M$11,MATCH(L15,'00 - Lists'!$L$2:$L$11,0))/100000),"")</f>
        <v/>
      </c>
      <c r="BO15" s="35" t="str">
        <f aca="false">IFERROR(IF(BH15="","",BH15*INDEX('00 - Lists'!$M$2:$M$11,MATCH(L15,'00 - Lists'!$L$2:$L$11,0))/100000),"")</f>
        <v/>
      </c>
      <c r="BP15" s="35" t="str">
        <f aca="false">IFERROR(IF(BI15="","",BI15*INDEX('00 - Lists'!$M$2:$M$11,MATCH(L15,'00 - Lists'!$L$2:$L$11,0))/100000),"")</f>
        <v/>
      </c>
      <c r="BS15" s="36" t="str">
        <f aca="false">IF(O15="","",IF(O15&gt;=20,"Yes","No"))</f>
        <v/>
      </c>
      <c r="BT15" s="36" t="str">
        <f aca="false">IF(O15="","",IF(O15&gt;=30,"Yes","No"))</f>
        <v/>
      </c>
      <c r="BU15" s="36" t="str">
        <f aca="false">IF(O15="","",IF(O15&gt;=75,"Yes","No"))</f>
        <v/>
      </c>
      <c r="BV15" s="36" t="str">
        <f aca="false">IF(O15="","",IF(O15&gt;=100,"Yes","No"))</f>
        <v/>
      </c>
      <c r="BW15" s="36" t="str">
        <f aca="false">IF(O15="","",IF(O15&gt;=150,"Yes","No"))</f>
        <v/>
      </c>
      <c r="BX15" s="36" t="str">
        <f aca="false">IF(O15="","",IF(O15&gt;=200,"Yes","No"))</f>
        <v/>
      </c>
      <c r="BY15" s="36" t="str">
        <f aca="false">IF(Q15="","",IF(Q15&gt;=150000,"Yes","No"))</f>
        <v/>
      </c>
      <c r="BZ15" s="36" t="str">
        <f aca="false">IF(Q15="","",IF(Q15&gt;=200000,"Yes","No"))</f>
        <v/>
      </c>
      <c r="CA15" s="36" t="str">
        <f aca="false">IF(Q15="","",IF(Q15&gt;=250000,"Yes","No"))</f>
        <v/>
      </c>
      <c r="CB15" s="36" t="str">
        <f aca="false">IF(Q15="","",IF(Q15&gt;=300000,"Yes","No"))</f>
        <v/>
      </c>
      <c r="CC15" s="37"/>
      <c r="CD15" s="36" t="str">
        <f aca="true">IF(B15="","",IF(TODAY()-B15&lt;=7,"🟢 0-7d",IF(TODAY()-B15&lt;=30,"🟡 8-30d",IF(TODAY()-B15&lt;=60,"🟠 31-60d","🔴 60d+"))))</f>
        <v/>
      </c>
      <c r="CE15" s="36" t="str">
        <f aca="false">IF(G15="","",IF(G15&lt;&gt;"USA","N/A - Not USA Role",IF(J15="Yes",IF(OR(F15="Intern",F15="New Grad"),"🟡 Possible","🟢 Strong"),IF(J15="No","🔴 Difficult","⚪ Unknown"))))</f>
        <v/>
      </c>
      <c r="CF15" s="37"/>
      <c r="CG15" s="37"/>
      <c r="CH15" s="38"/>
      <c r="CI15" s="38"/>
      <c r="CJ15" s="38"/>
      <c r="CK15" s="38"/>
    </row>
    <row r="16" customFormat="false" ht="15" hidden="false" customHeight="true" outlineLevel="0" collapsed="false">
      <c r="A16" s="26" t="str">
        <f aca="false">IF($C16="","",ROW()-3)</f>
        <v/>
      </c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29"/>
      <c r="O16" s="30" t="str">
        <f aca="false">IFERROR(IF(M16="","",M16*INDEX('00 - Lists'!$M$2:$M$11,MATCH(L16,'00 - Lists'!$L$2:$L$11,0))/100000),"")</f>
        <v/>
      </c>
      <c r="P16" s="30" t="str">
        <f aca="false">IFERROR(IF(N16="","",N16*INDEX('00 - Lists'!$M$2:$M$11,MATCH(L16,'00 - Lists'!$L$2:$L$11,0))/100000),"")</f>
        <v/>
      </c>
      <c r="Q16" s="31" t="str">
        <f aca="false">IFERROR(IF(M16="","",M16*INDEX('00 - Lists'!$N$2:$N$11,MATCH(L16,'00 - Lists'!$L$2:$L$11,0))),"")</f>
        <v/>
      </c>
      <c r="R16" s="31" t="str">
        <f aca="false">IFERROR(IF(N16="","",N16*INDEX('00 - Lists'!$N$2:$N$11,MATCH(L16,'00 - Lists'!$L$2:$L$11,0))),"")</f>
        <v/>
      </c>
      <c r="S16" s="32" t="str">
        <f aca="false">IF(O16="","",IF(O16&gt;=50,"Yes","No"))</f>
        <v/>
      </c>
      <c r="T16" s="32" t="str">
        <f aca="false">IF(Q16="","",IF(Q16&gt;=100000,"Yes","No"))</f>
        <v/>
      </c>
      <c r="U16" s="28"/>
      <c r="V16" s="28"/>
      <c r="W16" s="28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J16" s="34" t="str">
        <f aca="false">IF(OR($BD16&lt;&gt;"",$BF16&lt;&gt;"",$BH16&lt;&gt;""),"Yes","No")</f>
        <v>No</v>
      </c>
      <c r="BK16" s="35" t="str">
        <f aca="false">IFERROR(IF(BD16="","",BD16*INDEX('00 - Lists'!$M$2:$M$11,MATCH(L16,'00 - Lists'!$L$2:$L$11,0))/100000),"")</f>
        <v/>
      </c>
      <c r="BL16" s="35" t="str">
        <f aca="false">IFERROR(IF(BE16="","",BE16*INDEX('00 - Lists'!$M$2:$M$11,MATCH(L16,'00 - Lists'!$L$2:$L$11,0))/100000),"")</f>
        <v/>
      </c>
      <c r="BM16" s="35" t="str">
        <f aca="false">IFERROR(IF(BF16="","",BF16*INDEX('00 - Lists'!$M$2:$M$11,MATCH(L16,'00 - Lists'!$L$2:$L$11,0))/100000),"")</f>
        <v/>
      </c>
      <c r="BN16" s="35" t="str">
        <f aca="false">IFERROR(IF(BG16="","",BG16*INDEX('00 - Lists'!$M$2:$M$11,MATCH(L16,'00 - Lists'!$L$2:$L$11,0))/100000),"")</f>
        <v/>
      </c>
      <c r="BO16" s="35" t="str">
        <f aca="false">IFERROR(IF(BH16="","",BH16*INDEX('00 - Lists'!$M$2:$M$11,MATCH(L16,'00 - Lists'!$L$2:$L$11,0))/100000),"")</f>
        <v/>
      </c>
      <c r="BP16" s="35" t="str">
        <f aca="false">IFERROR(IF(BI16="","",BI16*INDEX('00 - Lists'!$M$2:$M$11,MATCH(L16,'00 - Lists'!$L$2:$L$11,0))/100000),"")</f>
        <v/>
      </c>
      <c r="BS16" s="36" t="str">
        <f aca="false">IF(O16="","",IF(O16&gt;=20,"Yes","No"))</f>
        <v/>
      </c>
      <c r="BT16" s="36" t="str">
        <f aca="false">IF(O16="","",IF(O16&gt;=30,"Yes","No"))</f>
        <v/>
      </c>
      <c r="BU16" s="36" t="str">
        <f aca="false">IF(O16="","",IF(O16&gt;=75,"Yes","No"))</f>
        <v/>
      </c>
      <c r="BV16" s="36" t="str">
        <f aca="false">IF(O16="","",IF(O16&gt;=100,"Yes","No"))</f>
        <v/>
      </c>
      <c r="BW16" s="36" t="str">
        <f aca="false">IF(O16="","",IF(O16&gt;=150,"Yes","No"))</f>
        <v/>
      </c>
      <c r="BX16" s="36" t="str">
        <f aca="false">IF(O16="","",IF(O16&gt;=200,"Yes","No"))</f>
        <v/>
      </c>
      <c r="BY16" s="36" t="str">
        <f aca="false">IF(Q16="","",IF(Q16&gt;=150000,"Yes","No"))</f>
        <v/>
      </c>
      <c r="BZ16" s="36" t="str">
        <f aca="false">IF(Q16="","",IF(Q16&gt;=200000,"Yes","No"))</f>
        <v/>
      </c>
      <c r="CA16" s="36" t="str">
        <f aca="false">IF(Q16="","",IF(Q16&gt;=250000,"Yes","No"))</f>
        <v/>
      </c>
      <c r="CB16" s="36" t="str">
        <f aca="false">IF(Q16="","",IF(Q16&gt;=300000,"Yes","No"))</f>
        <v/>
      </c>
      <c r="CC16" s="37"/>
      <c r="CD16" s="36" t="str">
        <f aca="true">IF(B16="","",IF(TODAY()-B16&lt;=7,"🟢 0-7d",IF(TODAY()-B16&lt;=30,"🟡 8-30d",IF(TODAY()-B16&lt;=60,"🟠 31-60d","🔴 60d+"))))</f>
        <v/>
      </c>
      <c r="CE16" s="36" t="str">
        <f aca="false">IF(G16="","",IF(G16&lt;&gt;"USA","N/A - Not USA Role",IF(J16="Yes",IF(OR(F16="Intern",F16="New Grad"),"🟡 Possible","🟢 Strong"),IF(J16="No","🔴 Difficult","⚪ Unknown"))))</f>
        <v/>
      </c>
      <c r="CF16" s="37"/>
      <c r="CG16" s="37"/>
      <c r="CH16" s="38"/>
      <c r="CI16" s="38"/>
      <c r="CJ16" s="38"/>
      <c r="CK16" s="38"/>
    </row>
    <row r="17" customFormat="false" ht="15" hidden="false" customHeight="true" outlineLevel="0" collapsed="false">
      <c r="A17" s="26" t="str">
        <f aca="false">IF($C17="","",ROW()-3)</f>
        <v/>
      </c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29"/>
      <c r="O17" s="30" t="str">
        <f aca="false">IFERROR(IF(M17="","",M17*INDEX('00 - Lists'!$M$2:$M$11,MATCH(L17,'00 - Lists'!$L$2:$L$11,0))/100000),"")</f>
        <v/>
      </c>
      <c r="P17" s="30" t="str">
        <f aca="false">IFERROR(IF(N17="","",N17*INDEX('00 - Lists'!$M$2:$M$11,MATCH(L17,'00 - Lists'!$L$2:$L$11,0))/100000),"")</f>
        <v/>
      </c>
      <c r="Q17" s="31" t="str">
        <f aca="false">IFERROR(IF(M17="","",M17*INDEX('00 - Lists'!$N$2:$N$11,MATCH(L17,'00 - Lists'!$L$2:$L$11,0))),"")</f>
        <v/>
      </c>
      <c r="R17" s="31" t="str">
        <f aca="false">IFERROR(IF(N17="","",N17*INDEX('00 - Lists'!$N$2:$N$11,MATCH(L17,'00 - Lists'!$L$2:$L$11,0))),"")</f>
        <v/>
      </c>
      <c r="S17" s="32" t="str">
        <f aca="false">IF(O17="","",IF(O17&gt;=50,"Yes","No"))</f>
        <v/>
      </c>
      <c r="T17" s="32" t="str">
        <f aca="false">IF(Q17="","",IF(Q17&gt;=100000,"Yes","No"))</f>
        <v/>
      </c>
      <c r="U17" s="28"/>
      <c r="V17" s="28"/>
      <c r="W17" s="28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J17" s="34" t="str">
        <f aca="false">IF(OR($BD17&lt;&gt;"",$BF17&lt;&gt;"",$BH17&lt;&gt;""),"Yes","No")</f>
        <v>No</v>
      </c>
      <c r="BK17" s="35" t="str">
        <f aca="false">IFERROR(IF(BD17="","",BD17*INDEX('00 - Lists'!$M$2:$M$11,MATCH(L17,'00 - Lists'!$L$2:$L$11,0))/100000),"")</f>
        <v/>
      </c>
      <c r="BL17" s="35" t="str">
        <f aca="false">IFERROR(IF(BE17="","",BE17*INDEX('00 - Lists'!$M$2:$M$11,MATCH(L17,'00 - Lists'!$L$2:$L$11,0))/100000),"")</f>
        <v/>
      </c>
      <c r="BM17" s="35" t="str">
        <f aca="false">IFERROR(IF(BF17="","",BF17*INDEX('00 - Lists'!$M$2:$M$11,MATCH(L17,'00 - Lists'!$L$2:$L$11,0))/100000),"")</f>
        <v/>
      </c>
      <c r="BN17" s="35" t="str">
        <f aca="false">IFERROR(IF(BG17="","",BG17*INDEX('00 - Lists'!$M$2:$M$11,MATCH(L17,'00 - Lists'!$L$2:$L$11,0))/100000),"")</f>
        <v/>
      </c>
      <c r="BO17" s="35" t="str">
        <f aca="false">IFERROR(IF(BH17="","",BH17*INDEX('00 - Lists'!$M$2:$M$11,MATCH(L17,'00 - Lists'!$L$2:$L$11,0))/100000),"")</f>
        <v/>
      </c>
      <c r="BP17" s="35" t="str">
        <f aca="false">IFERROR(IF(BI17="","",BI17*INDEX('00 - Lists'!$M$2:$M$11,MATCH(L17,'00 - Lists'!$L$2:$L$11,0))/100000),"")</f>
        <v/>
      </c>
      <c r="BS17" s="36" t="str">
        <f aca="false">IF(O17="","",IF(O17&gt;=20,"Yes","No"))</f>
        <v/>
      </c>
      <c r="BT17" s="36" t="str">
        <f aca="false">IF(O17="","",IF(O17&gt;=30,"Yes","No"))</f>
        <v/>
      </c>
      <c r="BU17" s="36" t="str">
        <f aca="false">IF(O17="","",IF(O17&gt;=75,"Yes","No"))</f>
        <v/>
      </c>
      <c r="BV17" s="36" t="str">
        <f aca="false">IF(O17="","",IF(O17&gt;=100,"Yes","No"))</f>
        <v/>
      </c>
      <c r="BW17" s="36" t="str">
        <f aca="false">IF(O17="","",IF(O17&gt;=150,"Yes","No"))</f>
        <v/>
      </c>
      <c r="BX17" s="36" t="str">
        <f aca="false">IF(O17="","",IF(O17&gt;=200,"Yes","No"))</f>
        <v/>
      </c>
      <c r="BY17" s="36" t="str">
        <f aca="false">IF(Q17="","",IF(Q17&gt;=150000,"Yes","No"))</f>
        <v/>
      </c>
      <c r="BZ17" s="36" t="str">
        <f aca="false">IF(Q17="","",IF(Q17&gt;=200000,"Yes","No"))</f>
        <v/>
      </c>
      <c r="CA17" s="36" t="str">
        <f aca="false">IF(Q17="","",IF(Q17&gt;=250000,"Yes","No"))</f>
        <v/>
      </c>
      <c r="CB17" s="36" t="str">
        <f aca="false">IF(Q17="","",IF(Q17&gt;=300000,"Yes","No"))</f>
        <v/>
      </c>
      <c r="CC17" s="37"/>
      <c r="CD17" s="36" t="str">
        <f aca="true">IF(B17="","",IF(TODAY()-B17&lt;=7,"🟢 0-7d",IF(TODAY()-B17&lt;=30,"🟡 8-30d",IF(TODAY()-B17&lt;=60,"🟠 31-60d","🔴 60d+"))))</f>
        <v/>
      </c>
      <c r="CE17" s="36" t="str">
        <f aca="false">IF(G17="","",IF(G17&lt;&gt;"USA","N/A - Not USA Role",IF(J17="Yes",IF(OR(F17="Intern",F17="New Grad"),"🟡 Possible","🟢 Strong"),IF(J17="No","🔴 Difficult","⚪ Unknown"))))</f>
        <v/>
      </c>
      <c r="CF17" s="37"/>
      <c r="CG17" s="37"/>
      <c r="CH17" s="38"/>
      <c r="CI17" s="38"/>
      <c r="CJ17" s="38"/>
      <c r="CK17" s="38"/>
    </row>
    <row r="18" customFormat="false" ht="15" hidden="false" customHeight="true" outlineLevel="0" collapsed="false">
      <c r="A18" s="26" t="str">
        <f aca="false">IF($C18="","",ROW()-3)</f>
        <v/>
      </c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29"/>
      <c r="O18" s="30" t="str">
        <f aca="false">IFERROR(IF(M18="","",M18*INDEX('00 - Lists'!$M$2:$M$11,MATCH(L18,'00 - Lists'!$L$2:$L$11,0))/100000),"")</f>
        <v/>
      </c>
      <c r="P18" s="30" t="str">
        <f aca="false">IFERROR(IF(N18="","",N18*INDEX('00 - Lists'!$M$2:$M$11,MATCH(L18,'00 - Lists'!$L$2:$L$11,0))/100000),"")</f>
        <v/>
      </c>
      <c r="Q18" s="31" t="str">
        <f aca="false">IFERROR(IF(M18="","",M18*INDEX('00 - Lists'!$N$2:$N$11,MATCH(L18,'00 - Lists'!$L$2:$L$11,0))),"")</f>
        <v/>
      </c>
      <c r="R18" s="31" t="str">
        <f aca="false">IFERROR(IF(N18="","",N18*INDEX('00 - Lists'!$N$2:$N$11,MATCH(L18,'00 - Lists'!$L$2:$L$11,0))),"")</f>
        <v/>
      </c>
      <c r="S18" s="32" t="str">
        <f aca="false">IF(O18="","",IF(O18&gt;=50,"Yes","No"))</f>
        <v/>
      </c>
      <c r="T18" s="32" t="str">
        <f aca="false">IF(Q18="","",IF(Q18&gt;=100000,"Yes","No"))</f>
        <v/>
      </c>
      <c r="U18" s="28"/>
      <c r="V18" s="28"/>
      <c r="W18" s="28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J18" s="34" t="str">
        <f aca="false">IF(OR($BD18&lt;&gt;"",$BF18&lt;&gt;"",$BH18&lt;&gt;""),"Yes","No")</f>
        <v>No</v>
      </c>
      <c r="BK18" s="35" t="str">
        <f aca="false">IFERROR(IF(BD18="","",BD18*INDEX('00 - Lists'!$M$2:$M$11,MATCH(L18,'00 - Lists'!$L$2:$L$11,0))/100000),"")</f>
        <v/>
      </c>
      <c r="BL18" s="35" t="str">
        <f aca="false">IFERROR(IF(BE18="","",BE18*INDEX('00 - Lists'!$M$2:$M$11,MATCH(L18,'00 - Lists'!$L$2:$L$11,0))/100000),"")</f>
        <v/>
      </c>
      <c r="BM18" s="35" t="str">
        <f aca="false">IFERROR(IF(BF18="","",BF18*INDEX('00 - Lists'!$M$2:$M$11,MATCH(L18,'00 - Lists'!$L$2:$L$11,0))/100000),"")</f>
        <v/>
      </c>
      <c r="BN18" s="35" t="str">
        <f aca="false">IFERROR(IF(BG18="","",BG18*INDEX('00 - Lists'!$M$2:$M$11,MATCH(L18,'00 - Lists'!$L$2:$L$11,0))/100000),"")</f>
        <v/>
      </c>
      <c r="BO18" s="35" t="str">
        <f aca="false">IFERROR(IF(BH18="","",BH18*INDEX('00 - Lists'!$M$2:$M$11,MATCH(L18,'00 - Lists'!$L$2:$L$11,0))/100000),"")</f>
        <v/>
      </c>
      <c r="BP18" s="35" t="str">
        <f aca="false">IFERROR(IF(BI18="","",BI18*INDEX('00 - Lists'!$M$2:$M$11,MATCH(L18,'00 - Lists'!$L$2:$L$11,0))/100000),"")</f>
        <v/>
      </c>
      <c r="BS18" s="36" t="str">
        <f aca="false">IF(O18="","",IF(O18&gt;=20,"Yes","No"))</f>
        <v/>
      </c>
      <c r="BT18" s="36" t="str">
        <f aca="false">IF(O18="","",IF(O18&gt;=30,"Yes","No"))</f>
        <v/>
      </c>
      <c r="BU18" s="36" t="str">
        <f aca="false">IF(O18="","",IF(O18&gt;=75,"Yes","No"))</f>
        <v/>
      </c>
      <c r="BV18" s="36" t="str">
        <f aca="false">IF(O18="","",IF(O18&gt;=100,"Yes","No"))</f>
        <v/>
      </c>
      <c r="BW18" s="36" t="str">
        <f aca="false">IF(O18="","",IF(O18&gt;=150,"Yes","No"))</f>
        <v/>
      </c>
      <c r="BX18" s="36" t="str">
        <f aca="false">IF(O18="","",IF(O18&gt;=200,"Yes","No"))</f>
        <v/>
      </c>
      <c r="BY18" s="36" t="str">
        <f aca="false">IF(Q18="","",IF(Q18&gt;=150000,"Yes","No"))</f>
        <v/>
      </c>
      <c r="BZ18" s="36" t="str">
        <f aca="false">IF(Q18="","",IF(Q18&gt;=200000,"Yes","No"))</f>
        <v/>
      </c>
      <c r="CA18" s="36" t="str">
        <f aca="false">IF(Q18="","",IF(Q18&gt;=250000,"Yes","No"))</f>
        <v/>
      </c>
      <c r="CB18" s="36" t="str">
        <f aca="false">IF(Q18="","",IF(Q18&gt;=300000,"Yes","No"))</f>
        <v/>
      </c>
      <c r="CC18" s="37"/>
      <c r="CD18" s="36" t="str">
        <f aca="true">IF(B18="","",IF(TODAY()-B18&lt;=7,"🟢 0-7d",IF(TODAY()-B18&lt;=30,"🟡 8-30d",IF(TODAY()-B18&lt;=60,"🟠 31-60d","🔴 60d+"))))</f>
        <v/>
      </c>
      <c r="CE18" s="36" t="str">
        <f aca="false">IF(G18="","",IF(G18&lt;&gt;"USA","N/A - Not USA Role",IF(J18="Yes",IF(OR(F18="Intern",F18="New Grad"),"🟡 Possible","🟢 Strong"),IF(J18="No","🔴 Difficult","⚪ Unknown"))))</f>
        <v/>
      </c>
      <c r="CF18" s="37"/>
      <c r="CG18" s="37"/>
      <c r="CH18" s="38"/>
      <c r="CI18" s="38"/>
      <c r="CJ18" s="38"/>
      <c r="CK18" s="38"/>
    </row>
    <row r="19" customFormat="false" ht="15" hidden="false" customHeight="true" outlineLevel="0" collapsed="false">
      <c r="A19" s="26" t="str">
        <f aca="false">IF($C19="","",ROW()-3)</f>
        <v/>
      </c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29"/>
      <c r="O19" s="30" t="str">
        <f aca="false">IFERROR(IF(M19="","",M19*INDEX('00 - Lists'!$M$2:$M$11,MATCH(L19,'00 - Lists'!$L$2:$L$11,0))/100000),"")</f>
        <v/>
      </c>
      <c r="P19" s="30" t="str">
        <f aca="false">IFERROR(IF(N19="","",N19*INDEX('00 - Lists'!$M$2:$M$11,MATCH(L19,'00 - Lists'!$L$2:$L$11,0))/100000),"")</f>
        <v/>
      </c>
      <c r="Q19" s="31" t="str">
        <f aca="false">IFERROR(IF(M19="","",M19*INDEX('00 - Lists'!$N$2:$N$11,MATCH(L19,'00 - Lists'!$L$2:$L$11,0))),"")</f>
        <v/>
      </c>
      <c r="R19" s="31" t="str">
        <f aca="false">IFERROR(IF(N19="","",N19*INDEX('00 - Lists'!$N$2:$N$11,MATCH(L19,'00 - Lists'!$L$2:$L$11,0))),"")</f>
        <v/>
      </c>
      <c r="S19" s="32" t="str">
        <f aca="false">IF(O19="","",IF(O19&gt;=50,"Yes","No"))</f>
        <v/>
      </c>
      <c r="T19" s="32" t="str">
        <f aca="false">IF(Q19="","",IF(Q19&gt;=100000,"Yes","No"))</f>
        <v/>
      </c>
      <c r="U19" s="28"/>
      <c r="V19" s="28"/>
      <c r="W19" s="28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J19" s="34" t="str">
        <f aca="false">IF(OR($BD19&lt;&gt;"",$BF19&lt;&gt;"",$BH19&lt;&gt;""),"Yes","No")</f>
        <v>No</v>
      </c>
      <c r="BK19" s="35" t="str">
        <f aca="false">IFERROR(IF(BD19="","",BD19*INDEX('00 - Lists'!$M$2:$M$11,MATCH(L19,'00 - Lists'!$L$2:$L$11,0))/100000),"")</f>
        <v/>
      </c>
      <c r="BL19" s="35" t="str">
        <f aca="false">IFERROR(IF(BE19="","",BE19*INDEX('00 - Lists'!$M$2:$M$11,MATCH(L19,'00 - Lists'!$L$2:$L$11,0))/100000),"")</f>
        <v/>
      </c>
      <c r="BM19" s="35" t="str">
        <f aca="false">IFERROR(IF(BF19="","",BF19*INDEX('00 - Lists'!$M$2:$M$11,MATCH(L19,'00 - Lists'!$L$2:$L$11,0))/100000),"")</f>
        <v/>
      </c>
      <c r="BN19" s="35" t="str">
        <f aca="false">IFERROR(IF(BG19="","",BG19*INDEX('00 - Lists'!$M$2:$M$11,MATCH(L19,'00 - Lists'!$L$2:$L$11,0))/100000),"")</f>
        <v/>
      </c>
      <c r="BO19" s="35" t="str">
        <f aca="false">IFERROR(IF(BH19="","",BH19*INDEX('00 - Lists'!$M$2:$M$11,MATCH(L19,'00 - Lists'!$L$2:$L$11,0))/100000),"")</f>
        <v/>
      </c>
      <c r="BP19" s="35" t="str">
        <f aca="false">IFERROR(IF(BI19="","",BI19*INDEX('00 - Lists'!$M$2:$M$11,MATCH(L19,'00 - Lists'!$L$2:$L$11,0))/100000),"")</f>
        <v/>
      </c>
      <c r="BS19" s="36" t="str">
        <f aca="false">IF(O19="","",IF(O19&gt;=20,"Yes","No"))</f>
        <v/>
      </c>
      <c r="BT19" s="36" t="str">
        <f aca="false">IF(O19="","",IF(O19&gt;=30,"Yes","No"))</f>
        <v/>
      </c>
      <c r="BU19" s="36" t="str">
        <f aca="false">IF(O19="","",IF(O19&gt;=75,"Yes","No"))</f>
        <v/>
      </c>
      <c r="BV19" s="36" t="str">
        <f aca="false">IF(O19="","",IF(O19&gt;=100,"Yes","No"))</f>
        <v/>
      </c>
      <c r="BW19" s="36" t="str">
        <f aca="false">IF(O19="","",IF(O19&gt;=150,"Yes","No"))</f>
        <v/>
      </c>
      <c r="BX19" s="36" t="str">
        <f aca="false">IF(O19="","",IF(O19&gt;=200,"Yes","No"))</f>
        <v/>
      </c>
      <c r="BY19" s="36" t="str">
        <f aca="false">IF(Q19="","",IF(Q19&gt;=150000,"Yes","No"))</f>
        <v/>
      </c>
      <c r="BZ19" s="36" t="str">
        <f aca="false">IF(Q19="","",IF(Q19&gt;=200000,"Yes","No"))</f>
        <v/>
      </c>
      <c r="CA19" s="36" t="str">
        <f aca="false">IF(Q19="","",IF(Q19&gt;=250000,"Yes","No"))</f>
        <v/>
      </c>
      <c r="CB19" s="36" t="str">
        <f aca="false">IF(Q19="","",IF(Q19&gt;=300000,"Yes","No"))</f>
        <v/>
      </c>
      <c r="CC19" s="37"/>
      <c r="CD19" s="36" t="str">
        <f aca="true">IF(B19="","",IF(TODAY()-B19&lt;=7,"🟢 0-7d",IF(TODAY()-B19&lt;=30,"🟡 8-30d",IF(TODAY()-B19&lt;=60,"🟠 31-60d","🔴 60d+"))))</f>
        <v/>
      </c>
      <c r="CE19" s="36" t="str">
        <f aca="false">IF(G19="","",IF(G19&lt;&gt;"USA","N/A - Not USA Role",IF(J19="Yes",IF(OR(F19="Intern",F19="New Grad"),"🟡 Possible","🟢 Strong"),IF(J19="No","🔴 Difficult","⚪ Unknown"))))</f>
        <v/>
      </c>
      <c r="CF19" s="37"/>
      <c r="CG19" s="37"/>
      <c r="CH19" s="38"/>
      <c r="CI19" s="38"/>
      <c r="CJ19" s="38"/>
      <c r="CK19" s="38"/>
    </row>
    <row r="20" customFormat="false" ht="15" hidden="false" customHeight="true" outlineLevel="0" collapsed="false">
      <c r="A20" s="26" t="str">
        <f aca="false">IF($C20="","",ROW()-3)</f>
        <v/>
      </c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29"/>
      <c r="O20" s="30" t="str">
        <f aca="false">IFERROR(IF(M20="","",M20*INDEX('00 - Lists'!$M$2:$M$11,MATCH(L20,'00 - Lists'!$L$2:$L$11,0))/100000),"")</f>
        <v/>
      </c>
      <c r="P20" s="30" t="str">
        <f aca="false">IFERROR(IF(N20="","",N20*INDEX('00 - Lists'!$M$2:$M$11,MATCH(L20,'00 - Lists'!$L$2:$L$11,0))/100000),"")</f>
        <v/>
      </c>
      <c r="Q20" s="31" t="str">
        <f aca="false">IFERROR(IF(M20="","",M20*INDEX('00 - Lists'!$N$2:$N$11,MATCH(L20,'00 - Lists'!$L$2:$L$11,0))),"")</f>
        <v/>
      </c>
      <c r="R20" s="31" t="str">
        <f aca="false">IFERROR(IF(N20="","",N20*INDEX('00 - Lists'!$N$2:$N$11,MATCH(L20,'00 - Lists'!$L$2:$L$11,0))),"")</f>
        <v/>
      </c>
      <c r="S20" s="32" t="str">
        <f aca="false">IF(O20="","",IF(O20&gt;=50,"Yes","No"))</f>
        <v/>
      </c>
      <c r="T20" s="32" t="str">
        <f aca="false">IF(Q20="","",IF(Q20&gt;=100000,"Yes","No"))</f>
        <v/>
      </c>
      <c r="U20" s="28"/>
      <c r="V20" s="28"/>
      <c r="W20" s="28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J20" s="34" t="str">
        <f aca="false">IF(OR($BD20&lt;&gt;"",$BF20&lt;&gt;"",$BH20&lt;&gt;""),"Yes","No")</f>
        <v>No</v>
      </c>
      <c r="BK20" s="35" t="str">
        <f aca="false">IFERROR(IF(BD20="","",BD20*INDEX('00 - Lists'!$M$2:$M$11,MATCH(L20,'00 - Lists'!$L$2:$L$11,0))/100000),"")</f>
        <v/>
      </c>
      <c r="BL20" s="35" t="str">
        <f aca="false">IFERROR(IF(BE20="","",BE20*INDEX('00 - Lists'!$M$2:$M$11,MATCH(L20,'00 - Lists'!$L$2:$L$11,0))/100000),"")</f>
        <v/>
      </c>
      <c r="BM20" s="35" t="str">
        <f aca="false">IFERROR(IF(BF20="","",BF20*INDEX('00 - Lists'!$M$2:$M$11,MATCH(L20,'00 - Lists'!$L$2:$L$11,0))/100000),"")</f>
        <v/>
      </c>
      <c r="BN20" s="35" t="str">
        <f aca="false">IFERROR(IF(BG20="","",BG20*INDEX('00 - Lists'!$M$2:$M$11,MATCH(L20,'00 - Lists'!$L$2:$L$11,0))/100000),"")</f>
        <v/>
      </c>
      <c r="BO20" s="35" t="str">
        <f aca="false">IFERROR(IF(BH20="","",BH20*INDEX('00 - Lists'!$M$2:$M$11,MATCH(L20,'00 - Lists'!$L$2:$L$11,0))/100000),"")</f>
        <v/>
      </c>
      <c r="BP20" s="35" t="str">
        <f aca="false">IFERROR(IF(BI20="","",BI20*INDEX('00 - Lists'!$M$2:$M$11,MATCH(L20,'00 - Lists'!$L$2:$L$11,0))/100000),"")</f>
        <v/>
      </c>
      <c r="BS20" s="36" t="str">
        <f aca="false">IF(O20="","",IF(O20&gt;=20,"Yes","No"))</f>
        <v/>
      </c>
      <c r="BT20" s="36" t="str">
        <f aca="false">IF(O20="","",IF(O20&gt;=30,"Yes","No"))</f>
        <v/>
      </c>
      <c r="BU20" s="36" t="str">
        <f aca="false">IF(O20="","",IF(O20&gt;=75,"Yes","No"))</f>
        <v/>
      </c>
      <c r="BV20" s="36" t="str">
        <f aca="false">IF(O20="","",IF(O20&gt;=100,"Yes","No"))</f>
        <v/>
      </c>
      <c r="BW20" s="36" t="str">
        <f aca="false">IF(O20="","",IF(O20&gt;=150,"Yes","No"))</f>
        <v/>
      </c>
      <c r="BX20" s="36" t="str">
        <f aca="false">IF(O20="","",IF(O20&gt;=200,"Yes","No"))</f>
        <v/>
      </c>
      <c r="BY20" s="36" t="str">
        <f aca="false">IF(Q20="","",IF(Q20&gt;=150000,"Yes","No"))</f>
        <v/>
      </c>
      <c r="BZ20" s="36" t="str">
        <f aca="false">IF(Q20="","",IF(Q20&gt;=200000,"Yes","No"))</f>
        <v/>
      </c>
      <c r="CA20" s="36" t="str">
        <f aca="false">IF(Q20="","",IF(Q20&gt;=250000,"Yes","No"))</f>
        <v/>
      </c>
      <c r="CB20" s="36" t="str">
        <f aca="false">IF(Q20="","",IF(Q20&gt;=300000,"Yes","No"))</f>
        <v/>
      </c>
      <c r="CC20" s="37"/>
      <c r="CD20" s="36" t="str">
        <f aca="true">IF(B20="","",IF(TODAY()-B20&lt;=7,"🟢 0-7d",IF(TODAY()-B20&lt;=30,"🟡 8-30d",IF(TODAY()-B20&lt;=60,"🟠 31-60d","🔴 60d+"))))</f>
        <v/>
      </c>
      <c r="CE20" s="36" t="str">
        <f aca="false">IF(G20="","",IF(G20&lt;&gt;"USA","N/A - Not USA Role",IF(J20="Yes",IF(OR(F20="Intern",F20="New Grad"),"🟡 Possible","🟢 Strong"),IF(J20="No","🔴 Difficult","⚪ Unknown"))))</f>
        <v/>
      </c>
      <c r="CF20" s="37"/>
      <c r="CG20" s="37"/>
      <c r="CH20" s="38"/>
      <c r="CI20" s="38"/>
      <c r="CJ20" s="38"/>
      <c r="CK20" s="38"/>
    </row>
    <row r="21" customFormat="false" ht="15" hidden="false" customHeight="true" outlineLevel="0" collapsed="false">
      <c r="A21" s="26" t="str">
        <f aca="false">IF($C21="","",ROW()-3)</f>
        <v/>
      </c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9"/>
      <c r="O21" s="30" t="str">
        <f aca="false">IFERROR(IF(M21="","",M21*INDEX('00 - Lists'!$M$2:$M$11,MATCH(L21,'00 - Lists'!$L$2:$L$11,0))/100000),"")</f>
        <v/>
      </c>
      <c r="P21" s="30" t="str">
        <f aca="false">IFERROR(IF(N21="","",N21*INDEX('00 - Lists'!$M$2:$M$11,MATCH(L21,'00 - Lists'!$L$2:$L$11,0))/100000),"")</f>
        <v/>
      </c>
      <c r="Q21" s="31" t="str">
        <f aca="false">IFERROR(IF(M21="","",M21*INDEX('00 - Lists'!$N$2:$N$11,MATCH(L21,'00 - Lists'!$L$2:$L$11,0))),"")</f>
        <v/>
      </c>
      <c r="R21" s="31" t="str">
        <f aca="false">IFERROR(IF(N21="","",N21*INDEX('00 - Lists'!$N$2:$N$11,MATCH(L21,'00 - Lists'!$L$2:$L$11,0))),"")</f>
        <v/>
      </c>
      <c r="S21" s="32" t="str">
        <f aca="false">IF(O21="","",IF(O21&gt;=50,"Yes","No"))</f>
        <v/>
      </c>
      <c r="T21" s="32" t="str">
        <f aca="false">IF(Q21="","",IF(Q21&gt;=100000,"Yes","No"))</f>
        <v/>
      </c>
      <c r="U21" s="28"/>
      <c r="V21" s="28"/>
      <c r="W21" s="28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J21" s="34" t="str">
        <f aca="false">IF(OR($BD21&lt;&gt;"",$BF21&lt;&gt;"",$BH21&lt;&gt;""),"Yes","No")</f>
        <v>No</v>
      </c>
      <c r="BK21" s="35" t="str">
        <f aca="false">IFERROR(IF(BD21="","",BD21*INDEX('00 - Lists'!$M$2:$M$11,MATCH(L21,'00 - Lists'!$L$2:$L$11,0))/100000),"")</f>
        <v/>
      </c>
      <c r="BL21" s="35" t="str">
        <f aca="false">IFERROR(IF(BE21="","",BE21*INDEX('00 - Lists'!$M$2:$M$11,MATCH(L21,'00 - Lists'!$L$2:$L$11,0))/100000),"")</f>
        <v/>
      </c>
      <c r="BM21" s="35" t="str">
        <f aca="false">IFERROR(IF(BF21="","",BF21*INDEX('00 - Lists'!$M$2:$M$11,MATCH(L21,'00 - Lists'!$L$2:$L$11,0))/100000),"")</f>
        <v/>
      </c>
      <c r="BN21" s="35" t="str">
        <f aca="false">IFERROR(IF(BG21="","",BG21*INDEX('00 - Lists'!$M$2:$M$11,MATCH(L21,'00 - Lists'!$L$2:$L$11,0))/100000),"")</f>
        <v/>
      </c>
      <c r="BO21" s="35" t="str">
        <f aca="false">IFERROR(IF(BH21="","",BH21*INDEX('00 - Lists'!$M$2:$M$11,MATCH(L21,'00 - Lists'!$L$2:$L$11,0))/100000),"")</f>
        <v/>
      </c>
      <c r="BP21" s="35" t="str">
        <f aca="false">IFERROR(IF(BI21="","",BI21*INDEX('00 - Lists'!$M$2:$M$11,MATCH(L21,'00 - Lists'!$L$2:$L$11,0))/100000),"")</f>
        <v/>
      </c>
      <c r="BS21" s="36" t="str">
        <f aca="false">IF(O21="","",IF(O21&gt;=20,"Yes","No"))</f>
        <v/>
      </c>
      <c r="BT21" s="36" t="str">
        <f aca="false">IF(O21="","",IF(O21&gt;=30,"Yes","No"))</f>
        <v/>
      </c>
      <c r="BU21" s="36" t="str">
        <f aca="false">IF(O21="","",IF(O21&gt;=75,"Yes","No"))</f>
        <v/>
      </c>
      <c r="BV21" s="36" t="str">
        <f aca="false">IF(O21="","",IF(O21&gt;=100,"Yes","No"))</f>
        <v/>
      </c>
      <c r="BW21" s="36" t="str">
        <f aca="false">IF(O21="","",IF(O21&gt;=150,"Yes","No"))</f>
        <v/>
      </c>
      <c r="BX21" s="36" t="str">
        <f aca="false">IF(O21="","",IF(O21&gt;=200,"Yes","No"))</f>
        <v/>
      </c>
      <c r="BY21" s="36" t="str">
        <f aca="false">IF(Q21="","",IF(Q21&gt;=150000,"Yes","No"))</f>
        <v/>
      </c>
      <c r="BZ21" s="36" t="str">
        <f aca="false">IF(Q21="","",IF(Q21&gt;=200000,"Yes","No"))</f>
        <v/>
      </c>
      <c r="CA21" s="36" t="str">
        <f aca="false">IF(Q21="","",IF(Q21&gt;=250000,"Yes","No"))</f>
        <v/>
      </c>
      <c r="CB21" s="36" t="str">
        <f aca="false">IF(Q21="","",IF(Q21&gt;=300000,"Yes","No"))</f>
        <v/>
      </c>
      <c r="CC21" s="37"/>
      <c r="CD21" s="36" t="str">
        <f aca="true">IF(B21="","",IF(TODAY()-B21&lt;=7,"🟢 0-7d",IF(TODAY()-B21&lt;=30,"🟡 8-30d",IF(TODAY()-B21&lt;=60,"🟠 31-60d","🔴 60d+"))))</f>
        <v/>
      </c>
      <c r="CE21" s="36" t="str">
        <f aca="false">IF(G21="","",IF(G21&lt;&gt;"USA","N/A - Not USA Role",IF(J21="Yes",IF(OR(F21="Intern",F21="New Grad"),"🟡 Possible","🟢 Strong"),IF(J21="No","🔴 Difficult","⚪ Unknown"))))</f>
        <v/>
      </c>
      <c r="CF21" s="37"/>
      <c r="CG21" s="37"/>
      <c r="CH21" s="38"/>
      <c r="CI21" s="38"/>
      <c r="CJ21" s="38"/>
      <c r="CK21" s="38"/>
    </row>
    <row r="22" customFormat="false" ht="15" hidden="false" customHeight="true" outlineLevel="0" collapsed="false">
      <c r="A22" s="26" t="str">
        <f aca="false">IF($C22="","",ROW()-3)</f>
        <v/>
      </c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9"/>
      <c r="O22" s="30" t="str">
        <f aca="false">IFERROR(IF(M22="","",M22*INDEX('00 - Lists'!$M$2:$M$11,MATCH(L22,'00 - Lists'!$L$2:$L$11,0))/100000),"")</f>
        <v/>
      </c>
      <c r="P22" s="30" t="str">
        <f aca="false">IFERROR(IF(N22="","",N22*INDEX('00 - Lists'!$M$2:$M$11,MATCH(L22,'00 - Lists'!$L$2:$L$11,0))/100000),"")</f>
        <v/>
      </c>
      <c r="Q22" s="31" t="str">
        <f aca="false">IFERROR(IF(M22="","",M22*INDEX('00 - Lists'!$N$2:$N$11,MATCH(L22,'00 - Lists'!$L$2:$L$11,0))),"")</f>
        <v/>
      </c>
      <c r="R22" s="31" t="str">
        <f aca="false">IFERROR(IF(N22="","",N22*INDEX('00 - Lists'!$N$2:$N$11,MATCH(L22,'00 - Lists'!$L$2:$L$11,0))),"")</f>
        <v/>
      </c>
      <c r="S22" s="32" t="str">
        <f aca="false">IF(O22="","",IF(O22&gt;=50,"Yes","No"))</f>
        <v/>
      </c>
      <c r="T22" s="32" t="str">
        <f aca="false">IF(Q22="","",IF(Q22&gt;=100000,"Yes","No"))</f>
        <v/>
      </c>
      <c r="U22" s="28"/>
      <c r="V22" s="28"/>
      <c r="W22" s="28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J22" s="34" t="str">
        <f aca="false">IF(OR($BD22&lt;&gt;"",$BF22&lt;&gt;"",$BH22&lt;&gt;""),"Yes","No")</f>
        <v>No</v>
      </c>
      <c r="BK22" s="35" t="str">
        <f aca="false">IFERROR(IF(BD22="","",BD22*INDEX('00 - Lists'!$M$2:$M$11,MATCH(L22,'00 - Lists'!$L$2:$L$11,0))/100000),"")</f>
        <v/>
      </c>
      <c r="BL22" s="35" t="str">
        <f aca="false">IFERROR(IF(BE22="","",BE22*INDEX('00 - Lists'!$M$2:$M$11,MATCH(L22,'00 - Lists'!$L$2:$L$11,0))/100000),"")</f>
        <v/>
      </c>
      <c r="BM22" s="35" t="str">
        <f aca="false">IFERROR(IF(BF22="","",BF22*INDEX('00 - Lists'!$M$2:$M$11,MATCH(L22,'00 - Lists'!$L$2:$L$11,0))/100000),"")</f>
        <v/>
      </c>
      <c r="BN22" s="35" t="str">
        <f aca="false">IFERROR(IF(BG22="","",BG22*INDEX('00 - Lists'!$M$2:$M$11,MATCH(L22,'00 - Lists'!$L$2:$L$11,0))/100000),"")</f>
        <v/>
      </c>
      <c r="BO22" s="35" t="str">
        <f aca="false">IFERROR(IF(BH22="","",BH22*INDEX('00 - Lists'!$M$2:$M$11,MATCH(L22,'00 - Lists'!$L$2:$L$11,0))/100000),"")</f>
        <v/>
      </c>
      <c r="BP22" s="35" t="str">
        <f aca="false">IFERROR(IF(BI22="","",BI22*INDEX('00 - Lists'!$M$2:$M$11,MATCH(L22,'00 - Lists'!$L$2:$L$11,0))/100000),"")</f>
        <v/>
      </c>
      <c r="BS22" s="36" t="str">
        <f aca="false">IF(O22="","",IF(O22&gt;=20,"Yes","No"))</f>
        <v/>
      </c>
      <c r="BT22" s="36" t="str">
        <f aca="false">IF(O22="","",IF(O22&gt;=30,"Yes","No"))</f>
        <v/>
      </c>
      <c r="BU22" s="36" t="str">
        <f aca="false">IF(O22="","",IF(O22&gt;=75,"Yes","No"))</f>
        <v/>
      </c>
      <c r="BV22" s="36" t="str">
        <f aca="false">IF(O22="","",IF(O22&gt;=100,"Yes","No"))</f>
        <v/>
      </c>
      <c r="BW22" s="36" t="str">
        <f aca="false">IF(O22="","",IF(O22&gt;=150,"Yes","No"))</f>
        <v/>
      </c>
      <c r="BX22" s="36" t="str">
        <f aca="false">IF(O22="","",IF(O22&gt;=200,"Yes","No"))</f>
        <v/>
      </c>
      <c r="BY22" s="36" t="str">
        <f aca="false">IF(Q22="","",IF(Q22&gt;=150000,"Yes","No"))</f>
        <v/>
      </c>
      <c r="BZ22" s="36" t="str">
        <f aca="false">IF(Q22="","",IF(Q22&gt;=200000,"Yes","No"))</f>
        <v/>
      </c>
      <c r="CA22" s="36" t="str">
        <f aca="false">IF(Q22="","",IF(Q22&gt;=250000,"Yes","No"))</f>
        <v/>
      </c>
      <c r="CB22" s="36" t="str">
        <f aca="false">IF(Q22="","",IF(Q22&gt;=300000,"Yes","No"))</f>
        <v/>
      </c>
      <c r="CC22" s="37"/>
      <c r="CD22" s="36" t="str">
        <f aca="true">IF(B22="","",IF(TODAY()-B22&lt;=7,"🟢 0-7d",IF(TODAY()-B22&lt;=30,"🟡 8-30d",IF(TODAY()-B22&lt;=60,"🟠 31-60d","🔴 60d+"))))</f>
        <v/>
      </c>
      <c r="CE22" s="36" t="str">
        <f aca="false">IF(G22="","",IF(G22&lt;&gt;"USA","N/A - Not USA Role",IF(J22="Yes",IF(OR(F22="Intern",F22="New Grad"),"🟡 Possible","🟢 Strong"),IF(J22="No","🔴 Difficult","⚪ Unknown"))))</f>
        <v/>
      </c>
      <c r="CF22" s="37"/>
      <c r="CG22" s="37"/>
      <c r="CH22" s="38"/>
      <c r="CI22" s="38"/>
      <c r="CJ22" s="38"/>
      <c r="CK22" s="38"/>
    </row>
    <row r="23" customFormat="false" ht="15" hidden="false" customHeight="true" outlineLevel="0" collapsed="false">
      <c r="A23" s="26" t="str">
        <f aca="false">IF($C23="","",ROW()-3)</f>
        <v/>
      </c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29"/>
      <c r="O23" s="30" t="str">
        <f aca="false">IFERROR(IF(M23="","",M23*INDEX('00 - Lists'!$M$2:$M$11,MATCH(L23,'00 - Lists'!$L$2:$L$11,0))/100000),"")</f>
        <v/>
      </c>
      <c r="P23" s="30" t="str">
        <f aca="false">IFERROR(IF(N23="","",N23*INDEX('00 - Lists'!$M$2:$M$11,MATCH(L23,'00 - Lists'!$L$2:$L$11,0))/100000),"")</f>
        <v/>
      </c>
      <c r="Q23" s="31" t="str">
        <f aca="false">IFERROR(IF(M23="","",M23*INDEX('00 - Lists'!$N$2:$N$11,MATCH(L23,'00 - Lists'!$L$2:$L$11,0))),"")</f>
        <v/>
      </c>
      <c r="R23" s="31" t="str">
        <f aca="false">IFERROR(IF(N23="","",N23*INDEX('00 - Lists'!$N$2:$N$11,MATCH(L23,'00 - Lists'!$L$2:$L$11,0))),"")</f>
        <v/>
      </c>
      <c r="S23" s="32" t="str">
        <f aca="false">IF(O23="","",IF(O23&gt;=50,"Yes","No"))</f>
        <v/>
      </c>
      <c r="T23" s="32" t="str">
        <f aca="false">IF(Q23="","",IF(Q23&gt;=100000,"Yes","No"))</f>
        <v/>
      </c>
      <c r="U23" s="28"/>
      <c r="V23" s="28"/>
      <c r="W23" s="28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J23" s="34" t="str">
        <f aca="false">IF(OR($BD23&lt;&gt;"",$BF23&lt;&gt;"",$BH23&lt;&gt;""),"Yes","No")</f>
        <v>No</v>
      </c>
      <c r="BK23" s="35" t="str">
        <f aca="false">IFERROR(IF(BD23="","",BD23*INDEX('00 - Lists'!$M$2:$M$11,MATCH(L23,'00 - Lists'!$L$2:$L$11,0))/100000),"")</f>
        <v/>
      </c>
      <c r="BL23" s="35" t="str">
        <f aca="false">IFERROR(IF(BE23="","",BE23*INDEX('00 - Lists'!$M$2:$M$11,MATCH(L23,'00 - Lists'!$L$2:$L$11,0))/100000),"")</f>
        <v/>
      </c>
      <c r="BM23" s="35" t="str">
        <f aca="false">IFERROR(IF(BF23="","",BF23*INDEX('00 - Lists'!$M$2:$M$11,MATCH(L23,'00 - Lists'!$L$2:$L$11,0))/100000),"")</f>
        <v/>
      </c>
      <c r="BN23" s="35" t="str">
        <f aca="false">IFERROR(IF(BG23="","",BG23*INDEX('00 - Lists'!$M$2:$M$11,MATCH(L23,'00 - Lists'!$L$2:$L$11,0))/100000),"")</f>
        <v/>
      </c>
      <c r="BO23" s="35" t="str">
        <f aca="false">IFERROR(IF(BH23="","",BH23*INDEX('00 - Lists'!$M$2:$M$11,MATCH(L23,'00 - Lists'!$L$2:$L$11,0))/100000),"")</f>
        <v/>
      </c>
      <c r="BP23" s="35" t="str">
        <f aca="false">IFERROR(IF(BI23="","",BI23*INDEX('00 - Lists'!$M$2:$M$11,MATCH(L23,'00 - Lists'!$L$2:$L$11,0))/100000),"")</f>
        <v/>
      </c>
      <c r="BS23" s="36" t="str">
        <f aca="false">IF(O23="","",IF(O23&gt;=20,"Yes","No"))</f>
        <v/>
      </c>
      <c r="BT23" s="36" t="str">
        <f aca="false">IF(O23="","",IF(O23&gt;=30,"Yes","No"))</f>
        <v/>
      </c>
      <c r="BU23" s="36" t="str">
        <f aca="false">IF(O23="","",IF(O23&gt;=75,"Yes","No"))</f>
        <v/>
      </c>
      <c r="BV23" s="36" t="str">
        <f aca="false">IF(O23="","",IF(O23&gt;=100,"Yes","No"))</f>
        <v/>
      </c>
      <c r="BW23" s="36" t="str">
        <f aca="false">IF(O23="","",IF(O23&gt;=150,"Yes","No"))</f>
        <v/>
      </c>
      <c r="BX23" s="36" t="str">
        <f aca="false">IF(O23="","",IF(O23&gt;=200,"Yes","No"))</f>
        <v/>
      </c>
      <c r="BY23" s="36" t="str">
        <f aca="false">IF(Q23="","",IF(Q23&gt;=150000,"Yes","No"))</f>
        <v/>
      </c>
      <c r="BZ23" s="36" t="str">
        <f aca="false">IF(Q23="","",IF(Q23&gt;=200000,"Yes","No"))</f>
        <v/>
      </c>
      <c r="CA23" s="36" t="str">
        <f aca="false">IF(Q23="","",IF(Q23&gt;=250000,"Yes","No"))</f>
        <v/>
      </c>
      <c r="CB23" s="36" t="str">
        <f aca="false">IF(Q23="","",IF(Q23&gt;=300000,"Yes","No"))</f>
        <v/>
      </c>
      <c r="CC23" s="37"/>
      <c r="CD23" s="36" t="str">
        <f aca="true">IF(B23="","",IF(TODAY()-B23&lt;=7,"🟢 0-7d",IF(TODAY()-B23&lt;=30,"🟡 8-30d",IF(TODAY()-B23&lt;=60,"🟠 31-60d","🔴 60d+"))))</f>
        <v/>
      </c>
      <c r="CE23" s="36" t="str">
        <f aca="false">IF(G23="","",IF(G23&lt;&gt;"USA","N/A - Not USA Role",IF(J23="Yes",IF(OR(F23="Intern",F23="New Grad"),"🟡 Possible","🟢 Strong"),IF(J23="No","🔴 Difficult","⚪ Unknown"))))</f>
        <v/>
      </c>
      <c r="CF23" s="37"/>
      <c r="CG23" s="37"/>
      <c r="CH23" s="38"/>
      <c r="CI23" s="38"/>
      <c r="CJ23" s="38"/>
      <c r="CK23" s="38"/>
    </row>
    <row r="24" customFormat="false" ht="15" hidden="false" customHeight="true" outlineLevel="0" collapsed="false">
      <c r="A24" s="26" t="str">
        <f aca="false">IF($C24="","",ROW()-3)</f>
        <v/>
      </c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29"/>
      <c r="O24" s="30" t="str">
        <f aca="false">IFERROR(IF(M24="","",M24*INDEX('00 - Lists'!$M$2:$M$11,MATCH(L24,'00 - Lists'!$L$2:$L$11,0))/100000),"")</f>
        <v/>
      </c>
      <c r="P24" s="30" t="str">
        <f aca="false">IFERROR(IF(N24="","",N24*INDEX('00 - Lists'!$M$2:$M$11,MATCH(L24,'00 - Lists'!$L$2:$L$11,0))/100000),"")</f>
        <v/>
      </c>
      <c r="Q24" s="31" t="str">
        <f aca="false">IFERROR(IF(M24="","",M24*INDEX('00 - Lists'!$N$2:$N$11,MATCH(L24,'00 - Lists'!$L$2:$L$11,0))),"")</f>
        <v/>
      </c>
      <c r="R24" s="31" t="str">
        <f aca="false">IFERROR(IF(N24="","",N24*INDEX('00 - Lists'!$N$2:$N$11,MATCH(L24,'00 - Lists'!$L$2:$L$11,0))),"")</f>
        <v/>
      </c>
      <c r="S24" s="32" t="str">
        <f aca="false">IF(O24="","",IF(O24&gt;=50,"Yes","No"))</f>
        <v/>
      </c>
      <c r="T24" s="32" t="str">
        <f aca="false">IF(Q24="","",IF(Q24&gt;=100000,"Yes","No"))</f>
        <v/>
      </c>
      <c r="U24" s="28"/>
      <c r="V24" s="28"/>
      <c r="W24" s="28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J24" s="34" t="str">
        <f aca="false">IF(OR($BD24&lt;&gt;"",$BF24&lt;&gt;"",$BH24&lt;&gt;""),"Yes","No")</f>
        <v>No</v>
      </c>
      <c r="BK24" s="35" t="str">
        <f aca="false">IFERROR(IF(BD24="","",BD24*INDEX('00 - Lists'!$M$2:$M$11,MATCH(L24,'00 - Lists'!$L$2:$L$11,0))/100000),"")</f>
        <v/>
      </c>
      <c r="BL24" s="35" t="str">
        <f aca="false">IFERROR(IF(BE24="","",BE24*INDEX('00 - Lists'!$M$2:$M$11,MATCH(L24,'00 - Lists'!$L$2:$L$11,0))/100000),"")</f>
        <v/>
      </c>
      <c r="BM24" s="35" t="str">
        <f aca="false">IFERROR(IF(BF24="","",BF24*INDEX('00 - Lists'!$M$2:$M$11,MATCH(L24,'00 - Lists'!$L$2:$L$11,0))/100000),"")</f>
        <v/>
      </c>
      <c r="BN24" s="35" t="str">
        <f aca="false">IFERROR(IF(BG24="","",BG24*INDEX('00 - Lists'!$M$2:$M$11,MATCH(L24,'00 - Lists'!$L$2:$L$11,0))/100000),"")</f>
        <v/>
      </c>
      <c r="BO24" s="35" t="str">
        <f aca="false">IFERROR(IF(BH24="","",BH24*INDEX('00 - Lists'!$M$2:$M$11,MATCH(L24,'00 - Lists'!$L$2:$L$11,0))/100000),"")</f>
        <v/>
      </c>
      <c r="BP24" s="35" t="str">
        <f aca="false">IFERROR(IF(BI24="","",BI24*INDEX('00 - Lists'!$M$2:$M$11,MATCH(L24,'00 - Lists'!$L$2:$L$11,0))/100000),"")</f>
        <v/>
      </c>
      <c r="BS24" s="36" t="str">
        <f aca="false">IF(O24="","",IF(O24&gt;=20,"Yes","No"))</f>
        <v/>
      </c>
      <c r="BT24" s="36" t="str">
        <f aca="false">IF(O24="","",IF(O24&gt;=30,"Yes","No"))</f>
        <v/>
      </c>
      <c r="BU24" s="36" t="str">
        <f aca="false">IF(O24="","",IF(O24&gt;=75,"Yes","No"))</f>
        <v/>
      </c>
      <c r="BV24" s="36" t="str">
        <f aca="false">IF(O24="","",IF(O24&gt;=100,"Yes","No"))</f>
        <v/>
      </c>
      <c r="BW24" s="36" t="str">
        <f aca="false">IF(O24="","",IF(O24&gt;=150,"Yes","No"))</f>
        <v/>
      </c>
      <c r="BX24" s="36" t="str">
        <f aca="false">IF(O24="","",IF(O24&gt;=200,"Yes","No"))</f>
        <v/>
      </c>
      <c r="BY24" s="36" t="str">
        <f aca="false">IF(Q24="","",IF(Q24&gt;=150000,"Yes","No"))</f>
        <v/>
      </c>
      <c r="BZ24" s="36" t="str">
        <f aca="false">IF(Q24="","",IF(Q24&gt;=200000,"Yes","No"))</f>
        <v/>
      </c>
      <c r="CA24" s="36" t="str">
        <f aca="false">IF(Q24="","",IF(Q24&gt;=250000,"Yes","No"))</f>
        <v/>
      </c>
      <c r="CB24" s="36" t="str">
        <f aca="false">IF(Q24="","",IF(Q24&gt;=300000,"Yes","No"))</f>
        <v/>
      </c>
      <c r="CC24" s="37"/>
      <c r="CD24" s="36" t="str">
        <f aca="true">IF(B24="","",IF(TODAY()-B24&lt;=7,"🟢 0-7d",IF(TODAY()-B24&lt;=30,"🟡 8-30d",IF(TODAY()-B24&lt;=60,"🟠 31-60d","🔴 60d+"))))</f>
        <v/>
      </c>
      <c r="CE24" s="36" t="str">
        <f aca="false">IF(G24="","",IF(G24&lt;&gt;"USA","N/A - Not USA Role",IF(J24="Yes",IF(OR(F24="Intern",F24="New Grad"),"🟡 Possible","🟢 Strong"),IF(J24="No","🔴 Difficult","⚪ Unknown"))))</f>
        <v/>
      </c>
      <c r="CF24" s="37"/>
      <c r="CG24" s="37"/>
      <c r="CH24" s="38"/>
      <c r="CI24" s="38"/>
      <c r="CJ24" s="38"/>
      <c r="CK24" s="38"/>
    </row>
    <row r="25" customFormat="false" ht="15" hidden="false" customHeight="true" outlineLevel="0" collapsed="false">
      <c r="A25" s="26" t="str">
        <f aca="false">IF($C25="","",ROW()-3)</f>
        <v/>
      </c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29"/>
      <c r="O25" s="30" t="str">
        <f aca="false">IFERROR(IF(M25="","",M25*INDEX('00 - Lists'!$M$2:$M$11,MATCH(L25,'00 - Lists'!$L$2:$L$11,0))/100000),"")</f>
        <v/>
      </c>
      <c r="P25" s="30" t="str">
        <f aca="false">IFERROR(IF(N25="","",N25*INDEX('00 - Lists'!$M$2:$M$11,MATCH(L25,'00 - Lists'!$L$2:$L$11,0))/100000),"")</f>
        <v/>
      </c>
      <c r="Q25" s="31" t="str">
        <f aca="false">IFERROR(IF(M25="","",M25*INDEX('00 - Lists'!$N$2:$N$11,MATCH(L25,'00 - Lists'!$L$2:$L$11,0))),"")</f>
        <v/>
      </c>
      <c r="R25" s="31" t="str">
        <f aca="false">IFERROR(IF(N25="","",N25*INDEX('00 - Lists'!$N$2:$N$11,MATCH(L25,'00 - Lists'!$L$2:$L$11,0))),"")</f>
        <v/>
      </c>
      <c r="S25" s="32" t="str">
        <f aca="false">IF(O25="","",IF(O25&gt;=50,"Yes","No"))</f>
        <v/>
      </c>
      <c r="T25" s="32" t="str">
        <f aca="false">IF(Q25="","",IF(Q25&gt;=100000,"Yes","No"))</f>
        <v/>
      </c>
      <c r="U25" s="28"/>
      <c r="V25" s="28"/>
      <c r="W25" s="28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J25" s="34" t="str">
        <f aca="false">IF(OR($BD25&lt;&gt;"",$BF25&lt;&gt;"",$BH25&lt;&gt;""),"Yes","No")</f>
        <v>No</v>
      </c>
      <c r="BK25" s="35" t="str">
        <f aca="false">IFERROR(IF(BD25="","",BD25*INDEX('00 - Lists'!$M$2:$M$11,MATCH(L25,'00 - Lists'!$L$2:$L$11,0))/100000),"")</f>
        <v/>
      </c>
      <c r="BL25" s="35" t="str">
        <f aca="false">IFERROR(IF(BE25="","",BE25*INDEX('00 - Lists'!$M$2:$M$11,MATCH(L25,'00 - Lists'!$L$2:$L$11,0))/100000),"")</f>
        <v/>
      </c>
      <c r="BM25" s="35" t="str">
        <f aca="false">IFERROR(IF(BF25="","",BF25*INDEX('00 - Lists'!$M$2:$M$11,MATCH(L25,'00 - Lists'!$L$2:$L$11,0))/100000),"")</f>
        <v/>
      </c>
      <c r="BN25" s="35" t="str">
        <f aca="false">IFERROR(IF(BG25="","",BG25*INDEX('00 - Lists'!$M$2:$M$11,MATCH(L25,'00 - Lists'!$L$2:$L$11,0))/100000),"")</f>
        <v/>
      </c>
      <c r="BO25" s="35" t="str">
        <f aca="false">IFERROR(IF(BH25="","",BH25*INDEX('00 - Lists'!$M$2:$M$11,MATCH(L25,'00 - Lists'!$L$2:$L$11,0))/100000),"")</f>
        <v/>
      </c>
      <c r="BP25" s="35" t="str">
        <f aca="false">IFERROR(IF(BI25="","",BI25*INDEX('00 - Lists'!$M$2:$M$11,MATCH(L25,'00 - Lists'!$L$2:$L$11,0))/100000),"")</f>
        <v/>
      </c>
      <c r="BS25" s="36" t="str">
        <f aca="false">IF(O25="","",IF(O25&gt;=20,"Yes","No"))</f>
        <v/>
      </c>
      <c r="BT25" s="36" t="str">
        <f aca="false">IF(O25="","",IF(O25&gt;=30,"Yes","No"))</f>
        <v/>
      </c>
      <c r="BU25" s="36" t="str">
        <f aca="false">IF(O25="","",IF(O25&gt;=75,"Yes","No"))</f>
        <v/>
      </c>
      <c r="BV25" s="36" t="str">
        <f aca="false">IF(O25="","",IF(O25&gt;=100,"Yes","No"))</f>
        <v/>
      </c>
      <c r="BW25" s="36" t="str">
        <f aca="false">IF(O25="","",IF(O25&gt;=150,"Yes","No"))</f>
        <v/>
      </c>
      <c r="BX25" s="36" t="str">
        <f aca="false">IF(O25="","",IF(O25&gt;=200,"Yes","No"))</f>
        <v/>
      </c>
      <c r="BY25" s="36" t="str">
        <f aca="false">IF(Q25="","",IF(Q25&gt;=150000,"Yes","No"))</f>
        <v/>
      </c>
      <c r="BZ25" s="36" t="str">
        <f aca="false">IF(Q25="","",IF(Q25&gt;=200000,"Yes","No"))</f>
        <v/>
      </c>
      <c r="CA25" s="36" t="str">
        <f aca="false">IF(Q25="","",IF(Q25&gt;=250000,"Yes","No"))</f>
        <v/>
      </c>
      <c r="CB25" s="36" t="str">
        <f aca="false">IF(Q25="","",IF(Q25&gt;=300000,"Yes","No"))</f>
        <v/>
      </c>
      <c r="CC25" s="37"/>
      <c r="CD25" s="36" t="str">
        <f aca="true">IF(B25="","",IF(TODAY()-B25&lt;=7,"🟢 0-7d",IF(TODAY()-B25&lt;=30,"🟡 8-30d",IF(TODAY()-B25&lt;=60,"🟠 31-60d","🔴 60d+"))))</f>
        <v/>
      </c>
      <c r="CE25" s="36" t="str">
        <f aca="false">IF(G25="","",IF(G25&lt;&gt;"USA","N/A - Not USA Role",IF(J25="Yes",IF(OR(F25="Intern",F25="New Grad"),"🟡 Possible","🟢 Strong"),IF(J25="No","🔴 Difficult","⚪ Unknown"))))</f>
        <v/>
      </c>
      <c r="CF25" s="37"/>
      <c r="CG25" s="37"/>
      <c r="CH25" s="38"/>
      <c r="CI25" s="38"/>
      <c r="CJ25" s="38"/>
      <c r="CK25" s="38"/>
    </row>
    <row r="26" customFormat="false" ht="15" hidden="false" customHeight="true" outlineLevel="0" collapsed="false">
      <c r="A26" s="26" t="str">
        <f aca="false">IF($C26="","",ROW()-3)</f>
        <v/>
      </c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29"/>
      <c r="O26" s="30" t="str">
        <f aca="false">IFERROR(IF(M26="","",M26*INDEX('00 - Lists'!$M$2:$M$11,MATCH(L26,'00 - Lists'!$L$2:$L$11,0))/100000),"")</f>
        <v/>
      </c>
      <c r="P26" s="30" t="str">
        <f aca="false">IFERROR(IF(N26="","",N26*INDEX('00 - Lists'!$M$2:$M$11,MATCH(L26,'00 - Lists'!$L$2:$L$11,0))/100000),"")</f>
        <v/>
      </c>
      <c r="Q26" s="31" t="str">
        <f aca="false">IFERROR(IF(M26="","",M26*INDEX('00 - Lists'!$N$2:$N$11,MATCH(L26,'00 - Lists'!$L$2:$L$11,0))),"")</f>
        <v/>
      </c>
      <c r="R26" s="31" t="str">
        <f aca="false">IFERROR(IF(N26="","",N26*INDEX('00 - Lists'!$N$2:$N$11,MATCH(L26,'00 - Lists'!$L$2:$L$11,0))),"")</f>
        <v/>
      </c>
      <c r="S26" s="32" t="str">
        <f aca="false">IF(O26="","",IF(O26&gt;=50,"Yes","No"))</f>
        <v/>
      </c>
      <c r="T26" s="32" t="str">
        <f aca="false">IF(Q26="","",IF(Q26&gt;=100000,"Yes","No"))</f>
        <v/>
      </c>
      <c r="U26" s="28"/>
      <c r="V26" s="28"/>
      <c r="W26" s="28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J26" s="34" t="str">
        <f aca="false">IF(OR($BD26&lt;&gt;"",$BF26&lt;&gt;"",$BH26&lt;&gt;""),"Yes","No")</f>
        <v>No</v>
      </c>
      <c r="BK26" s="35" t="str">
        <f aca="false">IFERROR(IF(BD26="","",BD26*INDEX('00 - Lists'!$M$2:$M$11,MATCH(L26,'00 - Lists'!$L$2:$L$11,0))/100000),"")</f>
        <v/>
      </c>
      <c r="BL26" s="35" t="str">
        <f aca="false">IFERROR(IF(BE26="","",BE26*INDEX('00 - Lists'!$M$2:$M$11,MATCH(L26,'00 - Lists'!$L$2:$L$11,0))/100000),"")</f>
        <v/>
      </c>
      <c r="BM26" s="35" t="str">
        <f aca="false">IFERROR(IF(BF26="","",BF26*INDEX('00 - Lists'!$M$2:$M$11,MATCH(L26,'00 - Lists'!$L$2:$L$11,0))/100000),"")</f>
        <v/>
      </c>
      <c r="BN26" s="35" t="str">
        <f aca="false">IFERROR(IF(BG26="","",BG26*INDEX('00 - Lists'!$M$2:$M$11,MATCH(L26,'00 - Lists'!$L$2:$L$11,0))/100000),"")</f>
        <v/>
      </c>
      <c r="BO26" s="35" t="str">
        <f aca="false">IFERROR(IF(BH26="","",BH26*INDEX('00 - Lists'!$M$2:$M$11,MATCH(L26,'00 - Lists'!$L$2:$L$11,0))/100000),"")</f>
        <v/>
      </c>
      <c r="BP26" s="35" t="str">
        <f aca="false">IFERROR(IF(BI26="","",BI26*INDEX('00 - Lists'!$M$2:$M$11,MATCH(L26,'00 - Lists'!$L$2:$L$11,0))/100000),"")</f>
        <v/>
      </c>
      <c r="BS26" s="36" t="str">
        <f aca="false">IF(O26="","",IF(O26&gt;=20,"Yes","No"))</f>
        <v/>
      </c>
      <c r="BT26" s="36" t="str">
        <f aca="false">IF(O26="","",IF(O26&gt;=30,"Yes","No"))</f>
        <v/>
      </c>
      <c r="BU26" s="36" t="str">
        <f aca="false">IF(O26="","",IF(O26&gt;=75,"Yes","No"))</f>
        <v/>
      </c>
      <c r="BV26" s="36" t="str">
        <f aca="false">IF(O26="","",IF(O26&gt;=100,"Yes","No"))</f>
        <v/>
      </c>
      <c r="BW26" s="36" t="str">
        <f aca="false">IF(O26="","",IF(O26&gt;=150,"Yes","No"))</f>
        <v/>
      </c>
      <c r="BX26" s="36" t="str">
        <f aca="false">IF(O26="","",IF(O26&gt;=200,"Yes","No"))</f>
        <v/>
      </c>
      <c r="BY26" s="36" t="str">
        <f aca="false">IF(Q26="","",IF(Q26&gt;=150000,"Yes","No"))</f>
        <v/>
      </c>
      <c r="BZ26" s="36" t="str">
        <f aca="false">IF(Q26="","",IF(Q26&gt;=200000,"Yes","No"))</f>
        <v/>
      </c>
      <c r="CA26" s="36" t="str">
        <f aca="false">IF(Q26="","",IF(Q26&gt;=250000,"Yes","No"))</f>
        <v/>
      </c>
      <c r="CB26" s="36" t="str">
        <f aca="false">IF(Q26="","",IF(Q26&gt;=300000,"Yes","No"))</f>
        <v/>
      </c>
      <c r="CC26" s="37"/>
      <c r="CD26" s="36" t="str">
        <f aca="true">IF(B26="","",IF(TODAY()-B26&lt;=7,"🟢 0-7d",IF(TODAY()-B26&lt;=30,"🟡 8-30d",IF(TODAY()-B26&lt;=60,"🟠 31-60d","🔴 60d+"))))</f>
        <v/>
      </c>
      <c r="CE26" s="36" t="str">
        <f aca="false">IF(G26="","",IF(G26&lt;&gt;"USA","N/A - Not USA Role",IF(J26="Yes",IF(OR(F26="Intern",F26="New Grad"),"🟡 Possible","🟢 Strong"),IF(J26="No","🔴 Difficult","⚪ Unknown"))))</f>
        <v/>
      </c>
      <c r="CF26" s="37"/>
      <c r="CG26" s="37"/>
      <c r="CH26" s="38"/>
      <c r="CI26" s="38"/>
      <c r="CJ26" s="38"/>
      <c r="CK26" s="38"/>
    </row>
    <row r="27" customFormat="false" ht="15" hidden="false" customHeight="true" outlineLevel="0" collapsed="false">
      <c r="A27" s="26" t="str">
        <f aca="false">IF($C27="","",ROW()-3)</f>
        <v/>
      </c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29"/>
      <c r="O27" s="30" t="str">
        <f aca="false">IFERROR(IF(M27="","",M27*INDEX('00 - Lists'!$M$2:$M$11,MATCH(L27,'00 - Lists'!$L$2:$L$11,0))/100000),"")</f>
        <v/>
      </c>
      <c r="P27" s="30" t="str">
        <f aca="false">IFERROR(IF(N27="","",N27*INDEX('00 - Lists'!$M$2:$M$11,MATCH(L27,'00 - Lists'!$L$2:$L$11,0))/100000),"")</f>
        <v/>
      </c>
      <c r="Q27" s="31" t="str">
        <f aca="false">IFERROR(IF(M27="","",M27*INDEX('00 - Lists'!$N$2:$N$11,MATCH(L27,'00 - Lists'!$L$2:$L$11,0))),"")</f>
        <v/>
      </c>
      <c r="R27" s="31" t="str">
        <f aca="false">IFERROR(IF(N27="","",N27*INDEX('00 - Lists'!$N$2:$N$11,MATCH(L27,'00 - Lists'!$L$2:$L$11,0))),"")</f>
        <v/>
      </c>
      <c r="S27" s="32" t="str">
        <f aca="false">IF(O27="","",IF(O27&gt;=50,"Yes","No"))</f>
        <v/>
      </c>
      <c r="T27" s="32" t="str">
        <f aca="false">IF(Q27="","",IF(Q27&gt;=100000,"Yes","No"))</f>
        <v/>
      </c>
      <c r="U27" s="28"/>
      <c r="V27" s="28"/>
      <c r="W27" s="28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J27" s="34" t="str">
        <f aca="false">IF(OR($BD27&lt;&gt;"",$BF27&lt;&gt;"",$BH27&lt;&gt;""),"Yes","No")</f>
        <v>No</v>
      </c>
      <c r="BK27" s="35" t="str">
        <f aca="false">IFERROR(IF(BD27="","",BD27*INDEX('00 - Lists'!$M$2:$M$11,MATCH(L27,'00 - Lists'!$L$2:$L$11,0))/100000),"")</f>
        <v/>
      </c>
      <c r="BL27" s="35" t="str">
        <f aca="false">IFERROR(IF(BE27="","",BE27*INDEX('00 - Lists'!$M$2:$M$11,MATCH(L27,'00 - Lists'!$L$2:$L$11,0))/100000),"")</f>
        <v/>
      </c>
      <c r="BM27" s="35" t="str">
        <f aca="false">IFERROR(IF(BF27="","",BF27*INDEX('00 - Lists'!$M$2:$M$11,MATCH(L27,'00 - Lists'!$L$2:$L$11,0))/100000),"")</f>
        <v/>
      </c>
      <c r="BN27" s="35" t="str">
        <f aca="false">IFERROR(IF(BG27="","",BG27*INDEX('00 - Lists'!$M$2:$M$11,MATCH(L27,'00 - Lists'!$L$2:$L$11,0))/100000),"")</f>
        <v/>
      </c>
      <c r="BO27" s="35" t="str">
        <f aca="false">IFERROR(IF(BH27="","",BH27*INDEX('00 - Lists'!$M$2:$M$11,MATCH(L27,'00 - Lists'!$L$2:$L$11,0))/100000),"")</f>
        <v/>
      </c>
      <c r="BP27" s="35" t="str">
        <f aca="false">IFERROR(IF(BI27="","",BI27*INDEX('00 - Lists'!$M$2:$M$11,MATCH(L27,'00 - Lists'!$L$2:$L$11,0))/100000),"")</f>
        <v/>
      </c>
      <c r="BS27" s="36" t="str">
        <f aca="false">IF(O27="","",IF(O27&gt;=20,"Yes","No"))</f>
        <v/>
      </c>
      <c r="BT27" s="36" t="str">
        <f aca="false">IF(O27="","",IF(O27&gt;=30,"Yes","No"))</f>
        <v/>
      </c>
      <c r="BU27" s="36" t="str">
        <f aca="false">IF(O27="","",IF(O27&gt;=75,"Yes","No"))</f>
        <v/>
      </c>
      <c r="BV27" s="36" t="str">
        <f aca="false">IF(O27="","",IF(O27&gt;=100,"Yes","No"))</f>
        <v/>
      </c>
      <c r="BW27" s="36" t="str">
        <f aca="false">IF(O27="","",IF(O27&gt;=150,"Yes","No"))</f>
        <v/>
      </c>
      <c r="BX27" s="36" t="str">
        <f aca="false">IF(O27="","",IF(O27&gt;=200,"Yes","No"))</f>
        <v/>
      </c>
      <c r="BY27" s="36" t="str">
        <f aca="false">IF(Q27="","",IF(Q27&gt;=150000,"Yes","No"))</f>
        <v/>
      </c>
      <c r="BZ27" s="36" t="str">
        <f aca="false">IF(Q27="","",IF(Q27&gt;=200000,"Yes","No"))</f>
        <v/>
      </c>
      <c r="CA27" s="36" t="str">
        <f aca="false">IF(Q27="","",IF(Q27&gt;=250000,"Yes","No"))</f>
        <v/>
      </c>
      <c r="CB27" s="36" t="str">
        <f aca="false">IF(Q27="","",IF(Q27&gt;=300000,"Yes","No"))</f>
        <v/>
      </c>
      <c r="CC27" s="37"/>
      <c r="CD27" s="36" t="str">
        <f aca="true">IF(B27="","",IF(TODAY()-B27&lt;=7,"🟢 0-7d",IF(TODAY()-B27&lt;=30,"🟡 8-30d",IF(TODAY()-B27&lt;=60,"🟠 31-60d","🔴 60d+"))))</f>
        <v/>
      </c>
      <c r="CE27" s="36" t="str">
        <f aca="false">IF(G27="","",IF(G27&lt;&gt;"USA","N/A - Not USA Role",IF(J27="Yes",IF(OR(F27="Intern",F27="New Grad"),"🟡 Possible","🟢 Strong"),IF(J27="No","🔴 Difficult","⚪ Unknown"))))</f>
        <v/>
      </c>
      <c r="CF27" s="37"/>
      <c r="CG27" s="37"/>
      <c r="CH27" s="38"/>
      <c r="CI27" s="38"/>
      <c r="CJ27" s="38"/>
      <c r="CK27" s="38"/>
    </row>
    <row r="28" customFormat="false" ht="15" hidden="false" customHeight="true" outlineLevel="0" collapsed="false">
      <c r="A28" s="26" t="str">
        <f aca="false">IF($C28="","",ROW()-3)</f>
        <v/>
      </c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29"/>
      <c r="O28" s="30" t="str">
        <f aca="false">IFERROR(IF(M28="","",M28*INDEX('00 - Lists'!$M$2:$M$11,MATCH(L28,'00 - Lists'!$L$2:$L$11,0))/100000),"")</f>
        <v/>
      </c>
      <c r="P28" s="30" t="str">
        <f aca="false">IFERROR(IF(N28="","",N28*INDEX('00 - Lists'!$M$2:$M$11,MATCH(L28,'00 - Lists'!$L$2:$L$11,0))/100000),"")</f>
        <v/>
      </c>
      <c r="Q28" s="31" t="str">
        <f aca="false">IFERROR(IF(M28="","",M28*INDEX('00 - Lists'!$N$2:$N$11,MATCH(L28,'00 - Lists'!$L$2:$L$11,0))),"")</f>
        <v/>
      </c>
      <c r="R28" s="31" t="str">
        <f aca="false">IFERROR(IF(N28="","",N28*INDEX('00 - Lists'!$N$2:$N$11,MATCH(L28,'00 - Lists'!$L$2:$L$11,0))),"")</f>
        <v/>
      </c>
      <c r="S28" s="32" t="str">
        <f aca="false">IF(O28="","",IF(O28&gt;=50,"Yes","No"))</f>
        <v/>
      </c>
      <c r="T28" s="32" t="str">
        <f aca="false">IF(Q28="","",IF(Q28&gt;=100000,"Yes","No"))</f>
        <v/>
      </c>
      <c r="U28" s="28"/>
      <c r="V28" s="28"/>
      <c r="W28" s="28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J28" s="34" t="str">
        <f aca="false">IF(OR($BD28&lt;&gt;"",$BF28&lt;&gt;"",$BH28&lt;&gt;""),"Yes","No")</f>
        <v>No</v>
      </c>
      <c r="BK28" s="35" t="str">
        <f aca="false">IFERROR(IF(BD28="","",BD28*INDEX('00 - Lists'!$M$2:$M$11,MATCH(L28,'00 - Lists'!$L$2:$L$11,0))/100000),"")</f>
        <v/>
      </c>
      <c r="BL28" s="35" t="str">
        <f aca="false">IFERROR(IF(BE28="","",BE28*INDEX('00 - Lists'!$M$2:$M$11,MATCH(L28,'00 - Lists'!$L$2:$L$11,0))/100000),"")</f>
        <v/>
      </c>
      <c r="BM28" s="35" t="str">
        <f aca="false">IFERROR(IF(BF28="","",BF28*INDEX('00 - Lists'!$M$2:$M$11,MATCH(L28,'00 - Lists'!$L$2:$L$11,0))/100000),"")</f>
        <v/>
      </c>
      <c r="BN28" s="35" t="str">
        <f aca="false">IFERROR(IF(BG28="","",BG28*INDEX('00 - Lists'!$M$2:$M$11,MATCH(L28,'00 - Lists'!$L$2:$L$11,0))/100000),"")</f>
        <v/>
      </c>
      <c r="BO28" s="35" t="str">
        <f aca="false">IFERROR(IF(BH28="","",BH28*INDEX('00 - Lists'!$M$2:$M$11,MATCH(L28,'00 - Lists'!$L$2:$L$11,0))/100000),"")</f>
        <v/>
      </c>
      <c r="BP28" s="35" t="str">
        <f aca="false">IFERROR(IF(BI28="","",BI28*INDEX('00 - Lists'!$M$2:$M$11,MATCH(L28,'00 - Lists'!$L$2:$L$11,0))/100000),"")</f>
        <v/>
      </c>
      <c r="BS28" s="36" t="str">
        <f aca="false">IF(O28="","",IF(O28&gt;=20,"Yes","No"))</f>
        <v/>
      </c>
      <c r="BT28" s="36" t="str">
        <f aca="false">IF(O28="","",IF(O28&gt;=30,"Yes","No"))</f>
        <v/>
      </c>
      <c r="BU28" s="36" t="str">
        <f aca="false">IF(O28="","",IF(O28&gt;=75,"Yes","No"))</f>
        <v/>
      </c>
      <c r="BV28" s="36" t="str">
        <f aca="false">IF(O28="","",IF(O28&gt;=100,"Yes","No"))</f>
        <v/>
      </c>
      <c r="BW28" s="36" t="str">
        <f aca="false">IF(O28="","",IF(O28&gt;=150,"Yes","No"))</f>
        <v/>
      </c>
      <c r="BX28" s="36" t="str">
        <f aca="false">IF(O28="","",IF(O28&gt;=200,"Yes","No"))</f>
        <v/>
      </c>
      <c r="BY28" s="36" t="str">
        <f aca="false">IF(Q28="","",IF(Q28&gt;=150000,"Yes","No"))</f>
        <v/>
      </c>
      <c r="BZ28" s="36" t="str">
        <f aca="false">IF(Q28="","",IF(Q28&gt;=200000,"Yes","No"))</f>
        <v/>
      </c>
      <c r="CA28" s="36" t="str">
        <f aca="false">IF(Q28="","",IF(Q28&gt;=250000,"Yes","No"))</f>
        <v/>
      </c>
      <c r="CB28" s="36" t="str">
        <f aca="false">IF(Q28="","",IF(Q28&gt;=300000,"Yes","No"))</f>
        <v/>
      </c>
      <c r="CC28" s="37"/>
      <c r="CD28" s="36" t="str">
        <f aca="true">IF(B28="","",IF(TODAY()-B28&lt;=7,"🟢 0-7d",IF(TODAY()-B28&lt;=30,"🟡 8-30d",IF(TODAY()-B28&lt;=60,"🟠 31-60d","🔴 60d+"))))</f>
        <v/>
      </c>
      <c r="CE28" s="36" t="str">
        <f aca="false">IF(G28="","",IF(G28&lt;&gt;"USA","N/A - Not USA Role",IF(J28="Yes",IF(OR(F28="Intern",F28="New Grad"),"🟡 Possible","🟢 Strong"),IF(J28="No","🔴 Difficult","⚪ Unknown"))))</f>
        <v/>
      </c>
      <c r="CF28" s="37"/>
      <c r="CG28" s="37"/>
      <c r="CH28" s="38"/>
      <c r="CI28" s="38"/>
      <c r="CJ28" s="38"/>
      <c r="CK28" s="38"/>
    </row>
    <row r="29" customFormat="false" ht="15" hidden="false" customHeight="true" outlineLevel="0" collapsed="false">
      <c r="A29" s="26" t="str">
        <f aca="false">IF($C29="","",ROW()-3)</f>
        <v/>
      </c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9"/>
      <c r="N29" s="29"/>
      <c r="O29" s="30" t="str">
        <f aca="false">IFERROR(IF(M29="","",M29*INDEX('00 - Lists'!$M$2:$M$11,MATCH(L29,'00 - Lists'!$L$2:$L$11,0))/100000),"")</f>
        <v/>
      </c>
      <c r="P29" s="30" t="str">
        <f aca="false">IFERROR(IF(N29="","",N29*INDEX('00 - Lists'!$M$2:$M$11,MATCH(L29,'00 - Lists'!$L$2:$L$11,0))/100000),"")</f>
        <v/>
      </c>
      <c r="Q29" s="31" t="str">
        <f aca="false">IFERROR(IF(M29="","",M29*INDEX('00 - Lists'!$N$2:$N$11,MATCH(L29,'00 - Lists'!$L$2:$L$11,0))),"")</f>
        <v/>
      </c>
      <c r="R29" s="31" t="str">
        <f aca="false">IFERROR(IF(N29="","",N29*INDEX('00 - Lists'!$N$2:$N$11,MATCH(L29,'00 - Lists'!$L$2:$L$11,0))),"")</f>
        <v/>
      </c>
      <c r="S29" s="32" t="str">
        <f aca="false">IF(O29="","",IF(O29&gt;=50,"Yes","No"))</f>
        <v/>
      </c>
      <c r="T29" s="32" t="str">
        <f aca="false">IF(Q29="","",IF(Q29&gt;=100000,"Yes","No"))</f>
        <v/>
      </c>
      <c r="U29" s="28"/>
      <c r="V29" s="28"/>
      <c r="W29" s="28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J29" s="34" t="str">
        <f aca="false">IF(OR($BD29&lt;&gt;"",$BF29&lt;&gt;"",$BH29&lt;&gt;""),"Yes","No")</f>
        <v>No</v>
      </c>
      <c r="BK29" s="35" t="str">
        <f aca="false">IFERROR(IF(BD29="","",BD29*INDEX('00 - Lists'!$M$2:$M$11,MATCH(L29,'00 - Lists'!$L$2:$L$11,0))/100000),"")</f>
        <v/>
      </c>
      <c r="BL29" s="35" t="str">
        <f aca="false">IFERROR(IF(BE29="","",BE29*INDEX('00 - Lists'!$M$2:$M$11,MATCH(L29,'00 - Lists'!$L$2:$L$11,0))/100000),"")</f>
        <v/>
      </c>
      <c r="BM29" s="35" t="str">
        <f aca="false">IFERROR(IF(BF29="","",BF29*INDEX('00 - Lists'!$M$2:$M$11,MATCH(L29,'00 - Lists'!$L$2:$L$11,0))/100000),"")</f>
        <v/>
      </c>
      <c r="BN29" s="35" t="str">
        <f aca="false">IFERROR(IF(BG29="","",BG29*INDEX('00 - Lists'!$M$2:$M$11,MATCH(L29,'00 - Lists'!$L$2:$L$11,0))/100000),"")</f>
        <v/>
      </c>
      <c r="BO29" s="35" t="str">
        <f aca="false">IFERROR(IF(BH29="","",BH29*INDEX('00 - Lists'!$M$2:$M$11,MATCH(L29,'00 - Lists'!$L$2:$L$11,0))/100000),"")</f>
        <v/>
      </c>
      <c r="BP29" s="35" t="str">
        <f aca="false">IFERROR(IF(BI29="","",BI29*INDEX('00 - Lists'!$M$2:$M$11,MATCH(L29,'00 - Lists'!$L$2:$L$11,0))/100000),"")</f>
        <v/>
      </c>
      <c r="BS29" s="36" t="str">
        <f aca="false">IF(O29="","",IF(O29&gt;=20,"Yes","No"))</f>
        <v/>
      </c>
      <c r="BT29" s="36" t="str">
        <f aca="false">IF(O29="","",IF(O29&gt;=30,"Yes","No"))</f>
        <v/>
      </c>
      <c r="BU29" s="36" t="str">
        <f aca="false">IF(O29="","",IF(O29&gt;=75,"Yes","No"))</f>
        <v/>
      </c>
      <c r="BV29" s="36" t="str">
        <f aca="false">IF(O29="","",IF(O29&gt;=100,"Yes","No"))</f>
        <v/>
      </c>
      <c r="BW29" s="36" t="str">
        <f aca="false">IF(O29="","",IF(O29&gt;=150,"Yes","No"))</f>
        <v/>
      </c>
      <c r="BX29" s="36" t="str">
        <f aca="false">IF(O29="","",IF(O29&gt;=200,"Yes","No"))</f>
        <v/>
      </c>
      <c r="BY29" s="36" t="str">
        <f aca="false">IF(Q29="","",IF(Q29&gt;=150000,"Yes","No"))</f>
        <v/>
      </c>
      <c r="BZ29" s="36" t="str">
        <f aca="false">IF(Q29="","",IF(Q29&gt;=200000,"Yes","No"))</f>
        <v/>
      </c>
      <c r="CA29" s="36" t="str">
        <f aca="false">IF(Q29="","",IF(Q29&gt;=250000,"Yes","No"))</f>
        <v/>
      </c>
      <c r="CB29" s="36" t="str">
        <f aca="false">IF(Q29="","",IF(Q29&gt;=300000,"Yes","No"))</f>
        <v/>
      </c>
      <c r="CC29" s="37"/>
      <c r="CD29" s="36" t="str">
        <f aca="true">IF(B29="","",IF(TODAY()-B29&lt;=7,"🟢 0-7d",IF(TODAY()-B29&lt;=30,"🟡 8-30d",IF(TODAY()-B29&lt;=60,"🟠 31-60d","🔴 60d+"))))</f>
        <v/>
      </c>
      <c r="CE29" s="36" t="str">
        <f aca="false">IF(G29="","",IF(G29&lt;&gt;"USA","N/A - Not USA Role",IF(J29="Yes",IF(OR(F29="Intern",F29="New Grad"),"🟡 Possible","🟢 Strong"),IF(J29="No","🔴 Difficult","⚪ Unknown"))))</f>
        <v/>
      </c>
      <c r="CF29" s="37"/>
      <c r="CG29" s="37"/>
      <c r="CH29" s="38"/>
      <c r="CI29" s="38"/>
      <c r="CJ29" s="38"/>
      <c r="CK29" s="38"/>
    </row>
    <row r="30" customFormat="false" ht="15" hidden="false" customHeight="true" outlineLevel="0" collapsed="false">
      <c r="A30" s="26" t="str">
        <f aca="false">IF($C30="","",ROW()-3)</f>
        <v/>
      </c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29"/>
      <c r="O30" s="30" t="str">
        <f aca="false">IFERROR(IF(M30="","",M30*INDEX('00 - Lists'!$M$2:$M$11,MATCH(L30,'00 - Lists'!$L$2:$L$11,0))/100000),"")</f>
        <v/>
      </c>
      <c r="P30" s="30" t="str">
        <f aca="false">IFERROR(IF(N30="","",N30*INDEX('00 - Lists'!$M$2:$M$11,MATCH(L30,'00 - Lists'!$L$2:$L$11,0))/100000),"")</f>
        <v/>
      </c>
      <c r="Q30" s="31" t="str">
        <f aca="false">IFERROR(IF(M30="","",M30*INDEX('00 - Lists'!$N$2:$N$11,MATCH(L30,'00 - Lists'!$L$2:$L$11,0))),"")</f>
        <v/>
      </c>
      <c r="R30" s="31" t="str">
        <f aca="false">IFERROR(IF(N30="","",N30*INDEX('00 - Lists'!$N$2:$N$11,MATCH(L30,'00 - Lists'!$L$2:$L$11,0))),"")</f>
        <v/>
      </c>
      <c r="S30" s="32" t="str">
        <f aca="false">IF(O30="","",IF(O30&gt;=50,"Yes","No"))</f>
        <v/>
      </c>
      <c r="T30" s="32" t="str">
        <f aca="false">IF(Q30="","",IF(Q30&gt;=100000,"Yes","No"))</f>
        <v/>
      </c>
      <c r="U30" s="28"/>
      <c r="V30" s="28"/>
      <c r="W30" s="28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J30" s="34" t="str">
        <f aca="false">IF(OR($BD30&lt;&gt;"",$BF30&lt;&gt;"",$BH30&lt;&gt;""),"Yes","No")</f>
        <v>No</v>
      </c>
      <c r="BK30" s="35" t="str">
        <f aca="false">IFERROR(IF(BD30="","",BD30*INDEX('00 - Lists'!$M$2:$M$11,MATCH(L30,'00 - Lists'!$L$2:$L$11,0))/100000),"")</f>
        <v/>
      </c>
      <c r="BL30" s="35" t="str">
        <f aca="false">IFERROR(IF(BE30="","",BE30*INDEX('00 - Lists'!$M$2:$M$11,MATCH(L30,'00 - Lists'!$L$2:$L$11,0))/100000),"")</f>
        <v/>
      </c>
      <c r="BM30" s="35" t="str">
        <f aca="false">IFERROR(IF(BF30="","",BF30*INDEX('00 - Lists'!$M$2:$M$11,MATCH(L30,'00 - Lists'!$L$2:$L$11,0))/100000),"")</f>
        <v/>
      </c>
      <c r="BN30" s="35" t="str">
        <f aca="false">IFERROR(IF(BG30="","",BG30*INDEX('00 - Lists'!$M$2:$M$11,MATCH(L30,'00 - Lists'!$L$2:$L$11,0))/100000),"")</f>
        <v/>
      </c>
      <c r="BO30" s="35" t="str">
        <f aca="false">IFERROR(IF(BH30="","",BH30*INDEX('00 - Lists'!$M$2:$M$11,MATCH(L30,'00 - Lists'!$L$2:$L$11,0))/100000),"")</f>
        <v/>
      </c>
      <c r="BP30" s="35" t="str">
        <f aca="false">IFERROR(IF(BI30="","",BI30*INDEX('00 - Lists'!$M$2:$M$11,MATCH(L30,'00 - Lists'!$L$2:$L$11,0))/100000),"")</f>
        <v/>
      </c>
      <c r="BS30" s="36" t="str">
        <f aca="false">IF(O30="","",IF(O30&gt;=20,"Yes","No"))</f>
        <v/>
      </c>
      <c r="BT30" s="36" t="str">
        <f aca="false">IF(O30="","",IF(O30&gt;=30,"Yes","No"))</f>
        <v/>
      </c>
      <c r="BU30" s="36" t="str">
        <f aca="false">IF(O30="","",IF(O30&gt;=75,"Yes","No"))</f>
        <v/>
      </c>
      <c r="BV30" s="36" t="str">
        <f aca="false">IF(O30="","",IF(O30&gt;=100,"Yes","No"))</f>
        <v/>
      </c>
      <c r="BW30" s="36" t="str">
        <f aca="false">IF(O30="","",IF(O30&gt;=150,"Yes","No"))</f>
        <v/>
      </c>
      <c r="BX30" s="36" t="str">
        <f aca="false">IF(O30="","",IF(O30&gt;=200,"Yes","No"))</f>
        <v/>
      </c>
      <c r="BY30" s="36" t="str">
        <f aca="false">IF(Q30="","",IF(Q30&gt;=150000,"Yes","No"))</f>
        <v/>
      </c>
      <c r="BZ30" s="36" t="str">
        <f aca="false">IF(Q30="","",IF(Q30&gt;=200000,"Yes","No"))</f>
        <v/>
      </c>
      <c r="CA30" s="36" t="str">
        <f aca="false">IF(Q30="","",IF(Q30&gt;=250000,"Yes","No"))</f>
        <v/>
      </c>
      <c r="CB30" s="36" t="str">
        <f aca="false">IF(Q30="","",IF(Q30&gt;=300000,"Yes","No"))</f>
        <v/>
      </c>
      <c r="CC30" s="37"/>
      <c r="CD30" s="36" t="str">
        <f aca="true">IF(B30="","",IF(TODAY()-B30&lt;=7,"🟢 0-7d",IF(TODAY()-B30&lt;=30,"🟡 8-30d",IF(TODAY()-B30&lt;=60,"🟠 31-60d","🔴 60d+"))))</f>
        <v/>
      </c>
      <c r="CE30" s="36" t="str">
        <f aca="false">IF(G30="","",IF(G30&lt;&gt;"USA","N/A - Not USA Role",IF(J30="Yes",IF(OR(F30="Intern",F30="New Grad"),"🟡 Possible","🟢 Strong"),IF(J30="No","🔴 Difficult","⚪ Unknown"))))</f>
        <v/>
      </c>
      <c r="CF30" s="37"/>
      <c r="CG30" s="37"/>
      <c r="CH30" s="38"/>
      <c r="CI30" s="38"/>
      <c r="CJ30" s="38"/>
      <c r="CK30" s="38"/>
    </row>
    <row r="31" customFormat="false" ht="15" hidden="false" customHeight="true" outlineLevel="0" collapsed="false">
      <c r="A31" s="26" t="str">
        <f aca="false">IF($C31="","",ROW()-3)</f>
        <v/>
      </c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9"/>
      <c r="N31" s="29"/>
      <c r="O31" s="30" t="str">
        <f aca="false">IFERROR(IF(M31="","",M31*INDEX('00 - Lists'!$M$2:$M$11,MATCH(L31,'00 - Lists'!$L$2:$L$11,0))/100000),"")</f>
        <v/>
      </c>
      <c r="P31" s="30" t="str">
        <f aca="false">IFERROR(IF(N31="","",N31*INDEX('00 - Lists'!$M$2:$M$11,MATCH(L31,'00 - Lists'!$L$2:$L$11,0))/100000),"")</f>
        <v/>
      </c>
      <c r="Q31" s="31" t="str">
        <f aca="false">IFERROR(IF(M31="","",M31*INDEX('00 - Lists'!$N$2:$N$11,MATCH(L31,'00 - Lists'!$L$2:$L$11,0))),"")</f>
        <v/>
      </c>
      <c r="R31" s="31" t="str">
        <f aca="false">IFERROR(IF(N31="","",N31*INDEX('00 - Lists'!$N$2:$N$11,MATCH(L31,'00 - Lists'!$L$2:$L$11,0))),"")</f>
        <v/>
      </c>
      <c r="S31" s="32" t="str">
        <f aca="false">IF(O31="","",IF(O31&gt;=50,"Yes","No"))</f>
        <v/>
      </c>
      <c r="T31" s="32" t="str">
        <f aca="false">IF(Q31="","",IF(Q31&gt;=100000,"Yes","No"))</f>
        <v/>
      </c>
      <c r="U31" s="28"/>
      <c r="V31" s="28"/>
      <c r="W31" s="28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J31" s="34" t="str">
        <f aca="false">IF(OR($BD31&lt;&gt;"",$BF31&lt;&gt;"",$BH31&lt;&gt;""),"Yes","No")</f>
        <v>No</v>
      </c>
      <c r="BK31" s="35" t="str">
        <f aca="false">IFERROR(IF(BD31="","",BD31*INDEX('00 - Lists'!$M$2:$M$11,MATCH(L31,'00 - Lists'!$L$2:$L$11,0))/100000),"")</f>
        <v/>
      </c>
      <c r="BL31" s="35" t="str">
        <f aca="false">IFERROR(IF(BE31="","",BE31*INDEX('00 - Lists'!$M$2:$M$11,MATCH(L31,'00 - Lists'!$L$2:$L$11,0))/100000),"")</f>
        <v/>
      </c>
      <c r="BM31" s="35" t="str">
        <f aca="false">IFERROR(IF(BF31="","",BF31*INDEX('00 - Lists'!$M$2:$M$11,MATCH(L31,'00 - Lists'!$L$2:$L$11,0))/100000),"")</f>
        <v/>
      </c>
      <c r="BN31" s="35" t="str">
        <f aca="false">IFERROR(IF(BG31="","",BG31*INDEX('00 - Lists'!$M$2:$M$11,MATCH(L31,'00 - Lists'!$L$2:$L$11,0))/100000),"")</f>
        <v/>
      </c>
      <c r="BO31" s="35" t="str">
        <f aca="false">IFERROR(IF(BH31="","",BH31*INDEX('00 - Lists'!$M$2:$M$11,MATCH(L31,'00 - Lists'!$L$2:$L$11,0))/100000),"")</f>
        <v/>
      </c>
      <c r="BP31" s="35" t="str">
        <f aca="false">IFERROR(IF(BI31="","",BI31*INDEX('00 - Lists'!$M$2:$M$11,MATCH(L31,'00 - Lists'!$L$2:$L$11,0))/100000),"")</f>
        <v/>
      </c>
      <c r="BS31" s="36" t="str">
        <f aca="false">IF(O31="","",IF(O31&gt;=20,"Yes","No"))</f>
        <v/>
      </c>
      <c r="BT31" s="36" t="str">
        <f aca="false">IF(O31="","",IF(O31&gt;=30,"Yes","No"))</f>
        <v/>
      </c>
      <c r="BU31" s="36" t="str">
        <f aca="false">IF(O31="","",IF(O31&gt;=75,"Yes","No"))</f>
        <v/>
      </c>
      <c r="BV31" s="36" t="str">
        <f aca="false">IF(O31="","",IF(O31&gt;=100,"Yes","No"))</f>
        <v/>
      </c>
      <c r="BW31" s="36" t="str">
        <f aca="false">IF(O31="","",IF(O31&gt;=150,"Yes","No"))</f>
        <v/>
      </c>
      <c r="BX31" s="36" t="str">
        <f aca="false">IF(O31="","",IF(O31&gt;=200,"Yes","No"))</f>
        <v/>
      </c>
      <c r="BY31" s="36" t="str">
        <f aca="false">IF(Q31="","",IF(Q31&gt;=150000,"Yes","No"))</f>
        <v/>
      </c>
      <c r="BZ31" s="36" t="str">
        <f aca="false">IF(Q31="","",IF(Q31&gt;=200000,"Yes","No"))</f>
        <v/>
      </c>
      <c r="CA31" s="36" t="str">
        <f aca="false">IF(Q31="","",IF(Q31&gt;=250000,"Yes","No"))</f>
        <v/>
      </c>
      <c r="CB31" s="36" t="str">
        <f aca="false">IF(Q31="","",IF(Q31&gt;=300000,"Yes","No"))</f>
        <v/>
      </c>
      <c r="CC31" s="37"/>
      <c r="CD31" s="36" t="str">
        <f aca="true">IF(B31="","",IF(TODAY()-B31&lt;=7,"🟢 0-7d",IF(TODAY()-B31&lt;=30,"🟡 8-30d",IF(TODAY()-B31&lt;=60,"🟠 31-60d","🔴 60d+"))))</f>
        <v/>
      </c>
      <c r="CE31" s="36" t="str">
        <f aca="false">IF(G31="","",IF(G31&lt;&gt;"USA","N/A - Not USA Role",IF(J31="Yes",IF(OR(F31="Intern",F31="New Grad"),"🟡 Possible","🟢 Strong"),IF(J31="No","🔴 Difficult","⚪ Unknown"))))</f>
        <v/>
      </c>
      <c r="CF31" s="37"/>
      <c r="CG31" s="37"/>
      <c r="CH31" s="38"/>
      <c r="CI31" s="38"/>
      <c r="CJ31" s="38"/>
      <c r="CK31" s="38"/>
    </row>
    <row r="32" customFormat="false" ht="15" hidden="false" customHeight="true" outlineLevel="0" collapsed="false">
      <c r="A32" s="26" t="str">
        <f aca="false">IF($C32="","",ROW()-3)</f>
        <v/>
      </c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9"/>
      <c r="N32" s="29"/>
      <c r="O32" s="30" t="str">
        <f aca="false">IFERROR(IF(M32="","",M32*INDEX('00 - Lists'!$M$2:$M$11,MATCH(L32,'00 - Lists'!$L$2:$L$11,0))/100000),"")</f>
        <v/>
      </c>
      <c r="P32" s="30" t="str">
        <f aca="false">IFERROR(IF(N32="","",N32*INDEX('00 - Lists'!$M$2:$M$11,MATCH(L32,'00 - Lists'!$L$2:$L$11,0))/100000),"")</f>
        <v/>
      </c>
      <c r="Q32" s="31" t="str">
        <f aca="false">IFERROR(IF(M32="","",M32*INDEX('00 - Lists'!$N$2:$N$11,MATCH(L32,'00 - Lists'!$L$2:$L$11,0))),"")</f>
        <v/>
      </c>
      <c r="R32" s="31" t="str">
        <f aca="false">IFERROR(IF(N32="","",N32*INDEX('00 - Lists'!$N$2:$N$11,MATCH(L32,'00 - Lists'!$L$2:$L$11,0))),"")</f>
        <v/>
      </c>
      <c r="S32" s="32" t="str">
        <f aca="false">IF(O32="","",IF(O32&gt;=50,"Yes","No"))</f>
        <v/>
      </c>
      <c r="T32" s="32" t="str">
        <f aca="false">IF(Q32="","",IF(Q32&gt;=100000,"Yes","No"))</f>
        <v/>
      </c>
      <c r="U32" s="28"/>
      <c r="V32" s="28"/>
      <c r="W32" s="28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J32" s="34" t="str">
        <f aca="false">IF(OR($BD32&lt;&gt;"",$BF32&lt;&gt;"",$BH32&lt;&gt;""),"Yes","No")</f>
        <v>No</v>
      </c>
      <c r="BK32" s="35" t="str">
        <f aca="false">IFERROR(IF(BD32="","",BD32*INDEX('00 - Lists'!$M$2:$M$11,MATCH(L32,'00 - Lists'!$L$2:$L$11,0))/100000),"")</f>
        <v/>
      </c>
      <c r="BL32" s="35" t="str">
        <f aca="false">IFERROR(IF(BE32="","",BE32*INDEX('00 - Lists'!$M$2:$M$11,MATCH(L32,'00 - Lists'!$L$2:$L$11,0))/100000),"")</f>
        <v/>
      </c>
      <c r="BM32" s="35" t="str">
        <f aca="false">IFERROR(IF(BF32="","",BF32*INDEX('00 - Lists'!$M$2:$M$11,MATCH(L32,'00 - Lists'!$L$2:$L$11,0))/100000),"")</f>
        <v/>
      </c>
      <c r="BN32" s="35" t="str">
        <f aca="false">IFERROR(IF(BG32="","",BG32*INDEX('00 - Lists'!$M$2:$M$11,MATCH(L32,'00 - Lists'!$L$2:$L$11,0))/100000),"")</f>
        <v/>
      </c>
      <c r="BO32" s="35" t="str">
        <f aca="false">IFERROR(IF(BH32="","",BH32*INDEX('00 - Lists'!$M$2:$M$11,MATCH(L32,'00 - Lists'!$L$2:$L$11,0))/100000),"")</f>
        <v/>
      </c>
      <c r="BP32" s="35" t="str">
        <f aca="false">IFERROR(IF(BI32="","",BI32*INDEX('00 - Lists'!$M$2:$M$11,MATCH(L32,'00 - Lists'!$L$2:$L$11,0))/100000),"")</f>
        <v/>
      </c>
      <c r="BS32" s="36" t="str">
        <f aca="false">IF(O32="","",IF(O32&gt;=20,"Yes","No"))</f>
        <v/>
      </c>
      <c r="BT32" s="36" t="str">
        <f aca="false">IF(O32="","",IF(O32&gt;=30,"Yes","No"))</f>
        <v/>
      </c>
      <c r="BU32" s="36" t="str">
        <f aca="false">IF(O32="","",IF(O32&gt;=75,"Yes","No"))</f>
        <v/>
      </c>
      <c r="BV32" s="36" t="str">
        <f aca="false">IF(O32="","",IF(O32&gt;=100,"Yes","No"))</f>
        <v/>
      </c>
      <c r="BW32" s="36" t="str">
        <f aca="false">IF(O32="","",IF(O32&gt;=150,"Yes","No"))</f>
        <v/>
      </c>
      <c r="BX32" s="36" t="str">
        <f aca="false">IF(O32="","",IF(O32&gt;=200,"Yes","No"))</f>
        <v/>
      </c>
      <c r="BY32" s="36" t="str">
        <f aca="false">IF(Q32="","",IF(Q32&gt;=150000,"Yes","No"))</f>
        <v/>
      </c>
      <c r="BZ32" s="36" t="str">
        <f aca="false">IF(Q32="","",IF(Q32&gt;=200000,"Yes","No"))</f>
        <v/>
      </c>
      <c r="CA32" s="36" t="str">
        <f aca="false">IF(Q32="","",IF(Q32&gt;=250000,"Yes","No"))</f>
        <v/>
      </c>
      <c r="CB32" s="36" t="str">
        <f aca="false">IF(Q32="","",IF(Q32&gt;=300000,"Yes","No"))</f>
        <v/>
      </c>
      <c r="CC32" s="37"/>
      <c r="CD32" s="36" t="str">
        <f aca="true">IF(B32="","",IF(TODAY()-B32&lt;=7,"🟢 0-7d",IF(TODAY()-B32&lt;=30,"🟡 8-30d",IF(TODAY()-B32&lt;=60,"🟠 31-60d","🔴 60d+"))))</f>
        <v/>
      </c>
      <c r="CE32" s="36" t="str">
        <f aca="false">IF(G32="","",IF(G32&lt;&gt;"USA","N/A - Not USA Role",IF(J32="Yes",IF(OR(F32="Intern",F32="New Grad"),"🟡 Possible","🟢 Strong"),IF(J32="No","🔴 Difficult","⚪ Unknown"))))</f>
        <v/>
      </c>
      <c r="CF32" s="37"/>
      <c r="CG32" s="37"/>
      <c r="CH32" s="38"/>
      <c r="CI32" s="38"/>
      <c r="CJ32" s="38"/>
      <c r="CK32" s="38"/>
    </row>
    <row r="33" customFormat="false" ht="15" hidden="false" customHeight="true" outlineLevel="0" collapsed="false">
      <c r="A33" s="26" t="str">
        <f aca="false">IF($C33="","",ROW()-3)</f>
        <v/>
      </c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9"/>
      <c r="N33" s="29"/>
      <c r="O33" s="30" t="str">
        <f aca="false">IFERROR(IF(M33="","",M33*INDEX('00 - Lists'!$M$2:$M$11,MATCH(L33,'00 - Lists'!$L$2:$L$11,0))/100000),"")</f>
        <v/>
      </c>
      <c r="P33" s="30" t="str">
        <f aca="false">IFERROR(IF(N33="","",N33*INDEX('00 - Lists'!$M$2:$M$11,MATCH(L33,'00 - Lists'!$L$2:$L$11,0))/100000),"")</f>
        <v/>
      </c>
      <c r="Q33" s="31" t="str">
        <f aca="false">IFERROR(IF(M33="","",M33*INDEX('00 - Lists'!$N$2:$N$11,MATCH(L33,'00 - Lists'!$L$2:$L$11,0))),"")</f>
        <v/>
      </c>
      <c r="R33" s="31" t="str">
        <f aca="false">IFERROR(IF(N33="","",N33*INDEX('00 - Lists'!$N$2:$N$11,MATCH(L33,'00 - Lists'!$L$2:$L$11,0))),"")</f>
        <v/>
      </c>
      <c r="S33" s="32" t="str">
        <f aca="false">IF(O33="","",IF(O33&gt;=50,"Yes","No"))</f>
        <v/>
      </c>
      <c r="T33" s="32" t="str">
        <f aca="false">IF(Q33="","",IF(Q33&gt;=100000,"Yes","No"))</f>
        <v/>
      </c>
      <c r="U33" s="28"/>
      <c r="V33" s="28"/>
      <c r="W33" s="28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J33" s="34" t="str">
        <f aca="false">IF(OR($BD33&lt;&gt;"",$BF33&lt;&gt;"",$BH33&lt;&gt;""),"Yes","No")</f>
        <v>No</v>
      </c>
      <c r="BK33" s="35" t="str">
        <f aca="false">IFERROR(IF(BD33="","",BD33*INDEX('00 - Lists'!$M$2:$M$11,MATCH(L33,'00 - Lists'!$L$2:$L$11,0))/100000),"")</f>
        <v/>
      </c>
      <c r="BL33" s="35" t="str">
        <f aca="false">IFERROR(IF(BE33="","",BE33*INDEX('00 - Lists'!$M$2:$M$11,MATCH(L33,'00 - Lists'!$L$2:$L$11,0))/100000),"")</f>
        <v/>
      </c>
      <c r="BM33" s="35" t="str">
        <f aca="false">IFERROR(IF(BF33="","",BF33*INDEX('00 - Lists'!$M$2:$M$11,MATCH(L33,'00 - Lists'!$L$2:$L$11,0))/100000),"")</f>
        <v/>
      </c>
      <c r="BN33" s="35" t="str">
        <f aca="false">IFERROR(IF(BG33="","",BG33*INDEX('00 - Lists'!$M$2:$M$11,MATCH(L33,'00 - Lists'!$L$2:$L$11,0))/100000),"")</f>
        <v/>
      </c>
      <c r="BO33" s="35" t="str">
        <f aca="false">IFERROR(IF(BH33="","",BH33*INDEX('00 - Lists'!$M$2:$M$11,MATCH(L33,'00 - Lists'!$L$2:$L$11,0))/100000),"")</f>
        <v/>
      </c>
      <c r="BP33" s="35" t="str">
        <f aca="false">IFERROR(IF(BI33="","",BI33*INDEX('00 - Lists'!$M$2:$M$11,MATCH(L33,'00 - Lists'!$L$2:$L$11,0))/100000),"")</f>
        <v/>
      </c>
      <c r="BS33" s="36" t="str">
        <f aca="false">IF(O33="","",IF(O33&gt;=20,"Yes","No"))</f>
        <v/>
      </c>
      <c r="BT33" s="36" t="str">
        <f aca="false">IF(O33="","",IF(O33&gt;=30,"Yes","No"))</f>
        <v/>
      </c>
      <c r="BU33" s="36" t="str">
        <f aca="false">IF(O33="","",IF(O33&gt;=75,"Yes","No"))</f>
        <v/>
      </c>
      <c r="BV33" s="36" t="str">
        <f aca="false">IF(O33="","",IF(O33&gt;=100,"Yes","No"))</f>
        <v/>
      </c>
      <c r="BW33" s="36" t="str">
        <f aca="false">IF(O33="","",IF(O33&gt;=150,"Yes","No"))</f>
        <v/>
      </c>
      <c r="BX33" s="36" t="str">
        <f aca="false">IF(O33="","",IF(O33&gt;=200,"Yes","No"))</f>
        <v/>
      </c>
      <c r="BY33" s="36" t="str">
        <f aca="false">IF(Q33="","",IF(Q33&gt;=150000,"Yes","No"))</f>
        <v/>
      </c>
      <c r="BZ33" s="36" t="str">
        <f aca="false">IF(Q33="","",IF(Q33&gt;=200000,"Yes","No"))</f>
        <v/>
      </c>
      <c r="CA33" s="36" t="str">
        <f aca="false">IF(Q33="","",IF(Q33&gt;=250000,"Yes","No"))</f>
        <v/>
      </c>
      <c r="CB33" s="36" t="str">
        <f aca="false">IF(Q33="","",IF(Q33&gt;=300000,"Yes","No"))</f>
        <v/>
      </c>
      <c r="CC33" s="37"/>
      <c r="CD33" s="36" t="str">
        <f aca="true">IF(B33="","",IF(TODAY()-B33&lt;=7,"🟢 0-7d",IF(TODAY()-B33&lt;=30,"🟡 8-30d",IF(TODAY()-B33&lt;=60,"🟠 31-60d","🔴 60d+"))))</f>
        <v/>
      </c>
      <c r="CE33" s="36" t="str">
        <f aca="false">IF(G33="","",IF(G33&lt;&gt;"USA","N/A - Not USA Role",IF(J33="Yes",IF(OR(F33="Intern",F33="New Grad"),"🟡 Possible","🟢 Strong"),IF(J33="No","🔴 Difficult","⚪ Unknown"))))</f>
        <v/>
      </c>
      <c r="CF33" s="37"/>
      <c r="CG33" s="37"/>
      <c r="CH33" s="38"/>
      <c r="CI33" s="38"/>
      <c r="CJ33" s="38"/>
      <c r="CK33" s="38"/>
    </row>
    <row r="34" customFormat="false" ht="15" hidden="false" customHeight="true" outlineLevel="0" collapsed="false">
      <c r="A34" s="26" t="str">
        <f aca="false">IF($C34="","",ROW()-3)</f>
        <v/>
      </c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29"/>
      <c r="O34" s="30" t="str">
        <f aca="false">IFERROR(IF(M34="","",M34*INDEX('00 - Lists'!$M$2:$M$11,MATCH(L34,'00 - Lists'!$L$2:$L$11,0))/100000),"")</f>
        <v/>
      </c>
      <c r="P34" s="30" t="str">
        <f aca="false">IFERROR(IF(N34="","",N34*INDEX('00 - Lists'!$M$2:$M$11,MATCH(L34,'00 - Lists'!$L$2:$L$11,0))/100000),"")</f>
        <v/>
      </c>
      <c r="Q34" s="31" t="str">
        <f aca="false">IFERROR(IF(M34="","",M34*INDEX('00 - Lists'!$N$2:$N$11,MATCH(L34,'00 - Lists'!$L$2:$L$11,0))),"")</f>
        <v/>
      </c>
      <c r="R34" s="31" t="str">
        <f aca="false">IFERROR(IF(N34="","",N34*INDEX('00 - Lists'!$N$2:$N$11,MATCH(L34,'00 - Lists'!$L$2:$L$11,0))),"")</f>
        <v/>
      </c>
      <c r="S34" s="32" t="str">
        <f aca="false">IF(O34="","",IF(O34&gt;=50,"Yes","No"))</f>
        <v/>
      </c>
      <c r="T34" s="32" t="str">
        <f aca="false">IF(Q34="","",IF(Q34&gt;=100000,"Yes","No"))</f>
        <v/>
      </c>
      <c r="U34" s="28"/>
      <c r="V34" s="28"/>
      <c r="W34" s="28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J34" s="34" t="str">
        <f aca="false">IF(OR($BD34&lt;&gt;"",$BF34&lt;&gt;"",$BH34&lt;&gt;""),"Yes","No")</f>
        <v>No</v>
      </c>
      <c r="BK34" s="35" t="str">
        <f aca="false">IFERROR(IF(BD34="","",BD34*INDEX('00 - Lists'!$M$2:$M$11,MATCH(L34,'00 - Lists'!$L$2:$L$11,0))/100000),"")</f>
        <v/>
      </c>
      <c r="BL34" s="35" t="str">
        <f aca="false">IFERROR(IF(BE34="","",BE34*INDEX('00 - Lists'!$M$2:$M$11,MATCH(L34,'00 - Lists'!$L$2:$L$11,0))/100000),"")</f>
        <v/>
      </c>
      <c r="BM34" s="35" t="str">
        <f aca="false">IFERROR(IF(BF34="","",BF34*INDEX('00 - Lists'!$M$2:$M$11,MATCH(L34,'00 - Lists'!$L$2:$L$11,0))/100000),"")</f>
        <v/>
      </c>
      <c r="BN34" s="35" t="str">
        <f aca="false">IFERROR(IF(BG34="","",BG34*INDEX('00 - Lists'!$M$2:$M$11,MATCH(L34,'00 - Lists'!$L$2:$L$11,0))/100000),"")</f>
        <v/>
      </c>
      <c r="BO34" s="35" t="str">
        <f aca="false">IFERROR(IF(BH34="","",BH34*INDEX('00 - Lists'!$M$2:$M$11,MATCH(L34,'00 - Lists'!$L$2:$L$11,0))/100000),"")</f>
        <v/>
      </c>
      <c r="BP34" s="35" t="str">
        <f aca="false">IFERROR(IF(BI34="","",BI34*INDEX('00 - Lists'!$M$2:$M$11,MATCH(L34,'00 - Lists'!$L$2:$L$11,0))/100000),"")</f>
        <v/>
      </c>
      <c r="BS34" s="36" t="str">
        <f aca="false">IF(O34="","",IF(O34&gt;=20,"Yes","No"))</f>
        <v/>
      </c>
      <c r="BT34" s="36" t="str">
        <f aca="false">IF(O34="","",IF(O34&gt;=30,"Yes","No"))</f>
        <v/>
      </c>
      <c r="BU34" s="36" t="str">
        <f aca="false">IF(O34="","",IF(O34&gt;=75,"Yes","No"))</f>
        <v/>
      </c>
      <c r="BV34" s="36" t="str">
        <f aca="false">IF(O34="","",IF(O34&gt;=100,"Yes","No"))</f>
        <v/>
      </c>
      <c r="BW34" s="36" t="str">
        <f aca="false">IF(O34="","",IF(O34&gt;=150,"Yes","No"))</f>
        <v/>
      </c>
      <c r="BX34" s="36" t="str">
        <f aca="false">IF(O34="","",IF(O34&gt;=200,"Yes","No"))</f>
        <v/>
      </c>
      <c r="BY34" s="36" t="str">
        <f aca="false">IF(Q34="","",IF(Q34&gt;=150000,"Yes","No"))</f>
        <v/>
      </c>
      <c r="BZ34" s="36" t="str">
        <f aca="false">IF(Q34="","",IF(Q34&gt;=200000,"Yes","No"))</f>
        <v/>
      </c>
      <c r="CA34" s="36" t="str">
        <f aca="false">IF(Q34="","",IF(Q34&gt;=250000,"Yes","No"))</f>
        <v/>
      </c>
      <c r="CB34" s="36" t="str">
        <f aca="false">IF(Q34="","",IF(Q34&gt;=300000,"Yes","No"))</f>
        <v/>
      </c>
      <c r="CC34" s="37"/>
      <c r="CD34" s="36" t="str">
        <f aca="true">IF(B34="","",IF(TODAY()-B34&lt;=7,"🟢 0-7d",IF(TODAY()-B34&lt;=30,"🟡 8-30d",IF(TODAY()-B34&lt;=60,"🟠 31-60d","🔴 60d+"))))</f>
        <v/>
      </c>
      <c r="CE34" s="36" t="str">
        <f aca="false">IF(G34="","",IF(G34&lt;&gt;"USA","N/A - Not USA Role",IF(J34="Yes",IF(OR(F34="Intern",F34="New Grad"),"🟡 Possible","🟢 Strong"),IF(J34="No","🔴 Difficult","⚪ Unknown"))))</f>
        <v/>
      </c>
      <c r="CF34" s="37"/>
      <c r="CG34" s="37"/>
      <c r="CH34" s="38"/>
      <c r="CI34" s="38"/>
      <c r="CJ34" s="38"/>
      <c r="CK34" s="38"/>
    </row>
    <row r="35" customFormat="false" ht="15" hidden="false" customHeight="true" outlineLevel="0" collapsed="false">
      <c r="A35" s="26" t="str">
        <f aca="false">IF($C35="","",ROW()-3)</f>
        <v/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9"/>
      <c r="N35" s="29"/>
      <c r="O35" s="30" t="str">
        <f aca="false">IFERROR(IF(M35="","",M35*INDEX('00 - Lists'!$M$2:$M$11,MATCH(L35,'00 - Lists'!$L$2:$L$11,0))/100000),"")</f>
        <v/>
      </c>
      <c r="P35" s="30" t="str">
        <f aca="false">IFERROR(IF(N35="","",N35*INDEX('00 - Lists'!$M$2:$M$11,MATCH(L35,'00 - Lists'!$L$2:$L$11,0))/100000),"")</f>
        <v/>
      </c>
      <c r="Q35" s="31" t="str">
        <f aca="false">IFERROR(IF(M35="","",M35*INDEX('00 - Lists'!$N$2:$N$11,MATCH(L35,'00 - Lists'!$L$2:$L$11,0))),"")</f>
        <v/>
      </c>
      <c r="R35" s="31" t="str">
        <f aca="false">IFERROR(IF(N35="","",N35*INDEX('00 - Lists'!$N$2:$N$11,MATCH(L35,'00 - Lists'!$L$2:$L$11,0))),"")</f>
        <v/>
      </c>
      <c r="S35" s="32" t="str">
        <f aca="false">IF(O35="","",IF(O35&gt;=50,"Yes","No"))</f>
        <v/>
      </c>
      <c r="T35" s="32" t="str">
        <f aca="false">IF(Q35="","",IF(Q35&gt;=100000,"Yes","No"))</f>
        <v/>
      </c>
      <c r="U35" s="28"/>
      <c r="V35" s="28"/>
      <c r="W35" s="28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J35" s="34" t="str">
        <f aca="false">IF(OR($BD35&lt;&gt;"",$BF35&lt;&gt;"",$BH35&lt;&gt;""),"Yes","No")</f>
        <v>No</v>
      </c>
      <c r="BK35" s="35" t="str">
        <f aca="false">IFERROR(IF(BD35="","",BD35*INDEX('00 - Lists'!$M$2:$M$11,MATCH(L35,'00 - Lists'!$L$2:$L$11,0))/100000),"")</f>
        <v/>
      </c>
      <c r="BL35" s="35" t="str">
        <f aca="false">IFERROR(IF(BE35="","",BE35*INDEX('00 - Lists'!$M$2:$M$11,MATCH(L35,'00 - Lists'!$L$2:$L$11,0))/100000),"")</f>
        <v/>
      </c>
      <c r="BM35" s="35" t="str">
        <f aca="false">IFERROR(IF(BF35="","",BF35*INDEX('00 - Lists'!$M$2:$M$11,MATCH(L35,'00 - Lists'!$L$2:$L$11,0))/100000),"")</f>
        <v/>
      </c>
      <c r="BN35" s="35" t="str">
        <f aca="false">IFERROR(IF(BG35="","",BG35*INDEX('00 - Lists'!$M$2:$M$11,MATCH(L35,'00 - Lists'!$L$2:$L$11,0))/100000),"")</f>
        <v/>
      </c>
      <c r="BO35" s="35" t="str">
        <f aca="false">IFERROR(IF(BH35="","",BH35*INDEX('00 - Lists'!$M$2:$M$11,MATCH(L35,'00 - Lists'!$L$2:$L$11,0))/100000),"")</f>
        <v/>
      </c>
      <c r="BP35" s="35" t="str">
        <f aca="false">IFERROR(IF(BI35="","",BI35*INDEX('00 - Lists'!$M$2:$M$11,MATCH(L35,'00 - Lists'!$L$2:$L$11,0))/100000),"")</f>
        <v/>
      </c>
      <c r="BS35" s="36" t="str">
        <f aca="false">IF(O35="","",IF(O35&gt;=20,"Yes","No"))</f>
        <v/>
      </c>
      <c r="BT35" s="36" t="str">
        <f aca="false">IF(O35="","",IF(O35&gt;=30,"Yes","No"))</f>
        <v/>
      </c>
      <c r="BU35" s="36" t="str">
        <f aca="false">IF(O35="","",IF(O35&gt;=75,"Yes","No"))</f>
        <v/>
      </c>
      <c r="BV35" s="36" t="str">
        <f aca="false">IF(O35="","",IF(O35&gt;=100,"Yes","No"))</f>
        <v/>
      </c>
      <c r="BW35" s="36" t="str">
        <f aca="false">IF(O35="","",IF(O35&gt;=150,"Yes","No"))</f>
        <v/>
      </c>
      <c r="BX35" s="36" t="str">
        <f aca="false">IF(O35="","",IF(O35&gt;=200,"Yes","No"))</f>
        <v/>
      </c>
      <c r="BY35" s="36" t="str">
        <f aca="false">IF(Q35="","",IF(Q35&gt;=150000,"Yes","No"))</f>
        <v/>
      </c>
      <c r="BZ35" s="36" t="str">
        <f aca="false">IF(Q35="","",IF(Q35&gt;=200000,"Yes","No"))</f>
        <v/>
      </c>
      <c r="CA35" s="36" t="str">
        <f aca="false">IF(Q35="","",IF(Q35&gt;=250000,"Yes","No"))</f>
        <v/>
      </c>
      <c r="CB35" s="36" t="str">
        <f aca="false">IF(Q35="","",IF(Q35&gt;=300000,"Yes","No"))</f>
        <v/>
      </c>
      <c r="CC35" s="37"/>
      <c r="CD35" s="36" t="str">
        <f aca="true">IF(B35="","",IF(TODAY()-B35&lt;=7,"🟢 0-7d",IF(TODAY()-B35&lt;=30,"🟡 8-30d",IF(TODAY()-B35&lt;=60,"🟠 31-60d","🔴 60d+"))))</f>
        <v/>
      </c>
      <c r="CE35" s="36" t="str">
        <f aca="false">IF(G35="","",IF(G35&lt;&gt;"USA","N/A - Not USA Role",IF(J35="Yes",IF(OR(F35="Intern",F35="New Grad"),"🟡 Possible","🟢 Strong"),IF(J35="No","🔴 Difficult","⚪ Unknown"))))</f>
        <v/>
      </c>
      <c r="CF35" s="37"/>
      <c r="CG35" s="37"/>
      <c r="CH35" s="38"/>
      <c r="CI35" s="38"/>
      <c r="CJ35" s="38"/>
      <c r="CK35" s="38"/>
    </row>
    <row r="36" customFormat="false" ht="15" hidden="false" customHeight="true" outlineLevel="0" collapsed="false">
      <c r="A36" s="26" t="str">
        <f aca="false">IF($C36="","",ROW()-3)</f>
        <v/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9"/>
      <c r="N36" s="29"/>
      <c r="O36" s="30" t="str">
        <f aca="false">IFERROR(IF(M36="","",M36*INDEX('00 - Lists'!$M$2:$M$11,MATCH(L36,'00 - Lists'!$L$2:$L$11,0))/100000),"")</f>
        <v/>
      </c>
      <c r="P36" s="30" t="str">
        <f aca="false">IFERROR(IF(N36="","",N36*INDEX('00 - Lists'!$M$2:$M$11,MATCH(L36,'00 - Lists'!$L$2:$L$11,0))/100000),"")</f>
        <v/>
      </c>
      <c r="Q36" s="31" t="str">
        <f aca="false">IFERROR(IF(M36="","",M36*INDEX('00 - Lists'!$N$2:$N$11,MATCH(L36,'00 - Lists'!$L$2:$L$11,0))),"")</f>
        <v/>
      </c>
      <c r="R36" s="31" t="str">
        <f aca="false">IFERROR(IF(N36="","",N36*INDEX('00 - Lists'!$N$2:$N$11,MATCH(L36,'00 - Lists'!$L$2:$L$11,0))),"")</f>
        <v/>
      </c>
      <c r="S36" s="32" t="str">
        <f aca="false">IF(O36="","",IF(O36&gt;=50,"Yes","No"))</f>
        <v/>
      </c>
      <c r="T36" s="32" t="str">
        <f aca="false">IF(Q36="","",IF(Q36&gt;=100000,"Yes","No"))</f>
        <v/>
      </c>
      <c r="U36" s="28"/>
      <c r="V36" s="28"/>
      <c r="W36" s="28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J36" s="34" t="str">
        <f aca="false">IF(OR($BD36&lt;&gt;"",$BF36&lt;&gt;"",$BH36&lt;&gt;""),"Yes","No")</f>
        <v>No</v>
      </c>
      <c r="BK36" s="35" t="str">
        <f aca="false">IFERROR(IF(BD36="","",BD36*INDEX('00 - Lists'!$M$2:$M$11,MATCH(L36,'00 - Lists'!$L$2:$L$11,0))/100000),"")</f>
        <v/>
      </c>
      <c r="BL36" s="35" t="str">
        <f aca="false">IFERROR(IF(BE36="","",BE36*INDEX('00 - Lists'!$M$2:$M$11,MATCH(L36,'00 - Lists'!$L$2:$L$11,0))/100000),"")</f>
        <v/>
      </c>
      <c r="BM36" s="35" t="str">
        <f aca="false">IFERROR(IF(BF36="","",BF36*INDEX('00 - Lists'!$M$2:$M$11,MATCH(L36,'00 - Lists'!$L$2:$L$11,0))/100000),"")</f>
        <v/>
      </c>
      <c r="BN36" s="35" t="str">
        <f aca="false">IFERROR(IF(BG36="","",BG36*INDEX('00 - Lists'!$M$2:$M$11,MATCH(L36,'00 - Lists'!$L$2:$L$11,0))/100000),"")</f>
        <v/>
      </c>
      <c r="BO36" s="35" t="str">
        <f aca="false">IFERROR(IF(BH36="","",BH36*INDEX('00 - Lists'!$M$2:$M$11,MATCH(L36,'00 - Lists'!$L$2:$L$11,0))/100000),"")</f>
        <v/>
      </c>
      <c r="BP36" s="35" t="str">
        <f aca="false">IFERROR(IF(BI36="","",BI36*INDEX('00 - Lists'!$M$2:$M$11,MATCH(L36,'00 - Lists'!$L$2:$L$11,0))/100000),"")</f>
        <v/>
      </c>
      <c r="BS36" s="36" t="str">
        <f aca="false">IF(O36="","",IF(O36&gt;=20,"Yes","No"))</f>
        <v/>
      </c>
      <c r="BT36" s="36" t="str">
        <f aca="false">IF(O36="","",IF(O36&gt;=30,"Yes","No"))</f>
        <v/>
      </c>
      <c r="BU36" s="36" t="str">
        <f aca="false">IF(O36="","",IF(O36&gt;=75,"Yes","No"))</f>
        <v/>
      </c>
      <c r="BV36" s="36" t="str">
        <f aca="false">IF(O36="","",IF(O36&gt;=100,"Yes","No"))</f>
        <v/>
      </c>
      <c r="BW36" s="36" t="str">
        <f aca="false">IF(O36="","",IF(O36&gt;=150,"Yes","No"))</f>
        <v/>
      </c>
      <c r="BX36" s="36" t="str">
        <f aca="false">IF(O36="","",IF(O36&gt;=200,"Yes","No"))</f>
        <v/>
      </c>
      <c r="BY36" s="36" t="str">
        <f aca="false">IF(Q36="","",IF(Q36&gt;=150000,"Yes","No"))</f>
        <v/>
      </c>
      <c r="BZ36" s="36" t="str">
        <f aca="false">IF(Q36="","",IF(Q36&gt;=200000,"Yes","No"))</f>
        <v/>
      </c>
      <c r="CA36" s="36" t="str">
        <f aca="false">IF(Q36="","",IF(Q36&gt;=250000,"Yes","No"))</f>
        <v/>
      </c>
      <c r="CB36" s="36" t="str">
        <f aca="false">IF(Q36="","",IF(Q36&gt;=300000,"Yes","No"))</f>
        <v/>
      </c>
      <c r="CC36" s="37"/>
      <c r="CD36" s="36" t="str">
        <f aca="true">IF(B36="","",IF(TODAY()-B36&lt;=7,"🟢 0-7d",IF(TODAY()-B36&lt;=30,"🟡 8-30d",IF(TODAY()-B36&lt;=60,"🟠 31-60d","🔴 60d+"))))</f>
        <v/>
      </c>
      <c r="CE36" s="36" t="str">
        <f aca="false">IF(G36="","",IF(G36&lt;&gt;"USA","N/A - Not USA Role",IF(J36="Yes",IF(OR(F36="Intern",F36="New Grad"),"🟡 Possible","🟢 Strong"),IF(J36="No","🔴 Difficult","⚪ Unknown"))))</f>
        <v/>
      </c>
      <c r="CF36" s="37"/>
      <c r="CG36" s="37"/>
      <c r="CH36" s="38"/>
      <c r="CI36" s="38"/>
      <c r="CJ36" s="38"/>
      <c r="CK36" s="38"/>
    </row>
    <row r="37" customFormat="false" ht="15" hidden="false" customHeight="true" outlineLevel="0" collapsed="false">
      <c r="A37" s="26" t="str">
        <f aca="false">IF($C37="","",ROW()-3)</f>
        <v/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9"/>
      <c r="O37" s="30" t="str">
        <f aca="false">IFERROR(IF(M37="","",M37*INDEX('00 - Lists'!$M$2:$M$11,MATCH(L37,'00 - Lists'!$L$2:$L$11,0))/100000),"")</f>
        <v/>
      </c>
      <c r="P37" s="30" t="str">
        <f aca="false">IFERROR(IF(N37="","",N37*INDEX('00 - Lists'!$M$2:$M$11,MATCH(L37,'00 - Lists'!$L$2:$L$11,0))/100000),"")</f>
        <v/>
      </c>
      <c r="Q37" s="31" t="str">
        <f aca="false">IFERROR(IF(M37="","",M37*INDEX('00 - Lists'!$N$2:$N$11,MATCH(L37,'00 - Lists'!$L$2:$L$11,0))),"")</f>
        <v/>
      </c>
      <c r="R37" s="31" t="str">
        <f aca="false">IFERROR(IF(N37="","",N37*INDEX('00 - Lists'!$N$2:$N$11,MATCH(L37,'00 - Lists'!$L$2:$L$11,0))),"")</f>
        <v/>
      </c>
      <c r="S37" s="32" t="str">
        <f aca="false">IF(O37="","",IF(O37&gt;=50,"Yes","No"))</f>
        <v/>
      </c>
      <c r="T37" s="32" t="str">
        <f aca="false">IF(Q37="","",IF(Q37&gt;=100000,"Yes","No"))</f>
        <v/>
      </c>
      <c r="U37" s="28"/>
      <c r="V37" s="28"/>
      <c r="W37" s="28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J37" s="34" t="str">
        <f aca="false">IF(OR($BD37&lt;&gt;"",$BF37&lt;&gt;"",$BH37&lt;&gt;""),"Yes","No")</f>
        <v>No</v>
      </c>
      <c r="BK37" s="35" t="str">
        <f aca="false">IFERROR(IF(BD37="","",BD37*INDEX('00 - Lists'!$M$2:$M$11,MATCH(L37,'00 - Lists'!$L$2:$L$11,0))/100000),"")</f>
        <v/>
      </c>
      <c r="BL37" s="35" t="str">
        <f aca="false">IFERROR(IF(BE37="","",BE37*INDEX('00 - Lists'!$M$2:$M$11,MATCH(L37,'00 - Lists'!$L$2:$L$11,0))/100000),"")</f>
        <v/>
      </c>
      <c r="BM37" s="35" t="str">
        <f aca="false">IFERROR(IF(BF37="","",BF37*INDEX('00 - Lists'!$M$2:$M$11,MATCH(L37,'00 - Lists'!$L$2:$L$11,0))/100000),"")</f>
        <v/>
      </c>
      <c r="BN37" s="35" t="str">
        <f aca="false">IFERROR(IF(BG37="","",BG37*INDEX('00 - Lists'!$M$2:$M$11,MATCH(L37,'00 - Lists'!$L$2:$L$11,0))/100000),"")</f>
        <v/>
      </c>
      <c r="BO37" s="35" t="str">
        <f aca="false">IFERROR(IF(BH37="","",BH37*INDEX('00 - Lists'!$M$2:$M$11,MATCH(L37,'00 - Lists'!$L$2:$L$11,0))/100000),"")</f>
        <v/>
      </c>
      <c r="BP37" s="35" t="str">
        <f aca="false">IFERROR(IF(BI37="","",BI37*INDEX('00 - Lists'!$M$2:$M$11,MATCH(L37,'00 - Lists'!$L$2:$L$11,0))/100000),"")</f>
        <v/>
      </c>
      <c r="BS37" s="36" t="str">
        <f aca="false">IF(O37="","",IF(O37&gt;=20,"Yes","No"))</f>
        <v/>
      </c>
      <c r="BT37" s="36" t="str">
        <f aca="false">IF(O37="","",IF(O37&gt;=30,"Yes","No"))</f>
        <v/>
      </c>
      <c r="BU37" s="36" t="str">
        <f aca="false">IF(O37="","",IF(O37&gt;=75,"Yes","No"))</f>
        <v/>
      </c>
      <c r="BV37" s="36" t="str">
        <f aca="false">IF(O37="","",IF(O37&gt;=100,"Yes","No"))</f>
        <v/>
      </c>
      <c r="BW37" s="36" t="str">
        <f aca="false">IF(O37="","",IF(O37&gt;=150,"Yes","No"))</f>
        <v/>
      </c>
      <c r="BX37" s="36" t="str">
        <f aca="false">IF(O37="","",IF(O37&gt;=200,"Yes","No"))</f>
        <v/>
      </c>
      <c r="BY37" s="36" t="str">
        <f aca="false">IF(Q37="","",IF(Q37&gt;=150000,"Yes","No"))</f>
        <v/>
      </c>
      <c r="BZ37" s="36" t="str">
        <f aca="false">IF(Q37="","",IF(Q37&gt;=200000,"Yes","No"))</f>
        <v/>
      </c>
      <c r="CA37" s="36" t="str">
        <f aca="false">IF(Q37="","",IF(Q37&gt;=250000,"Yes","No"))</f>
        <v/>
      </c>
      <c r="CB37" s="36" t="str">
        <f aca="false">IF(Q37="","",IF(Q37&gt;=300000,"Yes","No"))</f>
        <v/>
      </c>
      <c r="CC37" s="37"/>
      <c r="CD37" s="36" t="str">
        <f aca="true">IF(B37="","",IF(TODAY()-B37&lt;=7,"🟢 0-7d",IF(TODAY()-B37&lt;=30,"🟡 8-30d",IF(TODAY()-B37&lt;=60,"🟠 31-60d","🔴 60d+"))))</f>
        <v/>
      </c>
      <c r="CE37" s="36" t="str">
        <f aca="false">IF(G37="","",IF(G37&lt;&gt;"USA","N/A - Not USA Role",IF(J37="Yes",IF(OR(F37="Intern",F37="New Grad"),"🟡 Possible","🟢 Strong"),IF(J37="No","🔴 Difficult","⚪ Unknown"))))</f>
        <v/>
      </c>
      <c r="CF37" s="37"/>
      <c r="CG37" s="37"/>
      <c r="CH37" s="38"/>
      <c r="CI37" s="38"/>
      <c r="CJ37" s="38"/>
      <c r="CK37" s="38"/>
    </row>
    <row r="38" customFormat="false" ht="15" hidden="false" customHeight="true" outlineLevel="0" collapsed="false">
      <c r="A38" s="26" t="str">
        <f aca="false">IF($C38="","",ROW()-3)</f>
        <v/>
      </c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9"/>
      <c r="N38" s="29"/>
      <c r="O38" s="30" t="str">
        <f aca="false">IFERROR(IF(M38="","",M38*INDEX('00 - Lists'!$M$2:$M$11,MATCH(L38,'00 - Lists'!$L$2:$L$11,0))/100000),"")</f>
        <v/>
      </c>
      <c r="P38" s="30" t="str">
        <f aca="false">IFERROR(IF(N38="","",N38*INDEX('00 - Lists'!$M$2:$M$11,MATCH(L38,'00 - Lists'!$L$2:$L$11,0))/100000),"")</f>
        <v/>
      </c>
      <c r="Q38" s="31" t="str">
        <f aca="false">IFERROR(IF(M38="","",M38*INDEX('00 - Lists'!$N$2:$N$11,MATCH(L38,'00 - Lists'!$L$2:$L$11,0))),"")</f>
        <v/>
      </c>
      <c r="R38" s="31" t="str">
        <f aca="false">IFERROR(IF(N38="","",N38*INDEX('00 - Lists'!$N$2:$N$11,MATCH(L38,'00 - Lists'!$L$2:$L$11,0))),"")</f>
        <v/>
      </c>
      <c r="S38" s="32" t="str">
        <f aca="false">IF(O38="","",IF(O38&gt;=50,"Yes","No"))</f>
        <v/>
      </c>
      <c r="T38" s="32" t="str">
        <f aca="false">IF(Q38="","",IF(Q38&gt;=100000,"Yes","No"))</f>
        <v/>
      </c>
      <c r="U38" s="28"/>
      <c r="V38" s="28"/>
      <c r="W38" s="28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J38" s="34" t="str">
        <f aca="false">IF(OR($BD38&lt;&gt;"",$BF38&lt;&gt;"",$BH38&lt;&gt;""),"Yes","No")</f>
        <v>No</v>
      </c>
      <c r="BK38" s="35" t="str">
        <f aca="false">IFERROR(IF(BD38="","",BD38*INDEX('00 - Lists'!$M$2:$M$11,MATCH(L38,'00 - Lists'!$L$2:$L$11,0))/100000),"")</f>
        <v/>
      </c>
      <c r="BL38" s="35" t="str">
        <f aca="false">IFERROR(IF(BE38="","",BE38*INDEX('00 - Lists'!$M$2:$M$11,MATCH(L38,'00 - Lists'!$L$2:$L$11,0))/100000),"")</f>
        <v/>
      </c>
      <c r="BM38" s="35" t="str">
        <f aca="false">IFERROR(IF(BF38="","",BF38*INDEX('00 - Lists'!$M$2:$M$11,MATCH(L38,'00 - Lists'!$L$2:$L$11,0))/100000),"")</f>
        <v/>
      </c>
      <c r="BN38" s="35" t="str">
        <f aca="false">IFERROR(IF(BG38="","",BG38*INDEX('00 - Lists'!$M$2:$M$11,MATCH(L38,'00 - Lists'!$L$2:$L$11,0))/100000),"")</f>
        <v/>
      </c>
      <c r="BO38" s="35" t="str">
        <f aca="false">IFERROR(IF(BH38="","",BH38*INDEX('00 - Lists'!$M$2:$M$11,MATCH(L38,'00 - Lists'!$L$2:$L$11,0))/100000),"")</f>
        <v/>
      </c>
      <c r="BP38" s="35" t="str">
        <f aca="false">IFERROR(IF(BI38="","",BI38*INDEX('00 - Lists'!$M$2:$M$11,MATCH(L38,'00 - Lists'!$L$2:$L$11,0))/100000),"")</f>
        <v/>
      </c>
      <c r="BS38" s="36" t="str">
        <f aca="false">IF(O38="","",IF(O38&gt;=20,"Yes","No"))</f>
        <v/>
      </c>
      <c r="BT38" s="36" t="str">
        <f aca="false">IF(O38="","",IF(O38&gt;=30,"Yes","No"))</f>
        <v/>
      </c>
      <c r="BU38" s="36" t="str">
        <f aca="false">IF(O38="","",IF(O38&gt;=75,"Yes","No"))</f>
        <v/>
      </c>
      <c r="BV38" s="36" t="str">
        <f aca="false">IF(O38="","",IF(O38&gt;=100,"Yes","No"))</f>
        <v/>
      </c>
      <c r="BW38" s="36" t="str">
        <f aca="false">IF(O38="","",IF(O38&gt;=150,"Yes","No"))</f>
        <v/>
      </c>
      <c r="BX38" s="36" t="str">
        <f aca="false">IF(O38="","",IF(O38&gt;=200,"Yes","No"))</f>
        <v/>
      </c>
      <c r="BY38" s="36" t="str">
        <f aca="false">IF(Q38="","",IF(Q38&gt;=150000,"Yes","No"))</f>
        <v/>
      </c>
      <c r="BZ38" s="36" t="str">
        <f aca="false">IF(Q38="","",IF(Q38&gt;=200000,"Yes","No"))</f>
        <v/>
      </c>
      <c r="CA38" s="36" t="str">
        <f aca="false">IF(Q38="","",IF(Q38&gt;=250000,"Yes","No"))</f>
        <v/>
      </c>
      <c r="CB38" s="36" t="str">
        <f aca="false">IF(Q38="","",IF(Q38&gt;=300000,"Yes","No"))</f>
        <v/>
      </c>
      <c r="CC38" s="37"/>
      <c r="CD38" s="36" t="str">
        <f aca="true">IF(B38="","",IF(TODAY()-B38&lt;=7,"🟢 0-7d",IF(TODAY()-B38&lt;=30,"🟡 8-30d",IF(TODAY()-B38&lt;=60,"🟠 31-60d","🔴 60d+"))))</f>
        <v/>
      </c>
      <c r="CE38" s="36" t="str">
        <f aca="false">IF(G38="","",IF(G38&lt;&gt;"USA","N/A - Not USA Role",IF(J38="Yes",IF(OR(F38="Intern",F38="New Grad"),"🟡 Possible","🟢 Strong"),IF(J38="No","🔴 Difficult","⚪ Unknown"))))</f>
        <v/>
      </c>
      <c r="CF38" s="37"/>
      <c r="CG38" s="37"/>
      <c r="CH38" s="38"/>
      <c r="CI38" s="38"/>
      <c r="CJ38" s="38"/>
      <c r="CK38" s="38"/>
    </row>
    <row r="39" customFormat="false" ht="15" hidden="false" customHeight="true" outlineLevel="0" collapsed="false">
      <c r="A39" s="26" t="str">
        <f aca="false">IF($C39="","",ROW()-3)</f>
        <v/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9"/>
      <c r="N39" s="29"/>
      <c r="O39" s="30" t="str">
        <f aca="false">IFERROR(IF(M39="","",M39*INDEX('00 - Lists'!$M$2:$M$11,MATCH(L39,'00 - Lists'!$L$2:$L$11,0))/100000),"")</f>
        <v/>
      </c>
      <c r="P39" s="30" t="str">
        <f aca="false">IFERROR(IF(N39="","",N39*INDEX('00 - Lists'!$M$2:$M$11,MATCH(L39,'00 - Lists'!$L$2:$L$11,0))/100000),"")</f>
        <v/>
      </c>
      <c r="Q39" s="31" t="str">
        <f aca="false">IFERROR(IF(M39="","",M39*INDEX('00 - Lists'!$N$2:$N$11,MATCH(L39,'00 - Lists'!$L$2:$L$11,0))),"")</f>
        <v/>
      </c>
      <c r="R39" s="31" t="str">
        <f aca="false">IFERROR(IF(N39="","",N39*INDEX('00 - Lists'!$N$2:$N$11,MATCH(L39,'00 - Lists'!$L$2:$L$11,0))),"")</f>
        <v/>
      </c>
      <c r="S39" s="32" t="str">
        <f aca="false">IF(O39="","",IF(O39&gt;=50,"Yes","No"))</f>
        <v/>
      </c>
      <c r="T39" s="32" t="str">
        <f aca="false">IF(Q39="","",IF(Q39&gt;=100000,"Yes","No"))</f>
        <v/>
      </c>
      <c r="U39" s="28"/>
      <c r="V39" s="28"/>
      <c r="W39" s="28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J39" s="34" t="str">
        <f aca="false">IF(OR($BD39&lt;&gt;"",$BF39&lt;&gt;"",$BH39&lt;&gt;""),"Yes","No")</f>
        <v>No</v>
      </c>
      <c r="BK39" s="35" t="str">
        <f aca="false">IFERROR(IF(BD39="","",BD39*INDEX('00 - Lists'!$M$2:$M$11,MATCH(L39,'00 - Lists'!$L$2:$L$11,0))/100000),"")</f>
        <v/>
      </c>
      <c r="BL39" s="35" t="str">
        <f aca="false">IFERROR(IF(BE39="","",BE39*INDEX('00 - Lists'!$M$2:$M$11,MATCH(L39,'00 - Lists'!$L$2:$L$11,0))/100000),"")</f>
        <v/>
      </c>
      <c r="BM39" s="35" t="str">
        <f aca="false">IFERROR(IF(BF39="","",BF39*INDEX('00 - Lists'!$M$2:$M$11,MATCH(L39,'00 - Lists'!$L$2:$L$11,0))/100000),"")</f>
        <v/>
      </c>
      <c r="BN39" s="35" t="str">
        <f aca="false">IFERROR(IF(BG39="","",BG39*INDEX('00 - Lists'!$M$2:$M$11,MATCH(L39,'00 - Lists'!$L$2:$L$11,0))/100000),"")</f>
        <v/>
      </c>
      <c r="BO39" s="35" t="str">
        <f aca="false">IFERROR(IF(BH39="","",BH39*INDEX('00 - Lists'!$M$2:$M$11,MATCH(L39,'00 - Lists'!$L$2:$L$11,0))/100000),"")</f>
        <v/>
      </c>
      <c r="BP39" s="35" t="str">
        <f aca="false">IFERROR(IF(BI39="","",BI39*INDEX('00 - Lists'!$M$2:$M$11,MATCH(L39,'00 - Lists'!$L$2:$L$11,0))/100000),"")</f>
        <v/>
      </c>
      <c r="BS39" s="36" t="str">
        <f aca="false">IF(O39="","",IF(O39&gt;=20,"Yes","No"))</f>
        <v/>
      </c>
      <c r="BT39" s="36" t="str">
        <f aca="false">IF(O39="","",IF(O39&gt;=30,"Yes","No"))</f>
        <v/>
      </c>
      <c r="BU39" s="36" t="str">
        <f aca="false">IF(O39="","",IF(O39&gt;=75,"Yes","No"))</f>
        <v/>
      </c>
      <c r="BV39" s="36" t="str">
        <f aca="false">IF(O39="","",IF(O39&gt;=100,"Yes","No"))</f>
        <v/>
      </c>
      <c r="BW39" s="36" t="str">
        <f aca="false">IF(O39="","",IF(O39&gt;=150,"Yes","No"))</f>
        <v/>
      </c>
      <c r="BX39" s="36" t="str">
        <f aca="false">IF(O39="","",IF(O39&gt;=200,"Yes","No"))</f>
        <v/>
      </c>
      <c r="BY39" s="36" t="str">
        <f aca="false">IF(Q39="","",IF(Q39&gt;=150000,"Yes","No"))</f>
        <v/>
      </c>
      <c r="BZ39" s="36" t="str">
        <f aca="false">IF(Q39="","",IF(Q39&gt;=200000,"Yes","No"))</f>
        <v/>
      </c>
      <c r="CA39" s="36" t="str">
        <f aca="false">IF(Q39="","",IF(Q39&gt;=250000,"Yes","No"))</f>
        <v/>
      </c>
      <c r="CB39" s="36" t="str">
        <f aca="false">IF(Q39="","",IF(Q39&gt;=300000,"Yes","No"))</f>
        <v/>
      </c>
      <c r="CC39" s="37"/>
      <c r="CD39" s="36" t="str">
        <f aca="true">IF(B39="","",IF(TODAY()-B39&lt;=7,"🟢 0-7d",IF(TODAY()-B39&lt;=30,"🟡 8-30d",IF(TODAY()-B39&lt;=60,"🟠 31-60d","🔴 60d+"))))</f>
        <v/>
      </c>
      <c r="CE39" s="36" t="str">
        <f aca="false">IF(G39="","",IF(G39&lt;&gt;"USA","N/A - Not USA Role",IF(J39="Yes",IF(OR(F39="Intern",F39="New Grad"),"🟡 Possible","🟢 Strong"),IF(J39="No","🔴 Difficult","⚪ Unknown"))))</f>
        <v/>
      </c>
      <c r="CF39" s="37"/>
      <c r="CG39" s="37"/>
      <c r="CH39" s="38"/>
      <c r="CI39" s="38"/>
      <c r="CJ39" s="38"/>
      <c r="CK39" s="38"/>
    </row>
    <row r="40" customFormat="false" ht="15" hidden="false" customHeight="true" outlineLevel="0" collapsed="false">
      <c r="A40" s="26" t="str">
        <f aca="false">IF($C40="","",ROW()-3)</f>
        <v/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9"/>
      <c r="N40" s="29"/>
      <c r="O40" s="30" t="str">
        <f aca="false">IFERROR(IF(M40="","",M40*INDEX('00 - Lists'!$M$2:$M$11,MATCH(L40,'00 - Lists'!$L$2:$L$11,0))/100000),"")</f>
        <v/>
      </c>
      <c r="P40" s="30" t="str">
        <f aca="false">IFERROR(IF(N40="","",N40*INDEX('00 - Lists'!$M$2:$M$11,MATCH(L40,'00 - Lists'!$L$2:$L$11,0))/100000),"")</f>
        <v/>
      </c>
      <c r="Q40" s="31" t="str">
        <f aca="false">IFERROR(IF(M40="","",M40*INDEX('00 - Lists'!$N$2:$N$11,MATCH(L40,'00 - Lists'!$L$2:$L$11,0))),"")</f>
        <v/>
      </c>
      <c r="R40" s="31" t="str">
        <f aca="false">IFERROR(IF(N40="","",N40*INDEX('00 - Lists'!$N$2:$N$11,MATCH(L40,'00 - Lists'!$L$2:$L$11,0))),"")</f>
        <v/>
      </c>
      <c r="S40" s="32" t="str">
        <f aca="false">IF(O40="","",IF(O40&gt;=50,"Yes","No"))</f>
        <v/>
      </c>
      <c r="T40" s="32" t="str">
        <f aca="false">IF(Q40="","",IF(Q40&gt;=100000,"Yes","No"))</f>
        <v/>
      </c>
      <c r="U40" s="28"/>
      <c r="V40" s="28"/>
      <c r="W40" s="28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J40" s="34" t="str">
        <f aca="false">IF(OR($BD40&lt;&gt;"",$BF40&lt;&gt;"",$BH40&lt;&gt;""),"Yes","No")</f>
        <v>No</v>
      </c>
      <c r="BK40" s="35" t="str">
        <f aca="false">IFERROR(IF(BD40="","",BD40*INDEX('00 - Lists'!$M$2:$M$11,MATCH(L40,'00 - Lists'!$L$2:$L$11,0))/100000),"")</f>
        <v/>
      </c>
      <c r="BL40" s="35" t="str">
        <f aca="false">IFERROR(IF(BE40="","",BE40*INDEX('00 - Lists'!$M$2:$M$11,MATCH(L40,'00 - Lists'!$L$2:$L$11,0))/100000),"")</f>
        <v/>
      </c>
      <c r="BM40" s="35" t="str">
        <f aca="false">IFERROR(IF(BF40="","",BF40*INDEX('00 - Lists'!$M$2:$M$11,MATCH(L40,'00 - Lists'!$L$2:$L$11,0))/100000),"")</f>
        <v/>
      </c>
      <c r="BN40" s="35" t="str">
        <f aca="false">IFERROR(IF(BG40="","",BG40*INDEX('00 - Lists'!$M$2:$M$11,MATCH(L40,'00 - Lists'!$L$2:$L$11,0))/100000),"")</f>
        <v/>
      </c>
      <c r="BO40" s="35" t="str">
        <f aca="false">IFERROR(IF(BH40="","",BH40*INDEX('00 - Lists'!$M$2:$M$11,MATCH(L40,'00 - Lists'!$L$2:$L$11,0))/100000),"")</f>
        <v/>
      </c>
      <c r="BP40" s="35" t="str">
        <f aca="false">IFERROR(IF(BI40="","",BI40*INDEX('00 - Lists'!$M$2:$M$11,MATCH(L40,'00 - Lists'!$L$2:$L$11,0))/100000),"")</f>
        <v/>
      </c>
      <c r="BS40" s="36" t="str">
        <f aca="false">IF(O40="","",IF(O40&gt;=20,"Yes","No"))</f>
        <v/>
      </c>
      <c r="BT40" s="36" t="str">
        <f aca="false">IF(O40="","",IF(O40&gt;=30,"Yes","No"))</f>
        <v/>
      </c>
      <c r="BU40" s="36" t="str">
        <f aca="false">IF(O40="","",IF(O40&gt;=75,"Yes","No"))</f>
        <v/>
      </c>
      <c r="BV40" s="36" t="str">
        <f aca="false">IF(O40="","",IF(O40&gt;=100,"Yes","No"))</f>
        <v/>
      </c>
      <c r="BW40" s="36" t="str">
        <f aca="false">IF(O40="","",IF(O40&gt;=150,"Yes","No"))</f>
        <v/>
      </c>
      <c r="BX40" s="36" t="str">
        <f aca="false">IF(O40="","",IF(O40&gt;=200,"Yes","No"))</f>
        <v/>
      </c>
      <c r="BY40" s="36" t="str">
        <f aca="false">IF(Q40="","",IF(Q40&gt;=150000,"Yes","No"))</f>
        <v/>
      </c>
      <c r="BZ40" s="36" t="str">
        <f aca="false">IF(Q40="","",IF(Q40&gt;=200000,"Yes","No"))</f>
        <v/>
      </c>
      <c r="CA40" s="36" t="str">
        <f aca="false">IF(Q40="","",IF(Q40&gt;=250000,"Yes","No"))</f>
        <v/>
      </c>
      <c r="CB40" s="36" t="str">
        <f aca="false">IF(Q40="","",IF(Q40&gt;=300000,"Yes","No"))</f>
        <v/>
      </c>
      <c r="CC40" s="37"/>
      <c r="CD40" s="36" t="str">
        <f aca="true">IF(B40="","",IF(TODAY()-B40&lt;=7,"🟢 0-7d",IF(TODAY()-B40&lt;=30,"🟡 8-30d",IF(TODAY()-B40&lt;=60,"🟠 31-60d","🔴 60d+"))))</f>
        <v/>
      </c>
      <c r="CE40" s="36" t="str">
        <f aca="false">IF(G40="","",IF(G40&lt;&gt;"USA","N/A - Not USA Role",IF(J40="Yes",IF(OR(F40="Intern",F40="New Grad"),"🟡 Possible","🟢 Strong"),IF(J40="No","🔴 Difficult","⚪ Unknown"))))</f>
        <v/>
      </c>
      <c r="CF40" s="37"/>
      <c r="CG40" s="37"/>
      <c r="CH40" s="38"/>
      <c r="CI40" s="38"/>
      <c r="CJ40" s="38"/>
      <c r="CK40" s="38"/>
    </row>
    <row r="41" customFormat="false" ht="15" hidden="false" customHeight="true" outlineLevel="0" collapsed="false">
      <c r="A41" s="26" t="str">
        <f aca="false">IF($C41="","",ROW()-3)</f>
        <v/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9"/>
      <c r="N41" s="29"/>
      <c r="O41" s="30" t="str">
        <f aca="false">IFERROR(IF(M41="","",M41*INDEX('00 - Lists'!$M$2:$M$11,MATCH(L41,'00 - Lists'!$L$2:$L$11,0))/100000),"")</f>
        <v/>
      </c>
      <c r="P41" s="30" t="str">
        <f aca="false">IFERROR(IF(N41="","",N41*INDEX('00 - Lists'!$M$2:$M$11,MATCH(L41,'00 - Lists'!$L$2:$L$11,0))/100000),"")</f>
        <v/>
      </c>
      <c r="Q41" s="31" t="str">
        <f aca="false">IFERROR(IF(M41="","",M41*INDEX('00 - Lists'!$N$2:$N$11,MATCH(L41,'00 - Lists'!$L$2:$L$11,0))),"")</f>
        <v/>
      </c>
      <c r="R41" s="31" t="str">
        <f aca="false">IFERROR(IF(N41="","",N41*INDEX('00 - Lists'!$N$2:$N$11,MATCH(L41,'00 - Lists'!$L$2:$L$11,0))),"")</f>
        <v/>
      </c>
      <c r="S41" s="32" t="str">
        <f aca="false">IF(O41="","",IF(O41&gt;=50,"Yes","No"))</f>
        <v/>
      </c>
      <c r="T41" s="32" t="str">
        <f aca="false">IF(Q41="","",IF(Q41&gt;=100000,"Yes","No"))</f>
        <v/>
      </c>
      <c r="U41" s="28"/>
      <c r="V41" s="28"/>
      <c r="W41" s="28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J41" s="34" t="str">
        <f aca="false">IF(OR($BD41&lt;&gt;"",$BF41&lt;&gt;"",$BH41&lt;&gt;""),"Yes","No")</f>
        <v>No</v>
      </c>
      <c r="BK41" s="35" t="str">
        <f aca="false">IFERROR(IF(BD41="","",BD41*INDEX('00 - Lists'!$M$2:$M$11,MATCH(L41,'00 - Lists'!$L$2:$L$11,0))/100000),"")</f>
        <v/>
      </c>
      <c r="BL41" s="35" t="str">
        <f aca="false">IFERROR(IF(BE41="","",BE41*INDEX('00 - Lists'!$M$2:$M$11,MATCH(L41,'00 - Lists'!$L$2:$L$11,0))/100000),"")</f>
        <v/>
      </c>
      <c r="BM41" s="35" t="str">
        <f aca="false">IFERROR(IF(BF41="","",BF41*INDEX('00 - Lists'!$M$2:$M$11,MATCH(L41,'00 - Lists'!$L$2:$L$11,0))/100000),"")</f>
        <v/>
      </c>
      <c r="BN41" s="35" t="str">
        <f aca="false">IFERROR(IF(BG41="","",BG41*INDEX('00 - Lists'!$M$2:$M$11,MATCH(L41,'00 - Lists'!$L$2:$L$11,0))/100000),"")</f>
        <v/>
      </c>
      <c r="BO41" s="35" t="str">
        <f aca="false">IFERROR(IF(BH41="","",BH41*INDEX('00 - Lists'!$M$2:$M$11,MATCH(L41,'00 - Lists'!$L$2:$L$11,0))/100000),"")</f>
        <v/>
      </c>
      <c r="BP41" s="35" t="str">
        <f aca="false">IFERROR(IF(BI41="","",BI41*INDEX('00 - Lists'!$M$2:$M$11,MATCH(L41,'00 - Lists'!$L$2:$L$11,0))/100000),"")</f>
        <v/>
      </c>
      <c r="BS41" s="36" t="str">
        <f aca="false">IF(O41="","",IF(O41&gt;=20,"Yes","No"))</f>
        <v/>
      </c>
      <c r="BT41" s="36" t="str">
        <f aca="false">IF(O41="","",IF(O41&gt;=30,"Yes","No"))</f>
        <v/>
      </c>
      <c r="BU41" s="36" t="str">
        <f aca="false">IF(O41="","",IF(O41&gt;=75,"Yes","No"))</f>
        <v/>
      </c>
      <c r="BV41" s="36" t="str">
        <f aca="false">IF(O41="","",IF(O41&gt;=100,"Yes","No"))</f>
        <v/>
      </c>
      <c r="BW41" s="36" t="str">
        <f aca="false">IF(O41="","",IF(O41&gt;=150,"Yes","No"))</f>
        <v/>
      </c>
      <c r="BX41" s="36" t="str">
        <f aca="false">IF(O41="","",IF(O41&gt;=200,"Yes","No"))</f>
        <v/>
      </c>
      <c r="BY41" s="36" t="str">
        <f aca="false">IF(Q41="","",IF(Q41&gt;=150000,"Yes","No"))</f>
        <v/>
      </c>
      <c r="BZ41" s="36" t="str">
        <f aca="false">IF(Q41="","",IF(Q41&gt;=200000,"Yes","No"))</f>
        <v/>
      </c>
      <c r="CA41" s="36" t="str">
        <f aca="false">IF(Q41="","",IF(Q41&gt;=250000,"Yes","No"))</f>
        <v/>
      </c>
      <c r="CB41" s="36" t="str">
        <f aca="false">IF(Q41="","",IF(Q41&gt;=300000,"Yes","No"))</f>
        <v/>
      </c>
      <c r="CC41" s="37"/>
      <c r="CD41" s="36" t="str">
        <f aca="true">IF(B41="","",IF(TODAY()-B41&lt;=7,"🟢 0-7d",IF(TODAY()-B41&lt;=30,"🟡 8-30d",IF(TODAY()-B41&lt;=60,"🟠 31-60d","🔴 60d+"))))</f>
        <v/>
      </c>
      <c r="CE41" s="36" t="str">
        <f aca="false">IF(G41="","",IF(G41&lt;&gt;"USA","N/A - Not USA Role",IF(J41="Yes",IF(OR(F41="Intern",F41="New Grad"),"🟡 Possible","🟢 Strong"),IF(J41="No","🔴 Difficult","⚪ Unknown"))))</f>
        <v/>
      </c>
      <c r="CF41" s="37"/>
      <c r="CG41" s="37"/>
      <c r="CH41" s="38"/>
      <c r="CI41" s="38"/>
      <c r="CJ41" s="38"/>
      <c r="CK41" s="38"/>
    </row>
    <row r="42" customFormat="false" ht="15" hidden="false" customHeight="true" outlineLevel="0" collapsed="false">
      <c r="A42" s="26" t="str">
        <f aca="false">IF($C42="","",ROW()-3)</f>
        <v/>
      </c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9"/>
      <c r="N42" s="29"/>
      <c r="O42" s="30" t="str">
        <f aca="false">IFERROR(IF(M42="","",M42*INDEX('00 - Lists'!$M$2:$M$11,MATCH(L42,'00 - Lists'!$L$2:$L$11,0))/100000),"")</f>
        <v/>
      </c>
      <c r="P42" s="30" t="str">
        <f aca="false">IFERROR(IF(N42="","",N42*INDEX('00 - Lists'!$M$2:$M$11,MATCH(L42,'00 - Lists'!$L$2:$L$11,0))/100000),"")</f>
        <v/>
      </c>
      <c r="Q42" s="31" t="str">
        <f aca="false">IFERROR(IF(M42="","",M42*INDEX('00 - Lists'!$N$2:$N$11,MATCH(L42,'00 - Lists'!$L$2:$L$11,0))),"")</f>
        <v/>
      </c>
      <c r="R42" s="31" t="str">
        <f aca="false">IFERROR(IF(N42="","",N42*INDEX('00 - Lists'!$N$2:$N$11,MATCH(L42,'00 - Lists'!$L$2:$L$11,0))),"")</f>
        <v/>
      </c>
      <c r="S42" s="32" t="str">
        <f aca="false">IF(O42="","",IF(O42&gt;=50,"Yes","No"))</f>
        <v/>
      </c>
      <c r="T42" s="32" t="str">
        <f aca="false">IF(Q42="","",IF(Q42&gt;=100000,"Yes","No"))</f>
        <v/>
      </c>
      <c r="U42" s="28"/>
      <c r="V42" s="28"/>
      <c r="W42" s="28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J42" s="34" t="str">
        <f aca="false">IF(OR($BD42&lt;&gt;"",$BF42&lt;&gt;"",$BH42&lt;&gt;""),"Yes","No")</f>
        <v>No</v>
      </c>
      <c r="BK42" s="35" t="str">
        <f aca="false">IFERROR(IF(BD42="","",BD42*INDEX('00 - Lists'!$M$2:$M$11,MATCH(L42,'00 - Lists'!$L$2:$L$11,0))/100000),"")</f>
        <v/>
      </c>
      <c r="BL42" s="35" t="str">
        <f aca="false">IFERROR(IF(BE42="","",BE42*INDEX('00 - Lists'!$M$2:$M$11,MATCH(L42,'00 - Lists'!$L$2:$L$11,0))/100000),"")</f>
        <v/>
      </c>
      <c r="BM42" s="35" t="str">
        <f aca="false">IFERROR(IF(BF42="","",BF42*INDEX('00 - Lists'!$M$2:$M$11,MATCH(L42,'00 - Lists'!$L$2:$L$11,0))/100000),"")</f>
        <v/>
      </c>
      <c r="BN42" s="35" t="str">
        <f aca="false">IFERROR(IF(BG42="","",BG42*INDEX('00 - Lists'!$M$2:$M$11,MATCH(L42,'00 - Lists'!$L$2:$L$11,0))/100000),"")</f>
        <v/>
      </c>
      <c r="BO42" s="35" t="str">
        <f aca="false">IFERROR(IF(BH42="","",BH42*INDEX('00 - Lists'!$M$2:$M$11,MATCH(L42,'00 - Lists'!$L$2:$L$11,0))/100000),"")</f>
        <v/>
      </c>
      <c r="BP42" s="35" t="str">
        <f aca="false">IFERROR(IF(BI42="","",BI42*INDEX('00 - Lists'!$M$2:$M$11,MATCH(L42,'00 - Lists'!$L$2:$L$11,0))/100000),"")</f>
        <v/>
      </c>
      <c r="BS42" s="36" t="str">
        <f aca="false">IF(O42="","",IF(O42&gt;=20,"Yes","No"))</f>
        <v/>
      </c>
      <c r="BT42" s="36" t="str">
        <f aca="false">IF(O42="","",IF(O42&gt;=30,"Yes","No"))</f>
        <v/>
      </c>
      <c r="BU42" s="36" t="str">
        <f aca="false">IF(O42="","",IF(O42&gt;=75,"Yes","No"))</f>
        <v/>
      </c>
      <c r="BV42" s="36" t="str">
        <f aca="false">IF(O42="","",IF(O42&gt;=100,"Yes","No"))</f>
        <v/>
      </c>
      <c r="BW42" s="36" t="str">
        <f aca="false">IF(O42="","",IF(O42&gt;=150,"Yes","No"))</f>
        <v/>
      </c>
      <c r="BX42" s="36" t="str">
        <f aca="false">IF(O42="","",IF(O42&gt;=200,"Yes","No"))</f>
        <v/>
      </c>
      <c r="BY42" s="36" t="str">
        <f aca="false">IF(Q42="","",IF(Q42&gt;=150000,"Yes","No"))</f>
        <v/>
      </c>
      <c r="BZ42" s="36" t="str">
        <f aca="false">IF(Q42="","",IF(Q42&gt;=200000,"Yes","No"))</f>
        <v/>
      </c>
      <c r="CA42" s="36" t="str">
        <f aca="false">IF(Q42="","",IF(Q42&gt;=250000,"Yes","No"))</f>
        <v/>
      </c>
      <c r="CB42" s="36" t="str">
        <f aca="false">IF(Q42="","",IF(Q42&gt;=300000,"Yes","No"))</f>
        <v/>
      </c>
      <c r="CC42" s="37"/>
      <c r="CD42" s="36" t="str">
        <f aca="true">IF(B42="","",IF(TODAY()-B42&lt;=7,"🟢 0-7d",IF(TODAY()-B42&lt;=30,"🟡 8-30d",IF(TODAY()-B42&lt;=60,"🟠 31-60d","🔴 60d+"))))</f>
        <v/>
      </c>
      <c r="CE42" s="36" t="str">
        <f aca="false">IF(G42="","",IF(G42&lt;&gt;"USA","N/A - Not USA Role",IF(J42="Yes",IF(OR(F42="Intern",F42="New Grad"),"🟡 Possible","🟢 Strong"),IF(J42="No","🔴 Difficult","⚪ Unknown"))))</f>
        <v/>
      </c>
      <c r="CF42" s="37"/>
      <c r="CG42" s="37"/>
      <c r="CH42" s="38"/>
      <c r="CI42" s="38"/>
      <c r="CJ42" s="38"/>
      <c r="CK42" s="38"/>
    </row>
    <row r="43" customFormat="false" ht="15" hidden="false" customHeight="true" outlineLevel="0" collapsed="false">
      <c r="A43" s="26" t="str">
        <f aca="false">IF($C43="","",ROW()-3)</f>
        <v/>
      </c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9"/>
      <c r="N43" s="29"/>
      <c r="O43" s="30" t="str">
        <f aca="false">IFERROR(IF(M43="","",M43*INDEX('00 - Lists'!$M$2:$M$11,MATCH(L43,'00 - Lists'!$L$2:$L$11,0))/100000),"")</f>
        <v/>
      </c>
      <c r="P43" s="30" t="str">
        <f aca="false">IFERROR(IF(N43="","",N43*INDEX('00 - Lists'!$M$2:$M$11,MATCH(L43,'00 - Lists'!$L$2:$L$11,0))/100000),"")</f>
        <v/>
      </c>
      <c r="Q43" s="31" t="str">
        <f aca="false">IFERROR(IF(M43="","",M43*INDEX('00 - Lists'!$N$2:$N$11,MATCH(L43,'00 - Lists'!$L$2:$L$11,0))),"")</f>
        <v/>
      </c>
      <c r="R43" s="31" t="str">
        <f aca="false">IFERROR(IF(N43="","",N43*INDEX('00 - Lists'!$N$2:$N$11,MATCH(L43,'00 - Lists'!$L$2:$L$11,0))),"")</f>
        <v/>
      </c>
      <c r="S43" s="32" t="str">
        <f aca="false">IF(O43="","",IF(O43&gt;=50,"Yes","No"))</f>
        <v/>
      </c>
      <c r="T43" s="32" t="str">
        <f aca="false">IF(Q43="","",IF(Q43&gt;=100000,"Yes","No"))</f>
        <v/>
      </c>
      <c r="U43" s="28"/>
      <c r="V43" s="28"/>
      <c r="W43" s="28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J43" s="34" t="str">
        <f aca="false">IF(OR($BD43&lt;&gt;"",$BF43&lt;&gt;"",$BH43&lt;&gt;""),"Yes","No")</f>
        <v>No</v>
      </c>
      <c r="BK43" s="35" t="str">
        <f aca="false">IFERROR(IF(BD43="","",BD43*INDEX('00 - Lists'!$M$2:$M$11,MATCH(L43,'00 - Lists'!$L$2:$L$11,0))/100000),"")</f>
        <v/>
      </c>
      <c r="BL43" s="35" t="str">
        <f aca="false">IFERROR(IF(BE43="","",BE43*INDEX('00 - Lists'!$M$2:$M$11,MATCH(L43,'00 - Lists'!$L$2:$L$11,0))/100000),"")</f>
        <v/>
      </c>
      <c r="BM43" s="35" t="str">
        <f aca="false">IFERROR(IF(BF43="","",BF43*INDEX('00 - Lists'!$M$2:$M$11,MATCH(L43,'00 - Lists'!$L$2:$L$11,0))/100000),"")</f>
        <v/>
      </c>
      <c r="BN43" s="35" t="str">
        <f aca="false">IFERROR(IF(BG43="","",BG43*INDEX('00 - Lists'!$M$2:$M$11,MATCH(L43,'00 - Lists'!$L$2:$L$11,0))/100000),"")</f>
        <v/>
      </c>
      <c r="BO43" s="35" t="str">
        <f aca="false">IFERROR(IF(BH43="","",BH43*INDEX('00 - Lists'!$M$2:$M$11,MATCH(L43,'00 - Lists'!$L$2:$L$11,0))/100000),"")</f>
        <v/>
      </c>
      <c r="BP43" s="35" t="str">
        <f aca="false">IFERROR(IF(BI43="","",BI43*INDEX('00 - Lists'!$M$2:$M$11,MATCH(L43,'00 - Lists'!$L$2:$L$11,0))/100000),"")</f>
        <v/>
      </c>
      <c r="BS43" s="36" t="str">
        <f aca="false">IF(O43="","",IF(O43&gt;=20,"Yes","No"))</f>
        <v/>
      </c>
      <c r="BT43" s="36" t="str">
        <f aca="false">IF(O43="","",IF(O43&gt;=30,"Yes","No"))</f>
        <v/>
      </c>
      <c r="BU43" s="36" t="str">
        <f aca="false">IF(O43="","",IF(O43&gt;=75,"Yes","No"))</f>
        <v/>
      </c>
      <c r="BV43" s="36" t="str">
        <f aca="false">IF(O43="","",IF(O43&gt;=100,"Yes","No"))</f>
        <v/>
      </c>
      <c r="BW43" s="36" t="str">
        <f aca="false">IF(O43="","",IF(O43&gt;=150,"Yes","No"))</f>
        <v/>
      </c>
      <c r="BX43" s="36" t="str">
        <f aca="false">IF(O43="","",IF(O43&gt;=200,"Yes","No"))</f>
        <v/>
      </c>
      <c r="BY43" s="36" t="str">
        <f aca="false">IF(Q43="","",IF(Q43&gt;=150000,"Yes","No"))</f>
        <v/>
      </c>
      <c r="BZ43" s="36" t="str">
        <f aca="false">IF(Q43="","",IF(Q43&gt;=200000,"Yes","No"))</f>
        <v/>
      </c>
      <c r="CA43" s="36" t="str">
        <f aca="false">IF(Q43="","",IF(Q43&gt;=250000,"Yes","No"))</f>
        <v/>
      </c>
      <c r="CB43" s="36" t="str">
        <f aca="false">IF(Q43="","",IF(Q43&gt;=300000,"Yes","No"))</f>
        <v/>
      </c>
      <c r="CC43" s="37"/>
      <c r="CD43" s="36" t="str">
        <f aca="true">IF(B43="","",IF(TODAY()-B43&lt;=7,"🟢 0-7d",IF(TODAY()-B43&lt;=30,"🟡 8-30d",IF(TODAY()-B43&lt;=60,"🟠 31-60d","🔴 60d+"))))</f>
        <v/>
      </c>
      <c r="CE43" s="36" t="str">
        <f aca="false">IF(G43="","",IF(G43&lt;&gt;"USA","N/A - Not USA Role",IF(J43="Yes",IF(OR(F43="Intern",F43="New Grad"),"🟡 Possible","🟢 Strong"),IF(J43="No","🔴 Difficult","⚪ Unknown"))))</f>
        <v/>
      </c>
      <c r="CF43" s="37"/>
      <c r="CG43" s="37"/>
      <c r="CH43" s="38"/>
      <c r="CI43" s="38"/>
      <c r="CJ43" s="38"/>
      <c r="CK43" s="38"/>
    </row>
    <row r="44" customFormat="false" ht="15" hidden="false" customHeight="true" outlineLevel="0" collapsed="false">
      <c r="A44" s="26" t="str">
        <f aca="false">IF($C44="","",ROW()-3)</f>
        <v/>
      </c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9"/>
      <c r="O44" s="30" t="str">
        <f aca="false">IFERROR(IF(M44="","",M44*INDEX('00 - Lists'!$M$2:$M$11,MATCH(L44,'00 - Lists'!$L$2:$L$11,0))/100000),"")</f>
        <v/>
      </c>
      <c r="P44" s="30" t="str">
        <f aca="false">IFERROR(IF(N44="","",N44*INDEX('00 - Lists'!$M$2:$M$11,MATCH(L44,'00 - Lists'!$L$2:$L$11,0))/100000),"")</f>
        <v/>
      </c>
      <c r="Q44" s="31" t="str">
        <f aca="false">IFERROR(IF(M44="","",M44*INDEX('00 - Lists'!$N$2:$N$11,MATCH(L44,'00 - Lists'!$L$2:$L$11,0))),"")</f>
        <v/>
      </c>
      <c r="R44" s="31" t="str">
        <f aca="false">IFERROR(IF(N44="","",N44*INDEX('00 - Lists'!$N$2:$N$11,MATCH(L44,'00 - Lists'!$L$2:$L$11,0))),"")</f>
        <v/>
      </c>
      <c r="S44" s="32" t="str">
        <f aca="false">IF(O44="","",IF(O44&gt;=50,"Yes","No"))</f>
        <v/>
      </c>
      <c r="T44" s="32" t="str">
        <f aca="false">IF(Q44="","",IF(Q44&gt;=100000,"Yes","No"))</f>
        <v/>
      </c>
      <c r="U44" s="28"/>
      <c r="V44" s="28"/>
      <c r="W44" s="28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J44" s="34" t="str">
        <f aca="false">IF(OR($BD44&lt;&gt;"",$BF44&lt;&gt;"",$BH44&lt;&gt;""),"Yes","No")</f>
        <v>No</v>
      </c>
      <c r="BK44" s="35" t="str">
        <f aca="false">IFERROR(IF(BD44="","",BD44*INDEX('00 - Lists'!$M$2:$M$11,MATCH(L44,'00 - Lists'!$L$2:$L$11,0))/100000),"")</f>
        <v/>
      </c>
      <c r="BL44" s="35" t="str">
        <f aca="false">IFERROR(IF(BE44="","",BE44*INDEX('00 - Lists'!$M$2:$M$11,MATCH(L44,'00 - Lists'!$L$2:$L$11,0))/100000),"")</f>
        <v/>
      </c>
      <c r="BM44" s="35" t="str">
        <f aca="false">IFERROR(IF(BF44="","",BF44*INDEX('00 - Lists'!$M$2:$M$11,MATCH(L44,'00 - Lists'!$L$2:$L$11,0))/100000),"")</f>
        <v/>
      </c>
      <c r="BN44" s="35" t="str">
        <f aca="false">IFERROR(IF(BG44="","",BG44*INDEX('00 - Lists'!$M$2:$M$11,MATCH(L44,'00 - Lists'!$L$2:$L$11,0))/100000),"")</f>
        <v/>
      </c>
      <c r="BO44" s="35" t="str">
        <f aca="false">IFERROR(IF(BH44="","",BH44*INDEX('00 - Lists'!$M$2:$M$11,MATCH(L44,'00 - Lists'!$L$2:$L$11,0))/100000),"")</f>
        <v/>
      </c>
      <c r="BP44" s="35" t="str">
        <f aca="false">IFERROR(IF(BI44="","",BI44*INDEX('00 - Lists'!$M$2:$M$11,MATCH(L44,'00 - Lists'!$L$2:$L$11,0))/100000),"")</f>
        <v/>
      </c>
      <c r="BS44" s="36" t="str">
        <f aca="false">IF(O44="","",IF(O44&gt;=20,"Yes","No"))</f>
        <v/>
      </c>
      <c r="BT44" s="36" t="str">
        <f aca="false">IF(O44="","",IF(O44&gt;=30,"Yes","No"))</f>
        <v/>
      </c>
      <c r="BU44" s="36" t="str">
        <f aca="false">IF(O44="","",IF(O44&gt;=75,"Yes","No"))</f>
        <v/>
      </c>
      <c r="BV44" s="36" t="str">
        <f aca="false">IF(O44="","",IF(O44&gt;=100,"Yes","No"))</f>
        <v/>
      </c>
      <c r="BW44" s="36" t="str">
        <f aca="false">IF(O44="","",IF(O44&gt;=150,"Yes","No"))</f>
        <v/>
      </c>
      <c r="BX44" s="36" t="str">
        <f aca="false">IF(O44="","",IF(O44&gt;=200,"Yes","No"))</f>
        <v/>
      </c>
      <c r="BY44" s="36" t="str">
        <f aca="false">IF(Q44="","",IF(Q44&gt;=150000,"Yes","No"))</f>
        <v/>
      </c>
      <c r="BZ44" s="36" t="str">
        <f aca="false">IF(Q44="","",IF(Q44&gt;=200000,"Yes","No"))</f>
        <v/>
      </c>
      <c r="CA44" s="36" t="str">
        <f aca="false">IF(Q44="","",IF(Q44&gt;=250000,"Yes","No"))</f>
        <v/>
      </c>
      <c r="CB44" s="36" t="str">
        <f aca="false">IF(Q44="","",IF(Q44&gt;=300000,"Yes","No"))</f>
        <v/>
      </c>
      <c r="CC44" s="37"/>
      <c r="CD44" s="36" t="str">
        <f aca="true">IF(B44="","",IF(TODAY()-B44&lt;=7,"🟢 0-7d",IF(TODAY()-B44&lt;=30,"🟡 8-30d",IF(TODAY()-B44&lt;=60,"🟠 31-60d","🔴 60d+"))))</f>
        <v/>
      </c>
      <c r="CE44" s="36" t="str">
        <f aca="false">IF(G44="","",IF(G44&lt;&gt;"USA","N/A - Not USA Role",IF(J44="Yes",IF(OR(F44="Intern",F44="New Grad"),"🟡 Possible","🟢 Strong"),IF(J44="No","🔴 Difficult","⚪ Unknown"))))</f>
        <v/>
      </c>
      <c r="CF44" s="37"/>
      <c r="CG44" s="37"/>
      <c r="CH44" s="38"/>
      <c r="CI44" s="38"/>
      <c r="CJ44" s="38"/>
      <c r="CK44" s="38"/>
    </row>
    <row r="45" customFormat="false" ht="15" hidden="false" customHeight="true" outlineLevel="0" collapsed="false">
      <c r="A45" s="26" t="str">
        <f aca="false">IF($C45="","",ROW()-3)</f>
        <v/>
      </c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9"/>
      <c r="N45" s="29"/>
      <c r="O45" s="30" t="str">
        <f aca="false">IFERROR(IF(M45="","",M45*INDEX('00 - Lists'!$M$2:$M$11,MATCH(L45,'00 - Lists'!$L$2:$L$11,0))/100000),"")</f>
        <v/>
      </c>
      <c r="P45" s="30" t="str">
        <f aca="false">IFERROR(IF(N45="","",N45*INDEX('00 - Lists'!$M$2:$M$11,MATCH(L45,'00 - Lists'!$L$2:$L$11,0))/100000),"")</f>
        <v/>
      </c>
      <c r="Q45" s="31" t="str">
        <f aca="false">IFERROR(IF(M45="","",M45*INDEX('00 - Lists'!$N$2:$N$11,MATCH(L45,'00 - Lists'!$L$2:$L$11,0))),"")</f>
        <v/>
      </c>
      <c r="R45" s="31" t="str">
        <f aca="false">IFERROR(IF(N45="","",N45*INDEX('00 - Lists'!$N$2:$N$11,MATCH(L45,'00 - Lists'!$L$2:$L$11,0))),"")</f>
        <v/>
      </c>
      <c r="S45" s="32" t="str">
        <f aca="false">IF(O45="","",IF(O45&gt;=50,"Yes","No"))</f>
        <v/>
      </c>
      <c r="T45" s="32" t="str">
        <f aca="false">IF(Q45="","",IF(Q45&gt;=100000,"Yes","No"))</f>
        <v/>
      </c>
      <c r="U45" s="28"/>
      <c r="V45" s="28"/>
      <c r="W45" s="28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J45" s="34" t="str">
        <f aca="false">IF(OR($BD45&lt;&gt;"",$BF45&lt;&gt;"",$BH45&lt;&gt;""),"Yes","No")</f>
        <v>No</v>
      </c>
      <c r="BK45" s="35" t="str">
        <f aca="false">IFERROR(IF(BD45="","",BD45*INDEX('00 - Lists'!$M$2:$M$11,MATCH(L45,'00 - Lists'!$L$2:$L$11,0))/100000),"")</f>
        <v/>
      </c>
      <c r="BL45" s="35" t="str">
        <f aca="false">IFERROR(IF(BE45="","",BE45*INDEX('00 - Lists'!$M$2:$M$11,MATCH(L45,'00 - Lists'!$L$2:$L$11,0))/100000),"")</f>
        <v/>
      </c>
      <c r="BM45" s="35" t="str">
        <f aca="false">IFERROR(IF(BF45="","",BF45*INDEX('00 - Lists'!$M$2:$M$11,MATCH(L45,'00 - Lists'!$L$2:$L$11,0))/100000),"")</f>
        <v/>
      </c>
      <c r="BN45" s="35" t="str">
        <f aca="false">IFERROR(IF(BG45="","",BG45*INDEX('00 - Lists'!$M$2:$M$11,MATCH(L45,'00 - Lists'!$L$2:$L$11,0))/100000),"")</f>
        <v/>
      </c>
      <c r="BO45" s="35" t="str">
        <f aca="false">IFERROR(IF(BH45="","",BH45*INDEX('00 - Lists'!$M$2:$M$11,MATCH(L45,'00 - Lists'!$L$2:$L$11,0))/100000),"")</f>
        <v/>
      </c>
      <c r="BP45" s="35" t="str">
        <f aca="false">IFERROR(IF(BI45="","",BI45*INDEX('00 - Lists'!$M$2:$M$11,MATCH(L45,'00 - Lists'!$L$2:$L$11,0))/100000),"")</f>
        <v/>
      </c>
      <c r="BS45" s="36" t="str">
        <f aca="false">IF(O45="","",IF(O45&gt;=20,"Yes","No"))</f>
        <v/>
      </c>
      <c r="BT45" s="36" t="str">
        <f aca="false">IF(O45="","",IF(O45&gt;=30,"Yes","No"))</f>
        <v/>
      </c>
      <c r="BU45" s="36" t="str">
        <f aca="false">IF(O45="","",IF(O45&gt;=75,"Yes","No"))</f>
        <v/>
      </c>
      <c r="BV45" s="36" t="str">
        <f aca="false">IF(O45="","",IF(O45&gt;=100,"Yes","No"))</f>
        <v/>
      </c>
      <c r="BW45" s="36" t="str">
        <f aca="false">IF(O45="","",IF(O45&gt;=150,"Yes","No"))</f>
        <v/>
      </c>
      <c r="BX45" s="36" t="str">
        <f aca="false">IF(O45="","",IF(O45&gt;=200,"Yes","No"))</f>
        <v/>
      </c>
      <c r="BY45" s="36" t="str">
        <f aca="false">IF(Q45="","",IF(Q45&gt;=150000,"Yes","No"))</f>
        <v/>
      </c>
      <c r="BZ45" s="36" t="str">
        <f aca="false">IF(Q45="","",IF(Q45&gt;=200000,"Yes","No"))</f>
        <v/>
      </c>
      <c r="CA45" s="36" t="str">
        <f aca="false">IF(Q45="","",IF(Q45&gt;=250000,"Yes","No"))</f>
        <v/>
      </c>
      <c r="CB45" s="36" t="str">
        <f aca="false">IF(Q45="","",IF(Q45&gt;=300000,"Yes","No"))</f>
        <v/>
      </c>
      <c r="CC45" s="37"/>
      <c r="CD45" s="36" t="str">
        <f aca="true">IF(B45="","",IF(TODAY()-B45&lt;=7,"🟢 0-7d",IF(TODAY()-B45&lt;=30,"🟡 8-30d",IF(TODAY()-B45&lt;=60,"🟠 31-60d","🔴 60d+"))))</f>
        <v/>
      </c>
      <c r="CE45" s="36" t="str">
        <f aca="false">IF(G45="","",IF(G45&lt;&gt;"USA","N/A - Not USA Role",IF(J45="Yes",IF(OR(F45="Intern",F45="New Grad"),"🟡 Possible","🟢 Strong"),IF(J45="No","🔴 Difficult","⚪ Unknown"))))</f>
        <v/>
      </c>
      <c r="CF45" s="37"/>
      <c r="CG45" s="37"/>
      <c r="CH45" s="38"/>
      <c r="CI45" s="38"/>
      <c r="CJ45" s="38"/>
      <c r="CK45" s="38"/>
    </row>
    <row r="46" customFormat="false" ht="15" hidden="false" customHeight="true" outlineLevel="0" collapsed="false">
      <c r="A46" s="26" t="str">
        <f aca="false">IF($C46="","",ROW()-3)</f>
        <v/>
      </c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9"/>
      <c r="O46" s="30" t="str">
        <f aca="false">IFERROR(IF(M46="","",M46*INDEX('00 - Lists'!$M$2:$M$11,MATCH(L46,'00 - Lists'!$L$2:$L$11,0))/100000),"")</f>
        <v/>
      </c>
      <c r="P46" s="30" t="str">
        <f aca="false">IFERROR(IF(N46="","",N46*INDEX('00 - Lists'!$M$2:$M$11,MATCH(L46,'00 - Lists'!$L$2:$L$11,0))/100000),"")</f>
        <v/>
      </c>
      <c r="Q46" s="31" t="str">
        <f aca="false">IFERROR(IF(M46="","",M46*INDEX('00 - Lists'!$N$2:$N$11,MATCH(L46,'00 - Lists'!$L$2:$L$11,0))),"")</f>
        <v/>
      </c>
      <c r="R46" s="31" t="str">
        <f aca="false">IFERROR(IF(N46="","",N46*INDEX('00 - Lists'!$N$2:$N$11,MATCH(L46,'00 - Lists'!$L$2:$L$11,0))),"")</f>
        <v/>
      </c>
      <c r="S46" s="32" t="str">
        <f aca="false">IF(O46="","",IF(O46&gt;=50,"Yes","No"))</f>
        <v/>
      </c>
      <c r="T46" s="32" t="str">
        <f aca="false">IF(Q46="","",IF(Q46&gt;=100000,"Yes","No"))</f>
        <v/>
      </c>
      <c r="U46" s="28"/>
      <c r="V46" s="28"/>
      <c r="W46" s="28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J46" s="34" t="str">
        <f aca="false">IF(OR($BD46&lt;&gt;"",$BF46&lt;&gt;"",$BH46&lt;&gt;""),"Yes","No")</f>
        <v>No</v>
      </c>
      <c r="BK46" s="35" t="str">
        <f aca="false">IFERROR(IF(BD46="","",BD46*INDEX('00 - Lists'!$M$2:$M$11,MATCH(L46,'00 - Lists'!$L$2:$L$11,0))/100000),"")</f>
        <v/>
      </c>
      <c r="BL46" s="35" t="str">
        <f aca="false">IFERROR(IF(BE46="","",BE46*INDEX('00 - Lists'!$M$2:$M$11,MATCH(L46,'00 - Lists'!$L$2:$L$11,0))/100000),"")</f>
        <v/>
      </c>
      <c r="BM46" s="35" t="str">
        <f aca="false">IFERROR(IF(BF46="","",BF46*INDEX('00 - Lists'!$M$2:$M$11,MATCH(L46,'00 - Lists'!$L$2:$L$11,0))/100000),"")</f>
        <v/>
      </c>
      <c r="BN46" s="35" t="str">
        <f aca="false">IFERROR(IF(BG46="","",BG46*INDEX('00 - Lists'!$M$2:$M$11,MATCH(L46,'00 - Lists'!$L$2:$L$11,0))/100000),"")</f>
        <v/>
      </c>
      <c r="BO46" s="35" t="str">
        <f aca="false">IFERROR(IF(BH46="","",BH46*INDEX('00 - Lists'!$M$2:$M$11,MATCH(L46,'00 - Lists'!$L$2:$L$11,0))/100000),"")</f>
        <v/>
      </c>
      <c r="BP46" s="35" t="str">
        <f aca="false">IFERROR(IF(BI46="","",BI46*INDEX('00 - Lists'!$M$2:$M$11,MATCH(L46,'00 - Lists'!$L$2:$L$11,0))/100000),"")</f>
        <v/>
      </c>
      <c r="BS46" s="36" t="str">
        <f aca="false">IF(O46="","",IF(O46&gt;=20,"Yes","No"))</f>
        <v/>
      </c>
      <c r="BT46" s="36" t="str">
        <f aca="false">IF(O46="","",IF(O46&gt;=30,"Yes","No"))</f>
        <v/>
      </c>
      <c r="BU46" s="36" t="str">
        <f aca="false">IF(O46="","",IF(O46&gt;=75,"Yes","No"))</f>
        <v/>
      </c>
      <c r="BV46" s="36" t="str">
        <f aca="false">IF(O46="","",IF(O46&gt;=100,"Yes","No"))</f>
        <v/>
      </c>
      <c r="BW46" s="36" t="str">
        <f aca="false">IF(O46="","",IF(O46&gt;=150,"Yes","No"))</f>
        <v/>
      </c>
      <c r="BX46" s="36" t="str">
        <f aca="false">IF(O46="","",IF(O46&gt;=200,"Yes","No"))</f>
        <v/>
      </c>
      <c r="BY46" s="36" t="str">
        <f aca="false">IF(Q46="","",IF(Q46&gt;=150000,"Yes","No"))</f>
        <v/>
      </c>
      <c r="BZ46" s="36" t="str">
        <f aca="false">IF(Q46="","",IF(Q46&gt;=200000,"Yes","No"))</f>
        <v/>
      </c>
      <c r="CA46" s="36" t="str">
        <f aca="false">IF(Q46="","",IF(Q46&gt;=250000,"Yes","No"))</f>
        <v/>
      </c>
      <c r="CB46" s="36" t="str">
        <f aca="false">IF(Q46="","",IF(Q46&gt;=300000,"Yes","No"))</f>
        <v/>
      </c>
      <c r="CC46" s="37"/>
      <c r="CD46" s="36" t="str">
        <f aca="true">IF(B46="","",IF(TODAY()-B46&lt;=7,"🟢 0-7d",IF(TODAY()-B46&lt;=30,"🟡 8-30d",IF(TODAY()-B46&lt;=60,"🟠 31-60d","🔴 60d+"))))</f>
        <v/>
      </c>
      <c r="CE46" s="36" t="str">
        <f aca="false">IF(G46="","",IF(G46&lt;&gt;"USA","N/A - Not USA Role",IF(J46="Yes",IF(OR(F46="Intern",F46="New Grad"),"🟡 Possible","🟢 Strong"),IF(J46="No","🔴 Difficult","⚪ Unknown"))))</f>
        <v/>
      </c>
      <c r="CF46" s="37"/>
      <c r="CG46" s="37"/>
      <c r="CH46" s="38"/>
      <c r="CI46" s="38"/>
      <c r="CJ46" s="38"/>
      <c r="CK46" s="38"/>
    </row>
    <row r="47" customFormat="false" ht="15" hidden="false" customHeight="true" outlineLevel="0" collapsed="false">
      <c r="A47" s="26" t="str">
        <f aca="false">IF($C47="","",ROW()-3)</f>
        <v/>
      </c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9"/>
      <c r="N47" s="29"/>
      <c r="O47" s="30" t="str">
        <f aca="false">IFERROR(IF(M47="","",M47*INDEX('00 - Lists'!$M$2:$M$11,MATCH(L47,'00 - Lists'!$L$2:$L$11,0))/100000),"")</f>
        <v/>
      </c>
      <c r="P47" s="30" t="str">
        <f aca="false">IFERROR(IF(N47="","",N47*INDEX('00 - Lists'!$M$2:$M$11,MATCH(L47,'00 - Lists'!$L$2:$L$11,0))/100000),"")</f>
        <v/>
      </c>
      <c r="Q47" s="31" t="str">
        <f aca="false">IFERROR(IF(M47="","",M47*INDEX('00 - Lists'!$N$2:$N$11,MATCH(L47,'00 - Lists'!$L$2:$L$11,0))),"")</f>
        <v/>
      </c>
      <c r="R47" s="31" t="str">
        <f aca="false">IFERROR(IF(N47="","",N47*INDEX('00 - Lists'!$N$2:$N$11,MATCH(L47,'00 - Lists'!$L$2:$L$11,0))),"")</f>
        <v/>
      </c>
      <c r="S47" s="32" t="str">
        <f aca="false">IF(O47="","",IF(O47&gt;=50,"Yes","No"))</f>
        <v/>
      </c>
      <c r="T47" s="32" t="str">
        <f aca="false">IF(Q47="","",IF(Q47&gt;=100000,"Yes","No"))</f>
        <v/>
      </c>
      <c r="U47" s="28"/>
      <c r="V47" s="28"/>
      <c r="W47" s="28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J47" s="34" t="str">
        <f aca="false">IF(OR($BD47&lt;&gt;"",$BF47&lt;&gt;"",$BH47&lt;&gt;""),"Yes","No")</f>
        <v>No</v>
      </c>
      <c r="BK47" s="35" t="str">
        <f aca="false">IFERROR(IF(BD47="","",BD47*INDEX('00 - Lists'!$M$2:$M$11,MATCH(L47,'00 - Lists'!$L$2:$L$11,0))/100000),"")</f>
        <v/>
      </c>
      <c r="BL47" s="35" t="str">
        <f aca="false">IFERROR(IF(BE47="","",BE47*INDEX('00 - Lists'!$M$2:$M$11,MATCH(L47,'00 - Lists'!$L$2:$L$11,0))/100000),"")</f>
        <v/>
      </c>
      <c r="BM47" s="35" t="str">
        <f aca="false">IFERROR(IF(BF47="","",BF47*INDEX('00 - Lists'!$M$2:$M$11,MATCH(L47,'00 - Lists'!$L$2:$L$11,0))/100000),"")</f>
        <v/>
      </c>
      <c r="BN47" s="35" t="str">
        <f aca="false">IFERROR(IF(BG47="","",BG47*INDEX('00 - Lists'!$M$2:$M$11,MATCH(L47,'00 - Lists'!$L$2:$L$11,0))/100000),"")</f>
        <v/>
      </c>
      <c r="BO47" s="35" t="str">
        <f aca="false">IFERROR(IF(BH47="","",BH47*INDEX('00 - Lists'!$M$2:$M$11,MATCH(L47,'00 - Lists'!$L$2:$L$11,0))/100000),"")</f>
        <v/>
      </c>
      <c r="BP47" s="35" t="str">
        <f aca="false">IFERROR(IF(BI47="","",BI47*INDEX('00 - Lists'!$M$2:$M$11,MATCH(L47,'00 - Lists'!$L$2:$L$11,0))/100000),"")</f>
        <v/>
      </c>
      <c r="BS47" s="36" t="str">
        <f aca="false">IF(O47="","",IF(O47&gt;=20,"Yes","No"))</f>
        <v/>
      </c>
      <c r="BT47" s="36" t="str">
        <f aca="false">IF(O47="","",IF(O47&gt;=30,"Yes","No"))</f>
        <v/>
      </c>
      <c r="BU47" s="36" t="str">
        <f aca="false">IF(O47="","",IF(O47&gt;=75,"Yes","No"))</f>
        <v/>
      </c>
      <c r="BV47" s="36" t="str">
        <f aca="false">IF(O47="","",IF(O47&gt;=100,"Yes","No"))</f>
        <v/>
      </c>
      <c r="BW47" s="36" t="str">
        <f aca="false">IF(O47="","",IF(O47&gt;=150,"Yes","No"))</f>
        <v/>
      </c>
      <c r="BX47" s="36" t="str">
        <f aca="false">IF(O47="","",IF(O47&gt;=200,"Yes","No"))</f>
        <v/>
      </c>
      <c r="BY47" s="36" t="str">
        <f aca="false">IF(Q47="","",IF(Q47&gt;=150000,"Yes","No"))</f>
        <v/>
      </c>
      <c r="BZ47" s="36" t="str">
        <f aca="false">IF(Q47="","",IF(Q47&gt;=200000,"Yes","No"))</f>
        <v/>
      </c>
      <c r="CA47" s="36" t="str">
        <f aca="false">IF(Q47="","",IF(Q47&gt;=250000,"Yes","No"))</f>
        <v/>
      </c>
      <c r="CB47" s="36" t="str">
        <f aca="false">IF(Q47="","",IF(Q47&gt;=300000,"Yes","No"))</f>
        <v/>
      </c>
      <c r="CC47" s="37"/>
      <c r="CD47" s="36" t="str">
        <f aca="true">IF(B47="","",IF(TODAY()-B47&lt;=7,"🟢 0-7d",IF(TODAY()-B47&lt;=30,"🟡 8-30d",IF(TODAY()-B47&lt;=60,"🟠 31-60d","🔴 60d+"))))</f>
        <v/>
      </c>
      <c r="CE47" s="36" t="str">
        <f aca="false">IF(G47="","",IF(G47&lt;&gt;"USA","N/A - Not USA Role",IF(J47="Yes",IF(OR(F47="Intern",F47="New Grad"),"🟡 Possible","🟢 Strong"),IF(J47="No","🔴 Difficult","⚪ Unknown"))))</f>
        <v/>
      </c>
      <c r="CF47" s="37"/>
      <c r="CG47" s="37"/>
      <c r="CH47" s="38"/>
      <c r="CI47" s="38"/>
      <c r="CJ47" s="38"/>
      <c r="CK47" s="38"/>
    </row>
    <row r="48" customFormat="false" ht="15" hidden="false" customHeight="true" outlineLevel="0" collapsed="false">
      <c r="A48" s="26" t="str">
        <f aca="false">IF($C48="","",ROW()-3)</f>
        <v/>
      </c>
      <c r="B48" s="27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9"/>
      <c r="N48" s="29"/>
      <c r="O48" s="30" t="str">
        <f aca="false">IFERROR(IF(M48="","",M48*INDEX('00 - Lists'!$M$2:$M$11,MATCH(L48,'00 - Lists'!$L$2:$L$11,0))/100000),"")</f>
        <v/>
      </c>
      <c r="P48" s="30" t="str">
        <f aca="false">IFERROR(IF(N48="","",N48*INDEX('00 - Lists'!$M$2:$M$11,MATCH(L48,'00 - Lists'!$L$2:$L$11,0))/100000),"")</f>
        <v/>
      </c>
      <c r="Q48" s="31" t="str">
        <f aca="false">IFERROR(IF(M48="","",M48*INDEX('00 - Lists'!$N$2:$N$11,MATCH(L48,'00 - Lists'!$L$2:$L$11,0))),"")</f>
        <v/>
      </c>
      <c r="R48" s="31" t="str">
        <f aca="false">IFERROR(IF(N48="","",N48*INDEX('00 - Lists'!$N$2:$N$11,MATCH(L48,'00 - Lists'!$L$2:$L$11,0))),"")</f>
        <v/>
      </c>
      <c r="S48" s="32" t="str">
        <f aca="false">IF(O48="","",IF(O48&gt;=50,"Yes","No"))</f>
        <v/>
      </c>
      <c r="T48" s="32" t="str">
        <f aca="false">IF(Q48="","",IF(Q48&gt;=100000,"Yes","No"))</f>
        <v/>
      </c>
      <c r="U48" s="28"/>
      <c r="V48" s="28"/>
      <c r="W48" s="28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J48" s="34" t="str">
        <f aca="false">IF(OR($BD48&lt;&gt;"",$BF48&lt;&gt;"",$BH48&lt;&gt;""),"Yes","No")</f>
        <v>No</v>
      </c>
      <c r="BK48" s="35" t="str">
        <f aca="false">IFERROR(IF(BD48="","",BD48*INDEX('00 - Lists'!$M$2:$M$11,MATCH(L48,'00 - Lists'!$L$2:$L$11,0))/100000),"")</f>
        <v/>
      </c>
      <c r="BL48" s="35" t="str">
        <f aca="false">IFERROR(IF(BE48="","",BE48*INDEX('00 - Lists'!$M$2:$M$11,MATCH(L48,'00 - Lists'!$L$2:$L$11,0))/100000),"")</f>
        <v/>
      </c>
      <c r="BM48" s="35" t="str">
        <f aca="false">IFERROR(IF(BF48="","",BF48*INDEX('00 - Lists'!$M$2:$M$11,MATCH(L48,'00 - Lists'!$L$2:$L$11,0))/100000),"")</f>
        <v/>
      </c>
      <c r="BN48" s="35" t="str">
        <f aca="false">IFERROR(IF(BG48="","",BG48*INDEX('00 - Lists'!$M$2:$M$11,MATCH(L48,'00 - Lists'!$L$2:$L$11,0))/100000),"")</f>
        <v/>
      </c>
      <c r="BO48" s="35" t="str">
        <f aca="false">IFERROR(IF(BH48="","",BH48*INDEX('00 - Lists'!$M$2:$M$11,MATCH(L48,'00 - Lists'!$L$2:$L$11,0))/100000),"")</f>
        <v/>
      </c>
      <c r="BP48" s="35" t="str">
        <f aca="false">IFERROR(IF(BI48="","",BI48*INDEX('00 - Lists'!$M$2:$M$11,MATCH(L48,'00 - Lists'!$L$2:$L$11,0))/100000),"")</f>
        <v/>
      </c>
      <c r="BS48" s="36" t="str">
        <f aca="false">IF(O48="","",IF(O48&gt;=20,"Yes","No"))</f>
        <v/>
      </c>
      <c r="BT48" s="36" t="str">
        <f aca="false">IF(O48="","",IF(O48&gt;=30,"Yes","No"))</f>
        <v/>
      </c>
      <c r="BU48" s="36" t="str">
        <f aca="false">IF(O48="","",IF(O48&gt;=75,"Yes","No"))</f>
        <v/>
      </c>
      <c r="BV48" s="36" t="str">
        <f aca="false">IF(O48="","",IF(O48&gt;=100,"Yes","No"))</f>
        <v/>
      </c>
      <c r="BW48" s="36" t="str">
        <f aca="false">IF(O48="","",IF(O48&gt;=150,"Yes","No"))</f>
        <v/>
      </c>
      <c r="BX48" s="36" t="str">
        <f aca="false">IF(O48="","",IF(O48&gt;=200,"Yes","No"))</f>
        <v/>
      </c>
      <c r="BY48" s="36" t="str">
        <f aca="false">IF(Q48="","",IF(Q48&gt;=150000,"Yes","No"))</f>
        <v/>
      </c>
      <c r="BZ48" s="36" t="str">
        <f aca="false">IF(Q48="","",IF(Q48&gt;=200000,"Yes","No"))</f>
        <v/>
      </c>
      <c r="CA48" s="36" t="str">
        <f aca="false">IF(Q48="","",IF(Q48&gt;=250000,"Yes","No"))</f>
        <v/>
      </c>
      <c r="CB48" s="36" t="str">
        <f aca="false">IF(Q48="","",IF(Q48&gt;=300000,"Yes","No"))</f>
        <v/>
      </c>
      <c r="CC48" s="37"/>
      <c r="CD48" s="36" t="str">
        <f aca="true">IF(B48="","",IF(TODAY()-B48&lt;=7,"🟢 0-7d",IF(TODAY()-B48&lt;=30,"🟡 8-30d",IF(TODAY()-B48&lt;=60,"🟠 31-60d","🔴 60d+"))))</f>
        <v/>
      </c>
      <c r="CE48" s="36" t="str">
        <f aca="false">IF(G48="","",IF(G48&lt;&gt;"USA","N/A - Not USA Role",IF(J48="Yes",IF(OR(F48="Intern",F48="New Grad"),"🟡 Possible","🟢 Strong"),IF(J48="No","🔴 Difficult","⚪ Unknown"))))</f>
        <v/>
      </c>
      <c r="CF48" s="37"/>
      <c r="CG48" s="37"/>
      <c r="CH48" s="38"/>
      <c r="CI48" s="38"/>
      <c r="CJ48" s="38"/>
      <c r="CK48" s="38"/>
    </row>
    <row r="49" customFormat="false" ht="15" hidden="false" customHeight="true" outlineLevel="0" collapsed="false">
      <c r="A49" s="26" t="str">
        <f aca="false">IF($C49="","",ROW()-3)</f>
        <v/>
      </c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9"/>
      <c r="N49" s="29"/>
      <c r="O49" s="30" t="str">
        <f aca="false">IFERROR(IF(M49="","",M49*INDEX('00 - Lists'!$M$2:$M$11,MATCH(L49,'00 - Lists'!$L$2:$L$11,0))/100000),"")</f>
        <v/>
      </c>
      <c r="P49" s="30" t="str">
        <f aca="false">IFERROR(IF(N49="","",N49*INDEX('00 - Lists'!$M$2:$M$11,MATCH(L49,'00 - Lists'!$L$2:$L$11,0))/100000),"")</f>
        <v/>
      </c>
      <c r="Q49" s="31" t="str">
        <f aca="false">IFERROR(IF(M49="","",M49*INDEX('00 - Lists'!$N$2:$N$11,MATCH(L49,'00 - Lists'!$L$2:$L$11,0))),"")</f>
        <v/>
      </c>
      <c r="R49" s="31" t="str">
        <f aca="false">IFERROR(IF(N49="","",N49*INDEX('00 - Lists'!$N$2:$N$11,MATCH(L49,'00 - Lists'!$L$2:$L$11,0))),"")</f>
        <v/>
      </c>
      <c r="S49" s="32" t="str">
        <f aca="false">IF(O49="","",IF(O49&gt;=50,"Yes","No"))</f>
        <v/>
      </c>
      <c r="T49" s="32" t="str">
        <f aca="false">IF(Q49="","",IF(Q49&gt;=100000,"Yes","No"))</f>
        <v/>
      </c>
      <c r="U49" s="28"/>
      <c r="V49" s="28"/>
      <c r="W49" s="28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J49" s="34" t="str">
        <f aca="false">IF(OR($BD49&lt;&gt;"",$BF49&lt;&gt;"",$BH49&lt;&gt;""),"Yes","No")</f>
        <v>No</v>
      </c>
      <c r="BK49" s="35" t="str">
        <f aca="false">IFERROR(IF(BD49="","",BD49*INDEX('00 - Lists'!$M$2:$M$11,MATCH(L49,'00 - Lists'!$L$2:$L$11,0))/100000),"")</f>
        <v/>
      </c>
      <c r="BL49" s="35" t="str">
        <f aca="false">IFERROR(IF(BE49="","",BE49*INDEX('00 - Lists'!$M$2:$M$11,MATCH(L49,'00 - Lists'!$L$2:$L$11,0))/100000),"")</f>
        <v/>
      </c>
      <c r="BM49" s="35" t="str">
        <f aca="false">IFERROR(IF(BF49="","",BF49*INDEX('00 - Lists'!$M$2:$M$11,MATCH(L49,'00 - Lists'!$L$2:$L$11,0))/100000),"")</f>
        <v/>
      </c>
      <c r="BN49" s="35" t="str">
        <f aca="false">IFERROR(IF(BG49="","",BG49*INDEX('00 - Lists'!$M$2:$M$11,MATCH(L49,'00 - Lists'!$L$2:$L$11,0))/100000),"")</f>
        <v/>
      </c>
      <c r="BO49" s="35" t="str">
        <f aca="false">IFERROR(IF(BH49="","",BH49*INDEX('00 - Lists'!$M$2:$M$11,MATCH(L49,'00 - Lists'!$L$2:$L$11,0))/100000),"")</f>
        <v/>
      </c>
      <c r="BP49" s="35" t="str">
        <f aca="false">IFERROR(IF(BI49="","",BI49*INDEX('00 - Lists'!$M$2:$M$11,MATCH(L49,'00 - Lists'!$L$2:$L$11,0))/100000),"")</f>
        <v/>
      </c>
      <c r="BS49" s="36" t="str">
        <f aca="false">IF(O49="","",IF(O49&gt;=20,"Yes","No"))</f>
        <v/>
      </c>
      <c r="BT49" s="36" t="str">
        <f aca="false">IF(O49="","",IF(O49&gt;=30,"Yes","No"))</f>
        <v/>
      </c>
      <c r="BU49" s="36" t="str">
        <f aca="false">IF(O49="","",IF(O49&gt;=75,"Yes","No"))</f>
        <v/>
      </c>
      <c r="BV49" s="36" t="str">
        <f aca="false">IF(O49="","",IF(O49&gt;=100,"Yes","No"))</f>
        <v/>
      </c>
      <c r="BW49" s="36" t="str">
        <f aca="false">IF(O49="","",IF(O49&gt;=150,"Yes","No"))</f>
        <v/>
      </c>
      <c r="BX49" s="36" t="str">
        <f aca="false">IF(O49="","",IF(O49&gt;=200,"Yes","No"))</f>
        <v/>
      </c>
      <c r="BY49" s="36" t="str">
        <f aca="false">IF(Q49="","",IF(Q49&gt;=150000,"Yes","No"))</f>
        <v/>
      </c>
      <c r="BZ49" s="36" t="str">
        <f aca="false">IF(Q49="","",IF(Q49&gt;=200000,"Yes","No"))</f>
        <v/>
      </c>
      <c r="CA49" s="36" t="str">
        <f aca="false">IF(Q49="","",IF(Q49&gt;=250000,"Yes","No"))</f>
        <v/>
      </c>
      <c r="CB49" s="36" t="str">
        <f aca="false">IF(Q49="","",IF(Q49&gt;=300000,"Yes","No"))</f>
        <v/>
      </c>
      <c r="CC49" s="37"/>
      <c r="CD49" s="36" t="str">
        <f aca="true">IF(B49="","",IF(TODAY()-B49&lt;=7,"🟢 0-7d",IF(TODAY()-B49&lt;=30,"🟡 8-30d",IF(TODAY()-B49&lt;=60,"🟠 31-60d","🔴 60d+"))))</f>
        <v/>
      </c>
      <c r="CE49" s="36" t="str">
        <f aca="false">IF(G49="","",IF(G49&lt;&gt;"USA","N/A - Not USA Role",IF(J49="Yes",IF(OR(F49="Intern",F49="New Grad"),"🟡 Possible","🟢 Strong"),IF(J49="No","🔴 Difficult","⚪ Unknown"))))</f>
        <v/>
      </c>
      <c r="CF49" s="37"/>
      <c r="CG49" s="37"/>
      <c r="CH49" s="38"/>
      <c r="CI49" s="38"/>
      <c r="CJ49" s="38"/>
      <c r="CK49" s="38"/>
    </row>
    <row r="50" customFormat="false" ht="15" hidden="false" customHeight="true" outlineLevel="0" collapsed="false">
      <c r="A50" s="26" t="str">
        <f aca="false">IF($C50="","",ROW()-3)</f>
        <v/>
      </c>
      <c r="B50" s="27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9"/>
      <c r="N50" s="29"/>
      <c r="O50" s="30" t="str">
        <f aca="false">IFERROR(IF(M50="","",M50*INDEX('00 - Lists'!$M$2:$M$11,MATCH(L50,'00 - Lists'!$L$2:$L$11,0))/100000),"")</f>
        <v/>
      </c>
      <c r="P50" s="30" t="str">
        <f aca="false">IFERROR(IF(N50="","",N50*INDEX('00 - Lists'!$M$2:$M$11,MATCH(L50,'00 - Lists'!$L$2:$L$11,0))/100000),"")</f>
        <v/>
      </c>
      <c r="Q50" s="31" t="str">
        <f aca="false">IFERROR(IF(M50="","",M50*INDEX('00 - Lists'!$N$2:$N$11,MATCH(L50,'00 - Lists'!$L$2:$L$11,0))),"")</f>
        <v/>
      </c>
      <c r="R50" s="31" t="str">
        <f aca="false">IFERROR(IF(N50="","",N50*INDEX('00 - Lists'!$N$2:$N$11,MATCH(L50,'00 - Lists'!$L$2:$L$11,0))),"")</f>
        <v/>
      </c>
      <c r="S50" s="32" t="str">
        <f aca="false">IF(O50="","",IF(O50&gt;=50,"Yes","No"))</f>
        <v/>
      </c>
      <c r="T50" s="32" t="str">
        <f aca="false">IF(Q50="","",IF(Q50&gt;=100000,"Yes","No"))</f>
        <v/>
      </c>
      <c r="U50" s="28"/>
      <c r="V50" s="28"/>
      <c r="W50" s="28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J50" s="34" t="str">
        <f aca="false">IF(OR($BD50&lt;&gt;"",$BF50&lt;&gt;"",$BH50&lt;&gt;""),"Yes","No")</f>
        <v>No</v>
      </c>
      <c r="BK50" s="35" t="str">
        <f aca="false">IFERROR(IF(BD50="","",BD50*INDEX('00 - Lists'!$M$2:$M$11,MATCH(L50,'00 - Lists'!$L$2:$L$11,0))/100000),"")</f>
        <v/>
      </c>
      <c r="BL50" s="35" t="str">
        <f aca="false">IFERROR(IF(BE50="","",BE50*INDEX('00 - Lists'!$M$2:$M$11,MATCH(L50,'00 - Lists'!$L$2:$L$11,0))/100000),"")</f>
        <v/>
      </c>
      <c r="BM50" s="35" t="str">
        <f aca="false">IFERROR(IF(BF50="","",BF50*INDEX('00 - Lists'!$M$2:$M$11,MATCH(L50,'00 - Lists'!$L$2:$L$11,0))/100000),"")</f>
        <v/>
      </c>
      <c r="BN50" s="35" t="str">
        <f aca="false">IFERROR(IF(BG50="","",BG50*INDEX('00 - Lists'!$M$2:$M$11,MATCH(L50,'00 - Lists'!$L$2:$L$11,0))/100000),"")</f>
        <v/>
      </c>
      <c r="BO50" s="35" t="str">
        <f aca="false">IFERROR(IF(BH50="","",BH50*INDEX('00 - Lists'!$M$2:$M$11,MATCH(L50,'00 - Lists'!$L$2:$L$11,0))/100000),"")</f>
        <v/>
      </c>
      <c r="BP50" s="35" t="str">
        <f aca="false">IFERROR(IF(BI50="","",BI50*INDEX('00 - Lists'!$M$2:$M$11,MATCH(L50,'00 - Lists'!$L$2:$L$11,0))/100000),"")</f>
        <v/>
      </c>
      <c r="BS50" s="36" t="str">
        <f aca="false">IF(O50="","",IF(O50&gt;=20,"Yes","No"))</f>
        <v/>
      </c>
      <c r="BT50" s="36" t="str">
        <f aca="false">IF(O50="","",IF(O50&gt;=30,"Yes","No"))</f>
        <v/>
      </c>
      <c r="BU50" s="36" t="str">
        <f aca="false">IF(O50="","",IF(O50&gt;=75,"Yes","No"))</f>
        <v/>
      </c>
      <c r="BV50" s="36" t="str">
        <f aca="false">IF(O50="","",IF(O50&gt;=100,"Yes","No"))</f>
        <v/>
      </c>
      <c r="BW50" s="36" t="str">
        <f aca="false">IF(O50="","",IF(O50&gt;=150,"Yes","No"))</f>
        <v/>
      </c>
      <c r="BX50" s="36" t="str">
        <f aca="false">IF(O50="","",IF(O50&gt;=200,"Yes","No"))</f>
        <v/>
      </c>
      <c r="BY50" s="36" t="str">
        <f aca="false">IF(Q50="","",IF(Q50&gt;=150000,"Yes","No"))</f>
        <v/>
      </c>
      <c r="BZ50" s="36" t="str">
        <f aca="false">IF(Q50="","",IF(Q50&gt;=200000,"Yes","No"))</f>
        <v/>
      </c>
      <c r="CA50" s="36" t="str">
        <f aca="false">IF(Q50="","",IF(Q50&gt;=250000,"Yes","No"))</f>
        <v/>
      </c>
      <c r="CB50" s="36" t="str">
        <f aca="false">IF(Q50="","",IF(Q50&gt;=300000,"Yes","No"))</f>
        <v/>
      </c>
      <c r="CC50" s="37"/>
      <c r="CD50" s="36" t="str">
        <f aca="true">IF(B50="","",IF(TODAY()-B50&lt;=7,"🟢 0-7d",IF(TODAY()-B50&lt;=30,"🟡 8-30d",IF(TODAY()-B50&lt;=60,"🟠 31-60d","🔴 60d+"))))</f>
        <v/>
      </c>
      <c r="CE50" s="36" t="str">
        <f aca="false">IF(G50="","",IF(G50&lt;&gt;"USA","N/A - Not USA Role",IF(J50="Yes",IF(OR(F50="Intern",F50="New Grad"),"🟡 Possible","🟢 Strong"),IF(J50="No","🔴 Difficult","⚪ Unknown"))))</f>
        <v/>
      </c>
      <c r="CF50" s="37"/>
      <c r="CG50" s="37"/>
      <c r="CH50" s="38"/>
      <c r="CI50" s="38"/>
      <c r="CJ50" s="38"/>
      <c r="CK50" s="38"/>
    </row>
    <row r="51" customFormat="false" ht="15" hidden="false" customHeight="true" outlineLevel="0" collapsed="false">
      <c r="A51" s="26" t="str">
        <f aca="false">IF($C51="","",ROW()-3)</f>
        <v/>
      </c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9"/>
      <c r="N51" s="29"/>
      <c r="O51" s="30" t="str">
        <f aca="false">IFERROR(IF(M51="","",M51*INDEX('00 - Lists'!$M$2:$M$11,MATCH(L51,'00 - Lists'!$L$2:$L$11,0))/100000),"")</f>
        <v/>
      </c>
      <c r="P51" s="30" t="str">
        <f aca="false">IFERROR(IF(N51="","",N51*INDEX('00 - Lists'!$M$2:$M$11,MATCH(L51,'00 - Lists'!$L$2:$L$11,0))/100000),"")</f>
        <v/>
      </c>
      <c r="Q51" s="31" t="str">
        <f aca="false">IFERROR(IF(M51="","",M51*INDEX('00 - Lists'!$N$2:$N$11,MATCH(L51,'00 - Lists'!$L$2:$L$11,0))),"")</f>
        <v/>
      </c>
      <c r="R51" s="31" t="str">
        <f aca="false">IFERROR(IF(N51="","",N51*INDEX('00 - Lists'!$N$2:$N$11,MATCH(L51,'00 - Lists'!$L$2:$L$11,0))),"")</f>
        <v/>
      </c>
      <c r="S51" s="32" t="str">
        <f aca="false">IF(O51="","",IF(O51&gt;=50,"Yes","No"))</f>
        <v/>
      </c>
      <c r="T51" s="32" t="str">
        <f aca="false">IF(Q51="","",IF(Q51&gt;=100000,"Yes","No"))</f>
        <v/>
      </c>
      <c r="U51" s="28"/>
      <c r="V51" s="28"/>
      <c r="W51" s="28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J51" s="34" t="str">
        <f aca="false">IF(OR($BD51&lt;&gt;"",$BF51&lt;&gt;"",$BH51&lt;&gt;""),"Yes","No")</f>
        <v>No</v>
      </c>
      <c r="BK51" s="35" t="str">
        <f aca="false">IFERROR(IF(BD51="","",BD51*INDEX('00 - Lists'!$M$2:$M$11,MATCH(L51,'00 - Lists'!$L$2:$L$11,0))/100000),"")</f>
        <v/>
      </c>
      <c r="BL51" s="35" t="str">
        <f aca="false">IFERROR(IF(BE51="","",BE51*INDEX('00 - Lists'!$M$2:$M$11,MATCH(L51,'00 - Lists'!$L$2:$L$11,0))/100000),"")</f>
        <v/>
      </c>
      <c r="BM51" s="35" t="str">
        <f aca="false">IFERROR(IF(BF51="","",BF51*INDEX('00 - Lists'!$M$2:$M$11,MATCH(L51,'00 - Lists'!$L$2:$L$11,0))/100000),"")</f>
        <v/>
      </c>
      <c r="BN51" s="35" t="str">
        <f aca="false">IFERROR(IF(BG51="","",BG51*INDEX('00 - Lists'!$M$2:$M$11,MATCH(L51,'00 - Lists'!$L$2:$L$11,0))/100000),"")</f>
        <v/>
      </c>
      <c r="BO51" s="35" t="str">
        <f aca="false">IFERROR(IF(BH51="","",BH51*INDEX('00 - Lists'!$M$2:$M$11,MATCH(L51,'00 - Lists'!$L$2:$L$11,0))/100000),"")</f>
        <v/>
      </c>
      <c r="BP51" s="35" t="str">
        <f aca="false">IFERROR(IF(BI51="","",BI51*INDEX('00 - Lists'!$M$2:$M$11,MATCH(L51,'00 - Lists'!$L$2:$L$11,0))/100000),"")</f>
        <v/>
      </c>
      <c r="BS51" s="36" t="str">
        <f aca="false">IF(O51="","",IF(O51&gt;=20,"Yes","No"))</f>
        <v/>
      </c>
      <c r="BT51" s="36" t="str">
        <f aca="false">IF(O51="","",IF(O51&gt;=30,"Yes","No"))</f>
        <v/>
      </c>
      <c r="BU51" s="36" t="str">
        <f aca="false">IF(O51="","",IF(O51&gt;=75,"Yes","No"))</f>
        <v/>
      </c>
      <c r="BV51" s="36" t="str">
        <f aca="false">IF(O51="","",IF(O51&gt;=100,"Yes","No"))</f>
        <v/>
      </c>
      <c r="BW51" s="36" t="str">
        <f aca="false">IF(O51="","",IF(O51&gt;=150,"Yes","No"))</f>
        <v/>
      </c>
      <c r="BX51" s="36" t="str">
        <f aca="false">IF(O51="","",IF(O51&gt;=200,"Yes","No"))</f>
        <v/>
      </c>
      <c r="BY51" s="36" t="str">
        <f aca="false">IF(Q51="","",IF(Q51&gt;=150000,"Yes","No"))</f>
        <v/>
      </c>
      <c r="BZ51" s="36" t="str">
        <f aca="false">IF(Q51="","",IF(Q51&gt;=200000,"Yes","No"))</f>
        <v/>
      </c>
      <c r="CA51" s="36" t="str">
        <f aca="false">IF(Q51="","",IF(Q51&gt;=250000,"Yes","No"))</f>
        <v/>
      </c>
      <c r="CB51" s="36" t="str">
        <f aca="false">IF(Q51="","",IF(Q51&gt;=300000,"Yes","No"))</f>
        <v/>
      </c>
      <c r="CC51" s="37"/>
      <c r="CD51" s="36" t="str">
        <f aca="true">IF(B51="","",IF(TODAY()-B51&lt;=7,"🟢 0-7d",IF(TODAY()-B51&lt;=30,"🟡 8-30d",IF(TODAY()-B51&lt;=60,"🟠 31-60d","🔴 60d+"))))</f>
        <v/>
      </c>
      <c r="CE51" s="36" t="str">
        <f aca="false">IF(G51="","",IF(G51&lt;&gt;"USA","N/A - Not USA Role",IF(J51="Yes",IF(OR(F51="Intern",F51="New Grad"),"🟡 Possible","🟢 Strong"),IF(J51="No","🔴 Difficult","⚪ Unknown"))))</f>
        <v/>
      </c>
      <c r="CF51" s="37"/>
      <c r="CG51" s="37"/>
      <c r="CH51" s="38"/>
      <c r="CI51" s="38"/>
      <c r="CJ51" s="38"/>
      <c r="CK51" s="38"/>
    </row>
    <row r="52" customFormat="false" ht="15" hidden="false" customHeight="true" outlineLevel="0" collapsed="false">
      <c r="A52" s="26" t="str">
        <f aca="false">IF($C52="","",ROW()-3)</f>
        <v/>
      </c>
      <c r="B52" s="27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9"/>
      <c r="N52" s="29"/>
      <c r="O52" s="30" t="str">
        <f aca="false">IFERROR(IF(M52="","",M52*INDEX('00 - Lists'!$M$2:$M$11,MATCH(L52,'00 - Lists'!$L$2:$L$11,0))/100000),"")</f>
        <v/>
      </c>
      <c r="P52" s="30" t="str">
        <f aca="false">IFERROR(IF(N52="","",N52*INDEX('00 - Lists'!$M$2:$M$11,MATCH(L52,'00 - Lists'!$L$2:$L$11,0))/100000),"")</f>
        <v/>
      </c>
      <c r="Q52" s="31" t="str">
        <f aca="false">IFERROR(IF(M52="","",M52*INDEX('00 - Lists'!$N$2:$N$11,MATCH(L52,'00 - Lists'!$L$2:$L$11,0))),"")</f>
        <v/>
      </c>
      <c r="R52" s="31" t="str">
        <f aca="false">IFERROR(IF(N52="","",N52*INDEX('00 - Lists'!$N$2:$N$11,MATCH(L52,'00 - Lists'!$L$2:$L$11,0))),"")</f>
        <v/>
      </c>
      <c r="S52" s="32" t="str">
        <f aca="false">IF(O52="","",IF(O52&gt;=50,"Yes","No"))</f>
        <v/>
      </c>
      <c r="T52" s="32" t="str">
        <f aca="false">IF(Q52="","",IF(Q52&gt;=100000,"Yes","No"))</f>
        <v/>
      </c>
      <c r="U52" s="28"/>
      <c r="V52" s="28"/>
      <c r="W52" s="28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J52" s="34" t="str">
        <f aca="false">IF(OR($BD52&lt;&gt;"",$BF52&lt;&gt;"",$BH52&lt;&gt;""),"Yes","No")</f>
        <v>No</v>
      </c>
      <c r="BK52" s="35" t="str">
        <f aca="false">IFERROR(IF(BD52="","",BD52*INDEX('00 - Lists'!$M$2:$M$11,MATCH(L52,'00 - Lists'!$L$2:$L$11,0))/100000),"")</f>
        <v/>
      </c>
      <c r="BL52" s="35" t="str">
        <f aca="false">IFERROR(IF(BE52="","",BE52*INDEX('00 - Lists'!$M$2:$M$11,MATCH(L52,'00 - Lists'!$L$2:$L$11,0))/100000),"")</f>
        <v/>
      </c>
      <c r="BM52" s="35" t="str">
        <f aca="false">IFERROR(IF(BF52="","",BF52*INDEX('00 - Lists'!$M$2:$M$11,MATCH(L52,'00 - Lists'!$L$2:$L$11,0))/100000),"")</f>
        <v/>
      </c>
      <c r="BN52" s="35" t="str">
        <f aca="false">IFERROR(IF(BG52="","",BG52*INDEX('00 - Lists'!$M$2:$M$11,MATCH(L52,'00 - Lists'!$L$2:$L$11,0))/100000),"")</f>
        <v/>
      </c>
      <c r="BO52" s="35" t="str">
        <f aca="false">IFERROR(IF(BH52="","",BH52*INDEX('00 - Lists'!$M$2:$M$11,MATCH(L52,'00 - Lists'!$L$2:$L$11,0))/100000),"")</f>
        <v/>
      </c>
      <c r="BP52" s="35" t="str">
        <f aca="false">IFERROR(IF(BI52="","",BI52*INDEX('00 - Lists'!$M$2:$M$11,MATCH(L52,'00 - Lists'!$L$2:$L$11,0))/100000),"")</f>
        <v/>
      </c>
      <c r="BS52" s="36" t="str">
        <f aca="false">IF(O52="","",IF(O52&gt;=20,"Yes","No"))</f>
        <v/>
      </c>
      <c r="BT52" s="36" t="str">
        <f aca="false">IF(O52="","",IF(O52&gt;=30,"Yes","No"))</f>
        <v/>
      </c>
      <c r="BU52" s="36" t="str">
        <f aca="false">IF(O52="","",IF(O52&gt;=75,"Yes","No"))</f>
        <v/>
      </c>
      <c r="BV52" s="36" t="str">
        <f aca="false">IF(O52="","",IF(O52&gt;=100,"Yes","No"))</f>
        <v/>
      </c>
      <c r="BW52" s="36" t="str">
        <f aca="false">IF(O52="","",IF(O52&gt;=150,"Yes","No"))</f>
        <v/>
      </c>
      <c r="BX52" s="36" t="str">
        <f aca="false">IF(O52="","",IF(O52&gt;=200,"Yes","No"))</f>
        <v/>
      </c>
      <c r="BY52" s="36" t="str">
        <f aca="false">IF(Q52="","",IF(Q52&gt;=150000,"Yes","No"))</f>
        <v/>
      </c>
      <c r="BZ52" s="36" t="str">
        <f aca="false">IF(Q52="","",IF(Q52&gt;=200000,"Yes","No"))</f>
        <v/>
      </c>
      <c r="CA52" s="36" t="str">
        <f aca="false">IF(Q52="","",IF(Q52&gt;=250000,"Yes","No"))</f>
        <v/>
      </c>
      <c r="CB52" s="36" t="str">
        <f aca="false">IF(Q52="","",IF(Q52&gt;=300000,"Yes","No"))</f>
        <v/>
      </c>
      <c r="CC52" s="37"/>
      <c r="CD52" s="36" t="str">
        <f aca="true">IF(B52="","",IF(TODAY()-B52&lt;=7,"🟢 0-7d",IF(TODAY()-B52&lt;=30,"🟡 8-30d",IF(TODAY()-B52&lt;=60,"🟠 31-60d","🔴 60d+"))))</f>
        <v/>
      </c>
      <c r="CE52" s="36" t="str">
        <f aca="false">IF(G52="","",IF(G52&lt;&gt;"USA","N/A - Not USA Role",IF(J52="Yes",IF(OR(F52="Intern",F52="New Grad"),"🟡 Possible","🟢 Strong"),IF(J52="No","🔴 Difficult","⚪ Unknown"))))</f>
        <v/>
      </c>
      <c r="CF52" s="37"/>
      <c r="CG52" s="37"/>
      <c r="CH52" s="38"/>
      <c r="CI52" s="38"/>
      <c r="CJ52" s="38"/>
      <c r="CK52" s="38"/>
    </row>
    <row r="53" customFormat="false" ht="15" hidden="false" customHeight="true" outlineLevel="0" collapsed="false">
      <c r="A53" s="26" t="str">
        <f aca="false">IF($C53="","",ROW()-3)</f>
        <v/>
      </c>
      <c r="B53" s="2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9"/>
      <c r="N53" s="29"/>
      <c r="O53" s="30" t="str">
        <f aca="false">IFERROR(IF(M53="","",M53*INDEX('00 - Lists'!$M$2:$M$11,MATCH(L53,'00 - Lists'!$L$2:$L$11,0))/100000),"")</f>
        <v/>
      </c>
      <c r="P53" s="30" t="str">
        <f aca="false">IFERROR(IF(N53="","",N53*INDEX('00 - Lists'!$M$2:$M$11,MATCH(L53,'00 - Lists'!$L$2:$L$11,0))/100000),"")</f>
        <v/>
      </c>
      <c r="Q53" s="31" t="str">
        <f aca="false">IFERROR(IF(M53="","",M53*INDEX('00 - Lists'!$N$2:$N$11,MATCH(L53,'00 - Lists'!$L$2:$L$11,0))),"")</f>
        <v/>
      </c>
      <c r="R53" s="31" t="str">
        <f aca="false">IFERROR(IF(N53="","",N53*INDEX('00 - Lists'!$N$2:$N$11,MATCH(L53,'00 - Lists'!$L$2:$L$11,0))),"")</f>
        <v/>
      </c>
      <c r="S53" s="32" t="str">
        <f aca="false">IF(O53="","",IF(O53&gt;=50,"Yes","No"))</f>
        <v/>
      </c>
      <c r="T53" s="32" t="str">
        <f aca="false">IF(Q53="","",IF(Q53&gt;=100000,"Yes","No"))</f>
        <v/>
      </c>
      <c r="U53" s="28"/>
      <c r="V53" s="28"/>
      <c r="W53" s="28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J53" s="34" t="str">
        <f aca="false">IF(OR($BD53&lt;&gt;"",$BF53&lt;&gt;"",$BH53&lt;&gt;""),"Yes","No")</f>
        <v>No</v>
      </c>
      <c r="BK53" s="35" t="str">
        <f aca="false">IFERROR(IF(BD53="","",BD53*INDEX('00 - Lists'!$M$2:$M$11,MATCH(L53,'00 - Lists'!$L$2:$L$11,0))/100000),"")</f>
        <v/>
      </c>
      <c r="BL53" s="35" t="str">
        <f aca="false">IFERROR(IF(BE53="","",BE53*INDEX('00 - Lists'!$M$2:$M$11,MATCH(L53,'00 - Lists'!$L$2:$L$11,0))/100000),"")</f>
        <v/>
      </c>
      <c r="BM53" s="35" t="str">
        <f aca="false">IFERROR(IF(BF53="","",BF53*INDEX('00 - Lists'!$M$2:$M$11,MATCH(L53,'00 - Lists'!$L$2:$L$11,0))/100000),"")</f>
        <v/>
      </c>
      <c r="BN53" s="35" t="str">
        <f aca="false">IFERROR(IF(BG53="","",BG53*INDEX('00 - Lists'!$M$2:$M$11,MATCH(L53,'00 - Lists'!$L$2:$L$11,0))/100000),"")</f>
        <v/>
      </c>
      <c r="BO53" s="35" t="str">
        <f aca="false">IFERROR(IF(BH53="","",BH53*INDEX('00 - Lists'!$M$2:$M$11,MATCH(L53,'00 - Lists'!$L$2:$L$11,0))/100000),"")</f>
        <v/>
      </c>
      <c r="BP53" s="35" t="str">
        <f aca="false">IFERROR(IF(BI53="","",BI53*INDEX('00 - Lists'!$M$2:$M$11,MATCH(L53,'00 - Lists'!$L$2:$L$11,0))/100000),"")</f>
        <v/>
      </c>
      <c r="BS53" s="36" t="str">
        <f aca="false">IF(O53="","",IF(O53&gt;=20,"Yes","No"))</f>
        <v/>
      </c>
      <c r="BT53" s="36" t="str">
        <f aca="false">IF(O53="","",IF(O53&gt;=30,"Yes","No"))</f>
        <v/>
      </c>
      <c r="BU53" s="36" t="str">
        <f aca="false">IF(O53="","",IF(O53&gt;=75,"Yes","No"))</f>
        <v/>
      </c>
      <c r="BV53" s="36" t="str">
        <f aca="false">IF(O53="","",IF(O53&gt;=100,"Yes","No"))</f>
        <v/>
      </c>
      <c r="BW53" s="36" t="str">
        <f aca="false">IF(O53="","",IF(O53&gt;=150,"Yes","No"))</f>
        <v/>
      </c>
      <c r="BX53" s="36" t="str">
        <f aca="false">IF(O53="","",IF(O53&gt;=200,"Yes","No"))</f>
        <v/>
      </c>
      <c r="BY53" s="36" t="str">
        <f aca="false">IF(Q53="","",IF(Q53&gt;=150000,"Yes","No"))</f>
        <v/>
      </c>
      <c r="BZ53" s="36" t="str">
        <f aca="false">IF(Q53="","",IF(Q53&gt;=200000,"Yes","No"))</f>
        <v/>
      </c>
      <c r="CA53" s="36" t="str">
        <f aca="false">IF(Q53="","",IF(Q53&gt;=250000,"Yes","No"))</f>
        <v/>
      </c>
      <c r="CB53" s="36" t="str">
        <f aca="false">IF(Q53="","",IF(Q53&gt;=300000,"Yes","No"))</f>
        <v/>
      </c>
      <c r="CC53" s="37"/>
      <c r="CD53" s="36" t="str">
        <f aca="true">IF(B53="","",IF(TODAY()-B53&lt;=7,"🟢 0-7d",IF(TODAY()-B53&lt;=30,"🟡 8-30d",IF(TODAY()-B53&lt;=60,"🟠 31-60d","🔴 60d+"))))</f>
        <v/>
      </c>
      <c r="CE53" s="36" t="str">
        <f aca="false">IF(G53="","",IF(G53&lt;&gt;"USA","N/A - Not USA Role",IF(J53="Yes",IF(OR(F53="Intern",F53="New Grad"),"🟡 Possible","🟢 Strong"),IF(J53="No","🔴 Difficult","⚪ Unknown"))))</f>
        <v/>
      </c>
      <c r="CF53" s="37"/>
      <c r="CG53" s="37"/>
      <c r="CH53" s="38"/>
      <c r="CI53" s="38"/>
      <c r="CJ53" s="38"/>
      <c r="CK53" s="38"/>
    </row>
    <row r="54" customFormat="false" ht="15" hidden="false" customHeight="true" outlineLevel="0" collapsed="false">
      <c r="A54" s="26" t="str">
        <f aca="false">IF($C54="","",ROW()-3)</f>
        <v/>
      </c>
      <c r="B54" s="27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9"/>
      <c r="N54" s="29"/>
      <c r="O54" s="30" t="str">
        <f aca="false">IFERROR(IF(M54="","",M54*INDEX('00 - Lists'!$M$2:$M$11,MATCH(L54,'00 - Lists'!$L$2:$L$11,0))/100000),"")</f>
        <v/>
      </c>
      <c r="P54" s="30" t="str">
        <f aca="false">IFERROR(IF(N54="","",N54*INDEX('00 - Lists'!$M$2:$M$11,MATCH(L54,'00 - Lists'!$L$2:$L$11,0))/100000),"")</f>
        <v/>
      </c>
      <c r="Q54" s="31" t="str">
        <f aca="false">IFERROR(IF(M54="","",M54*INDEX('00 - Lists'!$N$2:$N$11,MATCH(L54,'00 - Lists'!$L$2:$L$11,0))),"")</f>
        <v/>
      </c>
      <c r="R54" s="31" t="str">
        <f aca="false">IFERROR(IF(N54="","",N54*INDEX('00 - Lists'!$N$2:$N$11,MATCH(L54,'00 - Lists'!$L$2:$L$11,0))),"")</f>
        <v/>
      </c>
      <c r="S54" s="32" t="str">
        <f aca="false">IF(O54="","",IF(O54&gt;=50,"Yes","No"))</f>
        <v/>
      </c>
      <c r="T54" s="32" t="str">
        <f aca="false">IF(Q54="","",IF(Q54&gt;=100000,"Yes","No"))</f>
        <v/>
      </c>
      <c r="U54" s="28"/>
      <c r="V54" s="28"/>
      <c r="W54" s="28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J54" s="34" t="str">
        <f aca="false">IF(OR($BD54&lt;&gt;"",$BF54&lt;&gt;"",$BH54&lt;&gt;""),"Yes","No")</f>
        <v>No</v>
      </c>
      <c r="BK54" s="35" t="str">
        <f aca="false">IFERROR(IF(BD54="","",BD54*INDEX('00 - Lists'!$M$2:$M$11,MATCH(L54,'00 - Lists'!$L$2:$L$11,0))/100000),"")</f>
        <v/>
      </c>
      <c r="BL54" s="35" t="str">
        <f aca="false">IFERROR(IF(BE54="","",BE54*INDEX('00 - Lists'!$M$2:$M$11,MATCH(L54,'00 - Lists'!$L$2:$L$11,0))/100000),"")</f>
        <v/>
      </c>
      <c r="BM54" s="35" t="str">
        <f aca="false">IFERROR(IF(BF54="","",BF54*INDEX('00 - Lists'!$M$2:$M$11,MATCH(L54,'00 - Lists'!$L$2:$L$11,0))/100000),"")</f>
        <v/>
      </c>
      <c r="BN54" s="35" t="str">
        <f aca="false">IFERROR(IF(BG54="","",BG54*INDEX('00 - Lists'!$M$2:$M$11,MATCH(L54,'00 - Lists'!$L$2:$L$11,0))/100000),"")</f>
        <v/>
      </c>
      <c r="BO54" s="35" t="str">
        <f aca="false">IFERROR(IF(BH54="","",BH54*INDEX('00 - Lists'!$M$2:$M$11,MATCH(L54,'00 - Lists'!$L$2:$L$11,0))/100000),"")</f>
        <v/>
      </c>
      <c r="BP54" s="35" t="str">
        <f aca="false">IFERROR(IF(BI54="","",BI54*INDEX('00 - Lists'!$M$2:$M$11,MATCH(L54,'00 - Lists'!$L$2:$L$11,0))/100000),"")</f>
        <v/>
      </c>
      <c r="BS54" s="36" t="str">
        <f aca="false">IF(O54="","",IF(O54&gt;=20,"Yes","No"))</f>
        <v/>
      </c>
      <c r="BT54" s="36" t="str">
        <f aca="false">IF(O54="","",IF(O54&gt;=30,"Yes","No"))</f>
        <v/>
      </c>
      <c r="BU54" s="36" t="str">
        <f aca="false">IF(O54="","",IF(O54&gt;=75,"Yes","No"))</f>
        <v/>
      </c>
      <c r="BV54" s="36" t="str">
        <f aca="false">IF(O54="","",IF(O54&gt;=100,"Yes","No"))</f>
        <v/>
      </c>
      <c r="BW54" s="36" t="str">
        <f aca="false">IF(O54="","",IF(O54&gt;=150,"Yes","No"))</f>
        <v/>
      </c>
      <c r="BX54" s="36" t="str">
        <f aca="false">IF(O54="","",IF(O54&gt;=200,"Yes","No"))</f>
        <v/>
      </c>
      <c r="BY54" s="36" t="str">
        <f aca="false">IF(Q54="","",IF(Q54&gt;=150000,"Yes","No"))</f>
        <v/>
      </c>
      <c r="BZ54" s="36" t="str">
        <f aca="false">IF(Q54="","",IF(Q54&gt;=200000,"Yes","No"))</f>
        <v/>
      </c>
      <c r="CA54" s="36" t="str">
        <f aca="false">IF(Q54="","",IF(Q54&gt;=250000,"Yes","No"))</f>
        <v/>
      </c>
      <c r="CB54" s="36" t="str">
        <f aca="false">IF(Q54="","",IF(Q54&gt;=300000,"Yes","No"))</f>
        <v/>
      </c>
      <c r="CC54" s="37"/>
      <c r="CD54" s="36" t="str">
        <f aca="true">IF(B54="","",IF(TODAY()-B54&lt;=7,"🟢 0-7d",IF(TODAY()-B54&lt;=30,"🟡 8-30d",IF(TODAY()-B54&lt;=60,"🟠 31-60d","🔴 60d+"))))</f>
        <v/>
      </c>
      <c r="CE54" s="36" t="str">
        <f aca="false">IF(G54="","",IF(G54&lt;&gt;"USA","N/A - Not USA Role",IF(J54="Yes",IF(OR(F54="Intern",F54="New Grad"),"🟡 Possible","🟢 Strong"),IF(J54="No","🔴 Difficult","⚪ Unknown"))))</f>
        <v/>
      </c>
      <c r="CF54" s="37"/>
      <c r="CG54" s="37"/>
      <c r="CH54" s="38"/>
      <c r="CI54" s="38"/>
      <c r="CJ54" s="38"/>
      <c r="CK54" s="38"/>
    </row>
    <row r="55" customFormat="false" ht="15" hidden="false" customHeight="true" outlineLevel="0" collapsed="false">
      <c r="A55" s="26" t="str">
        <f aca="false">IF($C55="","",ROW()-3)</f>
        <v/>
      </c>
      <c r="B55" s="27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9"/>
      <c r="N55" s="29"/>
      <c r="O55" s="30" t="str">
        <f aca="false">IFERROR(IF(M55="","",M55*INDEX('00 - Lists'!$M$2:$M$11,MATCH(L55,'00 - Lists'!$L$2:$L$11,0))/100000),"")</f>
        <v/>
      </c>
      <c r="P55" s="30" t="str">
        <f aca="false">IFERROR(IF(N55="","",N55*INDEX('00 - Lists'!$M$2:$M$11,MATCH(L55,'00 - Lists'!$L$2:$L$11,0))/100000),"")</f>
        <v/>
      </c>
      <c r="Q55" s="31" t="str">
        <f aca="false">IFERROR(IF(M55="","",M55*INDEX('00 - Lists'!$N$2:$N$11,MATCH(L55,'00 - Lists'!$L$2:$L$11,0))),"")</f>
        <v/>
      </c>
      <c r="R55" s="31" t="str">
        <f aca="false">IFERROR(IF(N55="","",N55*INDEX('00 - Lists'!$N$2:$N$11,MATCH(L55,'00 - Lists'!$L$2:$L$11,0))),"")</f>
        <v/>
      </c>
      <c r="S55" s="32" t="str">
        <f aca="false">IF(O55="","",IF(O55&gt;=50,"Yes","No"))</f>
        <v/>
      </c>
      <c r="T55" s="32" t="str">
        <f aca="false">IF(Q55="","",IF(Q55&gt;=100000,"Yes","No"))</f>
        <v/>
      </c>
      <c r="U55" s="28"/>
      <c r="V55" s="28"/>
      <c r="W55" s="28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J55" s="34" t="str">
        <f aca="false">IF(OR($BD55&lt;&gt;"",$BF55&lt;&gt;"",$BH55&lt;&gt;""),"Yes","No")</f>
        <v>No</v>
      </c>
      <c r="BK55" s="35" t="str">
        <f aca="false">IFERROR(IF(BD55="","",BD55*INDEX('00 - Lists'!$M$2:$M$11,MATCH(L55,'00 - Lists'!$L$2:$L$11,0))/100000),"")</f>
        <v/>
      </c>
      <c r="BL55" s="35" t="str">
        <f aca="false">IFERROR(IF(BE55="","",BE55*INDEX('00 - Lists'!$M$2:$M$11,MATCH(L55,'00 - Lists'!$L$2:$L$11,0))/100000),"")</f>
        <v/>
      </c>
      <c r="BM55" s="35" t="str">
        <f aca="false">IFERROR(IF(BF55="","",BF55*INDEX('00 - Lists'!$M$2:$M$11,MATCH(L55,'00 - Lists'!$L$2:$L$11,0))/100000),"")</f>
        <v/>
      </c>
      <c r="BN55" s="35" t="str">
        <f aca="false">IFERROR(IF(BG55="","",BG55*INDEX('00 - Lists'!$M$2:$M$11,MATCH(L55,'00 - Lists'!$L$2:$L$11,0))/100000),"")</f>
        <v/>
      </c>
      <c r="BO55" s="35" t="str">
        <f aca="false">IFERROR(IF(BH55="","",BH55*INDEX('00 - Lists'!$M$2:$M$11,MATCH(L55,'00 - Lists'!$L$2:$L$11,0))/100000),"")</f>
        <v/>
      </c>
      <c r="BP55" s="35" t="str">
        <f aca="false">IFERROR(IF(BI55="","",BI55*INDEX('00 - Lists'!$M$2:$M$11,MATCH(L55,'00 - Lists'!$L$2:$L$11,0))/100000),"")</f>
        <v/>
      </c>
      <c r="BS55" s="36" t="str">
        <f aca="false">IF(O55="","",IF(O55&gt;=20,"Yes","No"))</f>
        <v/>
      </c>
      <c r="BT55" s="36" t="str">
        <f aca="false">IF(O55="","",IF(O55&gt;=30,"Yes","No"))</f>
        <v/>
      </c>
      <c r="BU55" s="36" t="str">
        <f aca="false">IF(O55="","",IF(O55&gt;=75,"Yes","No"))</f>
        <v/>
      </c>
      <c r="BV55" s="36" t="str">
        <f aca="false">IF(O55="","",IF(O55&gt;=100,"Yes","No"))</f>
        <v/>
      </c>
      <c r="BW55" s="36" t="str">
        <f aca="false">IF(O55="","",IF(O55&gt;=150,"Yes","No"))</f>
        <v/>
      </c>
      <c r="BX55" s="36" t="str">
        <f aca="false">IF(O55="","",IF(O55&gt;=200,"Yes","No"))</f>
        <v/>
      </c>
      <c r="BY55" s="36" t="str">
        <f aca="false">IF(Q55="","",IF(Q55&gt;=150000,"Yes","No"))</f>
        <v/>
      </c>
      <c r="BZ55" s="36" t="str">
        <f aca="false">IF(Q55="","",IF(Q55&gt;=200000,"Yes","No"))</f>
        <v/>
      </c>
      <c r="CA55" s="36" t="str">
        <f aca="false">IF(Q55="","",IF(Q55&gt;=250000,"Yes","No"))</f>
        <v/>
      </c>
      <c r="CB55" s="36" t="str">
        <f aca="false">IF(Q55="","",IF(Q55&gt;=300000,"Yes","No"))</f>
        <v/>
      </c>
      <c r="CC55" s="37"/>
      <c r="CD55" s="36" t="str">
        <f aca="true">IF(B55="","",IF(TODAY()-B55&lt;=7,"🟢 0-7d",IF(TODAY()-B55&lt;=30,"🟡 8-30d",IF(TODAY()-B55&lt;=60,"🟠 31-60d","🔴 60d+"))))</f>
        <v/>
      </c>
      <c r="CE55" s="36" t="str">
        <f aca="false">IF(G55="","",IF(G55&lt;&gt;"USA","N/A - Not USA Role",IF(J55="Yes",IF(OR(F55="Intern",F55="New Grad"),"🟡 Possible","🟢 Strong"),IF(J55="No","🔴 Difficult","⚪ Unknown"))))</f>
        <v/>
      </c>
      <c r="CF55" s="37"/>
      <c r="CG55" s="37"/>
      <c r="CH55" s="38"/>
      <c r="CI55" s="38"/>
      <c r="CJ55" s="38"/>
      <c r="CK55" s="38"/>
    </row>
    <row r="56" customFormat="false" ht="15" hidden="false" customHeight="true" outlineLevel="0" collapsed="false">
      <c r="A56" s="26" t="str">
        <f aca="false">IF($C56="","",ROW()-3)</f>
        <v/>
      </c>
      <c r="B56" s="27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9"/>
      <c r="N56" s="29"/>
      <c r="O56" s="30" t="str">
        <f aca="false">IFERROR(IF(M56="","",M56*INDEX('00 - Lists'!$M$2:$M$11,MATCH(L56,'00 - Lists'!$L$2:$L$11,0))/100000),"")</f>
        <v/>
      </c>
      <c r="P56" s="30" t="str">
        <f aca="false">IFERROR(IF(N56="","",N56*INDEX('00 - Lists'!$M$2:$M$11,MATCH(L56,'00 - Lists'!$L$2:$L$11,0))/100000),"")</f>
        <v/>
      </c>
      <c r="Q56" s="31" t="str">
        <f aca="false">IFERROR(IF(M56="","",M56*INDEX('00 - Lists'!$N$2:$N$11,MATCH(L56,'00 - Lists'!$L$2:$L$11,0))),"")</f>
        <v/>
      </c>
      <c r="R56" s="31" t="str">
        <f aca="false">IFERROR(IF(N56="","",N56*INDEX('00 - Lists'!$N$2:$N$11,MATCH(L56,'00 - Lists'!$L$2:$L$11,0))),"")</f>
        <v/>
      </c>
      <c r="S56" s="32" t="str">
        <f aca="false">IF(O56="","",IF(O56&gt;=50,"Yes","No"))</f>
        <v/>
      </c>
      <c r="T56" s="32" t="str">
        <f aca="false">IF(Q56="","",IF(Q56&gt;=100000,"Yes","No"))</f>
        <v/>
      </c>
      <c r="U56" s="28"/>
      <c r="V56" s="28"/>
      <c r="W56" s="28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J56" s="34" t="str">
        <f aca="false">IF(OR($BD56&lt;&gt;"",$BF56&lt;&gt;"",$BH56&lt;&gt;""),"Yes","No")</f>
        <v>No</v>
      </c>
      <c r="BK56" s="35" t="str">
        <f aca="false">IFERROR(IF(BD56="","",BD56*INDEX('00 - Lists'!$M$2:$M$11,MATCH(L56,'00 - Lists'!$L$2:$L$11,0))/100000),"")</f>
        <v/>
      </c>
      <c r="BL56" s="35" t="str">
        <f aca="false">IFERROR(IF(BE56="","",BE56*INDEX('00 - Lists'!$M$2:$M$11,MATCH(L56,'00 - Lists'!$L$2:$L$11,0))/100000),"")</f>
        <v/>
      </c>
      <c r="BM56" s="35" t="str">
        <f aca="false">IFERROR(IF(BF56="","",BF56*INDEX('00 - Lists'!$M$2:$M$11,MATCH(L56,'00 - Lists'!$L$2:$L$11,0))/100000),"")</f>
        <v/>
      </c>
      <c r="BN56" s="35" t="str">
        <f aca="false">IFERROR(IF(BG56="","",BG56*INDEX('00 - Lists'!$M$2:$M$11,MATCH(L56,'00 - Lists'!$L$2:$L$11,0))/100000),"")</f>
        <v/>
      </c>
      <c r="BO56" s="35" t="str">
        <f aca="false">IFERROR(IF(BH56="","",BH56*INDEX('00 - Lists'!$M$2:$M$11,MATCH(L56,'00 - Lists'!$L$2:$L$11,0))/100000),"")</f>
        <v/>
      </c>
      <c r="BP56" s="35" t="str">
        <f aca="false">IFERROR(IF(BI56="","",BI56*INDEX('00 - Lists'!$M$2:$M$11,MATCH(L56,'00 - Lists'!$L$2:$L$11,0))/100000),"")</f>
        <v/>
      </c>
      <c r="BS56" s="36" t="str">
        <f aca="false">IF(O56="","",IF(O56&gt;=20,"Yes","No"))</f>
        <v/>
      </c>
      <c r="BT56" s="36" t="str">
        <f aca="false">IF(O56="","",IF(O56&gt;=30,"Yes","No"))</f>
        <v/>
      </c>
      <c r="BU56" s="36" t="str">
        <f aca="false">IF(O56="","",IF(O56&gt;=75,"Yes","No"))</f>
        <v/>
      </c>
      <c r="BV56" s="36" t="str">
        <f aca="false">IF(O56="","",IF(O56&gt;=100,"Yes","No"))</f>
        <v/>
      </c>
      <c r="BW56" s="36" t="str">
        <f aca="false">IF(O56="","",IF(O56&gt;=150,"Yes","No"))</f>
        <v/>
      </c>
      <c r="BX56" s="36" t="str">
        <f aca="false">IF(O56="","",IF(O56&gt;=200,"Yes","No"))</f>
        <v/>
      </c>
      <c r="BY56" s="36" t="str">
        <f aca="false">IF(Q56="","",IF(Q56&gt;=150000,"Yes","No"))</f>
        <v/>
      </c>
      <c r="BZ56" s="36" t="str">
        <f aca="false">IF(Q56="","",IF(Q56&gt;=200000,"Yes","No"))</f>
        <v/>
      </c>
      <c r="CA56" s="36" t="str">
        <f aca="false">IF(Q56="","",IF(Q56&gt;=250000,"Yes","No"))</f>
        <v/>
      </c>
      <c r="CB56" s="36" t="str">
        <f aca="false">IF(Q56="","",IF(Q56&gt;=300000,"Yes","No"))</f>
        <v/>
      </c>
      <c r="CC56" s="37"/>
      <c r="CD56" s="36" t="str">
        <f aca="true">IF(B56="","",IF(TODAY()-B56&lt;=7,"🟢 0-7d",IF(TODAY()-B56&lt;=30,"🟡 8-30d",IF(TODAY()-B56&lt;=60,"🟠 31-60d","🔴 60d+"))))</f>
        <v/>
      </c>
      <c r="CE56" s="36" t="str">
        <f aca="false">IF(G56="","",IF(G56&lt;&gt;"USA","N/A - Not USA Role",IF(J56="Yes",IF(OR(F56="Intern",F56="New Grad"),"🟡 Possible","🟢 Strong"),IF(J56="No","🔴 Difficult","⚪ Unknown"))))</f>
        <v/>
      </c>
      <c r="CF56" s="37"/>
      <c r="CG56" s="37"/>
      <c r="CH56" s="38"/>
      <c r="CI56" s="38"/>
      <c r="CJ56" s="38"/>
      <c r="CK56" s="38"/>
    </row>
    <row r="57" customFormat="false" ht="15" hidden="false" customHeight="true" outlineLevel="0" collapsed="false">
      <c r="A57" s="26" t="str">
        <f aca="false">IF($C57="","",ROW()-3)</f>
        <v/>
      </c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9"/>
      <c r="N57" s="29"/>
      <c r="O57" s="30" t="str">
        <f aca="false">IFERROR(IF(M57="","",M57*INDEX('00 - Lists'!$M$2:$M$11,MATCH(L57,'00 - Lists'!$L$2:$L$11,0))/100000),"")</f>
        <v/>
      </c>
      <c r="P57" s="30" t="str">
        <f aca="false">IFERROR(IF(N57="","",N57*INDEX('00 - Lists'!$M$2:$M$11,MATCH(L57,'00 - Lists'!$L$2:$L$11,0))/100000),"")</f>
        <v/>
      </c>
      <c r="Q57" s="31" t="str">
        <f aca="false">IFERROR(IF(M57="","",M57*INDEX('00 - Lists'!$N$2:$N$11,MATCH(L57,'00 - Lists'!$L$2:$L$11,0))),"")</f>
        <v/>
      </c>
      <c r="R57" s="31" t="str">
        <f aca="false">IFERROR(IF(N57="","",N57*INDEX('00 - Lists'!$N$2:$N$11,MATCH(L57,'00 - Lists'!$L$2:$L$11,0))),"")</f>
        <v/>
      </c>
      <c r="S57" s="32" t="str">
        <f aca="false">IF(O57="","",IF(O57&gt;=50,"Yes","No"))</f>
        <v/>
      </c>
      <c r="T57" s="32" t="str">
        <f aca="false">IF(Q57="","",IF(Q57&gt;=100000,"Yes","No"))</f>
        <v/>
      </c>
      <c r="U57" s="28"/>
      <c r="V57" s="28"/>
      <c r="W57" s="28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J57" s="34" t="str">
        <f aca="false">IF(OR($BD57&lt;&gt;"",$BF57&lt;&gt;"",$BH57&lt;&gt;""),"Yes","No")</f>
        <v>No</v>
      </c>
      <c r="BK57" s="35" t="str">
        <f aca="false">IFERROR(IF(BD57="","",BD57*INDEX('00 - Lists'!$M$2:$M$11,MATCH(L57,'00 - Lists'!$L$2:$L$11,0))/100000),"")</f>
        <v/>
      </c>
      <c r="BL57" s="35" t="str">
        <f aca="false">IFERROR(IF(BE57="","",BE57*INDEX('00 - Lists'!$M$2:$M$11,MATCH(L57,'00 - Lists'!$L$2:$L$11,0))/100000),"")</f>
        <v/>
      </c>
      <c r="BM57" s="35" t="str">
        <f aca="false">IFERROR(IF(BF57="","",BF57*INDEX('00 - Lists'!$M$2:$M$11,MATCH(L57,'00 - Lists'!$L$2:$L$11,0))/100000),"")</f>
        <v/>
      </c>
      <c r="BN57" s="35" t="str">
        <f aca="false">IFERROR(IF(BG57="","",BG57*INDEX('00 - Lists'!$M$2:$M$11,MATCH(L57,'00 - Lists'!$L$2:$L$11,0))/100000),"")</f>
        <v/>
      </c>
      <c r="BO57" s="35" t="str">
        <f aca="false">IFERROR(IF(BH57="","",BH57*INDEX('00 - Lists'!$M$2:$M$11,MATCH(L57,'00 - Lists'!$L$2:$L$11,0))/100000),"")</f>
        <v/>
      </c>
      <c r="BP57" s="35" t="str">
        <f aca="false">IFERROR(IF(BI57="","",BI57*INDEX('00 - Lists'!$M$2:$M$11,MATCH(L57,'00 - Lists'!$L$2:$L$11,0))/100000),"")</f>
        <v/>
      </c>
      <c r="BS57" s="36" t="str">
        <f aca="false">IF(O57="","",IF(O57&gt;=20,"Yes","No"))</f>
        <v/>
      </c>
      <c r="BT57" s="36" t="str">
        <f aca="false">IF(O57="","",IF(O57&gt;=30,"Yes","No"))</f>
        <v/>
      </c>
      <c r="BU57" s="36" t="str">
        <f aca="false">IF(O57="","",IF(O57&gt;=75,"Yes","No"))</f>
        <v/>
      </c>
      <c r="BV57" s="36" t="str">
        <f aca="false">IF(O57="","",IF(O57&gt;=100,"Yes","No"))</f>
        <v/>
      </c>
      <c r="BW57" s="36" t="str">
        <f aca="false">IF(O57="","",IF(O57&gt;=150,"Yes","No"))</f>
        <v/>
      </c>
      <c r="BX57" s="36" t="str">
        <f aca="false">IF(O57="","",IF(O57&gt;=200,"Yes","No"))</f>
        <v/>
      </c>
      <c r="BY57" s="36" t="str">
        <f aca="false">IF(Q57="","",IF(Q57&gt;=150000,"Yes","No"))</f>
        <v/>
      </c>
      <c r="BZ57" s="36" t="str">
        <f aca="false">IF(Q57="","",IF(Q57&gt;=200000,"Yes","No"))</f>
        <v/>
      </c>
      <c r="CA57" s="36" t="str">
        <f aca="false">IF(Q57="","",IF(Q57&gt;=250000,"Yes","No"))</f>
        <v/>
      </c>
      <c r="CB57" s="36" t="str">
        <f aca="false">IF(Q57="","",IF(Q57&gt;=300000,"Yes","No"))</f>
        <v/>
      </c>
      <c r="CC57" s="37"/>
      <c r="CD57" s="36" t="str">
        <f aca="true">IF(B57="","",IF(TODAY()-B57&lt;=7,"🟢 0-7d",IF(TODAY()-B57&lt;=30,"🟡 8-30d",IF(TODAY()-B57&lt;=60,"🟠 31-60d","🔴 60d+"))))</f>
        <v/>
      </c>
      <c r="CE57" s="36" t="str">
        <f aca="false">IF(G57="","",IF(G57&lt;&gt;"USA","N/A - Not USA Role",IF(J57="Yes",IF(OR(F57="Intern",F57="New Grad"),"🟡 Possible","🟢 Strong"),IF(J57="No","🔴 Difficult","⚪ Unknown"))))</f>
        <v/>
      </c>
      <c r="CF57" s="37"/>
      <c r="CG57" s="37"/>
      <c r="CH57" s="38"/>
      <c r="CI57" s="38"/>
      <c r="CJ57" s="38"/>
      <c r="CK57" s="38"/>
    </row>
    <row r="58" customFormat="false" ht="15" hidden="false" customHeight="true" outlineLevel="0" collapsed="false">
      <c r="A58" s="26" t="str">
        <f aca="false">IF($C58="","",ROW()-3)</f>
        <v/>
      </c>
      <c r="B58" s="27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9"/>
      <c r="N58" s="29"/>
      <c r="O58" s="30" t="str">
        <f aca="false">IFERROR(IF(M58="","",M58*INDEX('00 - Lists'!$M$2:$M$11,MATCH(L58,'00 - Lists'!$L$2:$L$11,0))/100000),"")</f>
        <v/>
      </c>
      <c r="P58" s="30" t="str">
        <f aca="false">IFERROR(IF(N58="","",N58*INDEX('00 - Lists'!$M$2:$M$11,MATCH(L58,'00 - Lists'!$L$2:$L$11,0))/100000),"")</f>
        <v/>
      </c>
      <c r="Q58" s="31" t="str">
        <f aca="false">IFERROR(IF(M58="","",M58*INDEX('00 - Lists'!$N$2:$N$11,MATCH(L58,'00 - Lists'!$L$2:$L$11,0))),"")</f>
        <v/>
      </c>
      <c r="R58" s="31" t="str">
        <f aca="false">IFERROR(IF(N58="","",N58*INDEX('00 - Lists'!$N$2:$N$11,MATCH(L58,'00 - Lists'!$L$2:$L$11,0))),"")</f>
        <v/>
      </c>
      <c r="S58" s="32" t="str">
        <f aca="false">IF(O58="","",IF(O58&gt;=50,"Yes","No"))</f>
        <v/>
      </c>
      <c r="T58" s="32" t="str">
        <f aca="false">IF(Q58="","",IF(Q58&gt;=100000,"Yes","No"))</f>
        <v/>
      </c>
      <c r="U58" s="28"/>
      <c r="V58" s="28"/>
      <c r="W58" s="28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J58" s="34" t="str">
        <f aca="false">IF(OR($BD58&lt;&gt;"",$BF58&lt;&gt;"",$BH58&lt;&gt;""),"Yes","No")</f>
        <v>No</v>
      </c>
      <c r="BK58" s="35" t="str">
        <f aca="false">IFERROR(IF(BD58="","",BD58*INDEX('00 - Lists'!$M$2:$M$11,MATCH(L58,'00 - Lists'!$L$2:$L$11,0))/100000),"")</f>
        <v/>
      </c>
      <c r="BL58" s="35" t="str">
        <f aca="false">IFERROR(IF(BE58="","",BE58*INDEX('00 - Lists'!$M$2:$M$11,MATCH(L58,'00 - Lists'!$L$2:$L$11,0))/100000),"")</f>
        <v/>
      </c>
      <c r="BM58" s="35" t="str">
        <f aca="false">IFERROR(IF(BF58="","",BF58*INDEX('00 - Lists'!$M$2:$M$11,MATCH(L58,'00 - Lists'!$L$2:$L$11,0))/100000),"")</f>
        <v/>
      </c>
      <c r="BN58" s="35" t="str">
        <f aca="false">IFERROR(IF(BG58="","",BG58*INDEX('00 - Lists'!$M$2:$M$11,MATCH(L58,'00 - Lists'!$L$2:$L$11,0))/100000),"")</f>
        <v/>
      </c>
      <c r="BO58" s="35" t="str">
        <f aca="false">IFERROR(IF(BH58="","",BH58*INDEX('00 - Lists'!$M$2:$M$11,MATCH(L58,'00 - Lists'!$L$2:$L$11,0))/100000),"")</f>
        <v/>
      </c>
      <c r="BP58" s="35" t="str">
        <f aca="false">IFERROR(IF(BI58="","",BI58*INDEX('00 - Lists'!$M$2:$M$11,MATCH(L58,'00 - Lists'!$L$2:$L$11,0))/100000),"")</f>
        <v/>
      </c>
      <c r="BS58" s="36" t="str">
        <f aca="false">IF(O58="","",IF(O58&gt;=20,"Yes","No"))</f>
        <v/>
      </c>
      <c r="BT58" s="36" t="str">
        <f aca="false">IF(O58="","",IF(O58&gt;=30,"Yes","No"))</f>
        <v/>
      </c>
      <c r="BU58" s="36" t="str">
        <f aca="false">IF(O58="","",IF(O58&gt;=75,"Yes","No"))</f>
        <v/>
      </c>
      <c r="BV58" s="36" t="str">
        <f aca="false">IF(O58="","",IF(O58&gt;=100,"Yes","No"))</f>
        <v/>
      </c>
      <c r="BW58" s="36" t="str">
        <f aca="false">IF(O58="","",IF(O58&gt;=150,"Yes","No"))</f>
        <v/>
      </c>
      <c r="BX58" s="36" t="str">
        <f aca="false">IF(O58="","",IF(O58&gt;=200,"Yes","No"))</f>
        <v/>
      </c>
      <c r="BY58" s="36" t="str">
        <f aca="false">IF(Q58="","",IF(Q58&gt;=150000,"Yes","No"))</f>
        <v/>
      </c>
      <c r="BZ58" s="36" t="str">
        <f aca="false">IF(Q58="","",IF(Q58&gt;=200000,"Yes","No"))</f>
        <v/>
      </c>
      <c r="CA58" s="36" t="str">
        <f aca="false">IF(Q58="","",IF(Q58&gt;=250000,"Yes","No"))</f>
        <v/>
      </c>
      <c r="CB58" s="36" t="str">
        <f aca="false">IF(Q58="","",IF(Q58&gt;=300000,"Yes","No"))</f>
        <v/>
      </c>
      <c r="CC58" s="37"/>
      <c r="CD58" s="36" t="str">
        <f aca="true">IF(B58="","",IF(TODAY()-B58&lt;=7,"🟢 0-7d",IF(TODAY()-B58&lt;=30,"🟡 8-30d",IF(TODAY()-B58&lt;=60,"🟠 31-60d","🔴 60d+"))))</f>
        <v/>
      </c>
      <c r="CE58" s="36" t="str">
        <f aca="false">IF(G58="","",IF(G58&lt;&gt;"USA","N/A - Not USA Role",IF(J58="Yes",IF(OR(F58="Intern",F58="New Grad"),"🟡 Possible","🟢 Strong"),IF(J58="No","🔴 Difficult","⚪ Unknown"))))</f>
        <v/>
      </c>
      <c r="CF58" s="37"/>
      <c r="CG58" s="37"/>
      <c r="CH58" s="38"/>
      <c r="CI58" s="38"/>
      <c r="CJ58" s="38"/>
      <c r="CK58" s="38"/>
    </row>
    <row r="59" customFormat="false" ht="15" hidden="false" customHeight="true" outlineLevel="0" collapsed="false">
      <c r="A59" s="26" t="str">
        <f aca="false">IF($C59="","",ROW()-3)</f>
        <v/>
      </c>
      <c r="B59" s="27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9"/>
      <c r="N59" s="29"/>
      <c r="O59" s="30" t="str">
        <f aca="false">IFERROR(IF(M59="","",M59*INDEX('00 - Lists'!$M$2:$M$11,MATCH(L59,'00 - Lists'!$L$2:$L$11,0))/100000),"")</f>
        <v/>
      </c>
      <c r="P59" s="30" t="str">
        <f aca="false">IFERROR(IF(N59="","",N59*INDEX('00 - Lists'!$M$2:$M$11,MATCH(L59,'00 - Lists'!$L$2:$L$11,0))/100000),"")</f>
        <v/>
      </c>
      <c r="Q59" s="31" t="str">
        <f aca="false">IFERROR(IF(M59="","",M59*INDEX('00 - Lists'!$N$2:$N$11,MATCH(L59,'00 - Lists'!$L$2:$L$11,0))),"")</f>
        <v/>
      </c>
      <c r="R59" s="31" t="str">
        <f aca="false">IFERROR(IF(N59="","",N59*INDEX('00 - Lists'!$N$2:$N$11,MATCH(L59,'00 - Lists'!$L$2:$L$11,0))),"")</f>
        <v/>
      </c>
      <c r="S59" s="32" t="str">
        <f aca="false">IF(O59="","",IF(O59&gt;=50,"Yes","No"))</f>
        <v/>
      </c>
      <c r="T59" s="32" t="str">
        <f aca="false">IF(Q59="","",IF(Q59&gt;=100000,"Yes","No"))</f>
        <v/>
      </c>
      <c r="U59" s="28"/>
      <c r="V59" s="28"/>
      <c r="W59" s="28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J59" s="34" t="str">
        <f aca="false">IF(OR($BD59&lt;&gt;"",$BF59&lt;&gt;"",$BH59&lt;&gt;""),"Yes","No")</f>
        <v>No</v>
      </c>
      <c r="BK59" s="35" t="str">
        <f aca="false">IFERROR(IF(BD59="","",BD59*INDEX('00 - Lists'!$M$2:$M$11,MATCH(L59,'00 - Lists'!$L$2:$L$11,0))/100000),"")</f>
        <v/>
      </c>
      <c r="BL59" s="35" t="str">
        <f aca="false">IFERROR(IF(BE59="","",BE59*INDEX('00 - Lists'!$M$2:$M$11,MATCH(L59,'00 - Lists'!$L$2:$L$11,0))/100000),"")</f>
        <v/>
      </c>
      <c r="BM59" s="35" t="str">
        <f aca="false">IFERROR(IF(BF59="","",BF59*INDEX('00 - Lists'!$M$2:$M$11,MATCH(L59,'00 - Lists'!$L$2:$L$11,0))/100000),"")</f>
        <v/>
      </c>
      <c r="BN59" s="35" t="str">
        <f aca="false">IFERROR(IF(BG59="","",BG59*INDEX('00 - Lists'!$M$2:$M$11,MATCH(L59,'00 - Lists'!$L$2:$L$11,0))/100000),"")</f>
        <v/>
      </c>
      <c r="BO59" s="35" t="str">
        <f aca="false">IFERROR(IF(BH59="","",BH59*INDEX('00 - Lists'!$M$2:$M$11,MATCH(L59,'00 - Lists'!$L$2:$L$11,0))/100000),"")</f>
        <v/>
      </c>
      <c r="BP59" s="35" t="str">
        <f aca="false">IFERROR(IF(BI59="","",BI59*INDEX('00 - Lists'!$M$2:$M$11,MATCH(L59,'00 - Lists'!$L$2:$L$11,0))/100000),"")</f>
        <v/>
      </c>
      <c r="BS59" s="36" t="str">
        <f aca="false">IF(O59="","",IF(O59&gt;=20,"Yes","No"))</f>
        <v/>
      </c>
      <c r="BT59" s="36" t="str">
        <f aca="false">IF(O59="","",IF(O59&gt;=30,"Yes","No"))</f>
        <v/>
      </c>
      <c r="BU59" s="36" t="str">
        <f aca="false">IF(O59="","",IF(O59&gt;=75,"Yes","No"))</f>
        <v/>
      </c>
      <c r="BV59" s="36" t="str">
        <f aca="false">IF(O59="","",IF(O59&gt;=100,"Yes","No"))</f>
        <v/>
      </c>
      <c r="BW59" s="36" t="str">
        <f aca="false">IF(O59="","",IF(O59&gt;=150,"Yes","No"))</f>
        <v/>
      </c>
      <c r="BX59" s="36" t="str">
        <f aca="false">IF(O59="","",IF(O59&gt;=200,"Yes","No"))</f>
        <v/>
      </c>
      <c r="BY59" s="36" t="str">
        <f aca="false">IF(Q59="","",IF(Q59&gt;=150000,"Yes","No"))</f>
        <v/>
      </c>
      <c r="BZ59" s="36" t="str">
        <f aca="false">IF(Q59="","",IF(Q59&gt;=200000,"Yes","No"))</f>
        <v/>
      </c>
      <c r="CA59" s="36" t="str">
        <f aca="false">IF(Q59="","",IF(Q59&gt;=250000,"Yes","No"))</f>
        <v/>
      </c>
      <c r="CB59" s="36" t="str">
        <f aca="false">IF(Q59="","",IF(Q59&gt;=300000,"Yes","No"))</f>
        <v/>
      </c>
      <c r="CC59" s="37"/>
      <c r="CD59" s="36" t="str">
        <f aca="true">IF(B59="","",IF(TODAY()-B59&lt;=7,"🟢 0-7d",IF(TODAY()-B59&lt;=30,"🟡 8-30d",IF(TODAY()-B59&lt;=60,"🟠 31-60d","🔴 60d+"))))</f>
        <v/>
      </c>
      <c r="CE59" s="36" t="str">
        <f aca="false">IF(G59="","",IF(G59&lt;&gt;"USA","N/A - Not USA Role",IF(J59="Yes",IF(OR(F59="Intern",F59="New Grad"),"🟡 Possible","🟢 Strong"),IF(J59="No","🔴 Difficult","⚪ Unknown"))))</f>
        <v/>
      </c>
      <c r="CF59" s="37"/>
      <c r="CG59" s="37"/>
      <c r="CH59" s="38"/>
      <c r="CI59" s="38"/>
      <c r="CJ59" s="38"/>
      <c r="CK59" s="38"/>
    </row>
    <row r="60" customFormat="false" ht="15" hidden="false" customHeight="true" outlineLevel="0" collapsed="false">
      <c r="A60" s="26" t="str">
        <f aca="false">IF($C60="","",ROW()-3)</f>
        <v/>
      </c>
      <c r="B60" s="27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9"/>
      <c r="N60" s="29"/>
      <c r="O60" s="30" t="str">
        <f aca="false">IFERROR(IF(M60="","",M60*INDEX('00 - Lists'!$M$2:$M$11,MATCH(L60,'00 - Lists'!$L$2:$L$11,0))/100000),"")</f>
        <v/>
      </c>
      <c r="P60" s="30" t="str">
        <f aca="false">IFERROR(IF(N60="","",N60*INDEX('00 - Lists'!$M$2:$M$11,MATCH(L60,'00 - Lists'!$L$2:$L$11,0))/100000),"")</f>
        <v/>
      </c>
      <c r="Q60" s="31" t="str">
        <f aca="false">IFERROR(IF(M60="","",M60*INDEX('00 - Lists'!$N$2:$N$11,MATCH(L60,'00 - Lists'!$L$2:$L$11,0))),"")</f>
        <v/>
      </c>
      <c r="R60" s="31" t="str">
        <f aca="false">IFERROR(IF(N60="","",N60*INDEX('00 - Lists'!$N$2:$N$11,MATCH(L60,'00 - Lists'!$L$2:$L$11,0))),"")</f>
        <v/>
      </c>
      <c r="S60" s="32" t="str">
        <f aca="false">IF(O60="","",IF(O60&gt;=50,"Yes","No"))</f>
        <v/>
      </c>
      <c r="T60" s="32" t="str">
        <f aca="false">IF(Q60="","",IF(Q60&gt;=100000,"Yes","No"))</f>
        <v/>
      </c>
      <c r="U60" s="28"/>
      <c r="V60" s="28"/>
      <c r="W60" s="28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J60" s="34" t="str">
        <f aca="false">IF(OR($BD60&lt;&gt;"",$BF60&lt;&gt;"",$BH60&lt;&gt;""),"Yes","No")</f>
        <v>No</v>
      </c>
      <c r="BK60" s="35" t="str">
        <f aca="false">IFERROR(IF(BD60="","",BD60*INDEX('00 - Lists'!$M$2:$M$11,MATCH(L60,'00 - Lists'!$L$2:$L$11,0))/100000),"")</f>
        <v/>
      </c>
      <c r="BL60" s="35" t="str">
        <f aca="false">IFERROR(IF(BE60="","",BE60*INDEX('00 - Lists'!$M$2:$M$11,MATCH(L60,'00 - Lists'!$L$2:$L$11,0))/100000),"")</f>
        <v/>
      </c>
      <c r="BM60" s="35" t="str">
        <f aca="false">IFERROR(IF(BF60="","",BF60*INDEX('00 - Lists'!$M$2:$M$11,MATCH(L60,'00 - Lists'!$L$2:$L$11,0))/100000),"")</f>
        <v/>
      </c>
      <c r="BN60" s="35" t="str">
        <f aca="false">IFERROR(IF(BG60="","",BG60*INDEX('00 - Lists'!$M$2:$M$11,MATCH(L60,'00 - Lists'!$L$2:$L$11,0))/100000),"")</f>
        <v/>
      </c>
      <c r="BO60" s="35" t="str">
        <f aca="false">IFERROR(IF(BH60="","",BH60*INDEX('00 - Lists'!$M$2:$M$11,MATCH(L60,'00 - Lists'!$L$2:$L$11,0))/100000),"")</f>
        <v/>
      </c>
      <c r="BP60" s="35" t="str">
        <f aca="false">IFERROR(IF(BI60="","",BI60*INDEX('00 - Lists'!$M$2:$M$11,MATCH(L60,'00 - Lists'!$L$2:$L$11,0))/100000),"")</f>
        <v/>
      </c>
      <c r="BS60" s="36" t="str">
        <f aca="false">IF(O60="","",IF(O60&gt;=20,"Yes","No"))</f>
        <v/>
      </c>
      <c r="BT60" s="36" t="str">
        <f aca="false">IF(O60="","",IF(O60&gt;=30,"Yes","No"))</f>
        <v/>
      </c>
      <c r="BU60" s="36" t="str">
        <f aca="false">IF(O60="","",IF(O60&gt;=75,"Yes","No"))</f>
        <v/>
      </c>
      <c r="BV60" s="36" t="str">
        <f aca="false">IF(O60="","",IF(O60&gt;=100,"Yes","No"))</f>
        <v/>
      </c>
      <c r="BW60" s="36" t="str">
        <f aca="false">IF(O60="","",IF(O60&gt;=150,"Yes","No"))</f>
        <v/>
      </c>
      <c r="BX60" s="36" t="str">
        <f aca="false">IF(O60="","",IF(O60&gt;=200,"Yes","No"))</f>
        <v/>
      </c>
      <c r="BY60" s="36" t="str">
        <f aca="false">IF(Q60="","",IF(Q60&gt;=150000,"Yes","No"))</f>
        <v/>
      </c>
      <c r="BZ60" s="36" t="str">
        <f aca="false">IF(Q60="","",IF(Q60&gt;=200000,"Yes","No"))</f>
        <v/>
      </c>
      <c r="CA60" s="36" t="str">
        <f aca="false">IF(Q60="","",IF(Q60&gt;=250000,"Yes","No"))</f>
        <v/>
      </c>
      <c r="CB60" s="36" t="str">
        <f aca="false">IF(Q60="","",IF(Q60&gt;=300000,"Yes","No"))</f>
        <v/>
      </c>
      <c r="CC60" s="37"/>
      <c r="CD60" s="36" t="str">
        <f aca="true">IF(B60="","",IF(TODAY()-B60&lt;=7,"🟢 0-7d",IF(TODAY()-B60&lt;=30,"🟡 8-30d",IF(TODAY()-B60&lt;=60,"🟠 31-60d","🔴 60d+"))))</f>
        <v/>
      </c>
      <c r="CE60" s="36" t="str">
        <f aca="false">IF(G60="","",IF(G60&lt;&gt;"USA","N/A - Not USA Role",IF(J60="Yes",IF(OR(F60="Intern",F60="New Grad"),"🟡 Possible","🟢 Strong"),IF(J60="No","🔴 Difficult","⚪ Unknown"))))</f>
        <v/>
      </c>
      <c r="CF60" s="37"/>
      <c r="CG60" s="37"/>
      <c r="CH60" s="38"/>
      <c r="CI60" s="38"/>
      <c r="CJ60" s="38"/>
      <c r="CK60" s="38"/>
    </row>
    <row r="61" customFormat="false" ht="15" hidden="false" customHeight="true" outlineLevel="0" collapsed="false">
      <c r="A61" s="26" t="str">
        <f aca="false">IF($C61="","",ROW()-3)</f>
        <v/>
      </c>
      <c r="B61" s="27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9"/>
      <c r="N61" s="29"/>
      <c r="O61" s="30" t="str">
        <f aca="false">IFERROR(IF(M61="","",M61*INDEX('00 - Lists'!$M$2:$M$11,MATCH(L61,'00 - Lists'!$L$2:$L$11,0))/100000),"")</f>
        <v/>
      </c>
      <c r="P61" s="30" t="str">
        <f aca="false">IFERROR(IF(N61="","",N61*INDEX('00 - Lists'!$M$2:$M$11,MATCH(L61,'00 - Lists'!$L$2:$L$11,0))/100000),"")</f>
        <v/>
      </c>
      <c r="Q61" s="31" t="str">
        <f aca="false">IFERROR(IF(M61="","",M61*INDEX('00 - Lists'!$N$2:$N$11,MATCH(L61,'00 - Lists'!$L$2:$L$11,0))),"")</f>
        <v/>
      </c>
      <c r="R61" s="31" t="str">
        <f aca="false">IFERROR(IF(N61="","",N61*INDEX('00 - Lists'!$N$2:$N$11,MATCH(L61,'00 - Lists'!$L$2:$L$11,0))),"")</f>
        <v/>
      </c>
      <c r="S61" s="32" t="str">
        <f aca="false">IF(O61="","",IF(O61&gt;=50,"Yes","No"))</f>
        <v/>
      </c>
      <c r="T61" s="32" t="str">
        <f aca="false">IF(Q61="","",IF(Q61&gt;=100000,"Yes","No"))</f>
        <v/>
      </c>
      <c r="U61" s="28"/>
      <c r="V61" s="28"/>
      <c r="W61" s="28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J61" s="34" t="str">
        <f aca="false">IF(OR($BD61&lt;&gt;"",$BF61&lt;&gt;"",$BH61&lt;&gt;""),"Yes","No")</f>
        <v>No</v>
      </c>
      <c r="BK61" s="35" t="str">
        <f aca="false">IFERROR(IF(BD61="","",BD61*INDEX('00 - Lists'!$M$2:$M$11,MATCH(L61,'00 - Lists'!$L$2:$L$11,0))/100000),"")</f>
        <v/>
      </c>
      <c r="BL61" s="35" t="str">
        <f aca="false">IFERROR(IF(BE61="","",BE61*INDEX('00 - Lists'!$M$2:$M$11,MATCH(L61,'00 - Lists'!$L$2:$L$11,0))/100000),"")</f>
        <v/>
      </c>
      <c r="BM61" s="35" t="str">
        <f aca="false">IFERROR(IF(BF61="","",BF61*INDEX('00 - Lists'!$M$2:$M$11,MATCH(L61,'00 - Lists'!$L$2:$L$11,0))/100000),"")</f>
        <v/>
      </c>
      <c r="BN61" s="35" t="str">
        <f aca="false">IFERROR(IF(BG61="","",BG61*INDEX('00 - Lists'!$M$2:$M$11,MATCH(L61,'00 - Lists'!$L$2:$L$11,0))/100000),"")</f>
        <v/>
      </c>
      <c r="BO61" s="35" t="str">
        <f aca="false">IFERROR(IF(BH61="","",BH61*INDEX('00 - Lists'!$M$2:$M$11,MATCH(L61,'00 - Lists'!$L$2:$L$11,0))/100000),"")</f>
        <v/>
      </c>
      <c r="BP61" s="35" t="str">
        <f aca="false">IFERROR(IF(BI61="","",BI61*INDEX('00 - Lists'!$M$2:$M$11,MATCH(L61,'00 - Lists'!$L$2:$L$11,0))/100000),"")</f>
        <v/>
      </c>
      <c r="BS61" s="36" t="str">
        <f aca="false">IF(O61="","",IF(O61&gt;=20,"Yes","No"))</f>
        <v/>
      </c>
      <c r="BT61" s="36" t="str">
        <f aca="false">IF(O61="","",IF(O61&gt;=30,"Yes","No"))</f>
        <v/>
      </c>
      <c r="BU61" s="36" t="str">
        <f aca="false">IF(O61="","",IF(O61&gt;=75,"Yes","No"))</f>
        <v/>
      </c>
      <c r="BV61" s="36" t="str">
        <f aca="false">IF(O61="","",IF(O61&gt;=100,"Yes","No"))</f>
        <v/>
      </c>
      <c r="BW61" s="36" t="str">
        <f aca="false">IF(O61="","",IF(O61&gt;=150,"Yes","No"))</f>
        <v/>
      </c>
      <c r="BX61" s="36" t="str">
        <f aca="false">IF(O61="","",IF(O61&gt;=200,"Yes","No"))</f>
        <v/>
      </c>
      <c r="BY61" s="36" t="str">
        <f aca="false">IF(Q61="","",IF(Q61&gt;=150000,"Yes","No"))</f>
        <v/>
      </c>
      <c r="BZ61" s="36" t="str">
        <f aca="false">IF(Q61="","",IF(Q61&gt;=200000,"Yes","No"))</f>
        <v/>
      </c>
      <c r="CA61" s="36" t="str">
        <f aca="false">IF(Q61="","",IF(Q61&gt;=250000,"Yes","No"))</f>
        <v/>
      </c>
      <c r="CB61" s="36" t="str">
        <f aca="false">IF(Q61="","",IF(Q61&gt;=300000,"Yes","No"))</f>
        <v/>
      </c>
      <c r="CC61" s="37"/>
      <c r="CD61" s="36" t="str">
        <f aca="true">IF(B61="","",IF(TODAY()-B61&lt;=7,"🟢 0-7d",IF(TODAY()-B61&lt;=30,"🟡 8-30d",IF(TODAY()-B61&lt;=60,"🟠 31-60d","🔴 60d+"))))</f>
        <v/>
      </c>
      <c r="CE61" s="36" t="str">
        <f aca="false">IF(G61="","",IF(G61&lt;&gt;"USA","N/A - Not USA Role",IF(J61="Yes",IF(OR(F61="Intern",F61="New Grad"),"🟡 Possible","🟢 Strong"),IF(J61="No","🔴 Difficult","⚪ Unknown"))))</f>
        <v/>
      </c>
      <c r="CF61" s="37"/>
      <c r="CG61" s="37"/>
      <c r="CH61" s="38"/>
      <c r="CI61" s="38"/>
      <c r="CJ61" s="38"/>
      <c r="CK61" s="38"/>
    </row>
    <row r="62" customFormat="false" ht="15" hidden="false" customHeight="true" outlineLevel="0" collapsed="false">
      <c r="A62" s="26" t="str">
        <f aca="false">IF($C62="","",ROW()-3)</f>
        <v/>
      </c>
      <c r="B62" s="27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9"/>
      <c r="N62" s="29"/>
      <c r="O62" s="30" t="str">
        <f aca="false">IFERROR(IF(M62="","",M62*INDEX('00 - Lists'!$M$2:$M$11,MATCH(L62,'00 - Lists'!$L$2:$L$11,0))/100000),"")</f>
        <v/>
      </c>
      <c r="P62" s="30" t="str">
        <f aca="false">IFERROR(IF(N62="","",N62*INDEX('00 - Lists'!$M$2:$M$11,MATCH(L62,'00 - Lists'!$L$2:$L$11,0))/100000),"")</f>
        <v/>
      </c>
      <c r="Q62" s="31" t="str">
        <f aca="false">IFERROR(IF(M62="","",M62*INDEX('00 - Lists'!$N$2:$N$11,MATCH(L62,'00 - Lists'!$L$2:$L$11,0))),"")</f>
        <v/>
      </c>
      <c r="R62" s="31" t="str">
        <f aca="false">IFERROR(IF(N62="","",N62*INDEX('00 - Lists'!$N$2:$N$11,MATCH(L62,'00 - Lists'!$L$2:$L$11,0))),"")</f>
        <v/>
      </c>
      <c r="S62" s="32" t="str">
        <f aca="false">IF(O62="","",IF(O62&gt;=50,"Yes","No"))</f>
        <v/>
      </c>
      <c r="T62" s="32" t="str">
        <f aca="false">IF(Q62="","",IF(Q62&gt;=100000,"Yes","No"))</f>
        <v/>
      </c>
      <c r="U62" s="28"/>
      <c r="V62" s="28"/>
      <c r="W62" s="28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J62" s="34" t="str">
        <f aca="false">IF(OR($BD62&lt;&gt;"",$BF62&lt;&gt;"",$BH62&lt;&gt;""),"Yes","No")</f>
        <v>No</v>
      </c>
      <c r="BK62" s="35" t="str">
        <f aca="false">IFERROR(IF(BD62="","",BD62*INDEX('00 - Lists'!$M$2:$M$11,MATCH(L62,'00 - Lists'!$L$2:$L$11,0))/100000),"")</f>
        <v/>
      </c>
      <c r="BL62" s="35" t="str">
        <f aca="false">IFERROR(IF(BE62="","",BE62*INDEX('00 - Lists'!$M$2:$M$11,MATCH(L62,'00 - Lists'!$L$2:$L$11,0))/100000),"")</f>
        <v/>
      </c>
      <c r="BM62" s="35" t="str">
        <f aca="false">IFERROR(IF(BF62="","",BF62*INDEX('00 - Lists'!$M$2:$M$11,MATCH(L62,'00 - Lists'!$L$2:$L$11,0))/100000),"")</f>
        <v/>
      </c>
      <c r="BN62" s="35" t="str">
        <f aca="false">IFERROR(IF(BG62="","",BG62*INDEX('00 - Lists'!$M$2:$M$11,MATCH(L62,'00 - Lists'!$L$2:$L$11,0))/100000),"")</f>
        <v/>
      </c>
      <c r="BO62" s="35" t="str">
        <f aca="false">IFERROR(IF(BH62="","",BH62*INDEX('00 - Lists'!$M$2:$M$11,MATCH(L62,'00 - Lists'!$L$2:$L$11,0))/100000),"")</f>
        <v/>
      </c>
      <c r="BP62" s="35" t="str">
        <f aca="false">IFERROR(IF(BI62="","",BI62*INDEX('00 - Lists'!$M$2:$M$11,MATCH(L62,'00 - Lists'!$L$2:$L$11,0))/100000),"")</f>
        <v/>
      </c>
      <c r="BS62" s="36" t="str">
        <f aca="false">IF(O62="","",IF(O62&gt;=20,"Yes","No"))</f>
        <v/>
      </c>
      <c r="BT62" s="36" t="str">
        <f aca="false">IF(O62="","",IF(O62&gt;=30,"Yes","No"))</f>
        <v/>
      </c>
      <c r="BU62" s="36" t="str">
        <f aca="false">IF(O62="","",IF(O62&gt;=75,"Yes","No"))</f>
        <v/>
      </c>
      <c r="BV62" s="36" t="str">
        <f aca="false">IF(O62="","",IF(O62&gt;=100,"Yes","No"))</f>
        <v/>
      </c>
      <c r="BW62" s="36" t="str">
        <f aca="false">IF(O62="","",IF(O62&gt;=150,"Yes","No"))</f>
        <v/>
      </c>
      <c r="BX62" s="36" t="str">
        <f aca="false">IF(O62="","",IF(O62&gt;=200,"Yes","No"))</f>
        <v/>
      </c>
      <c r="BY62" s="36" t="str">
        <f aca="false">IF(Q62="","",IF(Q62&gt;=150000,"Yes","No"))</f>
        <v/>
      </c>
      <c r="BZ62" s="36" t="str">
        <f aca="false">IF(Q62="","",IF(Q62&gt;=200000,"Yes","No"))</f>
        <v/>
      </c>
      <c r="CA62" s="36" t="str">
        <f aca="false">IF(Q62="","",IF(Q62&gt;=250000,"Yes","No"))</f>
        <v/>
      </c>
      <c r="CB62" s="36" t="str">
        <f aca="false">IF(Q62="","",IF(Q62&gt;=300000,"Yes","No"))</f>
        <v/>
      </c>
      <c r="CC62" s="37"/>
      <c r="CD62" s="36" t="str">
        <f aca="true">IF(B62="","",IF(TODAY()-B62&lt;=7,"🟢 0-7d",IF(TODAY()-B62&lt;=30,"🟡 8-30d",IF(TODAY()-B62&lt;=60,"🟠 31-60d","🔴 60d+"))))</f>
        <v/>
      </c>
      <c r="CE62" s="36" t="str">
        <f aca="false">IF(G62="","",IF(G62&lt;&gt;"USA","N/A - Not USA Role",IF(J62="Yes",IF(OR(F62="Intern",F62="New Grad"),"🟡 Possible","🟢 Strong"),IF(J62="No","🔴 Difficult","⚪ Unknown"))))</f>
        <v/>
      </c>
      <c r="CF62" s="37"/>
      <c r="CG62" s="37"/>
      <c r="CH62" s="38"/>
      <c r="CI62" s="38"/>
      <c r="CJ62" s="38"/>
      <c r="CK62" s="38"/>
    </row>
    <row r="63" customFormat="false" ht="15" hidden="false" customHeight="true" outlineLevel="0" collapsed="false">
      <c r="A63" s="26" t="str">
        <f aca="false">IF($C63="","",ROW()-3)</f>
        <v/>
      </c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9"/>
      <c r="N63" s="29"/>
      <c r="O63" s="30" t="str">
        <f aca="false">IFERROR(IF(M63="","",M63*INDEX('00 - Lists'!$M$2:$M$11,MATCH(L63,'00 - Lists'!$L$2:$L$11,0))/100000),"")</f>
        <v/>
      </c>
      <c r="P63" s="30" t="str">
        <f aca="false">IFERROR(IF(N63="","",N63*INDEX('00 - Lists'!$M$2:$M$11,MATCH(L63,'00 - Lists'!$L$2:$L$11,0))/100000),"")</f>
        <v/>
      </c>
      <c r="Q63" s="31" t="str">
        <f aca="false">IFERROR(IF(M63="","",M63*INDEX('00 - Lists'!$N$2:$N$11,MATCH(L63,'00 - Lists'!$L$2:$L$11,0))),"")</f>
        <v/>
      </c>
      <c r="R63" s="31" t="str">
        <f aca="false">IFERROR(IF(N63="","",N63*INDEX('00 - Lists'!$N$2:$N$11,MATCH(L63,'00 - Lists'!$L$2:$L$11,0))),"")</f>
        <v/>
      </c>
      <c r="S63" s="32" t="str">
        <f aca="false">IF(O63="","",IF(O63&gt;=50,"Yes","No"))</f>
        <v/>
      </c>
      <c r="T63" s="32" t="str">
        <f aca="false">IF(Q63="","",IF(Q63&gt;=100000,"Yes","No"))</f>
        <v/>
      </c>
      <c r="U63" s="28"/>
      <c r="V63" s="28"/>
      <c r="W63" s="28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J63" s="34" t="str">
        <f aca="false">IF(OR($BD63&lt;&gt;"",$BF63&lt;&gt;"",$BH63&lt;&gt;""),"Yes","No")</f>
        <v>No</v>
      </c>
      <c r="BK63" s="35" t="str">
        <f aca="false">IFERROR(IF(BD63="","",BD63*INDEX('00 - Lists'!$M$2:$M$11,MATCH(L63,'00 - Lists'!$L$2:$L$11,0))/100000),"")</f>
        <v/>
      </c>
      <c r="BL63" s="35" t="str">
        <f aca="false">IFERROR(IF(BE63="","",BE63*INDEX('00 - Lists'!$M$2:$M$11,MATCH(L63,'00 - Lists'!$L$2:$L$11,0))/100000),"")</f>
        <v/>
      </c>
      <c r="BM63" s="35" t="str">
        <f aca="false">IFERROR(IF(BF63="","",BF63*INDEX('00 - Lists'!$M$2:$M$11,MATCH(L63,'00 - Lists'!$L$2:$L$11,0))/100000),"")</f>
        <v/>
      </c>
      <c r="BN63" s="35" t="str">
        <f aca="false">IFERROR(IF(BG63="","",BG63*INDEX('00 - Lists'!$M$2:$M$11,MATCH(L63,'00 - Lists'!$L$2:$L$11,0))/100000),"")</f>
        <v/>
      </c>
      <c r="BO63" s="35" t="str">
        <f aca="false">IFERROR(IF(BH63="","",BH63*INDEX('00 - Lists'!$M$2:$M$11,MATCH(L63,'00 - Lists'!$L$2:$L$11,0))/100000),"")</f>
        <v/>
      </c>
      <c r="BP63" s="35" t="str">
        <f aca="false">IFERROR(IF(BI63="","",BI63*INDEX('00 - Lists'!$M$2:$M$11,MATCH(L63,'00 - Lists'!$L$2:$L$11,0))/100000),"")</f>
        <v/>
      </c>
      <c r="BS63" s="36" t="str">
        <f aca="false">IF(O63="","",IF(O63&gt;=20,"Yes","No"))</f>
        <v/>
      </c>
      <c r="BT63" s="36" t="str">
        <f aca="false">IF(O63="","",IF(O63&gt;=30,"Yes","No"))</f>
        <v/>
      </c>
      <c r="BU63" s="36" t="str">
        <f aca="false">IF(O63="","",IF(O63&gt;=75,"Yes","No"))</f>
        <v/>
      </c>
      <c r="BV63" s="36" t="str">
        <f aca="false">IF(O63="","",IF(O63&gt;=100,"Yes","No"))</f>
        <v/>
      </c>
      <c r="BW63" s="36" t="str">
        <f aca="false">IF(O63="","",IF(O63&gt;=150,"Yes","No"))</f>
        <v/>
      </c>
      <c r="BX63" s="36" t="str">
        <f aca="false">IF(O63="","",IF(O63&gt;=200,"Yes","No"))</f>
        <v/>
      </c>
      <c r="BY63" s="36" t="str">
        <f aca="false">IF(Q63="","",IF(Q63&gt;=150000,"Yes","No"))</f>
        <v/>
      </c>
      <c r="BZ63" s="36" t="str">
        <f aca="false">IF(Q63="","",IF(Q63&gt;=200000,"Yes","No"))</f>
        <v/>
      </c>
      <c r="CA63" s="36" t="str">
        <f aca="false">IF(Q63="","",IF(Q63&gt;=250000,"Yes","No"))</f>
        <v/>
      </c>
      <c r="CB63" s="36" t="str">
        <f aca="false">IF(Q63="","",IF(Q63&gt;=300000,"Yes","No"))</f>
        <v/>
      </c>
      <c r="CC63" s="37"/>
      <c r="CD63" s="36" t="str">
        <f aca="true">IF(B63="","",IF(TODAY()-B63&lt;=7,"🟢 0-7d",IF(TODAY()-B63&lt;=30,"🟡 8-30d",IF(TODAY()-B63&lt;=60,"🟠 31-60d","🔴 60d+"))))</f>
        <v/>
      </c>
      <c r="CE63" s="36" t="str">
        <f aca="false">IF(G63="","",IF(G63&lt;&gt;"USA","N/A - Not USA Role",IF(J63="Yes",IF(OR(F63="Intern",F63="New Grad"),"🟡 Possible","🟢 Strong"),IF(J63="No","🔴 Difficult","⚪ Unknown"))))</f>
        <v/>
      </c>
      <c r="CF63" s="37"/>
      <c r="CG63" s="37"/>
      <c r="CH63" s="38"/>
      <c r="CI63" s="38"/>
      <c r="CJ63" s="38"/>
      <c r="CK63" s="38"/>
    </row>
    <row r="64" customFormat="false" ht="15" hidden="false" customHeight="true" outlineLevel="0" collapsed="false">
      <c r="A64" s="26" t="str">
        <f aca="false">IF($C64="","",ROW()-3)</f>
        <v/>
      </c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9"/>
      <c r="N64" s="29"/>
      <c r="O64" s="30" t="str">
        <f aca="false">IFERROR(IF(M64="","",M64*INDEX('00 - Lists'!$M$2:$M$11,MATCH(L64,'00 - Lists'!$L$2:$L$11,0))/100000),"")</f>
        <v/>
      </c>
      <c r="P64" s="30" t="str">
        <f aca="false">IFERROR(IF(N64="","",N64*INDEX('00 - Lists'!$M$2:$M$11,MATCH(L64,'00 - Lists'!$L$2:$L$11,0))/100000),"")</f>
        <v/>
      </c>
      <c r="Q64" s="31" t="str">
        <f aca="false">IFERROR(IF(M64="","",M64*INDEX('00 - Lists'!$N$2:$N$11,MATCH(L64,'00 - Lists'!$L$2:$L$11,0))),"")</f>
        <v/>
      </c>
      <c r="R64" s="31" t="str">
        <f aca="false">IFERROR(IF(N64="","",N64*INDEX('00 - Lists'!$N$2:$N$11,MATCH(L64,'00 - Lists'!$L$2:$L$11,0))),"")</f>
        <v/>
      </c>
      <c r="S64" s="32" t="str">
        <f aca="false">IF(O64="","",IF(O64&gt;=50,"Yes","No"))</f>
        <v/>
      </c>
      <c r="T64" s="32" t="str">
        <f aca="false">IF(Q64="","",IF(Q64&gt;=100000,"Yes","No"))</f>
        <v/>
      </c>
      <c r="U64" s="28"/>
      <c r="V64" s="28"/>
      <c r="W64" s="28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J64" s="34" t="str">
        <f aca="false">IF(OR($BD64&lt;&gt;"",$BF64&lt;&gt;"",$BH64&lt;&gt;""),"Yes","No")</f>
        <v>No</v>
      </c>
      <c r="BK64" s="35" t="str">
        <f aca="false">IFERROR(IF(BD64="","",BD64*INDEX('00 - Lists'!$M$2:$M$11,MATCH(L64,'00 - Lists'!$L$2:$L$11,0))/100000),"")</f>
        <v/>
      </c>
      <c r="BL64" s="35" t="str">
        <f aca="false">IFERROR(IF(BE64="","",BE64*INDEX('00 - Lists'!$M$2:$M$11,MATCH(L64,'00 - Lists'!$L$2:$L$11,0))/100000),"")</f>
        <v/>
      </c>
      <c r="BM64" s="35" t="str">
        <f aca="false">IFERROR(IF(BF64="","",BF64*INDEX('00 - Lists'!$M$2:$M$11,MATCH(L64,'00 - Lists'!$L$2:$L$11,0))/100000),"")</f>
        <v/>
      </c>
      <c r="BN64" s="35" t="str">
        <f aca="false">IFERROR(IF(BG64="","",BG64*INDEX('00 - Lists'!$M$2:$M$11,MATCH(L64,'00 - Lists'!$L$2:$L$11,0))/100000),"")</f>
        <v/>
      </c>
      <c r="BO64" s="35" t="str">
        <f aca="false">IFERROR(IF(BH64="","",BH64*INDEX('00 - Lists'!$M$2:$M$11,MATCH(L64,'00 - Lists'!$L$2:$L$11,0))/100000),"")</f>
        <v/>
      </c>
      <c r="BP64" s="35" t="str">
        <f aca="false">IFERROR(IF(BI64="","",BI64*INDEX('00 - Lists'!$M$2:$M$11,MATCH(L64,'00 - Lists'!$L$2:$L$11,0))/100000),"")</f>
        <v/>
      </c>
      <c r="BS64" s="36" t="str">
        <f aca="false">IF(O64="","",IF(O64&gt;=20,"Yes","No"))</f>
        <v/>
      </c>
      <c r="BT64" s="36" t="str">
        <f aca="false">IF(O64="","",IF(O64&gt;=30,"Yes","No"))</f>
        <v/>
      </c>
      <c r="BU64" s="36" t="str">
        <f aca="false">IF(O64="","",IF(O64&gt;=75,"Yes","No"))</f>
        <v/>
      </c>
      <c r="BV64" s="36" t="str">
        <f aca="false">IF(O64="","",IF(O64&gt;=100,"Yes","No"))</f>
        <v/>
      </c>
      <c r="BW64" s="36" t="str">
        <f aca="false">IF(O64="","",IF(O64&gt;=150,"Yes","No"))</f>
        <v/>
      </c>
      <c r="BX64" s="36" t="str">
        <f aca="false">IF(O64="","",IF(O64&gt;=200,"Yes","No"))</f>
        <v/>
      </c>
      <c r="BY64" s="36" t="str">
        <f aca="false">IF(Q64="","",IF(Q64&gt;=150000,"Yes","No"))</f>
        <v/>
      </c>
      <c r="BZ64" s="36" t="str">
        <f aca="false">IF(Q64="","",IF(Q64&gt;=200000,"Yes","No"))</f>
        <v/>
      </c>
      <c r="CA64" s="36" t="str">
        <f aca="false">IF(Q64="","",IF(Q64&gt;=250000,"Yes","No"))</f>
        <v/>
      </c>
      <c r="CB64" s="36" t="str">
        <f aca="false">IF(Q64="","",IF(Q64&gt;=300000,"Yes","No"))</f>
        <v/>
      </c>
      <c r="CC64" s="37"/>
      <c r="CD64" s="36" t="str">
        <f aca="true">IF(B64="","",IF(TODAY()-B64&lt;=7,"🟢 0-7d",IF(TODAY()-B64&lt;=30,"🟡 8-30d",IF(TODAY()-B64&lt;=60,"🟠 31-60d","🔴 60d+"))))</f>
        <v/>
      </c>
      <c r="CE64" s="36" t="str">
        <f aca="false">IF(G64="","",IF(G64&lt;&gt;"USA","N/A - Not USA Role",IF(J64="Yes",IF(OR(F64="Intern",F64="New Grad"),"🟡 Possible","🟢 Strong"),IF(J64="No","🔴 Difficult","⚪ Unknown"))))</f>
        <v/>
      </c>
      <c r="CF64" s="37"/>
      <c r="CG64" s="37"/>
      <c r="CH64" s="38"/>
      <c r="CI64" s="38"/>
      <c r="CJ64" s="38"/>
      <c r="CK64" s="38"/>
    </row>
    <row r="65" customFormat="false" ht="15" hidden="false" customHeight="true" outlineLevel="0" collapsed="false">
      <c r="A65" s="26" t="str">
        <f aca="false">IF($C65="","",ROW()-3)</f>
        <v/>
      </c>
      <c r="B65" s="27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9"/>
      <c r="N65" s="29"/>
      <c r="O65" s="30" t="str">
        <f aca="false">IFERROR(IF(M65="","",M65*INDEX('00 - Lists'!$M$2:$M$11,MATCH(L65,'00 - Lists'!$L$2:$L$11,0))/100000),"")</f>
        <v/>
      </c>
      <c r="P65" s="30" t="str">
        <f aca="false">IFERROR(IF(N65="","",N65*INDEX('00 - Lists'!$M$2:$M$11,MATCH(L65,'00 - Lists'!$L$2:$L$11,0))/100000),"")</f>
        <v/>
      </c>
      <c r="Q65" s="31" t="str">
        <f aca="false">IFERROR(IF(M65="","",M65*INDEX('00 - Lists'!$N$2:$N$11,MATCH(L65,'00 - Lists'!$L$2:$L$11,0))),"")</f>
        <v/>
      </c>
      <c r="R65" s="31" t="str">
        <f aca="false">IFERROR(IF(N65="","",N65*INDEX('00 - Lists'!$N$2:$N$11,MATCH(L65,'00 - Lists'!$L$2:$L$11,0))),"")</f>
        <v/>
      </c>
      <c r="S65" s="32" t="str">
        <f aca="false">IF(O65="","",IF(O65&gt;=50,"Yes","No"))</f>
        <v/>
      </c>
      <c r="T65" s="32" t="str">
        <f aca="false">IF(Q65="","",IF(Q65&gt;=100000,"Yes","No"))</f>
        <v/>
      </c>
      <c r="U65" s="28"/>
      <c r="V65" s="28"/>
      <c r="W65" s="28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J65" s="34" t="str">
        <f aca="false">IF(OR($BD65&lt;&gt;"",$BF65&lt;&gt;"",$BH65&lt;&gt;""),"Yes","No")</f>
        <v>No</v>
      </c>
      <c r="BK65" s="35" t="str">
        <f aca="false">IFERROR(IF(BD65="","",BD65*INDEX('00 - Lists'!$M$2:$M$11,MATCH(L65,'00 - Lists'!$L$2:$L$11,0))/100000),"")</f>
        <v/>
      </c>
      <c r="BL65" s="35" t="str">
        <f aca="false">IFERROR(IF(BE65="","",BE65*INDEX('00 - Lists'!$M$2:$M$11,MATCH(L65,'00 - Lists'!$L$2:$L$11,0))/100000),"")</f>
        <v/>
      </c>
      <c r="BM65" s="35" t="str">
        <f aca="false">IFERROR(IF(BF65="","",BF65*INDEX('00 - Lists'!$M$2:$M$11,MATCH(L65,'00 - Lists'!$L$2:$L$11,0))/100000),"")</f>
        <v/>
      </c>
      <c r="BN65" s="35" t="str">
        <f aca="false">IFERROR(IF(BG65="","",BG65*INDEX('00 - Lists'!$M$2:$M$11,MATCH(L65,'00 - Lists'!$L$2:$L$11,0))/100000),"")</f>
        <v/>
      </c>
      <c r="BO65" s="35" t="str">
        <f aca="false">IFERROR(IF(BH65="","",BH65*INDEX('00 - Lists'!$M$2:$M$11,MATCH(L65,'00 - Lists'!$L$2:$L$11,0))/100000),"")</f>
        <v/>
      </c>
      <c r="BP65" s="35" t="str">
        <f aca="false">IFERROR(IF(BI65="","",BI65*INDEX('00 - Lists'!$M$2:$M$11,MATCH(L65,'00 - Lists'!$L$2:$L$11,0))/100000),"")</f>
        <v/>
      </c>
      <c r="BS65" s="36" t="str">
        <f aca="false">IF(O65="","",IF(O65&gt;=20,"Yes","No"))</f>
        <v/>
      </c>
      <c r="BT65" s="36" t="str">
        <f aca="false">IF(O65="","",IF(O65&gt;=30,"Yes","No"))</f>
        <v/>
      </c>
      <c r="BU65" s="36" t="str">
        <f aca="false">IF(O65="","",IF(O65&gt;=75,"Yes","No"))</f>
        <v/>
      </c>
      <c r="BV65" s="36" t="str">
        <f aca="false">IF(O65="","",IF(O65&gt;=100,"Yes","No"))</f>
        <v/>
      </c>
      <c r="BW65" s="36" t="str">
        <f aca="false">IF(O65="","",IF(O65&gt;=150,"Yes","No"))</f>
        <v/>
      </c>
      <c r="BX65" s="36" t="str">
        <f aca="false">IF(O65="","",IF(O65&gt;=200,"Yes","No"))</f>
        <v/>
      </c>
      <c r="BY65" s="36" t="str">
        <f aca="false">IF(Q65="","",IF(Q65&gt;=150000,"Yes","No"))</f>
        <v/>
      </c>
      <c r="BZ65" s="36" t="str">
        <f aca="false">IF(Q65="","",IF(Q65&gt;=200000,"Yes","No"))</f>
        <v/>
      </c>
      <c r="CA65" s="36" t="str">
        <f aca="false">IF(Q65="","",IF(Q65&gt;=250000,"Yes","No"))</f>
        <v/>
      </c>
      <c r="CB65" s="36" t="str">
        <f aca="false">IF(Q65="","",IF(Q65&gt;=300000,"Yes","No"))</f>
        <v/>
      </c>
      <c r="CC65" s="37"/>
      <c r="CD65" s="36" t="str">
        <f aca="true">IF(B65="","",IF(TODAY()-B65&lt;=7,"🟢 0-7d",IF(TODAY()-B65&lt;=30,"🟡 8-30d",IF(TODAY()-B65&lt;=60,"🟠 31-60d","🔴 60d+"))))</f>
        <v/>
      </c>
      <c r="CE65" s="36" t="str">
        <f aca="false">IF(G65="","",IF(G65&lt;&gt;"USA","N/A - Not USA Role",IF(J65="Yes",IF(OR(F65="Intern",F65="New Grad"),"🟡 Possible","🟢 Strong"),IF(J65="No","🔴 Difficult","⚪ Unknown"))))</f>
        <v/>
      </c>
      <c r="CF65" s="37"/>
      <c r="CG65" s="37"/>
      <c r="CH65" s="38"/>
      <c r="CI65" s="38"/>
      <c r="CJ65" s="38"/>
      <c r="CK65" s="38"/>
    </row>
    <row r="66" customFormat="false" ht="15" hidden="false" customHeight="true" outlineLevel="0" collapsed="false">
      <c r="A66" s="26" t="str">
        <f aca="false">IF($C66="","",ROW()-3)</f>
        <v/>
      </c>
      <c r="B66" s="27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9"/>
      <c r="N66" s="29"/>
      <c r="O66" s="30" t="str">
        <f aca="false">IFERROR(IF(M66="","",M66*INDEX('00 - Lists'!$M$2:$M$11,MATCH(L66,'00 - Lists'!$L$2:$L$11,0))/100000),"")</f>
        <v/>
      </c>
      <c r="P66" s="30" t="str">
        <f aca="false">IFERROR(IF(N66="","",N66*INDEX('00 - Lists'!$M$2:$M$11,MATCH(L66,'00 - Lists'!$L$2:$L$11,0))/100000),"")</f>
        <v/>
      </c>
      <c r="Q66" s="31" t="str">
        <f aca="false">IFERROR(IF(M66="","",M66*INDEX('00 - Lists'!$N$2:$N$11,MATCH(L66,'00 - Lists'!$L$2:$L$11,0))),"")</f>
        <v/>
      </c>
      <c r="R66" s="31" t="str">
        <f aca="false">IFERROR(IF(N66="","",N66*INDEX('00 - Lists'!$N$2:$N$11,MATCH(L66,'00 - Lists'!$L$2:$L$11,0))),"")</f>
        <v/>
      </c>
      <c r="S66" s="32" t="str">
        <f aca="false">IF(O66="","",IF(O66&gt;=50,"Yes","No"))</f>
        <v/>
      </c>
      <c r="T66" s="32" t="str">
        <f aca="false">IF(Q66="","",IF(Q66&gt;=100000,"Yes","No"))</f>
        <v/>
      </c>
      <c r="U66" s="28"/>
      <c r="V66" s="28"/>
      <c r="W66" s="28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J66" s="34" t="str">
        <f aca="false">IF(OR($BD66&lt;&gt;"",$BF66&lt;&gt;"",$BH66&lt;&gt;""),"Yes","No")</f>
        <v>No</v>
      </c>
      <c r="BK66" s="35" t="str">
        <f aca="false">IFERROR(IF(BD66="","",BD66*INDEX('00 - Lists'!$M$2:$M$11,MATCH(L66,'00 - Lists'!$L$2:$L$11,0))/100000),"")</f>
        <v/>
      </c>
      <c r="BL66" s="35" t="str">
        <f aca="false">IFERROR(IF(BE66="","",BE66*INDEX('00 - Lists'!$M$2:$M$11,MATCH(L66,'00 - Lists'!$L$2:$L$11,0))/100000),"")</f>
        <v/>
      </c>
      <c r="BM66" s="35" t="str">
        <f aca="false">IFERROR(IF(BF66="","",BF66*INDEX('00 - Lists'!$M$2:$M$11,MATCH(L66,'00 - Lists'!$L$2:$L$11,0))/100000),"")</f>
        <v/>
      </c>
      <c r="BN66" s="35" t="str">
        <f aca="false">IFERROR(IF(BG66="","",BG66*INDEX('00 - Lists'!$M$2:$M$11,MATCH(L66,'00 - Lists'!$L$2:$L$11,0))/100000),"")</f>
        <v/>
      </c>
      <c r="BO66" s="35" t="str">
        <f aca="false">IFERROR(IF(BH66="","",BH66*INDEX('00 - Lists'!$M$2:$M$11,MATCH(L66,'00 - Lists'!$L$2:$L$11,0))/100000),"")</f>
        <v/>
      </c>
      <c r="BP66" s="35" t="str">
        <f aca="false">IFERROR(IF(BI66="","",BI66*INDEX('00 - Lists'!$M$2:$M$11,MATCH(L66,'00 - Lists'!$L$2:$L$11,0))/100000),"")</f>
        <v/>
      </c>
      <c r="BS66" s="36" t="str">
        <f aca="false">IF(O66="","",IF(O66&gt;=20,"Yes","No"))</f>
        <v/>
      </c>
      <c r="BT66" s="36" t="str">
        <f aca="false">IF(O66="","",IF(O66&gt;=30,"Yes","No"))</f>
        <v/>
      </c>
      <c r="BU66" s="36" t="str">
        <f aca="false">IF(O66="","",IF(O66&gt;=75,"Yes","No"))</f>
        <v/>
      </c>
      <c r="BV66" s="36" t="str">
        <f aca="false">IF(O66="","",IF(O66&gt;=100,"Yes","No"))</f>
        <v/>
      </c>
      <c r="BW66" s="36" t="str">
        <f aca="false">IF(O66="","",IF(O66&gt;=150,"Yes","No"))</f>
        <v/>
      </c>
      <c r="BX66" s="36" t="str">
        <f aca="false">IF(O66="","",IF(O66&gt;=200,"Yes","No"))</f>
        <v/>
      </c>
      <c r="BY66" s="36" t="str">
        <f aca="false">IF(Q66="","",IF(Q66&gt;=150000,"Yes","No"))</f>
        <v/>
      </c>
      <c r="BZ66" s="36" t="str">
        <f aca="false">IF(Q66="","",IF(Q66&gt;=200000,"Yes","No"))</f>
        <v/>
      </c>
      <c r="CA66" s="36" t="str">
        <f aca="false">IF(Q66="","",IF(Q66&gt;=250000,"Yes","No"))</f>
        <v/>
      </c>
      <c r="CB66" s="36" t="str">
        <f aca="false">IF(Q66="","",IF(Q66&gt;=300000,"Yes","No"))</f>
        <v/>
      </c>
      <c r="CC66" s="37"/>
      <c r="CD66" s="36" t="str">
        <f aca="true">IF(B66="","",IF(TODAY()-B66&lt;=7,"🟢 0-7d",IF(TODAY()-B66&lt;=30,"🟡 8-30d",IF(TODAY()-B66&lt;=60,"🟠 31-60d","🔴 60d+"))))</f>
        <v/>
      </c>
      <c r="CE66" s="36" t="str">
        <f aca="false">IF(G66="","",IF(G66&lt;&gt;"USA","N/A - Not USA Role",IF(J66="Yes",IF(OR(F66="Intern",F66="New Grad"),"🟡 Possible","🟢 Strong"),IF(J66="No","🔴 Difficult","⚪ Unknown"))))</f>
        <v/>
      </c>
      <c r="CF66" s="37"/>
      <c r="CG66" s="37"/>
      <c r="CH66" s="38"/>
      <c r="CI66" s="38"/>
      <c r="CJ66" s="38"/>
      <c r="CK66" s="38"/>
    </row>
    <row r="67" customFormat="false" ht="15" hidden="false" customHeight="true" outlineLevel="0" collapsed="false">
      <c r="A67" s="26" t="str">
        <f aca="false">IF($C67="","",ROW()-3)</f>
        <v/>
      </c>
      <c r="B67" s="27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9"/>
      <c r="N67" s="29"/>
      <c r="O67" s="30" t="str">
        <f aca="false">IFERROR(IF(M67="","",M67*INDEX('00 - Lists'!$M$2:$M$11,MATCH(L67,'00 - Lists'!$L$2:$L$11,0))/100000),"")</f>
        <v/>
      </c>
      <c r="P67" s="30" t="str">
        <f aca="false">IFERROR(IF(N67="","",N67*INDEX('00 - Lists'!$M$2:$M$11,MATCH(L67,'00 - Lists'!$L$2:$L$11,0))/100000),"")</f>
        <v/>
      </c>
      <c r="Q67" s="31" t="str">
        <f aca="false">IFERROR(IF(M67="","",M67*INDEX('00 - Lists'!$N$2:$N$11,MATCH(L67,'00 - Lists'!$L$2:$L$11,0))),"")</f>
        <v/>
      </c>
      <c r="R67" s="31" t="str">
        <f aca="false">IFERROR(IF(N67="","",N67*INDEX('00 - Lists'!$N$2:$N$11,MATCH(L67,'00 - Lists'!$L$2:$L$11,0))),"")</f>
        <v/>
      </c>
      <c r="S67" s="32" t="str">
        <f aca="false">IF(O67="","",IF(O67&gt;=50,"Yes","No"))</f>
        <v/>
      </c>
      <c r="T67" s="32" t="str">
        <f aca="false">IF(Q67="","",IF(Q67&gt;=100000,"Yes","No"))</f>
        <v/>
      </c>
      <c r="U67" s="28"/>
      <c r="V67" s="28"/>
      <c r="W67" s="28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J67" s="34" t="str">
        <f aca="false">IF(OR($BD67&lt;&gt;"",$BF67&lt;&gt;"",$BH67&lt;&gt;""),"Yes","No")</f>
        <v>No</v>
      </c>
      <c r="BK67" s="35" t="str">
        <f aca="false">IFERROR(IF(BD67="","",BD67*INDEX('00 - Lists'!$M$2:$M$11,MATCH(L67,'00 - Lists'!$L$2:$L$11,0))/100000),"")</f>
        <v/>
      </c>
      <c r="BL67" s="35" t="str">
        <f aca="false">IFERROR(IF(BE67="","",BE67*INDEX('00 - Lists'!$M$2:$M$11,MATCH(L67,'00 - Lists'!$L$2:$L$11,0))/100000),"")</f>
        <v/>
      </c>
      <c r="BM67" s="35" t="str">
        <f aca="false">IFERROR(IF(BF67="","",BF67*INDEX('00 - Lists'!$M$2:$M$11,MATCH(L67,'00 - Lists'!$L$2:$L$11,0))/100000),"")</f>
        <v/>
      </c>
      <c r="BN67" s="35" t="str">
        <f aca="false">IFERROR(IF(BG67="","",BG67*INDEX('00 - Lists'!$M$2:$M$11,MATCH(L67,'00 - Lists'!$L$2:$L$11,0))/100000),"")</f>
        <v/>
      </c>
      <c r="BO67" s="35" t="str">
        <f aca="false">IFERROR(IF(BH67="","",BH67*INDEX('00 - Lists'!$M$2:$M$11,MATCH(L67,'00 - Lists'!$L$2:$L$11,0))/100000),"")</f>
        <v/>
      </c>
      <c r="BP67" s="35" t="str">
        <f aca="false">IFERROR(IF(BI67="","",BI67*INDEX('00 - Lists'!$M$2:$M$11,MATCH(L67,'00 - Lists'!$L$2:$L$11,0))/100000),"")</f>
        <v/>
      </c>
      <c r="BS67" s="36" t="str">
        <f aca="false">IF(O67="","",IF(O67&gt;=20,"Yes","No"))</f>
        <v/>
      </c>
      <c r="BT67" s="36" t="str">
        <f aca="false">IF(O67="","",IF(O67&gt;=30,"Yes","No"))</f>
        <v/>
      </c>
      <c r="BU67" s="36" t="str">
        <f aca="false">IF(O67="","",IF(O67&gt;=75,"Yes","No"))</f>
        <v/>
      </c>
      <c r="BV67" s="36" t="str">
        <f aca="false">IF(O67="","",IF(O67&gt;=100,"Yes","No"))</f>
        <v/>
      </c>
      <c r="BW67" s="36" t="str">
        <f aca="false">IF(O67="","",IF(O67&gt;=150,"Yes","No"))</f>
        <v/>
      </c>
      <c r="BX67" s="36" t="str">
        <f aca="false">IF(O67="","",IF(O67&gt;=200,"Yes","No"))</f>
        <v/>
      </c>
      <c r="BY67" s="36" t="str">
        <f aca="false">IF(Q67="","",IF(Q67&gt;=150000,"Yes","No"))</f>
        <v/>
      </c>
      <c r="BZ67" s="36" t="str">
        <f aca="false">IF(Q67="","",IF(Q67&gt;=200000,"Yes","No"))</f>
        <v/>
      </c>
      <c r="CA67" s="36" t="str">
        <f aca="false">IF(Q67="","",IF(Q67&gt;=250000,"Yes","No"))</f>
        <v/>
      </c>
      <c r="CB67" s="36" t="str">
        <f aca="false">IF(Q67="","",IF(Q67&gt;=300000,"Yes","No"))</f>
        <v/>
      </c>
      <c r="CC67" s="37"/>
      <c r="CD67" s="36" t="str">
        <f aca="true">IF(B67="","",IF(TODAY()-B67&lt;=7,"🟢 0-7d",IF(TODAY()-B67&lt;=30,"🟡 8-30d",IF(TODAY()-B67&lt;=60,"🟠 31-60d","🔴 60d+"))))</f>
        <v/>
      </c>
      <c r="CE67" s="36" t="str">
        <f aca="false">IF(G67="","",IF(G67&lt;&gt;"USA","N/A - Not USA Role",IF(J67="Yes",IF(OR(F67="Intern",F67="New Grad"),"🟡 Possible","🟢 Strong"),IF(J67="No","🔴 Difficult","⚪ Unknown"))))</f>
        <v/>
      </c>
      <c r="CF67" s="37"/>
      <c r="CG67" s="37"/>
      <c r="CH67" s="38"/>
      <c r="CI67" s="38"/>
      <c r="CJ67" s="38"/>
      <c r="CK67" s="38"/>
    </row>
    <row r="68" customFormat="false" ht="15" hidden="false" customHeight="true" outlineLevel="0" collapsed="false">
      <c r="A68" s="26" t="str">
        <f aca="false">IF($C68="","",ROW()-3)</f>
        <v/>
      </c>
      <c r="B68" s="27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9"/>
      <c r="N68" s="29"/>
      <c r="O68" s="30" t="str">
        <f aca="false">IFERROR(IF(M68="","",M68*INDEX('00 - Lists'!$M$2:$M$11,MATCH(L68,'00 - Lists'!$L$2:$L$11,0))/100000),"")</f>
        <v/>
      </c>
      <c r="P68" s="30" t="str">
        <f aca="false">IFERROR(IF(N68="","",N68*INDEX('00 - Lists'!$M$2:$M$11,MATCH(L68,'00 - Lists'!$L$2:$L$11,0))/100000),"")</f>
        <v/>
      </c>
      <c r="Q68" s="31" t="str">
        <f aca="false">IFERROR(IF(M68="","",M68*INDEX('00 - Lists'!$N$2:$N$11,MATCH(L68,'00 - Lists'!$L$2:$L$11,0))),"")</f>
        <v/>
      </c>
      <c r="R68" s="31" t="str">
        <f aca="false">IFERROR(IF(N68="","",N68*INDEX('00 - Lists'!$N$2:$N$11,MATCH(L68,'00 - Lists'!$L$2:$L$11,0))),"")</f>
        <v/>
      </c>
      <c r="S68" s="32" t="str">
        <f aca="false">IF(O68="","",IF(O68&gt;=50,"Yes","No"))</f>
        <v/>
      </c>
      <c r="T68" s="32" t="str">
        <f aca="false">IF(Q68="","",IF(Q68&gt;=100000,"Yes","No"))</f>
        <v/>
      </c>
      <c r="U68" s="28"/>
      <c r="V68" s="28"/>
      <c r="W68" s="28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J68" s="34" t="str">
        <f aca="false">IF(OR($BD68&lt;&gt;"",$BF68&lt;&gt;"",$BH68&lt;&gt;""),"Yes","No")</f>
        <v>No</v>
      </c>
      <c r="BK68" s="35" t="str">
        <f aca="false">IFERROR(IF(BD68="","",BD68*INDEX('00 - Lists'!$M$2:$M$11,MATCH(L68,'00 - Lists'!$L$2:$L$11,0))/100000),"")</f>
        <v/>
      </c>
      <c r="BL68" s="35" t="str">
        <f aca="false">IFERROR(IF(BE68="","",BE68*INDEX('00 - Lists'!$M$2:$M$11,MATCH(L68,'00 - Lists'!$L$2:$L$11,0))/100000),"")</f>
        <v/>
      </c>
      <c r="BM68" s="35" t="str">
        <f aca="false">IFERROR(IF(BF68="","",BF68*INDEX('00 - Lists'!$M$2:$M$11,MATCH(L68,'00 - Lists'!$L$2:$L$11,0))/100000),"")</f>
        <v/>
      </c>
      <c r="BN68" s="35" t="str">
        <f aca="false">IFERROR(IF(BG68="","",BG68*INDEX('00 - Lists'!$M$2:$M$11,MATCH(L68,'00 - Lists'!$L$2:$L$11,0))/100000),"")</f>
        <v/>
      </c>
      <c r="BO68" s="35" t="str">
        <f aca="false">IFERROR(IF(BH68="","",BH68*INDEX('00 - Lists'!$M$2:$M$11,MATCH(L68,'00 - Lists'!$L$2:$L$11,0))/100000),"")</f>
        <v/>
      </c>
      <c r="BP68" s="35" t="str">
        <f aca="false">IFERROR(IF(BI68="","",BI68*INDEX('00 - Lists'!$M$2:$M$11,MATCH(L68,'00 - Lists'!$L$2:$L$11,0))/100000),"")</f>
        <v/>
      </c>
      <c r="BS68" s="36" t="str">
        <f aca="false">IF(O68="","",IF(O68&gt;=20,"Yes","No"))</f>
        <v/>
      </c>
      <c r="BT68" s="36" t="str">
        <f aca="false">IF(O68="","",IF(O68&gt;=30,"Yes","No"))</f>
        <v/>
      </c>
      <c r="BU68" s="36" t="str">
        <f aca="false">IF(O68="","",IF(O68&gt;=75,"Yes","No"))</f>
        <v/>
      </c>
      <c r="BV68" s="36" t="str">
        <f aca="false">IF(O68="","",IF(O68&gt;=100,"Yes","No"))</f>
        <v/>
      </c>
      <c r="BW68" s="36" t="str">
        <f aca="false">IF(O68="","",IF(O68&gt;=150,"Yes","No"))</f>
        <v/>
      </c>
      <c r="BX68" s="36" t="str">
        <f aca="false">IF(O68="","",IF(O68&gt;=200,"Yes","No"))</f>
        <v/>
      </c>
      <c r="BY68" s="36" t="str">
        <f aca="false">IF(Q68="","",IF(Q68&gt;=150000,"Yes","No"))</f>
        <v/>
      </c>
      <c r="BZ68" s="36" t="str">
        <f aca="false">IF(Q68="","",IF(Q68&gt;=200000,"Yes","No"))</f>
        <v/>
      </c>
      <c r="CA68" s="36" t="str">
        <f aca="false">IF(Q68="","",IF(Q68&gt;=250000,"Yes","No"))</f>
        <v/>
      </c>
      <c r="CB68" s="36" t="str">
        <f aca="false">IF(Q68="","",IF(Q68&gt;=300000,"Yes","No"))</f>
        <v/>
      </c>
      <c r="CC68" s="37"/>
      <c r="CD68" s="36" t="str">
        <f aca="true">IF(B68="","",IF(TODAY()-B68&lt;=7,"🟢 0-7d",IF(TODAY()-B68&lt;=30,"🟡 8-30d",IF(TODAY()-B68&lt;=60,"🟠 31-60d","🔴 60d+"))))</f>
        <v/>
      </c>
      <c r="CE68" s="36" t="str">
        <f aca="false">IF(G68="","",IF(G68&lt;&gt;"USA","N/A - Not USA Role",IF(J68="Yes",IF(OR(F68="Intern",F68="New Grad"),"🟡 Possible","🟢 Strong"),IF(J68="No","🔴 Difficult","⚪ Unknown"))))</f>
        <v/>
      </c>
      <c r="CF68" s="37"/>
      <c r="CG68" s="37"/>
      <c r="CH68" s="38"/>
      <c r="CI68" s="38"/>
      <c r="CJ68" s="38"/>
      <c r="CK68" s="38"/>
    </row>
    <row r="69" customFormat="false" ht="15" hidden="false" customHeight="true" outlineLevel="0" collapsed="false">
      <c r="A69" s="26" t="str">
        <f aca="false">IF($C69="","",ROW()-3)</f>
        <v/>
      </c>
      <c r="B69" s="27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9"/>
      <c r="N69" s="29"/>
      <c r="O69" s="30" t="str">
        <f aca="false">IFERROR(IF(M69="","",M69*INDEX('00 - Lists'!$M$2:$M$11,MATCH(L69,'00 - Lists'!$L$2:$L$11,0))/100000),"")</f>
        <v/>
      </c>
      <c r="P69" s="30" t="str">
        <f aca="false">IFERROR(IF(N69="","",N69*INDEX('00 - Lists'!$M$2:$M$11,MATCH(L69,'00 - Lists'!$L$2:$L$11,0))/100000),"")</f>
        <v/>
      </c>
      <c r="Q69" s="31" t="str">
        <f aca="false">IFERROR(IF(M69="","",M69*INDEX('00 - Lists'!$N$2:$N$11,MATCH(L69,'00 - Lists'!$L$2:$L$11,0))),"")</f>
        <v/>
      </c>
      <c r="R69" s="31" t="str">
        <f aca="false">IFERROR(IF(N69="","",N69*INDEX('00 - Lists'!$N$2:$N$11,MATCH(L69,'00 - Lists'!$L$2:$L$11,0))),"")</f>
        <v/>
      </c>
      <c r="S69" s="32" t="str">
        <f aca="false">IF(O69="","",IF(O69&gt;=50,"Yes","No"))</f>
        <v/>
      </c>
      <c r="T69" s="32" t="str">
        <f aca="false">IF(Q69="","",IF(Q69&gt;=100000,"Yes","No"))</f>
        <v/>
      </c>
      <c r="U69" s="28"/>
      <c r="V69" s="28"/>
      <c r="W69" s="28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J69" s="34" t="str">
        <f aca="false">IF(OR($BD69&lt;&gt;"",$BF69&lt;&gt;"",$BH69&lt;&gt;""),"Yes","No")</f>
        <v>No</v>
      </c>
      <c r="BK69" s="35" t="str">
        <f aca="false">IFERROR(IF(BD69="","",BD69*INDEX('00 - Lists'!$M$2:$M$11,MATCH(L69,'00 - Lists'!$L$2:$L$11,0))/100000),"")</f>
        <v/>
      </c>
      <c r="BL69" s="35" t="str">
        <f aca="false">IFERROR(IF(BE69="","",BE69*INDEX('00 - Lists'!$M$2:$M$11,MATCH(L69,'00 - Lists'!$L$2:$L$11,0))/100000),"")</f>
        <v/>
      </c>
      <c r="BM69" s="35" t="str">
        <f aca="false">IFERROR(IF(BF69="","",BF69*INDEX('00 - Lists'!$M$2:$M$11,MATCH(L69,'00 - Lists'!$L$2:$L$11,0))/100000),"")</f>
        <v/>
      </c>
      <c r="BN69" s="35" t="str">
        <f aca="false">IFERROR(IF(BG69="","",BG69*INDEX('00 - Lists'!$M$2:$M$11,MATCH(L69,'00 - Lists'!$L$2:$L$11,0))/100000),"")</f>
        <v/>
      </c>
      <c r="BO69" s="35" t="str">
        <f aca="false">IFERROR(IF(BH69="","",BH69*INDEX('00 - Lists'!$M$2:$M$11,MATCH(L69,'00 - Lists'!$L$2:$L$11,0))/100000),"")</f>
        <v/>
      </c>
      <c r="BP69" s="35" t="str">
        <f aca="false">IFERROR(IF(BI69="","",BI69*INDEX('00 - Lists'!$M$2:$M$11,MATCH(L69,'00 - Lists'!$L$2:$L$11,0))/100000),"")</f>
        <v/>
      </c>
      <c r="BS69" s="36" t="str">
        <f aca="false">IF(O69="","",IF(O69&gt;=20,"Yes","No"))</f>
        <v/>
      </c>
      <c r="BT69" s="36" t="str">
        <f aca="false">IF(O69="","",IF(O69&gt;=30,"Yes","No"))</f>
        <v/>
      </c>
      <c r="BU69" s="36" t="str">
        <f aca="false">IF(O69="","",IF(O69&gt;=75,"Yes","No"))</f>
        <v/>
      </c>
      <c r="BV69" s="36" t="str">
        <f aca="false">IF(O69="","",IF(O69&gt;=100,"Yes","No"))</f>
        <v/>
      </c>
      <c r="BW69" s="36" t="str">
        <f aca="false">IF(O69="","",IF(O69&gt;=150,"Yes","No"))</f>
        <v/>
      </c>
      <c r="BX69" s="36" t="str">
        <f aca="false">IF(O69="","",IF(O69&gt;=200,"Yes","No"))</f>
        <v/>
      </c>
      <c r="BY69" s="36" t="str">
        <f aca="false">IF(Q69="","",IF(Q69&gt;=150000,"Yes","No"))</f>
        <v/>
      </c>
      <c r="BZ69" s="36" t="str">
        <f aca="false">IF(Q69="","",IF(Q69&gt;=200000,"Yes","No"))</f>
        <v/>
      </c>
      <c r="CA69" s="36" t="str">
        <f aca="false">IF(Q69="","",IF(Q69&gt;=250000,"Yes","No"))</f>
        <v/>
      </c>
      <c r="CB69" s="36" t="str">
        <f aca="false">IF(Q69="","",IF(Q69&gt;=300000,"Yes","No"))</f>
        <v/>
      </c>
      <c r="CC69" s="37"/>
      <c r="CD69" s="36" t="str">
        <f aca="true">IF(B69="","",IF(TODAY()-B69&lt;=7,"🟢 0-7d",IF(TODAY()-B69&lt;=30,"🟡 8-30d",IF(TODAY()-B69&lt;=60,"🟠 31-60d","🔴 60d+"))))</f>
        <v/>
      </c>
      <c r="CE69" s="36" t="str">
        <f aca="false">IF(G69="","",IF(G69&lt;&gt;"USA","N/A - Not USA Role",IF(J69="Yes",IF(OR(F69="Intern",F69="New Grad"),"🟡 Possible","🟢 Strong"),IF(J69="No","🔴 Difficult","⚪ Unknown"))))</f>
        <v/>
      </c>
      <c r="CF69" s="37"/>
      <c r="CG69" s="37"/>
      <c r="CH69" s="38"/>
      <c r="CI69" s="38"/>
      <c r="CJ69" s="38"/>
      <c r="CK69" s="38"/>
    </row>
    <row r="70" customFormat="false" ht="15" hidden="false" customHeight="true" outlineLevel="0" collapsed="false">
      <c r="A70" s="26" t="str">
        <f aca="false">IF($C70="","",ROW()-3)</f>
        <v/>
      </c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9"/>
      <c r="N70" s="29"/>
      <c r="O70" s="30" t="str">
        <f aca="false">IFERROR(IF(M70="","",M70*INDEX('00 - Lists'!$M$2:$M$11,MATCH(L70,'00 - Lists'!$L$2:$L$11,0))/100000),"")</f>
        <v/>
      </c>
      <c r="P70" s="30" t="str">
        <f aca="false">IFERROR(IF(N70="","",N70*INDEX('00 - Lists'!$M$2:$M$11,MATCH(L70,'00 - Lists'!$L$2:$L$11,0))/100000),"")</f>
        <v/>
      </c>
      <c r="Q70" s="31" t="str">
        <f aca="false">IFERROR(IF(M70="","",M70*INDEX('00 - Lists'!$N$2:$N$11,MATCH(L70,'00 - Lists'!$L$2:$L$11,0))),"")</f>
        <v/>
      </c>
      <c r="R70" s="31" t="str">
        <f aca="false">IFERROR(IF(N70="","",N70*INDEX('00 - Lists'!$N$2:$N$11,MATCH(L70,'00 - Lists'!$L$2:$L$11,0))),"")</f>
        <v/>
      </c>
      <c r="S70" s="32" t="str">
        <f aca="false">IF(O70="","",IF(O70&gt;=50,"Yes","No"))</f>
        <v/>
      </c>
      <c r="T70" s="32" t="str">
        <f aca="false">IF(Q70="","",IF(Q70&gt;=100000,"Yes","No"))</f>
        <v/>
      </c>
      <c r="U70" s="28"/>
      <c r="V70" s="28"/>
      <c r="W70" s="28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J70" s="34" t="str">
        <f aca="false">IF(OR($BD70&lt;&gt;"",$BF70&lt;&gt;"",$BH70&lt;&gt;""),"Yes","No")</f>
        <v>No</v>
      </c>
      <c r="BK70" s="35" t="str">
        <f aca="false">IFERROR(IF(BD70="","",BD70*INDEX('00 - Lists'!$M$2:$M$11,MATCH(L70,'00 - Lists'!$L$2:$L$11,0))/100000),"")</f>
        <v/>
      </c>
      <c r="BL70" s="35" t="str">
        <f aca="false">IFERROR(IF(BE70="","",BE70*INDEX('00 - Lists'!$M$2:$M$11,MATCH(L70,'00 - Lists'!$L$2:$L$11,0))/100000),"")</f>
        <v/>
      </c>
      <c r="BM70" s="35" t="str">
        <f aca="false">IFERROR(IF(BF70="","",BF70*INDEX('00 - Lists'!$M$2:$M$11,MATCH(L70,'00 - Lists'!$L$2:$L$11,0))/100000),"")</f>
        <v/>
      </c>
      <c r="BN70" s="35" t="str">
        <f aca="false">IFERROR(IF(BG70="","",BG70*INDEX('00 - Lists'!$M$2:$M$11,MATCH(L70,'00 - Lists'!$L$2:$L$11,0))/100000),"")</f>
        <v/>
      </c>
      <c r="BO70" s="35" t="str">
        <f aca="false">IFERROR(IF(BH70="","",BH70*INDEX('00 - Lists'!$M$2:$M$11,MATCH(L70,'00 - Lists'!$L$2:$L$11,0))/100000),"")</f>
        <v/>
      </c>
      <c r="BP70" s="35" t="str">
        <f aca="false">IFERROR(IF(BI70="","",BI70*INDEX('00 - Lists'!$M$2:$M$11,MATCH(L70,'00 - Lists'!$L$2:$L$11,0))/100000),"")</f>
        <v/>
      </c>
      <c r="BS70" s="36" t="str">
        <f aca="false">IF(O70="","",IF(O70&gt;=20,"Yes","No"))</f>
        <v/>
      </c>
      <c r="BT70" s="36" t="str">
        <f aca="false">IF(O70="","",IF(O70&gt;=30,"Yes","No"))</f>
        <v/>
      </c>
      <c r="BU70" s="36" t="str">
        <f aca="false">IF(O70="","",IF(O70&gt;=75,"Yes","No"))</f>
        <v/>
      </c>
      <c r="BV70" s="36" t="str">
        <f aca="false">IF(O70="","",IF(O70&gt;=100,"Yes","No"))</f>
        <v/>
      </c>
      <c r="BW70" s="36" t="str">
        <f aca="false">IF(O70="","",IF(O70&gt;=150,"Yes","No"))</f>
        <v/>
      </c>
      <c r="BX70" s="36" t="str">
        <f aca="false">IF(O70="","",IF(O70&gt;=200,"Yes","No"))</f>
        <v/>
      </c>
      <c r="BY70" s="36" t="str">
        <f aca="false">IF(Q70="","",IF(Q70&gt;=150000,"Yes","No"))</f>
        <v/>
      </c>
      <c r="BZ70" s="36" t="str">
        <f aca="false">IF(Q70="","",IF(Q70&gt;=200000,"Yes","No"))</f>
        <v/>
      </c>
      <c r="CA70" s="36" t="str">
        <f aca="false">IF(Q70="","",IF(Q70&gt;=250000,"Yes","No"))</f>
        <v/>
      </c>
      <c r="CB70" s="36" t="str">
        <f aca="false">IF(Q70="","",IF(Q70&gt;=300000,"Yes","No"))</f>
        <v/>
      </c>
      <c r="CC70" s="37"/>
      <c r="CD70" s="36" t="str">
        <f aca="true">IF(B70="","",IF(TODAY()-B70&lt;=7,"🟢 0-7d",IF(TODAY()-B70&lt;=30,"🟡 8-30d",IF(TODAY()-B70&lt;=60,"🟠 31-60d","🔴 60d+"))))</f>
        <v/>
      </c>
      <c r="CE70" s="36" t="str">
        <f aca="false">IF(G70="","",IF(G70&lt;&gt;"USA","N/A - Not USA Role",IF(J70="Yes",IF(OR(F70="Intern",F70="New Grad"),"🟡 Possible","🟢 Strong"),IF(J70="No","🔴 Difficult","⚪ Unknown"))))</f>
        <v/>
      </c>
      <c r="CF70" s="37"/>
      <c r="CG70" s="37"/>
      <c r="CH70" s="38"/>
      <c r="CI70" s="38"/>
      <c r="CJ70" s="38"/>
      <c r="CK70" s="38"/>
    </row>
    <row r="71" customFormat="false" ht="15" hidden="false" customHeight="true" outlineLevel="0" collapsed="false">
      <c r="A71" s="26" t="str">
        <f aca="false">IF($C71="","",ROW()-3)</f>
        <v/>
      </c>
      <c r="B71" s="27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9"/>
      <c r="N71" s="29"/>
      <c r="O71" s="30" t="str">
        <f aca="false">IFERROR(IF(M71="","",M71*INDEX('00 - Lists'!$M$2:$M$11,MATCH(L71,'00 - Lists'!$L$2:$L$11,0))/100000),"")</f>
        <v/>
      </c>
      <c r="P71" s="30" t="str">
        <f aca="false">IFERROR(IF(N71="","",N71*INDEX('00 - Lists'!$M$2:$M$11,MATCH(L71,'00 - Lists'!$L$2:$L$11,0))/100000),"")</f>
        <v/>
      </c>
      <c r="Q71" s="31" t="str">
        <f aca="false">IFERROR(IF(M71="","",M71*INDEX('00 - Lists'!$N$2:$N$11,MATCH(L71,'00 - Lists'!$L$2:$L$11,0))),"")</f>
        <v/>
      </c>
      <c r="R71" s="31" t="str">
        <f aca="false">IFERROR(IF(N71="","",N71*INDEX('00 - Lists'!$N$2:$N$11,MATCH(L71,'00 - Lists'!$L$2:$L$11,0))),"")</f>
        <v/>
      </c>
      <c r="S71" s="32" t="str">
        <f aca="false">IF(O71="","",IF(O71&gt;=50,"Yes","No"))</f>
        <v/>
      </c>
      <c r="T71" s="32" t="str">
        <f aca="false">IF(Q71="","",IF(Q71&gt;=100000,"Yes","No"))</f>
        <v/>
      </c>
      <c r="U71" s="28"/>
      <c r="V71" s="28"/>
      <c r="W71" s="28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J71" s="34" t="str">
        <f aca="false">IF(OR($BD71&lt;&gt;"",$BF71&lt;&gt;"",$BH71&lt;&gt;""),"Yes","No")</f>
        <v>No</v>
      </c>
      <c r="BK71" s="35" t="str">
        <f aca="false">IFERROR(IF(BD71="","",BD71*INDEX('00 - Lists'!$M$2:$M$11,MATCH(L71,'00 - Lists'!$L$2:$L$11,0))/100000),"")</f>
        <v/>
      </c>
      <c r="BL71" s="35" t="str">
        <f aca="false">IFERROR(IF(BE71="","",BE71*INDEX('00 - Lists'!$M$2:$M$11,MATCH(L71,'00 - Lists'!$L$2:$L$11,0))/100000),"")</f>
        <v/>
      </c>
      <c r="BM71" s="35" t="str">
        <f aca="false">IFERROR(IF(BF71="","",BF71*INDEX('00 - Lists'!$M$2:$M$11,MATCH(L71,'00 - Lists'!$L$2:$L$11,0))/100000),"")</f>
        <v/>
      </c>
      <c r="BN71" s="35" t="str">
        <f aca="false">IFERROR(IF(BG71="","",BG71*INDEX('00 - Lists'!$M$2:$M$11,MATCH(L71,'00 - Lists'!$L$2:$L$11,0))/100000),"")</f>
        <v/>
      </c>
      <c r="BO71" s="35" t="str">
        <f aca="false">IFERROR(IF(BH71="","",BH71*INDEX('00 - Lists'!$M$2:$M$11,MATCH(L71,'00 - Lists'!$L$2:$L$11,0))/100000),"")</f>
        <v/>
      </c>
      <c r="BP71" s="35" t="str">
        <f aca="false">IFERROR(IF(BI71="","",BI71*INDEX('00 - Lists'!$M$2:$M$11,MATCH(L71,'00 - Lists'!$L$2:$L$11,0))/100000),"")</f>
        <v/>
      </c>
      <c r="BS71" s="36" t="str">
        <f aca="false">IF(O71="","",IF(O71&gt;=20,"Yes","No"))</f>
        <v/>
      </c>
      <c r="BT71" s="36" t="str">
        <f aca="false">IF(O71="","",IF(O71&gt;=30,"Yes","No"))</f>
        <v/>
      </c>
      <c r="BU71" s="36" t="str">
        <f aca="false">IF(O71="","",IF(O71&gt;=75,"Yes","No"))</f>
        <v/>
      </c>
      <c r="BV71" s="36" t="str">
        <f aca="false">IF(O71="","",IF(O71&gt;=100,"Yes","No"))</f>
        <v/>
      </c>
      <c r="BW71" s="36" t="str">
        <f aca="false">IF(O71="","",IF(O71&gt;=150,"Yes","No"))</f>
        <v/>
      </c>
      <c r="BX71" s="36" t="str">
        <f aca="false">IF(O71="","",IF(O71&gt;=200,"Yes","No"))</f>
        <v/>
      </c>
      <c r="BY71" s="36" t="str">
        <f aca="false">IF(Q71="","",IF(Q71&gt;=150000,"Yes","No"))</f>
        <v/>
      </c>
      <c r="BZ71" s="36" t="str">
        <f aca="false">IF(Q71="","",IF(Q71&gt;=200000,"Yes","No"))</f>
        <v/>
      </c>
      <c r="CA71" s="36" t="str">
        <f aca="false">IF(Q71="","",IF(Q71&gt;=250000,"Yes","No"))</f>
        <v/>
      </c>
      <c r="CB71" s="36" t="str">
        <f aca="false">IF(Q71="","",IF(Q71&gt;=300000,"Yes","No"))</f>
        <v/>
      </c>
      <c r="CC71" s="37"/>
      <c r="CD71" s="36" t="str">
        <f aca="true">IF(B71="","",IF(TODAY()-B71&lt;=7,"🟢 0-7d",IF(TODAY()-B71&lt;=30,"🟡 8-30d",IF(TODAY()-B71&lt;=60,"🟠 31-60d","🔴 60d+"))))</f>
        <v/>
      </c>
      <c r="CE71" s="36" t="str">
        <f aca="false">IF(G71="","",IF(G71&lt;&gt;"USA","N/A - Not USA Role",IF(J71="Yes",IF(OR(F71="Intern",F71="New Grad"),"🟡 Possible","🟢 Strong"),IF(J71="No","🔴 Difficult","⚪ Unknown"))))</f>
        <v/>
      </c>
      <c r="CF71" s="37"/>
      <c r="CG71" s="37"/>
      <c r="CH71" s="38"/>
      <c r="CI71" s="38"/>
      <c r="CJ71" s="38"/>
      <c r="CK71" s="38"/>
    </row>
    <row r="72" customFormat="false" ht="15" hidden="false" customHeight="true" outlineLevel="0" collapsed="false">
      <c r="A72" s="26" t="str">
        <f aca="false">IF($C72="","",ROW()-3)</f>
        <v/>
      </c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9"/>
      <c r="N72" s="29"/>
      <c r="O72" s="30" t="str">
        <f aca="false">IFERROR(IF(M72="","",M72*INDEX('00 - Lists'!$M$2:$M$11,MATCH(L72,'00 - Lists'!$L$2:$L$11,0))/100000),"")</f>
        <v/>
      </c>
      <c r="P72" s="30" t="str">
        <f aca="false">IFERROR(IF(N72="","",N72*INDEX('00 - Lists'!$M$2:$M$11,MATCH(L72,'00 - Lists'!$L$2:$L$11,0))/100000),"")</f>
        <v/>
      </c>
      <c r="Q72" s="31" t="str">
        <f aca="false">IFERROR(IF(M72="","",M72*INDEX('00 - Lists'!$N$2:$N$11,MATCH(L72,'00 - Lists'!$L$2:$L$11,0))),"")</f>
        <v/>
      </c>
      <c r="R72" s="31" t="str">
        <f aca="false">IFERROR(IF(N72="","",N72*INDEX('00 - Lists'!$N$2:$N$11,MATCH(L72,'00 - Lists'!$L$2:$L$11,0))),"")</f>
        <v/>
      </c>
      <c r="S72" s="32" t="str">
        <f aca="false">IF(O72="","",IF(O72&gt;=50,"Yes","No"))</f>
        <v/>
      </c>
      <c r="T72" s="32" t="str">
        <f aca="false">IF(Q72="","",IF(Q72&gt;=100000,"Yes","No"))</f>
        <v/>
      </c>
      <c r="U72" s="28"/>
      <c r="V72" s="28"/>
      <c r="W72" s="28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J72" s="34" t="str">
        <f aca="false">IF(OR($BD72&lt;&gt;"",$BF72&lt;&gt;"",$BH72&lt;&gt;""),"Yes","No")</f>
        <v>No</v>
      </c>
      <c r="BK72" s="35" t="str">
        <f aca="false">IFERROR(IF(BD72="","",BD72*INDEX('00 - Lists'!$M$2:$M$11,MATCH(L72,'00 - Lists'!$L$2:$L$11,0))/100000),"")</f>
        <v/>
      </c>
      <c r="BL72" s="35" t="str">
        <f aca="false">IFERROR(IF(BE72="","",BE72*INDEX('00 - Lists'!$M$2:$M$11,MATCH(L72,'00 - Lists'!$L$2:$L$11,0))/100000),"")</f>
        <v/>
      </c>
      <c r="BM72" s="35" t="str">
        <f aca="false">IFERROR(IF(BF72="","",BF72*INDEX('00 - Lists'!$M$2:$M$11,MATCH(L72,'00 - Lists'!$L$2:$L$11,0))/100000),"")</f>
        <v/>
      </c>
      <c r="BN72" s="35" t="str">
        <f aca="false">IFERROR(IF(BG72="","",BG72*INDEX('00 - Lists'!$M$2:$M$11,MATCH(L72,'00 - Lists'!$L$2:$L$11,0))/100000),"")</f>
        <v/>
      </c>
      <c r="BO72" s="35" t="str">
        <f aca="false">IFERROR(IF(BH72="","",BH72*INDEX('00 - Lists'!$M$2:$M$11,MATCH(L72,'00 - Lists'!$L$2:$L$11,0))/100000),"")</f>
        <v/>
      </c>
      <c r="BP72" s="35" t="str">
        <f aca="false">IFERROR(IF(BI72="","",BI72*INDEX('00 - Lists'!$M$2:$M$11,MATCH(L72,'00 - Lists'!$L$2:$L$11,0))/100000),"")</f>
        <v/>
      </c>
      <c r="BS72" s="36" t="str">
        <f aca="false">IF(O72="","",IF(O72&gt;=20,"Yes","No"))</f>
        <v/>
      </c>
      <c r="BT72" s="36" t="str">
        <f aca="false">IF(O72="","",IF(O72&gt;=30,"Yes","No"))</f>
        <v/>
      </c>
      <c r="BU72" s="36" t="str">
        <f aca="false">IF(O72="","",IF(O72&gt;=75,"Yes","No"))</f>
        <v/>
      </c>
      <c r="BV72" s="36" t="str">
        <f aca="false">IF(O72="","",IF(O72&gt;=100,"Yes","No"))</f>
        <v/>
      </c>
      <c r="BW72" s="36" t="str">
        <f aca="false">IF(O72="","",IF(O72&gt;=150,"Yes","No"))</f>
        <v/>
      </c>
      <c r="BX72" s="36" t="str">
        <f aca="false">IF(O72="","",IF(O72&gt;=200,"Yes","No"))</f>
        <v/>
      </c>
      <c r="BY72" s="36" t="str">
        <f aca="false">IF(Q72="","",IF(Q72&gt;=150000,"Yes","No"))</f>
        <v/>
      </c>
      <c r="BZ72" s="36" t="str">
        <f aca="false">IF(Q72="","",IF(Q72&gt;=200000,"Yes","No"))</f>
        <v/>
      </c>
      <c r="CA72" s="36" t="str">
        <f aca="false">IF(Q72="","",IF(Q72&gt;=250000,"Yes","No"))</f>
        <v/>
      </c>
      <c r="CB72" s="36" t="str">
        <f aca="false">IF(Q72="","",IF(Q72&gt;=300000,"Yes","No"))</f>
        <v/>
      </c>
      <c r="CC72" s="37"/>
      <c r="CD72" s="36" t="str">
        <f aca="true">IF(B72="","",IF(TODAY()-B72&lt;=7,"🟢 0-7d",IF(TODAY()-B72&lt;=30,"🟡 8-30d",IF(TODAY()-B72&lt;=60,"🟠 31-60d","🔴 60d+"))))</f>
        <v/>
      </c>
      <c r="CE72" s="36" t="str">
        <f aca="false">IF(G72="","",IF(G72&lt;&gt;"USA","N/A - Not USA Role",IF(J72="Yes",IF(OR(F72="Intern",F72="New Grad"),"🟡 Possible","🟢 Strong"),IF(J72="No","🔴 Difficult","⚪ Unknown"))))</f>
        <v/>
      </c>
      <c r="CF72" s="37"/>
      <c r="CG72" s="37"/>
      <c r="CH72" s="38"/>
      <c r="CI72" s="38"/>
      <c r="CJ72" s="38"/>
      <c r="CK72" s="38"/>
    </row>
    <row r="73" customFormat="false" ht="15" hidden="false" customHeight="true" outlineLevel="0" collapsed="false">
      <c r="A73" s="26" t="str">
        <f aca="false">IF($C73="","",ROW()-3)</f>
        <v/>
      </c>
      <c r="B73" s="27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9"/>
      <c r="N73" s="29"/>
      <c r="O73" s="30" t="str">
        <f aca="false">IFERROR(IF(M73="","",M73*INDEX('00 - Lists'!$M$2:$M$11,MATCH(L73,'00 - Lists'!$L$2:$L$11,0))/100000),"")</f>
        <v/>
      </c>
      <c r="P73" s="30" t="str">
        <f aca="false">IFERROR(IF(N73="","",N73*INDEX('00 - Lists'!$M$2:$M$11,MATCH(L73,'00 - Lists'!$L$2:$L$11,0))/100000),"")</f>
        <v/>
      </c>
      <c r="Q73" s="31" t="str">
        <f aca="false">IFERROR(IF(M73="","",M73*INDEX('00 - Lists'!$N$2:$N$11,MATCH(L73,'00 - Lists'!$L$2:$L$11,0))),"")</f>
        <v/>
      </c>
      <c r="R73" s="31" t="str">
        <f aca="false">IFERROR(IF(N73="","",N73*INDEX('00 - Lists'!$N$2:$N$11,MATCH(L73,'00 - Lists'!$L$2:$L$11,0))),"")</f>
        <v/>
      </c>
      <c r="S73" s="32" t="str">
        <f aca="false">IF(O73="","",IF(O73&gt;=50,"Yes","No"))</f>
        <v/>
      </c>
      <c r="T73" s="32" t="str">
        <f aca="false">IF(Q73="","",IF(Q73&gt;=100000,"Yes","No"))</f>
        <v/>
      </c>
      <c r="U73" s="28"/>
      <c r="V73" s="28"/>
      <c r="W73" s="28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J73" s="34" t="str">
        <f aca="false">IF(OR($BD73&lt;&gt;"",$BF73&lt;&gt;"",$BH73&lt;&gt;""),"Yes","No")</f>
        <v>No</v>
      </c>
      <c r="BK73" s="35" t="str">
        <f aca="false">IFERROR(IF(BD73="","",BD73*INDEX('00 - Lists'!$M$2:$M$11,MATCH(L73,'00 - Lists'!$L$2:$L$11,0))/100000),"")</f>
        <v/>
      </c>
      <c r="BL73" s="35" t="str">
        <f aca="false">IFERROR(IF(BE73="","",BE73*INDEX('00 - Lists'!$M$2:$M$11,MATCH(L73,'00 - Lists'!$L$2:$L$11,0))/100000),"")</f>
        <v/>
      </c>
      <c r="BM73" s="35" t="str">
        <f aca="false">IFERROR(IF(BF73="","",BF73*INDEX('00 - Lists'!$M$2:$M$11,MATCH(L73,'00 - Lists'!$L$2:$L$11,0))/100000),"")</f>
        <v/>
      </c>
      <c r="BN73" s="35" t="str">
        <f aca="false">IFERROR(IF(BG73="","",BG73*INDEX('00 - Lists'!$M$2:$M$11,MATCH(L73,'00 - Lists'!$L$2:$L$11,0))/100000),"")</f>
        <v/>
      </c>
      <c r="BO73" s="35" t="str">
        <f aca="false">IFERROR(IF(BH73="","",BH73*INDEX('00 - Lists'!$M$2:$M$11,MATCH(L73,'00 - Lists'!$L$2:$L$11,0))/100000),"")</f>
        <v/>
      </c>
      <c r="BP73" s="35" t="str">
        <f aca="false">IFERROR(IF(BI73="","",BI73*INDEX('00 - Lists'!$M$2:$M$11,MATCH(L73,'00 - Lists'!$L$2:$L$11,0))/100000),"")</f>
        <v/>
      </c>
      <c r="BS73" s="36" t="str">
        <f aca="false">IF(O73="","",IF(O73&gt;=20,"Yes","No"))</f>
        <v/>
      </c>
      <c r="BT73" s="36" t="str">
        <f aca="false">IF(O73="","",IF(O73&gt;=30,"Yes","No"))</f>
        <v/>
      </c>
      <c r="BU73" s="36" t="str">
        <f aca="false">IF(O73="","",IF(O73&gt;=75,"Yes","No"))</f>
        <v/>
      </c>
      <c r="BV73" s="36" t="str">
        <f aca="false">IF(O73="","",IF(O73&gt;=100,"Yes","No"))</f>
        <v/>
      </c>
      <c r="BW73" s="36" t="str">
        <f aca="false">IF(O73="","",IF(O73&gt;=150,"Yes","No"))</f>
        <v/>
      </c>
      <c r="BX73" s="36" t="str">
        <f aca="false">IF(O73="","",IF(O73&gt;=200,"Yes","No"))</f>
        <v/>
      </c>
      <c r="BY73" s="36" t="str">
        <f aca="false">IF(Q73="","",IF(Q73&gt;=150000,"Yes","No"))</f>
        <v/>
      </c>
      <c r="BZ73" s="36" t="str">
        <f aca="false">IF(Q73="","",IF(Q73&gt;=200000,"Yes","No"))</f>
        <v/>
      </c>
      <c r="CA73" s="36" t="str">
        <f aca="false">IF(Q73="","",IF(Q73&gt;=250000,"Yes","No"))</f>
        <v/>
      </c>
      <c r="CB73" s="36" t="str">
        <f aca="false">IF(Q73="","",IF(Q73&gt;=300000,"Yes","No"))</f>
        <v/>
      </c>
      <c r="CC73" s="37"/>
      <c r="CD73" s="36" t="str">
        <f aca="true">IF(B73="","",IF(TODAY()-B73&lt;=7,"🟢 0-7d",IF(TODAY()-B73&lt;=30,"🟡 8-30d",IF(TODAY()-B73&lt;=60,"🟠 31-60d","🔴 60d+"))))</f>
        <v/>
      </c>
      <c r="CE73" s="36" t="str">
        <f aca="false">IF(G73="","",IF(G73&lt;&gt;"USA","N/A - Not USA Role",IF(J73="Yes",IF(OR(F73="Intern",F73="New Grad"),"🟡 Possible","🟢 Strong"),IF(J73="No","🔴 Difficult","⚪ Unknown"))))</f>
        <v/>
      </c>
      <c r="CF73" s="37"/>
      <c r="CG73" s="37"/>
      <c r="CH73" s="38"/>
      <c r="CI73" s="38"/>
      <c r="CJ73" s="38"/>
      <c r="CK73" s="38"/>
    </row>
    <row r="74" customFormat="false" ht="15" hidden="false" customHeight="true" outlineLevel="0" collapsed="false">
      <c r="A74" s="26" t="str">
        <f aca="false">IF($C74="","",ROW()-3)</f>
        <v/>
      </c>
      <c r="B74" s="27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9"/>
      <c r="N74" s="29"/>
      <c r="O74" s="30" t="str">
        <f aca="false">IFERROR(IF(M74="","",M74*INDEX('00 - Lists'!$M$2:$M$11,MATCH(L74,'00 - Lists'!$L$2:$L$11,0))/100000),"")</f>
        <v/>
      </c>
      <c r="P74" s="30" t="str">
        <f aca="false">IFERROR(IF(N74="","",N74*INDEX('00 - Lists'!$M$2:$M$11,MATCH(L74,'00 - Lists'!$L$2:$L$11,0))/100000),"")</f>
        <v/>
      </c>
      <c r="Q74" s="31" t="str">
        <f aca="false">IFERROR(IF(M74="","",M74*INDEX('00 - Lists'!$N$2:$N$11,MATCH(L74,'00 - Lists'!$L$2:$L$11,0))),"")</f>
        <v/>
      </c>
      <c r="R74" s="31" t="str">
        <f aca="false">IFERROR(IF(N74="","",N74*INDEX('00 - Lists'!$N$2:$N$11,MATCH(L74,'00 - Lists'!$L$2:$L$11,0))),"")</f>
        <v/>
      </c>
      <c r="S74" s="32" t="str">
        <f aca="false">IF(O74="","",IF(O74&gt;=50,"Yes","No"))</f>
        <v/>
      </c>
      <c r="T74" s="32" t="str">
        <f aca="false">IF(Q74="","",IF(Q74&gt;=100000,"Yes","No"))</f>
        <v/>
      </c>
      <c r="U74" s="28"/>
      <c r="V74" s="28"/>
      <c r="W74" s="28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J74" s="34" t="str">
        <f aca="false">IF(OR($BD74&lt;&gt;"",$BF74&lt;&gt;"",$BH74&lt;&gt;""),"Yes","No")</f>
        <v>No</v>
      </c>
      <c r="BK74" s="35" t="str">
        <f aca="false">IFERROR(IF(BD74="","",BD74*INDEX('00 - Lists'!$M$2:$M$11,MATCH(L74,'00 - Lists'!$L$2:$L$11,0))/100000),"")</f>
        <v/>
      </c>
      <c r="BL74" s="35" t="str">
        <f aca="false">IFERROR(IF(BE74="","",BE74*INDEX('00 - Lists'!$M$2:$M$11,MATCH(L74,'00 - Lists'!$L$2:$L$11,0))/100000),"")</f>
        <v/>
      </c>
      <c r="BM74" s="35" t="str">
        <f aca="false">IFERROR(IF(BF74="","",BF74*INDEX('00 - Lists'!$M$2:$M$11,MATCH(L74,'00 - Lists'!$L$2:$L$11,0))/100000),"")</f>
        <v/>
      </c>
      <c r="BN74" s="35" t="str">
        <f aca="false">IFERROR(IF(BG74="","",BG74*INDEX('00 - Lists'!$M$2:$M$11,MATCH(L74,'00 - Lists'!$L$2:$L$11,0))/100000),"")</f>
        <v/>
      </c>
      <c r="BO74" s="35" t="str">
        <f aca="false">IFERROR(IF(BH74="","",BH74*INDEX('00 - Lists'!$M$2:$M$11,MATCH(L74,'00 - Lists'!$L$2:$L$11,0))/100000),"")</f>
        <v/>
      </c>
      <c r="BP74" s="35" t="str">
        <f aca="false">IFERROR(IF(BI74="","",BI74*INDEX('00 - Lists'!$M$2:$M$11,MATCH(L74,'00 - Lists'!$L$2:$L$11,0))/100000),"")</f>
        <v/>
      </c>
      <c r="BS74" s="36" t="str">
        <f aca="false">IF(O74="","",IF(O74&gt;=20,"Yes","No"))</f>
        <v/>
      </c>
      <c r="BT74" s="36" t="str">
        <f aca="false">IF(O74="","",IF(O74&gt;=30,"Yes","No"))</f>
        <v/>
      </c>
      <c r="BU74" s="36" t="str">
        <f aca="false">IF(O74="","",IF(O74&gt;=75,"Yes","No"))</f>
        <v/>
      </c>
      <c r="BV74" s="36" t="str">
        <f aca="false">IF(O74="","",IF(O74&gt;=100,"Yes","No"))</f>
        <v/>
      </c>
      <c r="BW74" s="36" t="str">
        <f aca="false">IF(O74="","",IF(O74&gt;=150,"Yes","No"))</f>
        <v/>
      </c>
      <c r="BX74" s="36" t="str">
        <f aca="false">IF(O74="","",IF(O74&gt;=200,"Yes","No"))</f>
        <v/>
      </c>
      <c r="BY74" s="36" t="str">
        <f aca="false">IF(Q74="","",IF(Q74&gt;=150000,"Yes","No"))</f>
        <v/>
      </c>
      <c r="BZ74" s="36" t="str">
        <f aca="false">IF(Q74="","",IF(Q74&gt;=200000,"Yes","No"))</f>
        <v/>
      </c>
      <c r="CA74" s="36" t="str">
        <f aca="false">IF(Q74="","",IF(Q74&gt;=250000,"Yes","No"))</f>
        <v/>
      </c>
      <c r="CB74" s="36" t="str">
        <f aca="false">IF(Q74="","",IF(Q74&gt;=300000,"Yes","No"))</f>
        <v/>
      </c>
      <c r="CC74" s="37"/>
      <c r="CD74" s="36" t="str">
        <f aca="true">IF(B74="","",IF(TODAY()-B74&lt;=7,"🟢 0-7d",IF(TODAY()-B74&lt;=30,"🟡 8-30d",IF(TODAY()-B74&lt;=60,"🟠 31-60d","🔴 60d+"))))</f>
        <v/>
      </c>
      <c r="CE74" s="36" t="str">
        <f aca="false">IF(G74="","",IF(G74&lt;&gt;"USA","N/A - Not USA Role",IF(J74="Yes",IF(OR(F74="Intern",F74="New Grad"),"🟡 Possible","🟢 Strong"),IF(J74="No","🔴 Difficult","⚪ Unknown"))))</f>
        <v/>
      </c>
      <c r="CF74" s="37"/>
      <c r="CG74" s="37"/>
      <c r="CH74" s="38"/>
      <c r="CI74" s="38"/>
      <c r="CJ74" s="38"/>
      <c r="CK74" s="38"/>
    </row>
    <row r="75" customFormat="false" ht="15" hidden="false" customHeight="true" outlineLevel="0" collapsed="false">
      <c r="A75" s="26" t="str">
        <f aca="false">IF($C75="","",ROW()-3)</f>
        <v/>
      </c>
      <c r="B75" s="27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9"/>
      <c r="N75" s="29"/>
      <c r="O75" s="30" t="str">
        <f aca="false">IFERROR(IF(M75="","",M75*INDEX('00 - Lists'!$M$2:$M$11,MATCH(L75,'00 - Lists'!$L$2:$L$11,0))/100000),"")</f>
        <v/>
      </c>
      <c r="P75" s="30" t="str">
        <f aca="false">IFERROR(IF(N75="","",N75*INDEX('00 - Lists'!$M$2:$M$11,MATCH(L75,'00 - Lists'!$L$2:$L$11,0))/100000),"")</f>
        <v/>
      </c>
      <c r="Q75" s="31" t="str">
        <f aca="false">IFERROR(IF(M75="","",M75*INDEX('00 - Lists'!$N$2:$N$11,MATCH(L75,'00 - Lists'!$L$2:$L$11,0))),"")</f>
        <v/>
      </c>
      <c r="R75" s="31" t="str">
        <f aca="false">IFERROR(IF(N75="","",N75*INDEX('00 - Lists'!$N$2:$N$11,MATCH(L75,'00 - Lists'!$L$2:$L$11,0))),"")</f>
        <v/>
      </c>
      <c r="S75" s="32" t="str">
        <f aca="false">IF(O75="","",IF(O75&gt;=50,"Yes","No"))</f>
        <v/>
      </c>
      <c r="T75" s="32" t="str">
        <f aca="false">IF(Q75="","",IF(Q75&gt;=100000,"Yes","No"))</f>
        <v/>
      </c>
      <c r="U75" s="28"/>
      <c r="V75" s="28"/>
      <c r="W75" s="28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J75" s="34" t="str">
        <f aca="false">IF(OR($BD75&lt;&gt;"",$BF75&lt;&gt;"",$BH75&lt;&gt;""),"Yes","No")</f>
        <v>No</v>
      </c>
      <c r="BK75" s="35" t="str">
        <f aca="false">IFERROR(IF(BD75="","",BD75*INDEX('00 - Lists'!$M$2:$M$11,MATCH(L75,'00 - Lists'!$L$2:$L$11,0))/100000),"")</f>
        <v/>
      </c>
      <c r="BL75" s="35" t="str">
        <f aca="false">IFERROR(IF(BE75="","",BE75*INDEX('00 - Lists'!$M$2:$M$11,MATCH(L75,'00 - Lists'!$L$2:$L$11,0))/100000),"")</f>
        <v/>
      </c>
      <c r="BM75" s="35" t="str">
        <f aca="false">IFERROR(IF(BF75="","",BF75*INDEX('00 - Lists'!$M$2:$M$11,MATCH(L75,'00 - Lists'!$L$2:$L$11,0))/100000),"")</f>
        <v/>
      </c>
      <c r="BN75" s="35" t="str">
        <f aca="false">IFERROR(IF(BG75="","",BG75*INDEX('00 - Lists'!$M$2:$M$11,MATCH(L75,'00 - Lists'!$L$2:$L$11,0))/100000),"")</f>
        <v/>
      </c>
      <c r="BO75" s="35" t="str">
        <f aca="false">IFERROR(IF(BH75="","",BH75*INDEX('00 - Lists'!$M$2:$M$11,MATCH(L75,'00 - Lists'!$L$2:$L$11,0))/100000),"")</f>
        <v/>
      </c>
      <c r="BP75" s="35" t="str">
        <f aca="false">IFERROR(IF(BI75="","",BI75*INDEX('00 - Lists'!$M$2:$M$11,MATCH(L75,'00 - Lists'!$L$2:$L$11,0))/100000),"")</f>
        <v/>
      </c>
      <c r="BS75" s="36" t="str">
        <f aca="false">IF(O75="","",IF(O75&gt;=20,"Yes","No"))</f>
        <v/>
      </c>
      <c r="BT75" s="36" t="str">
        <f aca="false">IF(O75="","",IF(O75&gt;=30,"Yes","No"))</f>
        <v/>
      </c>
      <c r="BU75" s="36" t="str">
        <f aca="false">IF(O75="","",IF(O75&gt;=75,"Yes","No"))</f>
        <v/>
      </c>
      <c r="BV75" s="36" t="str">
        <f aca="false">IF(O75="","",IF(O75&gt;=100,"Yes","No"))</f>
        <v/>
      </c>
      <c r="BW75" s="36" t="str">
        <f aca="false">IF(O75="","",IF(O75&gt;=150,"Yes","No"))</f>
        <v/>
      </c>
      <c r="BX75" s="36" t="str">
        <f aca="false">IF(O75="","",IF(O75&gt;=200,"Yes","No"))</f>
        <v/>
      </c>
      <c r="BY75" s="36" t="str">
        <f aca="false">IF(Q75="","",IF(Q75&gt;=150000,"Yes","No"))</f>
        <v/>
      </c>
      <c r="BZ75" s="36" t="str">
        <f aca="false">IF(Q75="","",IF(Q75&gt;=200000,"Yes","No"))</f>
        <v/>
      </c>
      <c r="CA75" s="36" t="str">
        <f aca="false">IF(Q75="","",IF(Q75&gt;=250000,"Yes","No"))</f>
        <v/>
      </c>
      <c r="CB75" s="36" t="str">
        <f aca="false">IF(Q75="","",IF(Q75&gt;=300000,"Yes","No"))</f>
        <v/>
      </c>
      <c r="CC75" s="37"/>
      <c r="CD75" s="36" t="str">
        <f aca="true">IF(B75="","",IF(TODAY()-B75&lt;=7,"🟢 0-7d",IF(TODAY()-B75&lt;=30,"🟡 8-30d",IF(TODAY()-B75&lt;=60,"🟠 31-60d","🔴 60d+"))))</f>
        <v/>
      </c>
      <c r="CE75" s="36" t="str">
        <f aca="false">IF(G75="","",IF(G75&lt;&gt;"USA","N/A - Not USA Role",IF(J75="Yes",IF(OR(F75="Intern",F75="New Grad"),"🟡 Possible","🟢 Strong"),IF(J75="No","🔴 Difficult","⚪ Unknown"))))</f>
        <v/>
      </c>
      <c r="CF75" s="37"/>
      <c r="CG75" s="37"/>
      <c r="CH75" s="38"/>
      <c r="CI75" s="38"/>
      <c r="CJ75" s="38"/>
      <c r="CK75" s="38"/>
    </row>
    <row r="76" customFormat="false" ht="15" hidden="false" customHeight="true" outlineLevel="0" collapsed="false">
      <c r="A76" s="26" t="str">
        <f aca="false">IF($C76="","",ROW()-3)</f>
        <v/>
      </c>
      <c r="B76" s="27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9"/>
      <c r="N76" s="29"/>
      <c r="O76" s="30" t="str">
        <f aca="false">IFERROR(IF(M76="","",M76*INDEX('00 - Lists'!$M$2:$M$11,MATCH(L76,'00 - Lists'!$L$2:$L$11,0))/100000),"")</f>
        <v/>
      </c>
      <c r="P76" s="30" t="str">
        <f aca="false">IFERROR(IF(N76="","",N76*INDEX('00 - Lists'!$M$2:$M$11,MATCH(L76,'00 - Lists'!$L$2:$L$11,0))/100000),"")</f>
        <v/>
      </c>
      <c r="Q76" s="31" t="str">
        <f aca="false">IFERROR(IF(M76="","",M76*INDEX('00 - Lists'!$N$2:$N$11,MATCH(L76,'00 - Lists'!$L$2:$L$11,0))),"")</f>
        <v/>
      </c>
      <c r="R76" s="31" t="str">
        <f aca="false">IFERROR(IF(N76="","",N76*INDEX('00 - Lists'!$N$2:$N$11,MATCH(L76,'00 - Lists'!$L$2:$L$11,0))),"")</f>
        <v/>
      </c>
      <c r="S76" s="32" t="str">
        <f aca="false">IF(O76="","",IF(O76&gt;=50,"Yes","No"))</f>
        <v/>
      </c>
      <c r="T76" s="32" t="str">
        <f aca="false">IF(Q76="","",IF(Q76&gt;=100000,"Yes","No"))</f>
        <v/>
      </c>
      <c r="U76" s="28"/>
      <c r="V76" s="28"/>
      <c r="W76" s="28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J76" s="34" t="str">
        <f aca="false">IF(OR($BD76&lt;&gt;"",$BF76&lt;&gt;"",$BH76&lt;&gt;""),"Yes","No")</f>
        <v>No</v>
      </c>
      <c r="BK76" s="35" t="str">
        <f aca="false">IFERROR(IF(BD76="","",BD76*INDEX('00 - Lists'!$M$2:$M$11,MATCH(L76,'00 - Lists'!$L$2:$L$11,0))/100000),"")</f>
        <v/>
      </c>
      <c r="BL76" s="35" t="str">
        <f aca="false">IFERROR(IF(BE76="","",BE76*INDEX('00 - Lists'!$M$2:$M$11,MATCH(L76,'00 - Lists'!$L$2:$L$11,0))/100000),"")</f>
        <v/>
      </c>
      <c r="BM76" s="35" t="str">
        <f aca="false">IFERROR(IF(BF76="","",BF76*INDEX('00 - Lists'!$M$2:$M$11,MATCH(L76,'00 - Lists'!$L$2:$L$11,0))/100000),"")</f>
        <v/>
      </c>
      <c r="BN76" s="35" t="str">
        <f aca="false">IFERROR(IF(BG76="","",BG76*INDEX('00 - Lists'!$M$2:$M$11,MATCH(L76,'00 - Lists'!$L$2:$L$11,0))/100000),"")</f>
        <v/>
      </c>
      <c r="BO76" s="35" t="str">
        <f aca="false">IFERROR(IF(BH76="","",BH76*INDEX('00 - Lists'!$M$2:$M$11,MATCH(L76,'00 - Lists'!$L$2:$L$11,0))/100000),"")</f>
        <v/>
      </c>
      <c r="BP76" s="35" t="str">
        <f aca="false">IFERROR(IF(BI76="","",BI76*INDEX('00 - Lists'!$M$2:$M$11,MATCH(L76,'00 - Lists'!$L$2:$L$11,0))/100000),"")</f>
        <v/>
      </c>
      <c r="BS76" s="36" t="str">
        <f aca="false">IF(O76="","",IF(O76&gt;=20,"Yes","No"))</f>
        <v/>
      </c>
      <c r="BT76" s="36" t="str">
        <f aca="false">IF(O76="","",IF(O76&gt;=30,"Yes","No"))</f>
        <v/>
      </c>
      <c r="BU76" s="36" t="str">
        <f aca="false">IF(O76="","",IF(O76&gt;=75,"Yes","No"))</f>
        <v/>
      </c>
      <c r="BV76" s="36" t="str">
        <f aca="false">IF(O76="","",IF(O76&gt;=100,"Yes","No"))</f>
        <v/>
      </c>
      <c r="BW76" s="36" t="str">
        <f aca="false">IF(O76="","",IF(O76&gt;=150,"Yes","No"))</f>
        <v/>
      </c>
      <c r="BX76" s="36" t="str">
        <f aca="false">IF(O76="","",IF(O76&gt;=200,"Yes","No"))</f>
        <v/>
      </c>
      <c r="BY76" s="36" t="str">
        <f aca="false">IF(Q76="","",IF(Q76&gt;=150000,"Yes","No"))</f>
        <v/>
      </c>
      <c r="BZ76" s="36" t="str">
        <f aca="false">IF(Q76="","",IF(Q76&gt;=200000,"Yes","No"))</f>
        <v/>
      </c>
      <c r="CA76" s="36" t="str">
        <f aca="false">IF(Q76="","",IF(Q76&gt;=250000,"Yes","No"))</f>
        <v/>
      </c>
      <c r="CB76" s="36" t="str">
        <f aca="false">IF(Q76="","",IF(Q76&gt;=300000,"Yes","No"))</f>
        <v/>
      </c>
      <c r="CC76" s="37"/>
      <c r="CD76" s="36" t="str">
        <f aca="true">IF(B76="","",IF(TODAY()-B76&lt;=7,"🟢 0-7d",IF(TODAY()-B76&lt;=30,"🟡 8-30d",IF(TODAY()-B76&lt;=60,"🟠 31-60d","🔴 60d+"))))</f>
        <v/>
      </c>
      <c r="CE76" s="36" t="str">
        <f aca="false">IF(G76="","",IF(G76&lt;&gt;"USA","N/A - Not USA Role",IF(J76="Yes",IF(OR(F76="Intern",F76="New Grad"),"🟡 Possible","🟢 Strong"),IF(J76="No","🔴 Difficult","⚪ Unknown"))))</f>
        <v/>
      </c>
      <c r="CF76" s="37"/>
      <c r="CG76" s="37"/>
      <c r="CH76" s="38"/>
      <c r="CI76" s="38"/>
      <c r="CJ76" s="38"/>
      <c r="CK76" s="38"/>
    </row>
    <row r="77" customFormat="false" ht="15" hidden="false" customHeight="true" outlineLevel="0" collapsed="false">
      <c r="A77" s="26" t="str">
        <f aca="false">IF($C77="","",ROW()-3)</f>
        <v/>
      </c>
      <c r="B77" s="27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9"/>
      <c r="N77" s="29"/>
      <c r="O77" s="30" t="str">
        <f aca="false">IFERROR(IF(M77="","",M77*INDEX('00 - Lists'!$M$2:$M$11,MATCH(L77,'00 - Lists'!$L$2:$L$11,0))/100000),"")</f>
        <v/>
      </c>
      <c r="P77" s="30" t="str">
        <f aca="false">IFERROR(IF(N77="","",N77*INDEX('00 - Lists'!$M$2:$M$11,MATCH(L77,'00 - Lists'!$L$2:$L$11,0))/100000),"")</f>
        <v/>
      </c>
      <c r="Q77" s="31" t="str">
        <f aca="false">IFERROR(IF(M77="","",M77*INDEX('00 - Lists'!$N$2:$N$11,MATCH(L77,'00 - Lists'!$L$2:$L$11,0))),"")</f>
        <v/>
      </c>
      <c r="R77" s="31" t="str">
        <f aca="false">IFERROR(IF(N77="","",N77*INDEX('00 - Lists'!$N$2:$N$11,MATCH(L77,'00 - Lists'!$L$2:$L$11,0))),"")</f>
        <v/>
      </c>
      <c r="S77" s="32" t="str">
        <f aca="false">IF(O77="","",IF(O77&gt;=50,"Yes","No"))</f>
        <v/>
      </c>
      <c r="T77" s="32" t="str">
        <f aca="false">IF(Q77="","",IF(Q77&gt;=100000,"Yes","No"))</f>
        <v/>
      </c>
      <c r="U77" s="28"/>
      <c r="V77" s="28"/>
      <c r="W77" s="28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J77" s="34" t="str">
        <f aca="false">IF(OR($BD77&lt;&gt;"",$BF77&lt;&gt;"",$BH77&lt;&gt;""),"Yes","No")</f>
        <v>No</v>
      </c>
      <c r="BK77" s="35" t="str">
        <f aca="false">IFERROR(IF(BD77="","",BD77*INDEX('00 - Lists'!$M$2:$M$11,MATCH(L77,'00 - Lists'!$L$2:$L$11,0))/100000),"")</f>
        <v/>
      </c>
      <c r="BL77" s="35" t="str">
        <f aca="false">IFERROR(IF(BE77="","",BE77*INDEX('00 - Lists'!$M$2:$M$11,MATCH(L77,'00 - Lists'!$L$2:$L$11,0))/100000),"")</f>
        <v/>
      </c>
      <c r="BM77" s="35" t="str">
        <f aca="false">IFERROR(IF(BF77="","",BF77*INDEX('00 - Lists'!$M$2:$M$11,MATCH(L77,'00 - Lists'!$L$2:$L$11,0))/100000),"")</f>
        <v/>
      </c>
      <c r="BN77" s="35" t="str">
        <f aca="false">IFERROR(IF(BG77="","",BG77*INDEX('00 - Lists'!$M$2:$M$11,MATCH(L77,'00 - Lists'!$L$2:$L$11,0))/100000),"")</f>
        <v/>
      </c>
      <c r="BO77" s="35" t="str">
        <f aca="false">IFERROR(IF(BH77="","",BH77*INDEX('00 - Lists'!$M$2:$M$11,MATCH(L77,'00 - Lists'!$L$2:$L$11,0))/100000),"")</f>
        <v/>
      </c>
      <c r="BP77" s="35" t="str">
        <f aca="false">IFERROR(IF(BI77="","",BI77*INDEX('00 - Lists'!$M$2:$M$11,MATCH(L77,'00 - Lists'!$L$2:$L$11,0))/100000),"")</f>
        <v/>
      </c>
      <c r="BS77" s="36" t="str">
        <f aca="false">IF(O77="","",IF(O77&gt;=20,"Yes","No"))</f>
        <v/>
      </c>
      <c r="BT77" s="36" t="str">
        <f aca="false">IF(O77="","",IF(O77&gt;=30,"Yes","No"))</f>
        <v/>
      </c>
      <c r="BU77" s="36" t="str">
        <f aca="false">IF(O77="","",IF(O77&gt;=75,"Yes","No"))</f>
        <v/>
      </c>
      <c r="BV77" s="36" t="str">
        <f aca="false">IF(O77="","",IF(O77&gt;=100,"Yes","No"))</f>
        <v/>
      </c>
      <c r="BW77" s="36" t="str">
        <f aca="false">IF(O77="","",IF(O77&gt;=150,"Yes","No"))</f>
        <v/>
      </c>
      <c r="BX77" s="36" t="str">
        <f aca="false">IF(O77="","",IF(O77&gt;=200,"Yes","No"))</f>
        <v/>
      </c>
      <c r="BY77" s="36" t="str">
        <f aca="false">IF(Q77="","",IF(Q77&gt;=150000,"Yes","No"))</f>
        <v/>
      </c>
      <c r="BZ77" s="36" t="str">
        <f aca="false">IF(Q77="","",IF(Q77&gt;=200000,"Yes","No"))</f>
        <v/>
      </c>
      <c r="CA77" s="36" t="str">
        <f aca="false">IF(Q77="","",IF(Q77&gt;=250000,"Yes","No"))</f>
        <v/>
      </c>
      <c r="CB77" s="36" t="str">
        <f aca="false">IF(Q77="","",IF(Q77&gt;=300000,"Yes","No"))</f>
        <v/>
      </c>
      <c r="CC77" s="37"/>
      <c r="CD77" s="36" t="str">
        <f aca="true">IF(B77="","",IF(TODAY()-B77&lt;=7,"🟢 0-7d",IF(TODAY()-B77&lt;=30,"🟡 8-30d",IF(TODAY()-B77&lt;=60,"🟠 31-60d","🔴 60d+"))))</f>
        <v/>
      </c>
      <c r="CE77" s="36" t="str">
        <f aca="false">IF(G77="","",IF(G77&lt;&gt;"USA","N/A - Not USA Role",IF(J77="Yes",IF(OR(F77="Intern",F77="New Grad"),"🟡 Possible","🟢 Strong"),IF(J77="No","🔴 Difficult","⚪ Unknown"))))</f>
        <v/>
      </c>
      <c r="CF77" s="37"/>
      <c r="CG77" s="37"/>
      <c r="CH77" s="38"/>
      <c r="CI77" s="38"/>
      <c r="CJ77" s="38"/>
      <c r="CK77" s="38"/>
    </row>
    <row r="78" customFormat="false" ht="15" hidden="false" customHeight="true" outlineLevel="0" collapsed="false">
      <c r="A78" s="26" t="str">
        <f aca="false">IF($C78="","",ROW()-3)</f>
        <v/>
      </c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9"/>
      <c r="N78" s="29"/>
      <c r="O78" s="30" t="str">
        <f aca="false">IFERROR(IF(M78="","",M78*INDEX('00 - Lists'!$M$2:$M$11,MATCH(L78,'00 - Lists'!$L$2:$L$11,0))/100000),"")</f>
        <v/>
      </c>
      <c r="P78" s="30" t="str">
        <f aca="false">IFERROR(IF(N78="","",N78*INDEX('00 - Lists'!$M$2:$M$11,MATCH(L78,'00 - Lists'!$L$2:$L$11,0))/100000),"")</f>
        <v/>
      </c>
      <c r="Q78" s="31" t="str">
        <f aca="false">IFERROR(IF(M78="","",M78*INDEX('00 - Lists'!$N$2:$N$11,MATCH(L78,'00 - Lists'!$L$2:$L$11,0))),"")</f>
        <v/>
      </c>
      <c r="R78" s="31" t="str">
        <f aca="false">IFERROR(IF(N78="","",N78*INDEX('00 - Lists'!$N$2:$N$11,MATCH(L78,'00 - Lists'!$L$2:$L$11,0))),"")</f>
        <v/>
      </c>
      <c r="S78" s="32" t="str">
        <f aca="false">IF(O78="","",IF(O78&gt;=50,"Yes","No"))</f>
        <v/>
      </c>
      <c r="T78" s="32" t="str">
        <f aca="false">IF(Q78="","",IF(Q78&gt;=100000,"Yes","No"))</f>
        <v/>
      </c>
      <c r="U78" s="28"/>
      <c r="V78" s="28"/>
      <c r="W78" s="28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J78" s="34" t="str">
        <f aca="false">IF(OR($BD78&lt;&gt;"",$BF78&lt;&gt;"",$BH78&lt;&gt;""),"Yes","No")</f>
        <v>No</v>
      </c>
      <c r="BK78" s="35" t="str">
        <f aca="false">IFERROR(IF(BD78="","",BD78*INDEX('00 - Lists'!$M$2:$M$11,MATCH(L78,'00 - Lists'!$L$2:$L$11,0))/100000),"")</f>
        <v/>
      </c>
      <c r="BL78" s="35" t="str">
        <f aca="false">IFERROR(IF(BE78="","",BE78*INDEX('00 - Lists'!$M$2:$M$11,MATCH(L78,'00 - Lists'!$L$2:$L$11,0))/100000),"")</f>
        <v/>
      </c>
      <c r="BM78" s="35" t="str">
        <f aca="false">IFERROR(IF(BF78="","",BF78*INDEX('00 - Lists'!$M$2:$M$11,MATCH(L78,'00 - Lists'!$L$2:$L$11,0))/100000),"")</f>
        <v/>
      </c>
      <c r="BN78" s="35" t="str">
        <f aca="false">IFERROR(IF(BG78="","",BG78*INDEX('00 - Lists'!$M$2:$M$11,MATCH(L78,'00 - Lists'!$L$2:$L$11,0))/100000),"")</f>
        <v/>
      </c>
      <c r="BO78" s="35" t="str">
        <f aca="false">IFERROR(IF(BH78="","",BH78*INDEX('00 - Lists'!$M$2:$M$11,MATCH(L78,'00 - Lists'!$L$2:$L$11,0))/100000),"")</f>
        <v/>
      </c>
      <c r="BP78" s="35" t="str">
        <f aca="false">IFERROR(IF(BI78="","",BI78*INDEX('00 - Lists'!$M$2:$M$11,MATCH(L78,'00 - Lists'!$L$2:$L$11,0))/100000),"")</f>
        <v/>
      </c>
      <c r="BS78" s="36" t="str">
        <f aca="false">IF(O78="","",IF(O78&gt;=20,"Yes","No"))</f>
        <v/>
      </c>
      <c r="BT78" s="36" t="str">
        <f aca="false">IF(O78="","",IF(O78&gt;=30,"Yes","No"))</f>
        <v/>
      </c>
      <c r="BU78" s="36" t="str">
        <f aca="false">IF(O78="","",IF(O78&gt;=75,"Yes","No"))</f>
        <v/>
      </c>
      <c r="BV78" s="36" t="str">
        <f aca="false">IF(O78="","",IF(O78&gt;=100,"Yes","No"))</f>
        <v/>
      </c>
      <c r="BW78" s="36" t="str">
        <f aca="false">IF(O78="","",IF(O78&gt;=150,"Yes","No"))</f>
        <v/>
      </c>
      <c r="BX78" s="36" t="str">
        <f aca="false">IF(O78="","",IF(O78&gt;=200,"Yes","No"))</f>
        <v/>
      </c>
      <c r="BY78" s="36" t="str">
        <f aca="false">IF(Q78="","",IF(Q78&gt;=150000,"Yes","No"))</f>
        <v/>
      </c>
      <c r="BZ78" s="36" t="str">
        <f aca="false">IF(Q78="","",IF(Q78&gt;=200000,"Yes","No"))</f>
        <v/>
      </c>
      <c r="CA78" s="36" t="str">
        <f aca="false">IF(Q78="","",IF(Q78&gt;=250000,"Yes","No"))</f>
        <v/>
      </c>
      <c r="CB78" s="36" t="str">
        <f aca="false">IF(Q78="","",IF(Q78&gt;=300000,"Yes","No"))</f>
        <v/>
      </c>
      <c r="CC78" s="37"/>
      <c r="CD78" s="36" t="str">
        <f aca="true">IF(B78="","",IF(TODAY()-B78&lt;=7,"🟢 0-7d",IF(TODAY()-B78&lt;=30,"🟡 8-30d",IF(TODAY()-B78&lt;=60,"🟠 31-60d","🔴 60d+"))))</f>
        <v/>
      </c>
      <c r="CE78" s="36" t="str">
        <f aca="false">IF(G78="","",IF(G78&lt;&gt;"USA","N/A - Not USA Role",IF(J78="Yes",IF(OR(F78="Intern",F78="New Grad"),"🟡 Possible","🟢 Strong"),IF(J78="No","🔴 Difficult","⚪ Unknown"))))</f>
        <v/>
      </c>
      <c r="CF78" s="37"/>
      <c r="CG78" s="37"/>
      <c r="CH78" s="38"/>
      <c r="CI78" s="38"/>
      <c r="CJ78" s="38"/>
      <c r="CK78" s="38"/>
    </row>
    <row r="79" customFormat="false" ht="15" hidden="false" customHeight="true" outlineLevel="0" collapsed="false">
      <c r="A79" s="26" t="str">
        <f aca="false">IF($C79="","",ROW()-3)</f>
        <v/>
      </c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9"/>
      <c r="N79" s="29"/>
      <c r="O79" s="30" t="str">
        <f aca="false">IFERROR(IF(M79="","",M79*INDEX('00 - Lists'!$M$2:$M$11,MATCH(L79,'00 - Lists'!$L$2:$L$11,0))/100000),"")</f>
        <v/>
      </c>
      <c r="P79" s="30" t="str">
        <f aca="false">IFERROR(IF(N79="","",N79*INDEX('00 - Lists'!$M$2:$M$11,MATCH(L79,'00 - Lists'!$L$2:$L$11,0))/100000),"")</f>
        <v/>
      </c>
      <c r="Q79" s="31" t="str">
        <f aca="false">IFERROR(IF(M79="","",M79*INDEX('00 - Lists'!$N$2:$N$11,MATCH(L79,'00 - Lists'!$L$2:$L$11,0))),"")</f>
        <v/>
      </c>
      <c r="R79" s="31" t="str">
        <f aca="false">IFERROR(IF(N79="","",N79*INDEX('00 - Lists'!$N$2:$N$11,MATCH(L79,'00 - Lists'!$L$2:$L$11,0))),"")</f>
        <v/>
      </c>
      <c r="S79" s="32" t="str">
        <f aca="false">IF(O79="","",IF(O79&gt;=50,"Yes","No"))</f>
        <v/>
      </c>
      <c r="T79" s="32" t="str">
        <f aca="false">IF(Q79="","",IF(Q79&gt;=100000,"Yes","No"))</f>
        <v/>
      </c>
      <c r="U79" s="28"/>
      <c r="V79" s="28"/>
      <c r="W79" s="28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J79" s="34" t="str">
        <f aca="false">IF(OR($BD79&lt;&gt;"",$BF79&lt;&gt;"",$BH79&lt;&gt;""),"Yes","No")</f>
        <v>No</v>
      </c>
      <c r="BK79" s="35" t="str">
        <f aca="false">IFERROR(IF(BD79="","",BD79*INDEX('00 - Lists'!$M$2:$M$11,MATCH(L79,'00 - Lists'!$L$2:$L$11,0))/100000),"")</f>
        <v/>
      </c>
      <c r="BL79" s="35" t="str">
        <f aca="false">IFERROR(IF(BE79="","",BE79*INDEX('00 - Lists'!$M$2:$M$11,MATCH(L79,'00 - Lists'!$L$2:$L$11,0))/100000),"")</f>
        <v/>
      </c>
      <c r="BM79" s="35" t="str">
        <f aca="false">IFERROR(IF(BF79="","",BF79*INDEX('00 - Lists'!$M$2:$M$11,MATCH(L79,'00 - Lists'!$L$2:$L$11,0))/100000),"")</f>
        <v/>
      </c>
      <c r="BN79" s="35" t="str">
        <f aca="false">IFERROR(IF(BG79="","",BG79*INDEX('00 - Lists'!$M$2:$M$11,MATCH(L79,'00 - Lists'!$L$2:$L$11,0))/100000),"")</f>
        <v/>
      </c>
      <c r="BO79" s="35" t="str">
        <f aca="false">IFERROR(IF(BH79="","",BH79*INDEX('00 - Lists'!$M$2:$M$11,MATCH(L79,'00 - Lists'!$L$2:$L$11,0))/100000),"")</f>
        <v/>
      </c>
      <c r="BP79" s="35" t="str">
        <f aca="false">IFERROR(IF(BI79="","",BI79*INDEX('00 - Lists'!$M$2:$M$11,MATCH(L79,'00 - Lists'!$L$2:$L$11,0))/100000),"")</f>
        <v/>
      </c>
      <c r="BS79" s="36" t="str">
        <f aca="false">IF(O79="","",IF(O79&gt;=20,"Yes","No"))</f>
        <v/>
      </c>
      <c r="BT79" s="36" t="str">
        <f aca="false">IF(O79="","",IF(O79&gt;=30,"Yes","No"))</f>
        <v/>
      </c>
      <c r="BU79" s="36" t="str">
        <f aca="false">IF(O79="","",IF(O79&gt;=75,"Yes","No"))</f>
        <v/>
      </c>
      <c r="BV79" s="36" t="str">
        <f aca="false">IF(O79="","",IF(O79&gt;=100,"Yes","No"))</f>
        <v/>
      </c>
      <c r="BW79" s="36" t="str">
        <f aca="false">IF(O79="","",IF(O79&gt;=150,"Yes","No"))</f>
        <v/>
      </c>
      <c r="BX79" s="36" t="str">
        <f aca="false">IF(O79="","",IF(O79&gt;=200,"Yes","No"))</f>
        <v/>
      </c>
      <c r="BY79" s="36" t="str">
        <f aca="false">IF(Q79="","",IF(Q79&gt;=150000,"Yes","No"))</f>
        <v/>
      </c>
      <c r="BZ79" s="36" t="str">
        <f aca="false">IF(Q79="","",IF(Q79&gt;=200000,"Yes","No"))</f>
        <v/>
      </c>
      <c r="CA79" s="36" t="str">
        <f aca="false">IF(Q79="","",IF(Q79&gt;=250000,"Yes","No"))</f>
        <v/>
      </c>
      <c r="CB79" s="36" t="str">
        <f aca="false">IF(Q79="","",IF(Q79&gt;=300000,"Yes","No"))</f>
        <v/>
      </c>
      <c r="CC79" s="37"/>
      <c r="CD79" s="36" t="str">
        <f aca="true">IF(B79="","",IF(TODAY()-B79&lt;=7,"🟢 0-7d",IF(TODAY()-B79&lt;=30,"🟡 8-30d",IF(TODAY()-B79&lt;=60,"🟠 31-60d","🔴 60d+"))))</f>
        <v/>
      </c>
      <c r="CE79" s="36" t="str">
        <f aca="false">IF(G79="","",IF(G79&lt;&gt;"USA","N/A - Not USA Role",IF(J79="Yes",IF(OR(F79="Intern",F79="New Grad"),"🟡 Possible","🟢 Strong"),IF(J79="No","🔴 Difficult","⚪ Unknown"))))</f>
        <v/>
      </c>
      <c r="CF79" s="37"/>
      <c r="CG79" s="37"/>
      <c r="CH79" s="38"/>
      <c r="CI79" s="38"/>
      <c r="CJ79" s="38"/>
      <c r="CK79" s="38"/>
    </row>
    <row r="80" customFormat="false" ht="15" hidden="false" customHeight="true" outlineLevel="0" collapsed="false">
      <c r="A80" s="26" t="str">
        <f aca="false">IF($C80="","",ROW()-3)</f>
        <v/>
      </c>
      <c r="B80" s="27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9"/>
      <c r="N80" s="29"/>
      <c r="O80" s="30" t="str">
        <f aca="false">IFERROR(IF(M80="","",M80*INDEX('00 - Lists'!$M$2:$M$11,MATCH(L80,'00 - Lists'!$L$2:$L$11,0))/100000),"")</f>
        <v/>
      </c>
      <c r="P80" s="30" t="str">
        <f aca="false">IFERROR(IF(N80="","",N80*INDEX('00 - Lists'!$M$2:$M$11,MATCH(L80,'00 - Lists'!$L$2:$L$11,0))/100000),"")</f>
        <v/>
      </c>
      <c r="Q80" s="31" t="str">
        <f aca="false">IFERROR(IF(M80="","",M80*INDEX('00 - Lists'!$N$2:$N$11,MATCH(L80,'00 - Lists'!$L$2:$L$11,0))),"")</f>
        <v/>
      </c>
      <c r="R80" s="31" t="str">
        <f aca="false">IFERROR(IF(N80="","",N80*INDEX('00 - Lists'!$N$2:$N$11,MATCH(L80,'00 - Lists'!$L$2:$L$11,0))),"")</f>
        <v/>
      </c>
      <c r="S80" s="32" t="str">
        <f aca="false">IF(O80="","",IF(O80&gt;=50,"Yes","No"))</f>
        <v/>
      </c>
      <c r="T80" s="32" t="str">
        <f aca="false">IF(Q80="","",IF(Q80&gt;=100000,"Yes","No"))</f>
        <v/>
      </c>
      <c r="U80" s="28"/>
      <c r="V80" s="28"/>
      <c r="W80" s="28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J80" s="34" t="str">
        <f aca="false">IF(OR($BD80&lt;&gt;"",$BF80&lt;&gt;"",$BH80&lt;&gt;""),"Yes","No")</f>
        <v>No</v>
      </c>
      <c r="BK80" s="35" t="str">
        <f aca="false">IFERROR(IF(BD80="","",BD80*INDEX('00 - Lists'!$M$2:$M$11,MATCH(L80,'00 - Lists'!$L$2:$L$11,0))/100000),"")</f>
        <v/>
      </c>
      <c r="BL80" s="35" t="str">
        <f aca="false">IFERROR(IF(BE80="","",BE80*INDEX('00 - Lists'!$M$2:$M$11,MATCH(L80,'00 - Lists'!$L$2:$L$11,0))/100000),"")</f>
        <v/>
      </c>
      <c r="BM80" s="35" t="str">
        <f aca="false">IFERROR(IF(BF80="","",BF80*INDEX('00 - Lists'!$M$2:$M$11,MATCH(L80,'00 - Lists'!$L$2:$L$11,0))/100000),"")</f>
        <v/>
      </c>
      <c r="BN80" s="35" t="str">
        <f aca="false">IFERROR(IF(BG80="","",BG80*INDEX('00 - Lists'!$M$2:$M$11,MATCH(L80,'00 - Lists'!$L$2:$L$11,0))/100000),"")</f>
        <v/>
      </c>
      <c r="BO80" s="35" t="str">
        <f aca="false">IFERROR(IF(BH80="","",BH80*INDEX('00 - Lists'!$M$2:$M$11,MATCH(L80,'00 - Lists'!$L$2:$L$11,0))/100000),"")</f>
        <v/>
      </c>
      <c r="BP80" s="35" t="str">
        <f aca="false">IFERROR(IF(BI80="","",BI80*INDEX('00 - Lists'!$M$2:$M$11,MATCH(L80,'00 - Lists'!$L$2:$L$11,0))/100000),"")</f>
        <v/>
      </c>
      <c r="BS80" s="36" t="str">
        <f aca="false">IF(O80="","",IF(O80&gt;=20,"Yes","No"))</f>
        <v/>
      </c>
      <c r="BT80" s="36" t="str">
        <f aca="false">IF(O80="","",IF(O80&gt;=30,"Yes","No"))</f>
        <v/>
      </c>
      <c r="BU80" s="36" t="str">
        <f aca="false">IF(O80="","",IF(O80&gt;=75,"Yes","No"))</f>
        <v/>
      </c>
      <c r="BV80" s="36" t="str">
        <f aca="false">IF(O80="","",IF(O80&gt;=100,"Yes","No"))</f>
        <v/>
      </c>
      <c r="BW80" s="36" t="str">
        <f aca="false">IF(O80="","",IF(O80&gt;=150,"Yes","No"))</f>
        <v/>
      </c>
      <c r="BX80" s="36" t="str">
        <f aca="false">IF(O80="","",IF(O80&gt;=200,"Yes","No"))</f>
        <v/>
      </c>
      <c r="BY80" s="36" t="str">
        <f aca="false">IF(Q80="","",IF(Q80&gt;=150000,"Yes","No"))</f>
        <v/>
      </c>
      <c r="BZ80" s="36" t="str">
        <f aca="false">IF(Q80="","",IF(Q80&gt;=200000,"Yes","No"))</f>
        <v/>
      </c>
      <c r="CA80" s="36" t="str">
        <f aca="false">IF(Q80="","",IF(Q80&gt;=250000,"Yes","No"))</f>
        <v/>
      </c>
      <c r="CB80" s="36" t="str">
        <f aca="false">IF(Q80="","",IF(Q80&gt;=300000,"Yes","No"))</f>
        <v/>
      </c>
      <c r="CC80" s="37"/>
      <c r="CD80" s="36" t="str">
        <f aca="true">IF(B80="","",IF(TODAY()-B80&lt;=7,"🟢 0-7d",IF(TODAY()-B80&lt;=30,"🟡 8-30d",IF(TODAY()-B80&lt;=60,"🟠 31-60d","🔴 60d+"))))</f>
        <v/>
      </c>
      <c r="CE80" s="36" t="str">
        <f aca="false">IF(G80="","",IF(G80&lt;&gt;"USA","N/A - Not USA Role",IF(J80="Yes",IF(OR(F80="Intern",F80="New Grad"),"🟡 Possible","🟢 Strong"),IF(J80="No","🔴 Difficult","⚪ Unknown"))))</f>
        <v/>
      </c>
      <c r="CF80" s="37"/>
      <c r="CG80" s="37"/>
      <c r="CH80" s="38"/>
      <c r="CI80" s="38"/>
      <c r="CJ80" s="38"/>
      <c r="CK80" s="38"/>
    </row>
    <row r="81" customFormat="false" ht="15" hidden="false" customHeight="true" outlineLevel="0" collapsed="false">
      <c r="A81" s="26" t="str">
        <f aca="false">IF($C81="","",ROW()-3)</f>
        <v/>
      </c>
      <c r="B81" s="27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9"/>
      <c r="N81" s="29"/>
      <c r="O81" s="30" t="str">
        <f aca="false">IFERROR(IF(M81="","",M81*INDEX('00 - Lists'!$M$2:$M$11,MATCH(L81,'00 - Lists'!$L$2:$L$11,0))/100000),"")</f>
        <v/>
      </c>
      <c r="P81" s="30" t="str">
        <f aca="false">IFERROR(IF(N81="","",N81*INDEX('00 - Lists'!$M$2:$M$11,MATCH(L81,'00 - Lists'!$L$2:$L$11,0))/100000),"")</f>
        <v/>
      </c>
      <c r="Q81" s="31" t="str">
        <f aca="false">IFERROR(IF(M81="","",M81*INDEX('00 - Lists'!$N$2:$N$11,MATCH(L81,'00 - Lists'!$L$2:$L$11,0))),"")</f>
        <v/>
      </c>
      <c r="R81" s="31" t="str">
        <f aca="false">IFERROR(IF(N81="","",N81*INDEX('00 - Lists'!$N$2:$N$11,MATCH(L81,'00 - Lists'!$L$2:$L$11,0))),"")</f>
        <v/>
      </c>
      <c r="S81" s="32" t="str">
        <f aca="false">IF(O81="","",IF(O81&gt;=50,"Yes","No"))</f>
        <v/>
      </c>
      <c r="T81" s="32" t="str">
        <f aca="false">IF(Q81="","",IF(Q81&gt;=100000,"Yes","No"))</f>
        <v/>
      </c>
      <c r="U81" s="28"/>
      <c r="V81" s="28"/>
      <c r="W81" s="28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J81" s="34" t="str">
        <f aca="false">IF(OR($BD81&lt;&gt;"",$BF81&lt;&gt;"",$BH81&lt;&gt;""),"Yes","No")</f>
        <v>No</v>
      </c>
      <c r="BK81" s="35" t="str">
        <f aca="false">IFERROR(IF(BD81="","",BD81*INDEX('00 - Lists'!$M$2:$M$11,MATCH(L81,'00 - Lists'!$L$2:$L$11,0))/100000),"")</f>
        <v/>
      </c>
      <c r="BL81" s="35" t="str">
        <f aca="false">IFERROR(IF(BE81="","",BE81*INDEX('00 - Lists'!$M$2:$M$11,MATCH(L81,'00 - Lists'!$L$2:$L$11,0))/100000),"")</f>
        <v/>
      </c>
      <c r="BM81" s="35" t="str">
        <f aca="false">IFERROR(IF(BF81="","",BF81*INDEX('00 - Lists'!$M$2:$M$11,MATCH(L81,'00 - Lists'!$L$2:$L$11,0))/100000),"")</f>
        <v/>
      </c>
      <c r="BN81" s="35" t="str">
        <f aca="false">IFERROR(IF(BG81="","",BG81*INDEX('00 - Lists'!$M$2:$M$11,MATCH(L81,'00 - Lists'!$L$2:$L$11,0))/100000),"")</f>
        <v/>
      </c>
      <c r="BO81" s="35" t="str">
        <f aca="false">IFERROR(IF(BH81="","",BH81*INDEX('00 - Lists'!$M$2:$M$11,MATCH(L81,'00 - Lists'!$L$2:$L$11,0))/100000),"")</f>
        <v/>
      </c>
      <c r="BP81" s="35" t="str">
        <f aca="false">IFERROR(IF(BI81="","",BI81*INDEX('00 - Lists'!$M$2:$M$11,MATCH(L81,'00 - Lists'!$L$2:$L$11,0))/100000),"")</f>
        <v/>
      </c>
      <c r="BS81" s="36" t="str">
        <f aca="false">IF(O81="","",IF(O81&gt;=20,"Yes","No"))</f>
        <v/>
      </c>
      <c r="BT81" s="36" t="str">
        <f aca="false">IF(O81="","",IF(O81&gt;=30,"Yes","No"))</f>
        <v/>
      </c>
      <c r="BU81" s="36" t="str">
        <f aca="false">IF(O81="","",IF(O81&gt;=75,"Yes","No"))</f>
        <v/>
      </c>
      <c r="BV81" s="36" t="str">
        <f aca="false">IF(O81="","",IF(O81&gt;=100,"Yes","No"))</f>
        <v/>
      </c>
      <c r="BW81" s="36" t="str">
        <f aca="false">IF(O81="","",IF(O81&gt;=150,"Yes","No"))</f>
        <v/>
      </c>
      <c r="BX81" s="36" t="str">
        <f aca="false">IF(O81="","",IF(O81&gt;=200,"Yes","No"))</f>
        <v/>
      </c>
      <c r="BY81" s="36" t="str">
        <f aca="false">IF(Q81="","",IF(Q81&gt;=150000,"Yes","No"))</f>
        <v/>
      </c>
      <c r="BZ81" s="36" t="str">
        <f aca="false">IF(Q81="","",IF(Q81&gt;=200000,"Yes","No"))</f>
        <v/>
      </c>
      <c r="CA81" s="36" t="str">
        <f aca="false">IF(Q81="","",IF(Q81&gt;=250000,"Yes","No"))</f>
        <v/>
      </c>
      <c r="CB81" s="36" t="str">
        <f aca="false">IF(Q81="","",IF(Q81&gt;=300000,"Yes","No"))</f>
        <v/>
      </c>
      <c r="CC81" s="37"/>
      <c r="CD81" s="36" t="str">
        <f aca="true">IF(B81="","",IF(TODAY()-B81&lt;=7,"🟢 0-7d",IF(TODAY()-B81&lt;=30,"🟡 8-30d",IF(TODAY()-B81&lt;=60,"🟠 31-60d","🔴 60d+"))))</f>
        <v/>
      </c>
      <c r="CE81" s="36" t="str">
        <f aca="false">IF(G81="","",IF(G81&lt;&gt;"USA","N/A - Not USA Role",IF(J81="Yes",IF(OR(F81="Intern",F81="New Grad"),"🟡 Possible","🟢 Strong"),IF(J81="No","🔴 Difficult","⚪ Unknown"))))</f>
        <v/>
      </c>
      <c r="CF81" s="37"/>
      <c r="CG81" s="37"/>
      <c r="CH81" s="38"/>
      <c r="CI81" s="38"/>
      <c r="CJ81" s="38"/>
      <c r="CK81" s="38"/>
    </row>
    <row r="82" customFormat="false" ht="15" hidden="false" customHeight="true" outlineLevel="0" collapsed="false">
      <c r="A82" s="26" t="str">
        <f aca="false">IF($C82="","",ROW()-3)</f>
        <v/>
      </c>
      <c r="B82" s="27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9"/>
      <c r="N82" s="29"/>
      <c r="O82" s="30" t="str">
        <f aca="false">IFERROR(IF(M82="","",M82*INDEX('00 - Lists'!$M$2:$M$11,MATCH(L82,'00 - Lists'!$L$2:$L$11,0))/100000),"")</f>
        <v/>
      </c>
      <c r="P82" s="30" t="str">
        <f aca="false">IFERROR(IF(N82="","",N82*INDEX('00 - Lists'!$M$2:$M$11,MATCH(L82,'00 - Lists'!$L$2:$L$11,0))/100000),"")</f>
        <v/>
      </c>
      <c r="Q82" s="31" t="str">
        <f aca="false">IFERROR(IF(M82="","",M82*INDEX('00 - Lists'!$N$2:$N$11,MATCH(L82,'00 - Lists'!$L$2:$L$11,0))),"")</f>
        <v/>
      </c>
      <c r="R82" s="31" t="str">
        <f aca="false">IFERROR(IF(N82="","",N82*INDEX('00 - Lists'!$N$2:$N$11,MATCH(L82,'00 - Lists'!$L$2:$L$11,0))),"")</f>
        <v/>
      </c>
      <c r="S82" s="32" t="str">
        <f aca="false">IF(O82="","",IF(O82&gt;=50,"Yes","No"))</f>
        <v/>
      </c>
      <c r="T82" s="32" t="str">
        <f aca="false">IF(Q82="","",IF(Q82&gt;=100000,"Yes","No"))</f>
        <v/>
      </c>
      <c r="U82" s="28"/>
      <c r="V82" s="28"/>
      <c r="W82" s="28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J82" s="34" t="str">
        <f aca="false">IF(OR($BD82&lt;&gt;"",$BF82&lt;&gt;"",$BH82&lt;&gt;""),"Yes","No")</f>
        <v>No</v>
      </c>
      <c r="BK82" s="35" t="str">
        <f aca="false">IFERROR(IF(BD82="","",BD82*INDEX('00 - Lists'!$M$2:$M$11,MATCH(L82,'00 - Lists'!$L$2:$L$11,0))/100000),"")</f>
        <v/>
      </c>
      <c r="BL82" s="35" t="str">
        <f aca="false">IFERROR(IF(BE82="","",BE82*INDEX('00 - Lists'!$M$2:$M$11,MATCH(L82,'00 - Lists'!$L$2:$L$11,0))/100000),"")</f>
        <v/>
      </c>
      <c r="BM82" s="35" t="str">
        <f aca="false">IFERROR(IF(BF82="","",BF82*INDEX('00 - Lists'!$M$2:$M$11,MATCH(L82,'00 - Lists'!$L$2:$L$11,0))/100000),"")</f>
        <v/>
      </c>
      <c r="BN82" s="35" t="str">
        <f aca="false">IFERROR(IF(BG82="","",BG82*INDEX('00 - Lists'!$M$2:$M$11,MATCH(L82,'00 - Lists'!$L$2:$L$11,0))/100000),"")</f>
        <v/>
      </c>
      <c r="BO82" s="35" t="str">
        <f aca="false">IFERROR(IF(BH82="","",BH82*INDEX('00 - Lists'!$M$2:$M$11,MATCH(L82,'00 - Lists'!$L$2:$L$11,0))/100000),"")</f>
        <v/>
      </c>
      <c r="BP82" s="35" t="str">
        <f aca="false">IFERROR(IF(BI82="","",BI82*INDEX('00 - Lists'!$M$2:$M$11,MATCH(L82,'00 - Lists'!$L$2:$L$11,0))/100000),"")</f>
        <v/>
      </c>
      <c r="BS82" s="36" t="str">
        <f aca="false">IF(O82="","",IF(O82&gt;=20,"Yes","No"))</f>
        <v/>
      </c>
      <c r="BT82" s="36" t="str">
        <f aca="false">IF(O82="","",IF(O82&gt;=30,"Yes","No"))</f>
        <v/>
      </c>
      <c r="BU82" s="36" t="str">
        <f aca="false">IF(O82="","",IF(O82&gt;=75,"Yes","No"))</f>
        <v/>
      </c>
      <c r="BV82" s="36" t="str">
        <f aca="false">IF(O82="","",IF(O82&gt;=100,"Yes","No"))</f>
        <v/>
      </c>
      <c r="BW82" s="36" t="str">
        <f aca="false">IF(O82="","",IF(O82&gt;=150,"Yes","No"))</f>
        <v/>
      </c>
      <c r="BX82" s="36" t="str">
        <f aca="false">IF(O82="","",IF(O82&gt;=200,"Yes","No"))</f>
        <v/>
      </c>
      <c r="BY82" s="36" t="str">
        <f aca="false">IF(Q82="","",IF(Q82&gt;=150000,"Yes","No"))</f>
        <v/>
      </c>
      <c r="BZ82" s="36" t="str">
        <f aca="false">IF(Q82="","",IF(Q82&gt;=200000,"Yes","No"))</f>
        <v/>
      </c>
      <c r="CA82" s="36" t="str">
        <f aca="false">IF(Q82="","",IF(Q82&gt;=250000,"Yes","No"))</f>
        <v/>
      </c>
      <c r="CB82" s="36" t="str">
        <f aca="false">IF(Q82="","",IF(Q82&gt;=300000,"Yes","No"))</f>
        <v/>
      </c>
      <c r="CC82" s="37"/>
      <c r="CD82" s="36" t="str">
        <f aca="true">IF(B82="","",IF(TODAY()-B82&lt;=7,"🟢 0-7d",IF(TODAY()-B82&lt;=30,"🟡 8-30d",IF(TODAY()-B82&lt;=60,"🟠 31-60d","🔴 60d+"))))</f>
        <v/>
      </c>
      <c r="CE82" s="36" t="str">
        <f aca="false">IF(G82="","",IF(G82&lt;&gt;"USA","N/A - Not USA Role",IF(J82="Yes",IF(OR(F82="Intern",F82="New Grad"),"🟡 Possible","🟢 Strong"),IF(J82="No","🔴 Difficult","⚪ Unknown"))))</f>
        <v/>
      </c>
      <c r="CF82" s="37"/>
      <c r="CG82" s="37"/>
      <c r="CH82" s="38"/>
      <c r="CI82" s="38"/>
      <c r="CJ82" s="38"/>
      <c r="CK82" s="38"/>
    </row>
    <row r="83" customFormat="false" ht="15" hidden="false" customHeight="true" outlineLevel="0" collapsed="false">
      <c r="A83" s="26" t="str">
        <f aca="false">IF($C83="","",ROW()-3)</f>
        <v/>
      </c>
      <c r="B83" s="27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9"/>
      <c r="N83" s="29"/>
      <c r="O83" s="30" t="str">
        <f aca="false">IFERROR(IF(M83="","",M83*INDEX('00 - Lists'!$M$2:$M$11,MATCH(L83,'00 - Lists'!$L$2:$L$11,0))/100000),"")</f>
        <v/>
      </c>
      <c r="P83" s="30" t="str">
        <f aca="false">IFERROR(IF(N83="","",N83*INDEX('00 - Lists'!$M$2:$M$11,MATCH(L83,'00 - Lists'!$L$2:$L$11,0))/100000),"")</f>
        <v/>
      </c>
      <c r="Q83" s="31" t="str">
        <f aca="false">IFERROR(IF(M83="","",M83*INDEX('00 - Lists'!$N$2:$N$11,MATCH(L83,'00 - Lists'!$L$2:$L$11,0))),"")</f>
        <v/>
      </c>
      <c r="R83" s="31" t="str">
        <f aca="false">IFERROR(IF(N83="","",N83*INDEX('00 - Lists'!$N$2:$N$11,MATCH(L83,'00 - Lists'!$L$2:$L$11,0))),"")</f>
        <v/>
      </c>
      <c r="S83" s="32" t="str">
        <f aca="false">IF(O83="","",IF(O83&gt;=50,"Yes","No"))</f>
        <v/>
      </c>
      <c r="T83" s="32" t="str">
        <f aca="false">IF(Q83="","",IF(Q83&gt;=100000,"Yes","No"))</f>
        <v/>
      </c>
      <c r="U83" s="28"/>
      <c r="V83" s="28"/>
      <c r="W83" s="28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J83" s="34" t="str">
        <f aca="false">IF(OR($BD83&lt;&gt;"",$BF83&lt;&gt;"",$BH83&lt;&gt;""),"Yes","No")</f>
        <v>No</v>
      </c>
      <c r="BK83" s="35" t="str">
        <f aca="false">IFERROR(IF(BD83="","",BD83*INDEX('00 - Lists'!$M$2:$M$11,MATCH(L83,'00 - Lists'!$L$2:$L$11,0))/100000),"")</f>
        <v/>
      </c>
      <c r="BL83" s="35" t="str">
        <f aca="false">IFERROR(IF(BE83="","",BE83*INDEX('00 - Lists'!$M$2:$M$11,MATCH(L83,'00 - Lists'!$L$2:$L$11,0))/100000),"")</f>
        <v/>
      </c>
      <c r="BM83" s="35" t="str">
        <f aca="false">IFERROR(IF(BF83="","",BF83*INDEX('00 - Lists'!$M$2:$M$11,MATCH(L83,'00 - Lists'!$L$2:$L$11,0))/100000),"")</f>
        <v/>
      </c>
      <c r="BN83" s="35" t="str">
        <f aca="false">IFERROR(IF(BG83="","",BG83*INDEX('00 - Lists'!$M$2:$M$11,MATCH(L83,'00 - Lists'!$L$2:$L$11,0))/100000),"")</f>
        <v/>
      </c>
      <c r="BO83" s="35" t="str">
        <f aca="false">IFERROR(IF(BH83="","",BH83*INDEX('00 - Lists'!$M$2:$M$11,MATCH(L83,'00 - Lists'!$L$2:$L$11,0))/100000),"")</f>
        <v/>
      </c>
      <c r="BP83" s="35" t="str">
        <f aca="false">IFERROR(IF(BI83="","",BI83*INDEX('00 - Lists'!$M$2:$M$11,MATCH(L83,'00 - Lists'!$L$2:$L$11,0))/100000),"")</f>
        <v/>
      </c>
      <c r="BS83" s="36" t="str">
        <f aca="false">IF(O83="","",IF(O83&gt;=20,"Yes","No"))</f>
        <v/>
      </c>
      <c r="BT83" s="36" t="str">
        <f aca="false">IF(O83="","",IF(O83&gt;=30,"Yes","No"))</f>
        <v/>
      </c>
      <c r="BU83" s="36" t="str">
        <f aca="false">IF(O83="","",IF(O83&gt;=75,"Yes","No"))</f>
        <v/>
      </c>
      <c r="BV83" s="36" t="str">
        <f aca="false">IF(O83="","",IF(O83&gt;=100,"Yes","No"))</f>
        <v/>
      </c>
      <c r="BW83" s="36" t="str">
        <f aca="false">IF(O83="","",IF(O83&gt;=150,"Yes","No"))</f>
        <v/>
      </c>
      <c r="BX83" s="36" t="str">
        <f aca="false">IF(O83="","",IF(O83&gt;=200,"Yes","No"))</f>
        <v/>
      </c>
      <c r="BY83" s="36" t="str">
        <f aca="false">IF(Q83="","",IF(Q83&gt;=150000,"Yes","No"))</f>
        <v/>
      </c>
      <c r="BZ83" s="36" t="str">
        <f aca="false">IF(Q83="","",IF(Q83&gt;=200000,"Yes","No"))</f>
        <v/>
      </c>
      <c r="CA83" s="36" t="str">
        <f aca="false">IF(Q83="","",IF(Q83&gt;=250000,"Yes","No"))</f>
        <v/>
      </c>
      <c r="CB83" s="36" t="str">
        <f aca="false">IF(Q83="","",IF(Q83&gt;=300000,"Yes","No"))</f>
        <v/>
      </c>
      <c r="CC83" s="37"/>
      <c r="CD83" s="36" t="str">
        <f aca="true">IF(B83="","",IF(TODAY()-B83&lt;=7,"🟢 0-7d",IF(TODAY()-B83&lt;=30,"🟡 8-30d",IF(TODAY()-B83&lt;=60,"🟠 31-60d","🔴 60d+"))))</f>
        <v/>
      </c>
      <c r="CE83" s="36" t="str">
        <f aca="false">IF(G83="","",IF(G83&lt;&gt;"USA","N/A - Not USA Role",IF(J83="Yes",IF(OR(F83="Intern",F83="New Grad"),"🟡 Possible","🟢 Strong"),IF(J83="No","🔴 Difficult","⚪ Unknown"))))</f>
        <v/>
      </c>
      <c r="CF83" s="37"/>
      <c r="CG83" s="37"/>
      <c r="CH83" s="38"/>
      <c r="CI83" s="38"/>
      <c r="CJ83" s="38"/>
      <c r="CK83" s="38"/>
    </row>
    <row r="84" customFormat="false" ht="15" hidden="false" customHeight="true" outlineLevel="0" collapsed="false">
      <c r="A84" s="26" t="str">
        <f aca="false">IF($C84="","",ROW()-3)</f>
        <v/>
      </c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9"/>
      <c r="N84" s="29"/>
      <c r="O84" s="30" t="str">
        <f aca="false">IFERROR(IF(M84="","",M84*INDEX('00 - Lists'!$M$2:$M$11,MATCH(L84,'00 - Lists'!$L$2:$L$11,0))/100000),"")</f>
        <v/>
      </c>
      <c r="P84" s="30" t="str">
        <f aca="false">IFERROR(IF(N84="","",N84*INDEX('00 - Lists'!$M$2:$M$11,MATCH(L84,'00 - Lists'!$L$2:$L$11,0))/100000),"")</f>
        <v/>
      </c>
      <c r="Q84" s="31" t="str">
        <f aca="false">IFERROR(IF(M84="","",M84*INDEX('00 - Lists'!$N$2:$N$11,MATCH(L84,'00 - Lists'!$L$2:$L$11,0))),"")</f>
        <v/>
      </c>
      <c r="R84" s="31" t="str">
        <f aca="false">IFERROR(IF(N84="","",N84*INDEX('00 - Lists'!$N$2:$N$11,MATCH(L84,'00 - Lists'!$L$2:$L$11,0))),"")</f>
        <v/>
      </c>
      <c r="S84" s="32" t="str">
        <f aca="false">IF(O84="","",IF(O84&gt;=50,"Yes","No"))</f>
        <v/>
      </c>
      <c r="T84" s="32" t="str">
        <f aca="false">IF(Q84="","",IF(Q84&gt;=100000,"Yes","No"))</f>
        <v/>
      </c>
      <c r="U84" s="28"/>
      <c r="V84" s="28"/>
      <c r="W84" s="28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J84" s="34" t="str">
        <f aca="false">IF(OR($BD84&lt;&gt;"",$BF84&lt;&gt;"",$BH84&lt;&gt;""),"Yes","No")</f>
        <v>No</v>
      </c>
      <c r="BK84" s="35" t="str">
        <f aca="false">IFERROR(IF(BD84="","",BD84*INDEX('00 - Lists'!$M$2:$M$11,MATCH(L84,'00 - Lists'!$L$2:$L$11,0))/100000),"")</f>
        <v/>
      </c>
      <c r="BL84" s="35" t="str">
        <f aca="false">IFERROR(IF(BE84="","",BE84*INDEX('00 - Lists'!$M$2:$M$11,MATCH(L84,'00 - Lists'!$L$2:$L$11,0))/100000),"")</f>
        <v/>
      </c>
      <c r="BM84" s="35" t="str">
        <f aca="false">IFERROR(IF(BF84="","",BF84*INDEX('00 - Lists'!$M$2:$M$11,MATCH(L84,'00 - Lists'!$L$2:$L$11,0))/100000),"")</f>
        <v/>
      </c>
      <c r="BN84" s="35" t="str">
        <f aca="false">IFERROR(IF(BG84="","",BG84*INDEX('00 - Lists'!$M$2:$M$11,MATCH(L84,'00 - Lists'!$L$2:$L$11,0))/100000),"")</f>
        <v/>
      </c>
      <c r="BO84" s="35" t="str">
        <f aca="false">IFERROR(IF(BH84="","",BH84*INDEX('00 - Lists'!$M$2:$M$11,MATCH(L84,'00 - Lists'!$L$2:$L$11,0))/100000),"")</f>
        <v/>
      </c>
      <c r="BP84" s="35" t="str">
        <f aca="false">IFERROR(IF(BI84="","",BI84*INDEX('00 - Lists'!$M$2:$M$11,MATCH(L84,'00 - Lists'!$L$2:$L$11,0))/100000),"")</f>
        <v/>
      </c>
      <c r="BS84" s="36" t="str">
        <f aca="false">IF(O84="","",IF(O84&gt;=20,"Yes","No"))</f>
        <v/>
      </c>
      <c r="BT84" s="36" t="str">
        <f aca="false">IF(O84="","",IF(O84&gt;=30,"Yes","No"))</f>
        <v/>
      </c>
      <c r="BU84" s="36" t="str">
        <f aca="false">IF(O84="","",IF(O84&gt;=75,"Yes","No"))</f>
        <v/>
      </c>
      <c r="BV84" s="36" t="str">
        <f aca="false">IF(O84="","",IF(O84&gt;=100,"Yes","No"))</f>
        <v/>
      </c>
      <c r="BW84" s="36" t="str">
        <f aca="false">IF(O84="","",IF(O84&gt;=150,"Yes","No"))</f>
        <v/>
      </c>
      <c r="BX84" s="36" t="str">
        <f aca="false">IF(O84="","",IF(O84&gt;=200,"Yes","No"))</f>
        <v/>
      </c>
      <c r="BY84" s="36" t="str">
        <f aca="false">IF(Q84="","",IF(Q84&gt;=150000,"Yes","No"))</f>
        <v/>
      </c>
      <c r="BZ84" s="36" t="str">
        <f aca="false">IF(Q84="","",IF(Q84&gt;=200000,"Yes","No"))</f>
        <v/>
      </c>
      <c r="CA84" s="36" t="str">
        <f aca="false">IF(Q84="","",IF(Q84&gt;=250000,"Yes","No"))</f>
        <v/>
      </c>
      <c r="CB84" s="36" t="str">
        <f aca="false">IF(Q84="","",IF(Q84&gt;=300000,"Yes","No"))</f>
        <v/>
      </c>
      <c r="CC84" s="37"/>
      <c r="CD84" s="36" t="str">
        <f aca="true">IF(B84="","",IF(TODAY()-B84&lt;=7,"🟢 0-7d",IF(TODAY()-B84&lt;=30,"🟡 8-30d",IF(TODAY()-B84&lt;=60,"🟠 31-60d","🔴 60d+"))))</f>
        <v/>
      </c>
      <c r="CE84" s="36" t="str">
        <f aca="false">IF(G84="","",IF(G84&lt;&gt;"USA","N/A - Not USA Role",IF(J84="Yes",IF(OR(F84="Intern",F84="New Grad"),"🟡 Possible","🟢 Strong"),IF(J84="No","🔴 Difficult","⚪ Unknown"))))</f>
        <v/>
      </c>
      <c r="CF84" s="37"/>
      <c r="CG84" s="37"/>
      <c r="CH84" s="38"/>
      <c r="CI84" s="38"/>
      <c r="CJ84" s="38"/>
      <c r="CK84" s="38"/>
    </row>
    <row r="85" customFormat="false" ht="15" hidden="false" customHeight="true" outlineLevel="0" collapsed="false">
      <c r="A85" s="26" t="str">
        <f aca="false">IF($C85="","",ROW()-3)</f>
        <v/>
      </c>
      <c r="B85" s="27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9"/>
      <c r="N85" s="29"/>
      <c r="O85" s="30" t="str">
        <f aca="false">IFERROR(IF(M85="","",M85*INDEX('00 - Lists'!$M$2:$M$11,MATCH(L85,'00 - Lists'!$L$2:$L$11,0))/100000),"")</f>
        <v/>
      </c>
      <c r="P85" s="30" t="str">
        <f aca="false">IFERROR(IF(N85="","",N85*INDEX('00 - Lists'!$M$2:$M$11,MATCH(L85,'00 - Lists'!$L$2:$L$11,0))/100000),"")</f>
        <v/>
      </c>
      <c r="Q85" s="31" t="str">
        <f aca="false">IFERROR(IF(M85="","",M85*INDEX('00 - Lists'!$N$2:$N$11,MATCH(L85,'00 - Lists'!$L$2:$L$11,0))),"")</f>
        <v/>
      </c>
      <c r="R85" s="31" t="str">
        <f aca="false">IFERROR(IF(N85="","",N85*INDEX('00 - Lists'!$N$2:$N$11,MATCH(L85,'00 - Lists'!$L$2:$L$11,0))),"")</f>
        <v/>
      </c>
      <c r="S85" s="32" t="str">
        <f aca="false">IF(O85="","",IF(O85&gt;=50,"Yes","No"))</f>
        <v/>
      </c>
      <c r="T85" s="32" t="str">
        <f aca="false">IF(Q85="","",IF(Q85&gt;=100000,"Yes","No"))</f>
        <v/>
      </c>
      <c r="U85" s="28"/>
      <c r="V85" s="28"/>
      <c r="W85" s="28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J85" s="34" t="str">
        <f aca="false">IF(OR($BD85&lt;&gt;"",$BF85&lt;&gt;"",$BH85&lt;&gt;""),"Yes","No")</f>
        <v>No</v>
      </c>
      <c r="BK85" s="35" t="str">
        <f aca="false">IFERROR(IF(BD85="","",BD85*INDEX('00 - Lists'!$M$2:$M$11,MATCH(L85,'00 - Lists'!$L$2:$L$11,0))/100000),"")</f>
        <v/>
      </c>
      <c r="BL85" s="35" t="str">
        <f aca="false">IFERROR(IF(BE85="","",BE85*INDEX('00 - Lists'!$M$2:$M$11,MATCH(L85,'00 - Lists'!$L$2:$L$11,0))/100000),"")</f>
        <v/>
      </c>
      <c r="BM85" s="35" t="str">
        <f aca="false">IFERROR(IF(BF85="","",BF85*INDEX('00 - Lists'!$M$2:$M$11,MATCH(L85,'00 - Lists'!$L$2:$L$11,0))/100000),"")</f>
        <v/>
      </c>
      <c r="BN85" s="35" t="str">
        <f aca="false">IFERROR(IF(BG85="","",BG85*INDEX('00 - Lists'!$M$2:$M$11,MATCH(L85,'00 - Lists'!$L$2:$L$11,0))/100000),"")</f>
        <v/>
      </c>
      <c r="BO85" s="35" t="str">
        <f aca="false">IFERROR(IF(BH85="","",BH85*INDEX('00 - Lists'!$M$2:$M$11,MATCH(L85,'00 - Lists'!$L$2:$L$11,0))/100000),"")</f>
        <v/>
      </c>
      <c r="BP85" s="35" t="str">
        <f aca="false">IFERROR(IF(BI85="","",BI85*INDEX('00 - Lists'!$M$2:$M$11,MATCH(L85,'00 - Lists'!$L$2:$L$11,0))/100000),"")</f>
        <v/>
      </c>
      <c r="BS85" s="36" t="str">
        <f aca="false">IF(O85="","",IF(O85&gt;=20,"Yes","No"))</f>
        <v/>
      </c>
      <c r="BT85" s="36" t="str">
        <f aca="false">IF(O85="","",IF(O85&gt;=30,"Yes","No"))</f>
        <v/>
      </c>
      <c r="BU85" s="36" t="str">
        <f aca="false">IF(O85="","",IF(O85&gt;=75,"Yes","No"))</f>
        <v/>
      </c>
      <c r="BV85" s="36" t="str">
        <f aca="false">IF(O85="","",IF(O85&gt;=100,"Yes","No"))</f>
        <v/>
      </c>
      <c r="BW85" s="36" t="str">
        <f aca="false">IF(O85="","",IF(O85&gt;=150,"Yes","No"))</f>
        <v/>
      </c>
      <c r="BX85" s="36" t="str">
        <f aca="false">IF(O85="","",IF(O85&gt;=200,"Yes","No"))</f>
        <v/>
      </c>
      <c r="BY85" s="36" t="str">
        <f aca="false">IF(Q85="","",IF(Q85&gt;=150000,"Yes","No"))</f>
        <v/>
      </c>
      <c r="BZ85" s="36" t="str">
        <f aca="false">IF(Q85="","",IF(Q85&gt;=200000,"Yes","No"))</f>
        <v/>
      </c>
      <c r="CA85" s="36" t="str">
        <f aca="false">IF(Q85="","",IF(Q85&gt;=250000,"Yes","No"))</f>
        <v/>
      </c>
      <c r="CB85" s="36" t="str">
        <f aca="false">IF(Q85="","",IF(Q85&gt;=300000,"Yes","No"))</f>
        <v/>
      </c>
      <c r="CC85" s="37"/>
      <c r="CD85" s="36" t="str">
        <f aca="true">IF(B85="","",IF(TODAY()-B85&lt;=7,"🟢 0-7d",IF(TODAY()-B85&lt;=30,"🟡 8-30d",IF(TODAY()-B85&lt;=60,"🟠 31-60d","🔴 60d+"))))</f>
        <v/>
      </c>
      <c r="CE85" s="36" t="str">
        <f aca="false">IF(G85="","",IF(G85&lt;&gt;"USA","N/A - Not USA Role",IF(J85="Yes",IF(OR(F85="Intern",F85="New Grad"),"🟡 Possible","🟢 Strong"),IF(J85="No","🔴 Difficult","⚪ Unknown"))))</f>
        <v/>
      </c>
      <c r="CF85" s="37"/>
      <c r="CG85" s="37"/>
      <c r="CH85" s="38"/>
      <c r="CI85" s="38"/>
      <c r="CJ85" s="38"/>
      <c r="CK85" s="38"/>
    </row>
    <row r="86" customFormat="false" ht="15" hidden="false" customHeight="true" outlineLevel="0" collapsed="false">
      <c r="A86" s="26" t="str">
        <f aca="false">IF($C86="","",ROW()-3)</f>
        <v/>
      </c>
      <c r="B86" s="27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9"/>
      <c r="N86" s="29"/>
      <c r="O86" s="30" t="str">
        <f aca="false">IFERROR(IF(M86="","",M86*INDEX('00 - Lists'!$M$2:$M$11,MATCH(L86,'00 - Lists'!$L$2:$L$11,0))/100000),"")</f>
        <v/>
      </c>
      <c r="P86" s="30" t="str">
        <f aca="false">IFERROR(IF(N86="","",N86*INDEX('00 - Lists'!$M$2:$M$11,MATCH(L86,'00 - Lists'!$L$2:$L$11,0))/100000),"")</f>
        <v/>
      </c>
      <c r="Q86" s="31" t="str">
        <f aca="false">IFERROR(IF(M86="","",M86*INDEX('00 - Lists'!$N$2:$N$11,MATCH(L86,'00 - Lists'!$L$2:$L$11,0))),"")</f>
        <v/>
      </c>
      <c r="R86" s="31" t="str">
        <f aca="false">IFERROR(IF(N86="","",N86*INDEX('00 - Lists'!$N$2:$N$11,MATCH(L86,'00 - Lists'!$L$2:$L$11,0))),"")</f>
        <v/>
      </c>
      <c r="S86" s="32" t="str">
        <f aca="false">IF(O86="","",IF(O86&gt;=50,"Yes","No"))</f>
        <v/>
      </c>
      <c r="T86" s="32" t="str">
        <f aca="false">IF(Q86="","",IF(Q86&gt;=100000,"Yes","No"))</f>
        <v/>
      </c>
      <c r="U86" s="28"/>
      <c r="V86" s="28"/>
      <c r="W86" s="28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J86" s="34" t="str">
        <f aca="false">IF(OR($BD86&lt;&gt;"",$BF86&lt;&gt;"",$BH86&lt;&gt;""),"Yes","No")</f>
        <v>No</v>
      </c>
      <c r="BK86" s="35" t="str">
        <f aca="false">IFERROR(IF(BD86="","",BD86*INDEX('00 - Lists'!$M$2:$M$11,MATCH(L86,'00 - Lists'!$L$2:$L$11,0))/100000),"")</f>
        <v/>
      </c>
      <c r="BL86" s="35" t="str">
        <f aca="false">IFERROR(IF(BE86="","",BE86*INDEX('00 - Lists'!$M$2:$M$11,MATCH(L86,'00 - Lists'!$L$2:$L$11,0))/100000),"")</f>
        <v/>
      </c>
      <c r="BM86" s="35" t="str">
        <f aca="false">IFERROR(IF(BF86="","",BF86*INDEX('00 - Lists'!$M$2:$M$11,MATCH(L86,'00 - Lists'!$L$2:$L$11,0))/100000),"")</f>
        <v/>
      </c>
      <c r="BN86" s="35" t="str">
        <f aca="false">IFERROR(IF(BG86="","",BG86*INDEX('00 - Lists'!$M$2:$M$11,MATCH(L86,'00 - Lists'!$L$2:$L$11,0))/100000),"")</f>
        <v/>
      </c>
      <c r="BO86" s="35" t="str">
        <f aca="false">IFERROR(IF(BH86="","",BH86*INDEX('00 - Lists'!$M$2:$M$11,MATCH(L86,'00 - Lists'!$L$2:$L$11,0))/100000),"")</f>
        <v/>
      </c>
      <c r="BP86" s="35" t="str">
        <f aca="false">IFERROR(IF(BI86="","",BI86*INDEX('00 - Lists'!$M$2:$M$11,MATCH(L86,'00 - Lists'!$L$2:$L$11,0))/100000),"")</f>
        <v/>
      </c>
      <c r="BS86" s="36" t="str">
        <f aca="false">IF(O86="","",IF(O86&gt;=20,"Yes","No"))</f>
        <v/>
      </c>
      <c r="BT86" s="36" t="str">
        <f aca="false">IF(O86="","",IF(O86&gt;=30,"Yes","No"))</f>
        <v/>
      </c>
      <c r="BU86" s="36" t="str">
        <f aca="false">IF(O86="","",IF(O86&gt;=75,"Yes","No"))</f>
        <v/>
      </c>
      <c r="BV86" s="36" t="str">
        <f aca="false">IF(O86="","",IF(O86&gt;=100,"Yes","No"))</f>
        <v/>
      </c>
      <c r="BW86" s="36" t="str">
        <f aca="false">IF(O86="","",IF(O86&gt;=150,"Yes","No"))</f>
        <v/>
      </c>
      <c r="BX86" s="36" t="str">
        <f aca="false">IF(O86="","",IF(O86&gt;=200,"Yes","No"))</f>
        <v/>
      </c>
      <c r="BY86" s="36" t="str">
        <f aca="false">IF(Q86="","",IF(Q86&gt;=150000,"Yes","No"))</f>
        <v/>
      </c>
      <c r="BZ86" s="36" t="str">
        <f aca="false">IF(Q86="","",IF(Q86&gt;=200000,"Yes","No"))</f>
        <v/>
      </c>
      <c r="CA86" s="36" t="str">
        <f aca="false">IF(Q86="","",IF(Q86&gt;=250000,"Yes","No"))</f>
        <v/>
      </c>
      <c r="CB86" s="36" t="str">
        <f aca="false">IF(Q86="","",IF(Q86&gt;=300000,"Yes","No"))</f>
        <v/>
      </c>
      <c r="CC86" s="37"/>
      <c r="CD86" s="36" t="str">
        <f aca="true">IF(B86="","",IF(TODAY()-B86&lt;=7,"🟢 0-7d",IF(TODAY()-B86&lt;=30,"🟡 8-30d",IF(TODAY()-B86&lt;=60,"🟠 31-60d","🔴 60d+"))))</f>
        <v/>
      </c>
      <c r="CE86" s="36" t="str">
        <f aca="false">IF(G86="","",IF(G86&lt;&gt;"USA","N/A - Not USA Role",IF(J86="Yes",IF(OR(F86="Intern",F86="New Grad"),"🟡 Possible","🟢 Strong"),IF(J86="No","🔴 Difficult","⚪ Unknown"))))</f>
        <v/>
      </c>
      <c r="CF86" s="37"/>
      <c r="CG86" s="37"/>
      <c r="CH86" s="38"/>
      <c r="CI86" s="38"/>
      <c r="CJ86" s="38"/>
      <c r="CK86" s="38"/>
    </row>
    <row r="87" customFormat="false" ht="15" hidden="false" customHeight="true" outlineLevel="0" collapsed="false">
      <c r="A87" s="26" t="str">
        <f aca="false">IF($C87="","",ROW()-3)</f>
        <v/>
      </c>
      <c r="B87" s="27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9"/>
      <c r="N87" s="29"/>
      <c r="O87" s="30" t="str">
        <f aca="false">IFERROR(IF(M87="","",M87*INDEX('00 - Lists'!$M$2:$M$11,MATCH(L87,'00 - Lists'!$L$2:$L$11,0))/100000),"")</f>
        <v/>
      </c>
      <c r="P87" s="30" t="str">
        <f aca="false">IFERROR(IF(N87="","",N87*INDEX('00 - Lists'!$M$2:$M$11,MATCH(L87,'00 - Lists'!$L$2:$L$11,0))/100000),"")</f>
        <v/>
      </c>
      <c r="Q87" s="31" t="str">
        <f aca="false">IFERROR(IF(M87="","",M87*INDEX('00 - Lists'!$N$2:$N$11,MATCH(L87,'00 - Lists'!$L$2:$L$11,0))),"")</f>
        <v/>
      </c>
      <c r="R87" s="31" t="str">
        <f aca="false">IFERROR(IF(N87="","",N87*INDEX('00 - Lists'!$N$2:$N$11,MATCH(L87,'00 - Lists'!$L$2:$L$11,0))),"")</f>
        <v/>
      </c>
      <c r="S87" s="32" t="str">
        <f aca="false">IF(O87="","",IF(O87&gt;=50,"Yes","No"))</f>
        <v/>
      </c>
      <c r="T87" s="32" t="str">
        <f aca="false">IF(Q87="","",IF(Q87&gt;=100000,"Yes","No"))</f>
        <v/>
      </c>
      <c r="U87" s="28"/>
      <c r="V87" s="28"/>
      <c r="W87" s="28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J87" s="34" t="str">
        <f aca="false">IF(OR($BD87&lt;&gt;"",$BF87&lt;&gt;"",$BH87&lt;&gt;""),"Yes","No")</f>
        <v>No</v>
      </c>
      <c r="BK87" s="35" t="str">
        <f aca="false">IFERROR(IF(BD87="","",BD87*INDEX('00 - Lists'!$M$2:$M$11,MATCH(L87,'00 - Lists'!$L$2:$L$11,0))/100000),"")</f>
        <v/>
      </c>
      <c r="BL87" s="35" t="str">
        <f aca="false">IFERROR(IF(BE87="","",BE87*INDEX('00 - Lists'!$M$2:$M$11,MATCH(L87,'00 - Lists'!$L$2:$L$11,0))/100000),"")</f>
        <v/>
      </c>
      <c r="BM87" s="35" t="str">
        <f aca="false">IFERROR(IF(BF87="","",BF87*INDEX('00 - Lists'!$M$2:$M$11,MATCH(L87,'00 - Lists'!$L$2:$L$11,0))/100000),"")</f>
        <v/>
      </c>
      <c r="BN87" s="35" t="str">
        <f aca="false">IFERROR(IF(BG87="","",BG87*INDEX('00 - Lists'!$M$2:$M$11,MATCH(L87,'00 - Lists'!$L$2:$L$11,0))/100000),"")</f>
        <v/>
      </c>
      <c r="BO87" s="35" t="str">
        <f aca="false">IFERROR(IF(BH87="","",BH87*INDEX('00 - Lists'!$M$2:$M$11,MATCH(L87,'00 - Lists'!$L$2:$L$11,0))/100000),"")</f>
        <v/>
      </c>
      <c r="BP87" s="35" t="str">
        <f aca="false">IFERROR(IF(BI87="","",BI87*INDEX('00 - Lists'!$M$2:$M$11,MATCH(L87,'00 - Lists'!$L$2:$L$11,0))/100000),"")</f>
        <v/>
      </c>
      <c r="BS87" s="36" t="str">
        <f aca="false">IF(O87="","",IF(O87&gt;=20,"Yes","No"))</f>
        <v/>
      </c>
      <c r="BT87" s="36" t="str">
        <f aca="false">IF(O87="","",IF(O87&gt;=30,"Yes","No"))</f>
        <v/>
      </c>
      <c r="BU87" s="36" t="str">
        <f aca="false">IF(O87="","",IF(O87&gt;=75,"Yes","No"))</f>
        <v/>
      </c>
      <c r="BV87" s="36" t="str">
        <f aca="false">IF(O87="","",IF(O87&gt;=100,"Yes","No"))</f>
        <v/>
      </c>
      <c r="BW87" s="36" t="str">
        <f aca="false">IF(O87="","",IF(O87&gt;=150,"Yes","No"))</f>
        <v/>
      </c>
      <c r="BX87" s="36" t="str">
        <f aca="false">IF(O87="","",IF(O87&gt;=200,"Yes","No"))</f>
        <v/>
      </c>
      <c r="BY87" s="36" t="str">
        <f aca="false">IF(Q87="","",IF(Q87&gt;=150000,"Yes","No"))</f>
        <v/>
      </c>
      <c r="BZ87" s="36" t="str">
        <f aca="false">IF(Q87="","",IF(Q87&gt;=200000,"Yes","No"))</f>
        <v/>
      </c>
      <c r="CA87" s="36" t="str">
        <f aca="false">IF(Q87="","",IF(Q87&gt;=250000,"Yes","No"))</f>
        <v/>
      </c>
      <c r="CB87" s="36" t="str">
        <f aca="false">IF(Q87="","",IF(Q87&gt;=300000,"Yes","No"))</f>
        <v/>
      </c>
      <c r="CC87" s="37"/>
      <c r="CD87" s="36" t="str">
        <f aca="true">IF(B87="","",IF(TODAY()-B87&lt;=7,"🟢 0-7d",IF(TODAY()-B87&lt;=30,"🟡 8-30d",IF(TODAY()-B87&lt;=60,"🟠 31-60d","🔴 60d+"))))</f>
        <v/>
      </c>
      <c r="CE87" s="36" t="str">
        <f aca="false">IF(G87="","",IF(G87&lt;&gt;"USA","N/A - Not USA Role",IF(J87="Yes",IF(OR(F87="Intern",F87="New Grad"),"🟡 Possible","🟢 Strong"),IF(J87="No","🔴 Difficult","⚪ Unknown"))))</f>
        <v/>
      </c>
      <c r="CF87" s="37"/>
      <c r="CG87" s="37"/>
      <c r="CH87" s="38"/>
      <c r="CI87" s="38"/>
      <c r="CJ87" s="38"/>
      <c r="CK87" s="38"/>
    </row>
    <row r="88" customFormat="false" ht="15" hidden="false" customHeight="true" outlineLevel="0" collapsed="false">
      <c r="A88" s="26" t="str">
        <f aca="false">IF($C88="","",ROW()-3)</f>
        <v/>
      </c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9"/>
      <c r="N88" s="29"/>
      <c r="O88" s="30" t="str">
        <f aca="false">IFERROR(IF(M88="","",M88*INDEX('00 - Lists'!$M$2:$M$11,MATCH(L88,'00 - Lists'!$L$2:$L$11,0))/100000),"")</f>
        <v/>
      </c>
      <c r="P88" s="30" t="str">
        <f aca="false">IFERROR(IF(N88="","",N88*INDEX('00 - Lists'!$M$2:$M$11,MATCH(L88,'00 - Lists'!$L$2:$L$11,0))/100000),"")</f>
        <v/>
      </c>
      <c r="Q88" s="31" t="str">
        <f aca="false">IFERROR(IF(M88="","",M88*INDEX('00 - Lists'!$N$2:$N$11,MATCH(L88,'00 - Lists'!$L$2:$L$11,0))),"")</f>
        <v/>
      </c>
      <c r="R88" s="31" t="str">
        <f aca="false">IFERROR(IF(N88="","",N88*INDEX('00 - Lists'!$N$2:$N$11,MATCH(L88,'00 - Lists'!$L$2:$L$11,0))),"")</f>
        <v/>
      </c>
      <c r="S88" s="32" t="str">
        <f aca="false">IF(O88="","",IF(O88&gt;=50,"Yes","No"))</f>
        <v/>
      </c>
      <c r="T88" s="32" t="str">
        <f aca="false">IF(Q88="","",IF(Q88&gt;=100000,"Yes","No"))</f>
        <v/>
      </c>
      <c r="U88" s="28"/>
      <c r="V88" s="28"/>
      <c r="W88" s="28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J88" s="34" t="str">
        <f aca="false">IF(OR($BD88&lt;&gt;"",$BF88&lt;&gt;"",$BH88&lt;&gt;""),"Yes","No")</f>
        <v>No</v>
      </c>
      <c r="BK88" s="35" t="str">
        <f aca="false">IFERROR(IF(BD88="","",BD88*INDEX('00 - Lists'!$M$2:$M$11,MATCH(L88,'00 - Lists'!$L$2:$L$11,0))/100000),"")</f>
        <v/>
      </c>
      <c r="BL88" s="35" t="str">
        <f aca="false">IFERROR(IF(BE88="","",BE88*INDEX('00 - Lists'!$M$2:$M$11,MATCH(L88,'00 - Lists'!$L$2:$L$11,0))/100000),"")</f>
        <v/>
      </c>
      <c r="BM88" s="35" t="str">
        <f aca="false">IFERROR(IF(BF88="","",BF88*INDEX('00 - Lists'!$M$2:$M$11,MATCH(L88,'00 - Lists'!$L$2:$L$11,0))/100000),"")</f>
        <v/>
      </c>
      <c r="BN88" s="35" t="str">
        <f aca="false">IFERROR(IF(BG88="","",BG88*INDEX('00 - Lists'!$M$2:$M$11,MATCH(L88,'00 - Lists'!$L$2:$L$11,0))/100000),"")</f>
        <v/>
      </c>
      <c r="BO88" s="35" t="str">
        <f aca="false">IFERROR(IF(BH88="","",BH88*INDEX('00 - Lists'!$M$2:$M$11,MATCH(L88,'00 - Lists'!$L$2:$L$11,0))/100000),"")</f>
        <v/>
      </c>
      <c r="BP88" s="35" t="str">
        <f aca="false">IFERROR(IF(BI88="","",BI88*INDEX('00 - Lists'!$M$2:$M$11,MATCH(L88,'00 - Lists'!$L$2:$L$11,0))/100000),"")</f>
        <v/>
      </c>
      <c r="BS88" s="36" t="str">
        <f aca="false">IF(O88="","",IF(O88&gt;=20,"Yes","No"))</f>
        <v/>
      </c>
      <c r="BT88" s="36" t="str">
        <f aca="false">IF(O88="","",IF(O88&gt;=30,"Yes","No"))</f>
        <v/>
      </c>
      <c r="BU88" s="36" t="str">
        <f aca="false">IF(O88="","",IF(O88&gt;=75,"Yes","No"))</f>
        <v/>
      </c>
      <c r="BV88" s="36" t="str">
        <f aca="false">IF(O88="","",IF(O88&gt;=100,"Yes","No"))</f>
        <v/>
      </c>
      <c r="BW88" s="36" t="str">
        <f aca="false">IF(O88="","",IF(O88&gt;=150,"Yes","No"))</f>
        <v/>
      </c>
      <c r="BX88" s="36" t="str">
        <f aca="false">IF(O88="","",IF(O88&gt;=200,"Yes","No"))</f>
        <v/>
      </c>
      <c r="BY88" s="36" t="str">
        <f aca="false">IF(Q88="","",IF(Q88&gt;=150000,"Yes","No"))</f>
        <v/>
      </c>
      <c r="BZ88" s="36" t="str">
        <f aca="false">IF(Q88="","",IF(Q88&gt;=200000,"Yes","No"))</f>
        <v/>
      </c>
      <c r="CA88" s="36" t="str">
        <f aca="false">IF(Q88="","",IF(Q88&gt;=250000,"Yes","No"))</f>
        <v/>
      </c>
      <c r="CB88" s="36" t="str">
        <f aca="false">IF(Q88="","",IF(Q88&gt;=300000,"Yes","No"))</f>
        <v/>
      </c>
      <c r="CC88" s="37"/>
      <c r="CD88" s="36" t="str">
        <f aca="true">IF(B88="","",IF(TODAY()-B88&lt;=7,"🟢 0-7d",IF(TODAY()-B88&lt;=30,"🟡 8-30d",IF(TODAY()-B88&lt;=60,"🟠 31-60d","🔴 60d+"))))</f>
        <v/>
      </c>
      <c r="CE88" s="36" t="str">
        <f aca="false">IF(G88="","",IF(G88&lt;&gt;"USA","N/A - Not USA Role",IF(J88="Yes",IF(OR(F88="Intern",F88="New Grad"),"🟡 Possible","🟢 Strong"),IF(J88="No","🔴 Difficult","⚪ Unknown"))))</f>
        <v/>
      </c>
      <c r="CF88" s="37"/>
      <c r="CG88" s="37"/>
      <c r="CH88" s="38"/>
      <c r="CI88" s="38"/>
      <c r="CJ88" s="38"/>
      <c r="CK88" s="38"/>
    </row>
    <row r="89" customFormat="false" ht="15" hidden="false" customHeight="true" outlineLevel="0" collapsed="false">
      <c r="A89" s="26" t="str">
        <f aca="false">IF($C89="","",ROW()-3)</f>
        <v/>
      </c>
      <c r="B89" s="27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9"/>
      <c r="N89" s="29"/>
      <c r="O89" s="30" t="str">
        <f aca="false">IFERROR(IF(M89="","",M89*INDEX('00 - Lists'!$M$2:$M$11,MATCH(L89,'00 - Lists'!$L$2:$L$11,0))/100000),"")</f>
        <v/>
      </c>
      <c r="P89" s="30" t="str">
        <f aca="false">IFERROR(IF(N89="","",N89*INDEX('00 - Lists'!$M$2:$M$11,MATCH(L89,'00 - Lists'!$L$2:$L$11,0))/100000),"")</f>
        <v/>
      </c>
      <c r="Q89" s="31" t="str">
        <f aca="false">IFERROR(IF(M89="","",M89*INDEX('00 - Lists'!$N$2:$N$11,MATCH(L89,'00 - Lists'!$L$2:$L$11,0))),"")</f>
        <v/>
      </c>
      <c r="R89" s="31" t="str">
        <f aca="false">IFERROR(IF(N89="","",N89*INDEX('00 - Lists'!$N$2:$N$11,MATCH(L89,'00 - Lists'!$L$2:$L$11,0))),"")</f>
        <v/>
      </c>
      <c r="S89" s="32" t="str">
        <f aca="false">IF(O89="","",IF(O89&gt;=50,"Yes","No"))</f>
        <v/>
      </c>
      <c r="T89" s="32" t="str">
        <f aca="false">IF(Q89="","",IF(Q89&gt;=100000,"Yes","No"))</f>
        <v/>
      </c>
      <c r="U89" s="28"/>
      <c r="V89" s="28"/>
      <c r="W89" s="28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J89" s="34" t="str">
        <f aca="false">IF(OR($BD89&lt;&gt;"",$BF89&lt;&gt;"",$BH89&lt;&gt;""),"Yes","No")</f>
        <v>No</v>
      </c>
      <c r="BK89" s="35" t="str">
        <f aca="false">IFERROR(IF(BD89="","",BD89*INDEX('00 - Lists'!$M$2:$M$11,MATCH(L89,'00 - Lists'!$L$2:$L$11,0))/100000),"")</f>
        <v/>
      </c>
      <c r="BL89" s="35" t="str">
        <f aca="false">IFERROR(IF(BE89="","",BE89*INDEX('00 - Lists'!$M$2:$M$11,MATCH(L89,'00 - Lists'!$L$2:$L$11,0))/100000),"")</f>
        <v/>
      </c>
      <c r="BM89" s="35" t="str">
        <f aca="false">IFERROR(IF(BF89="","",BF89*INDEX('00 - Lists'!$M$2:$M$11,MATCH(L89,'00 - Lists'!$L$2:$L$11,0))/100000),"")</f>
        <v/>
      </c>
      <c r="BN89" s="35" t="str">
        <f aca="false">IFERROR(IF(BG89="","",BG89*INDEX('00 - Lists'!$M$2:$M$11,MATCH(L89,'00 - Lists'!$L$2:$L$11,0))/100000),"")</f>
        <v/>
      </c>
      <c r="BO89" s="35" t="str">
        <f aca="false">IFERROR(IF(BH89="","",BH89*INDEX('00 - Lists'!$M$2:$M$11,MATCH(L89,'00 - Lists'!$L$2:$L$11,0))/100000),"")</f>
        <v/>
      </c>
      <c r="BP89" s="35" t="str">
        <f aca="false">IFERROR(IF(BI89="","",BI89*INDEX('00 - Lists'!$M$2:$M$11,MATCH(L89,'00 - Lists'!$L$2:$L$11,0))/100000),"")</f>
        <v/>
      </c>
      <c r="BS89" s="36" t="str">
        <f aca="false">IF(O89="","",IF(O89&gt;=20,"Yes","No"))</f>
        <v/>
      </c>
      <c r="BT89" s="36" t="str">
        <f aca="false">IF(O89="","",IF(O89&gt;=30,"Yes","No"))</f>
        <v/>
      </c>
      <c r="BU89" s="36" t="str">
        <f aca="false">IF(O89="","",IF(O89&gt;=75,"Yes","No"))</f>
        <v/>
      </c>
      <c r="BV89" s="36" t="str">
        <f aca="false">IF(O89="","",IF(O89&gt;=100,"Yes","No"))</f>
        <v/>
      </c>
      <c r="BW89" s="36" t="str">
        <f aca="false">IF(O89="","",IF(O89&gt;=150,"Yes","No"))</f>
        <v/>
      </c>
      <c r="BX89" s="36" t="str">
        <f aca="false">IF(O89="","",IF(O89&gt;=200,"Yes","No"))</f>
        <v/>
      </c>
      <c r="BY89" s="36" t="str">
        <f aca="false">IF(Q89="","",IF(Q89&gt;=150000,"Yes","No"))</f>
        <v/>
      </c>
      <c r="BZ89" s="36" t="str">
        <f aca="false">IF(Q89="","",IF(Q89&gt;=200000,"Yes","No"))</f>
        <v/>
      </c>
      <c r="CA89" s="36" t="str">
        <f aca="false">IF(Q89="","",IF(Q89&gt;=250000,"Yes","No"))</f>
        <v/>
      </c>
      <c r="CB89" s="36" t="str">
        <f aca="false">IF(Q89="","",IF(Q89&gt;=300000,"Yes","No"))</f>
        <v/>
      </c>
      <c r="CC89" s="37"/>
      <c r="CD89" s="36" t="str">
        <f aca="true">IF(B89="","",IF(TODAY()-B89&lt;=7,"🟢 0-7d",IF(TODAY()-B89&lt;=30,"🟡 8-30d",IF(TODAY()-B89&lt;=60,"🟠 31-60d","🔴 60d+"))))</f>
        <v/>
      </c>
      <c r="CE89" s="36" t="str">
        <f aca="false">IF(G89="","",IF(G89&lt;&gt;"USA","N/A - Not USA Role",IF(J89="Yes",IF(OR(F89="Intern",F89="New Grad"),"🟡 Possible","🟢 Strong"),IF(J89="No","🔴 Difficult","⚪ Unknown"))))</f>
        <v/>
      </c>
      <c r="CF89" s="37"/>
      <c r="CG89" s="37"/>
      <c r="CH89" s="38"/>
      <c r="CI89" s="38"/>
      <c r="CJ89" s="38"/>
      <c r="CK89" s="38"/>
    </row>
    <row r="90" customFormat="false" ht="15" hidden="false" customHeight="true" outlineLevel="0" collapsed="false">
      <c r="A90" s="26" t="str">
        <f aca="false">IF($C90="","",ROW()-3)</f>
        <v/>
      </c>
      <c r="B90" s="27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9"/>
      <c r="N90" s="29"/>
      <c r="O90" s="30" t="str">
        <f aca="false">IFERROR(IF(M90="","",M90*INDEX('00 - Lists'!$M$2:$M$11,MATCH(L90,'00 - Lists'!$L$2:$L$11,0))/100000),"")</f>
        <v/>
      </c>
      <c r="P90" s="30" t="str">
        <f aca="false">IFERROR(IF(N90="","",N90*INDEX('00 - Lists'!$M$2:$M$11,MATCH(L90,'00 - Lists'!$L$2:$L$11,0))/100000),"")</f>
        <v/>
      </c>
      <c r="Q90" s="31" t="str">
        <f aca="false">IFERROR(IF(M90="","",M90*INDEX('00 - Lists'!$N$2:$N$11,MATCH(L90,'00 - Lists'!$L$2:$L$11,0))),"")</f>
        <v/>
      </c>
      <c r="R90" s="31" t="str">
        <f aca="false">IFERROR(IF(N90="","",N90*INDEX('00 - Lists'!$N$2:$N$11,MATCH(L90,'00 - Lists'!$L$2:$L$11,0))),"")</f>
        <v/>
      </c>
      <c r="S90" s="32" t="str">
        <f aca="false">IF(O90="","",IF(O90&gt;=50,"Yes","No"))</f>
        <v/>
      </c>
      <c r="T90" s="32" t="str">
        <f aca="false">IF(Q90="","",IF(Q90&gt;=100000,"Yes","No"))</f>
        <v/>
      </c>
      <c r="U90" s="28"/>
      <c r="V90" s="28"/>
      <c r="W90" s="28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J90" s="34" t="str">
        <f aca="false">IF(OR($BD90&lt;&gt;"",$BF90&lt;&gt;"",$BH90&lt;&gt;""),"Yes","No")</f>
        <v>No</v>
      </c>
      <c r="BK90" s="35" t="str">
        <f aca="false">IFERROR(IF(BD90="","",BD90*INDEX('00 - Lists'!$M$2:$M$11,MATCH(L90,'00 - Lists'!$L$2:$L$11,0))/100000),"")</f>
        <v/>
      </c>
      <c r="BL90" s="35" t="str">
        <f aca="false">IFERROR(IF(BE90="","",BE90*INDEX('00 - Lists'!$M$2:$M$11,MATCH(L90,'00 - Lists'!$L$2:$L$11,0))/100000),"")</f>
        <v/>
      </c>
      <c r="BM90" s="35" t="str">
        <f aca="false">IFERROR(IF(BF90="","",BF90*INDEX('00 - Lists'!$M$2:$M$11,MATCH(L90,'00 - Lists'!$L$2:$L$11,0))/100000),"")</f>
        <v/>
      </c>
      <c r="BN90" s="35" t="str">
        <f aca="false">IFERROR(IF(BG90="","",BG90*INDEX('00 - Lists'!$M$2:$M$11,MATCH(L90,'00 - Lists'!$L$2:$L$11,0))/100000),"")</f>
        <v/>
      </c>
      <c r="BO90" s="35" t="str">
        <f aca="false">IFERROR(IF(BH90="","",BH90*INDEX('00 - Lists'!$M$2:$M$11,MATCH(L90,'00 - Lists'!$L$2:$L$11,0))/100000),"")</f>
        <v/>
      </c>
      <c r="BP90" s="35" t="str">
        <f aca="false">IFERROR(IF(BI90="","",BI90*INDEX('00 - Lists'!$M$2:$M$11,MATCH(L90,'00 - Lists'!$L$2:$L$11,0))/100000),"")</f>
        <v/>
      </c>
      <c r="BS90" s="36" t="str">
        <f aca="false">IF(O90="","",IF(O90&gt;=20,"Yes","No"))</f>
        <v/>
      </c>
      <c r="BT90" s="36" t="str">
        <f aca="false">IF(O90="","",IF(O90&gt;=30,"Yes","No"))</f>
        <v/>
      </c>
      <c r="BU90" s="36" t="str">
        <f aca="false">IF(O90="","",IF(O90&gt;=75,"Yes","No"))</f>
        <v/>
      </c>
      <c r="BV90" s="36" t="str">
        <f aca="false">IF(O90="","",IF(O90&gt;=100,"Yes","No"))</f>
        <v/>
      </c>
      <c r="BW90" s="36" t="str">
        <f aca="false">IF(O90="","",IF(O90&gt;=150,"Yes","No"))</f>
        <v/>
      </c>
      <c r="BX90" s="36" t="str">
        <f aca="false">IF(O90="","",IF(O90&gt;=200,"Yes","No"))</f>
        <v/>
      </c>
      <c r="BY90" s="36" t="str">
        <f aca="false">IF(Q90="","",IF(Q90&gt;=150000,"Yes","No"))</f>
        <v/>
      </c>
      <c r="BZ90" s="36" t="str">
        <f aca="false">IF(Q90="","",IF(Q90&gt;=200000,"Yes","No"))</f>
        <v/>
      </c>
      <c r="CA90" s="36" t="str">
        <f aca="false">IF(Q90="","",IF(Q90&gt;=250000,"Yes","No"))</f>
        <v/>
      </c>
      <c r="CB90" s="36" t="str">
        <f aca="false">IF(Q90="","",IF(Q90&gt;=300000,"Yes","No"))</f>
        <v/>
      </c>
      <c r="CC90" s="37"/>
      <c r="CD90" s="36" t="str">
        <f aca="true">IF(B90="","",IF(TODAY()-B90&lt;=7,"🟢 0-7d",IF(TODAY()-B90&lt;=30,"🟡 8-30d",IF(TODAY()-B90&lt;=60,"🟠 31-60d","🔴 60d+"))))</f>
        <v/>
      </c>
      <c r="CE90" s="36" t="str">
        <f aca="false">IF(G90="","",IF(G90&lt;&gt;"USA","N/A - Not USA Role",IF(J90="Yes",IF(OR(F90="Intern",F90="New Grad"),"🟡 Possible","🟢 Strong"),IF(J90="No","🔴 Difficult","⚪ Unknown"))))</f>
        <v/>
      </c>
      <c r="CF90" s="37"/>
      <c r="CG90" s="37"/>
      <c r="CH90" s="38"/>
      <c r="CI90" s="38"/>
      <c r="CJ90" s="38"/>
      <c r="CK90" s="38"/>
    </row>
    <row r="91" customFormat="false" ht="15" hidden="false" customHeight="true" outlineLevel="0" collapsed="false">
      <c r="A91" s="26" t="str">
        <f aca="false">IF($C91="","",ROW()-3)</f>
        <v/>
      </c>
      <c r="B91" s="27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9"/>
      <c r="N91" s="29"/>
      <c r="O91" s="30" t="str">
        <f aca="false">IFERROR(IF(M91="","",M91*INDEX('00 - Lists'!$M$2:$M$11,MATCH(L91,'00 - Lists'!$L$2:$L$11,0))/100000),"")</f>
        <v/>
      </c>
      <c r="P91" s="30" t="str">
        <f aca="false">IFERROR(IF(N91="","",N91*INDEX('00 - Lists'!$M$2:$M$11,MATCH(L91,'00 - Lists'!$L$2:$L$11,0))/100000),"")</f>
        <v/>
      </c>
      <c r="Q91" s="31" t="str">
        <f aca="false">IFERROR(IF(M91="","",M91*INDEX('00 - Lists'!$N$2:$N$11,MATCH(L91,'00 - Lists'!$L$2:$L$11,0))),"")</f>
        <v/>
      </c>
      <c r="R91" s="31" t="str">
        <f aca="false">IFERROR(IF(N91="","",N91*INDEX('00 - Lists'!$N$2:$N$11,MATCH(L91,'00 - Lists'!$L$2:$L$11,0))),"")</f>
        <v/>
      </c>
      <c r="S91" s="32" t="str">
        <f aca="false">IF(O91="","",IF(O91&gt;=50,"Yes","No"))</f>
        <v/>
      </c>
      <c r="T91" s="32" t="str">
        <f aca="false">IF(Q91="","",IF(Q91&gt;=100000,"Yes","No"))</f>
        <v/>
      </c>
      <c r="U91" s="28"/>
      <c r="V91" s="28"/>
      <c r="W91" s="28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J91" s="34" t="str">
        <f aca="false">IF(OR($BD91&lt;&gt;"",$BF91&lt;&gt;"",$BH91&lt;&gt;""),"Yes","No")</f>
        <v>No</v>
      </c>
      <c r="BK91" s="35" t="str">
        <f aca="false">IFERROR(IF(BD91="","",BD91*INDEX('00 - Lists'!$M$2:$M$11,MATCH(L91,'00 - Lists'!$L$2:$L$11,0))/100000),"")</f>
        <v/>
      </c>
      <c r="BL91" s="35" t="str">
        <f aca="false">IFERROR(IF(BE91="","",BE91*INDEX('00 - Lists'!$M$2:$M$11,MATCH(L91,'00 - Lists'!$L$2:$L$11,0))/100000),"")</f>
        <v/>
      </c>
      <c r="BM91" s="35" t="str">
        <f aca="false">IFERROR(IF(BF91="","",BF91*INDEX('00 - Lists'!$M$2:$M$11,MATCH(L91,'00 - Lists'!$L$2:$L$11,0))/100000),"")</f>
        <v/>
      </c>
      <c r="BN91" s="35" t="str">
        <f aca="false">IFERROR(IF(BG91="","",BG91*INDEX('00 - Lists'!$M$2:$M$11,MATCH(L91,'00 - Lists'!$L$2:$L$11,0))/100000),"")</f>
        <v/>
      </c>
      <c r="BO91" s="35" t="str">
        <f aca="false">IFERROR(IF(BH91="","",BH91*INDEX('00 - Lists'!$M$2:$M$11,MATCH(L91,'00 - Lists'!$L$2:$L$11,0))/100000),"")</f>
        <v/>
      </c>
      <c r="BP91" s="35" t="str">
        <f aca="false">IFERROR(IF(BI91="","",BI91*INDEX('00 - Lists'!$M$2:$M$11,MATCH(L91,'00 - Lists'!$L$2:$L$11,0))/100000),"")</f>
        <v/>
      </c>
      <c r="BS91" s="36" t="str">
        <f aca="false">IF(O91="","",IF(O91&gt;=20,"Yes","No"))</f>
        <v/>
      </c>
      <c r="BT91" s="36" t="str">
        <f aca="false">IF(O91="","",IF(O91&gt;=30,"Yes","No"))</f>
        <v/>
      </c>
      <c r="BU91" s="36" t="str">
        <f aca="false">IF(O91="","",IF(O91&gt;=75,"Yes","No"))</f>
        <v/>
      </c>
      <c r="BV91" s="36" t="str">
        <f aca="false">IF(O91="","",IF(O91&gt;=100,"Yes","No"))</f>
        <v/>
      </c>
      <c r="BW91" s="36" t="str">
        <f aca="false">IF(O91="","",IF(O91&gt;=150,"Yes","No"))</f>
        <v/>
      </c>
      <c r="BX91" s="36" t="str">
        <f aca="false">IF(O91="","",IF(O91&gt;=200,"Yes","No"))</f>
        <v/>
      </c>
      <c r="BY91" s="36" t="str">
        <f aca="false">IF(Q91="","",IF(Q91&gt;=150000,"Yes","No"))</f>
        <v/>
      </c>
      <c r="BZ91" s="36" t="str">
        <f aca="false">IF(Q91="","",IF(Q91&gt;=200000,"Yes","No"))</f>
        <v/>
      </c>
      <c r="CA91" s="36" t="str">
        <f aca="false">IF(Q91="","",IF(Q91&gt;=250000,"Yes","No"))</f>
        <v/>
      </c>
      <c r="CB91" s="36" t="str">
        <f aca="false">IF(Q91="","",IF(Q91&gt;=300000,"Yes","No"))</f>
        <v/>
      </c>
      <c r="CC91" s="37"/>
      <c r="CD91" s="36" t="str">
        <f aca="true">IF(B91="","",IF(TODAY()-B91&lt;=7,"🟢 0-7d",IF(TODAY()-B91&lt;=30,"🟡 8-30d",IF(TODAY()-B91&lt;=60,"🟠 31-60d","🔴 60d+"))))</f>
        <v/>
      </c>
      <c r="CE91" s="36" t="str">
        <f aca="false">IF(G91="","",IF(G91&lt;&gt;"USA","N/A - Not USA Role",IF(J91="Yes",IF(OR(F91="Intern",F91="New Grad"),"🟡 Possible","🟢 Strong"),IF(J91="No","🔴 Difficult","⚪ Unknown"))))</f>
        <v/>
      </c>
      <c r="CF91" s="37"/>
      <c r="CG91" s="37"/>
      <c r="CH91" s="38"/>
      <c r="CI91" s="38"/>
      <c r="CJ91" s="38"/>
      <c r="CK91" s="38"/>
    </row>
    <row r="92" customFormat="false" ht="15" hidden="false" customHeight="true" outlineLevel="0" collapsed="false">
      <c r="A92" s="26" t="str">
        <f aca="false">IF($C92="","",ROW()-3)</f>
        <v/>
      </c>
      <c r="B92" s="27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9"/>
      <c r="N92" s="29"/>
      <c r="O92" s="30" t="str">
        <f aca="false">IFERROR(IF(M92="","",M92*INDEX('00 - Lists'!$M$2:$M$11,MATCH(L92,'00 - Lists'!$L$2:$L$11,0))/100000),"")</f>
        <v/>
      </c>
      <c r="P92" s="30" t="str">
        <f aca="false">IFERROR(IF(N92="","",N92*INDEX('00 - Lists'!$M$2:$M$11,MATCH(L92,'00 - Lists'!$L$2:$L$11,0))/100000),"")</f>
        <v/>
      </c>
      <c r="Q92" s="31" t="str">
        <f aca="false">IFERROR(IF(M92="","",M92*INDEX('00 - Lists'!$N$2:$N$11,MATCH(L92,'00 - Lists'!$L$2:$L$11,0))),"")</f>
        <v/>
      </c>
      <c r="R92" s="31" t="str">
        <f aca="false">IFERROR(IF(N92="","",N92*INDEX('00 - Lists'!$N$2:$N$11,MATCH(L92,'00 - Lists'!$L$2:$L$11,0))),"")</f>
        <v/>
      </c>
      <c r="S92" s="32" t="str">
        <f aca="false">IF(O92="","",IF(O92&gt;=50,"Yes","No"))</f>
        <v/>
      </c>
      <c r="T92" s="32" t="str">
        <f aca="false">IF(Q92="","",IF(Q92&gt;=100000,"Yes","No"))</f>
        <v/>
      </c>
      <c r="U92" s="28"/>
      <c r="V92" s="28"/>
      <c r="W92" s="28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J92" s="34" t="str">
        <f aca="false">IF(OR($BD92&lt;&gt;"",$BF92&lt;&gt;"",$BH92&lt;&gt;""),"Yes","No")</f>
        <v>No</v>
      </c>
      <c r="BK92" s="35" t="str">
        <f aca="false">IFERROR(IF(BD92="","",BD92*INDEX('00 - Lists'!$M$2:$M$11,MATCH(L92,'00 - Lists'!$L$2:$L$11,0))/100000),"")</f>
        <v/>
      </c>
      <c r="BL92" s="35" t="str">
        <f aca="false">IFERROR(IF(BE92="","",BE92*INDEX('00 - Lists'!$M$2:$M$11,MATCH(L92,'00 - Lists'!$L$2:$L$11,0))/100000),"")</f>
        <v/>
      </c>
      <c r="BM92" s="35" t="str">
        <f aca="false">IFERROR(IF(BF92="","",BF92*INDEX('00 - Lists'!$M$2:$M$11,MATCH(L92,'00 - Lists'!$L$2:$L$11,0))/100000),"")</f>
        <v/>
      </c>
      <c r="BN92" s="35" t="str">
        <f aca="false">IFERROR(IF(BG92="","",BG92*INDEX('00 - Lists'!$M$2:$M$11,MATCH(L92,'00 - Lists'!$L$2:$L$11,0))/100000),"")</f>
        <v/>
      </c>
      <c r="BO92" s="35" t="str">
        <f aca="false">IFERROR(IF(BH92="","",BH92*INDEX('00 - Lists'!$M$2:$M$11,MATCH(L92,'00 - Lists'!$L$2:$L$11,0))/100000),"")</f>
        <v/>
      </c>
      <c r="BP92" s="35" t="str">
        <f aca="false">IFERROR(IF(BI92="","",BI92*INDEX('00 - Lists'!$M$2:$M$11,MATCH(L92,'00 - Lists'!$L$2:$L$11,0))/100000),"")</f>
        <v/>
      </c>
      <c r="BS92" s="36" t="str">
        <f aca="false">IF(O92="","",IF(O92&gt;=20,"Yes","No"))</f>
        <v/>
      </c>
      <c r="BT92" s="36" t="str">
        <f aca="false">IF(O92="","",IF(O92&gt;=30,"Yes","No"))</f>
        <v/>
      </c>
      <c r="BU92" s="36" t="str">
        <f aca="false">IF(O92="","",IF(O92&gt;=75,"Yes","No"))</f>
        <v/>
      </c>
      <c r="BV92" s="36" t="str">
        <f aca="false">IF(O92="","",IF(O92&gt;=100,"Yes","No"))</f>
        <v/>
      </c>
      <c r="BW92" s="36" t="str">
        <f aca="false">IF(O92="","",IF(O92&gt;=150,"Yes","No"))</f>
        <v/>
      </c>
      <c r="BX92" s="36" t="str">
        <f aca="false">IF(O92="","",IF(O92&gt;=200,"Yes","No"))</f>
        <v/>
      </c>
      <c r="BY92" s="36" t="str">
        <f aca="false">IF(Q92="","",IF(Q92&gt;=150000,"Yes","No"))</f>
        <v/>
      </c>
      <c r="BZ92" s="36" t="str">
        <f aca="false">IF(Q92="","",IF(Q92&gt;=200000,"Yes","No"))</f>
        <v/>
      </c>
      <c r="CA92" s="36" t="str">
        <f aca="false">IF(Q92="","",IF(Q92&gt;=250000,"Yes","No"))</f>
        <v/>
      </c>
      <c r="CB92" s="36" t="str">
        <f aca="false">IF(Q92="","",IF(Q92&gt;=300000,"Yes","No"))</f>
        <v/>
      </c>
      <c r="CC92" s="37"/>
      <c r="CD92" s="36" t="str">
        <f aca="true">IF(B92="","",IF(TODAY()-B92&lt;=7,"🟢 0-7d",IF(TODAY()-B92&lt;=30,"🟡 8-30d",IF(TODAY()-B92&lt;=60,"🟠 31-60d","🔴 60d+"))))</f>
        <v/>
      </c>
      <c r="CE92" s="36" t="str">
        <f aca="false">IF(G92="","",IF(G92&lt;&gt;"USA","N/A - Not USA Role",IF(J92="Yes",IF(OR(F92="Intern",F92="New Grad"),"🟡 Possible","🟢 Strong"),IF(J92="No","🔴 Difficult","⚪ Unknown"))))</f>
        <v/>
      </c>
      <c r="CF92" s="37"/>
      <c r="CG92" s="37"/>
      <c r="CH92" s="38"/>
      <c r="CI92" s="38"/>
      <c r="CJ92" s="38"/>
      <c r="CK92" s="38"/>
    </row>
    <row r="93" customFormat="false" ht="15" hidden="false" customHeight="true" outlineLevel="0" collapsed="false">
      <c r="A93" s="26" t="str">
        <f aca="false">IF($C93="","",ROW()-3)</f>
        <v/>
      </c>
      <c r="B93" s="27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9"/>
      <c r="N93" s="29"/>
      <c r="O93" s="30" t="str">
        <f aca="false">IFERROR(IF(M93="","",M93*INDEX('00 - Lists'!$M$2:$M$11,MATCH(L93,'00 - Lists'!$L$2:$L$11,0))/100000),"")</f>
        <v/>
      </c>
      <c r="P93" s="30" t="str">
        <f aca="false">IFERROR(IF(N93="","",N93*INDEX('00 - Lists'!$M$2:$M$11,MATCH(L93,'00 - Lists'!$L$2:$L$11,0))/100000),"")</f>
        <v/>
      </c>
      <c r="Q93" s="31" t="str">
        <f aca="false">IFERROR(IF(M93="","",M93*INDEX('00 - Lists'!$N$2:$N$11,MATCH(L93,'00 - Lists'!$L$2:$L$11,0))),"")</f>
        <v/>
      </c>
      <c r="R93" s="31" t="str">
        <f aca="false">IFERROR(IF(N93="","",N93*INDEX('00 - Lists'!$N$2:$N$11,MATCH(L93,'00 - Lists'!$L$2:$L$11,0))),"")</f>
        <v/>
      </c>
      <c r="S93" s="32" t="str">
        <f aca="false">IF(O93="","",IF(O93&gt;=50,"Yes","No"))</f>
        <v/>
      </c>
      <c r="T93" s="32" t="str">
        <f aca="false">IF(Q93="","",IF(Q93&gt;=100000,"Yes","No"))</f>
        <v/>
      </c>
      <c r="U93" s="28"/>
      <c r="V93" s="28"/>
      <c r="W93" s="28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J93" s="34" t="str">
        <f aca="false">IF(OR($BD93&lt;&gt;"",$BF93&lt;&gt;"",$BH93&lt;&gt;""),"Yes","No")</f>
        <v>No</v>
      </c>
      <c r="BK93" s="35" t="str">
        <f aca="false">IFERROR(IF(BD93="","",BD93*INDEX('00 - Lists'!$M$2:$M$11,MATCH(L93,'00 - Lists'!$L$2:$L$11,0))/100000),"")</f>
        <v/>
      </c>
      <c r="BL93" s="35" t="str">
        <f aca="false">IFERROR(IF(BE93="","",BE93*INDEX('00 - Lists'!$M$2:$M$11,MATCH(L93,'00 - Lists'!$L$2:$L$11,0))/100000),"")</f>
        <v/>
      </c>
      <c r="BM93" s="35" t="str">
        <f aca="false">IFERROR(IF(BF93="","",BF93*INDEX('00 - Lists'!$M$2:$M$11,MATCH(L93,'00 - Lists'!$L$2:$L$11,0))/100000),"")</f>
        <v/>
      </c>
      <c r="BN93" s="35" t="str">
        <f aca="false">IFERROR(IF(BG93="","",BG93*INDEX('00 - Lists'!$M$2:$M$11,MATCH(L93,'00 - Lists'!$L$2:$L$11,0))/100000),"")</f>
        <v/>
      </c>
      <c r="BO93" s="35" t="str">
        <f aca="false">IFERROR(IF(BH93="","",BH93*INDEX('00 - Lists'!$M$2:$M$11,MATCH(L93,'00 - Lists'!$L$2:$L$11,0))/100000),"")</f>
        <v/>
      </c>
      <c r="BP93" s="35" t="str">
        <f aca="false">IFERROR(IF(BI93="","",BI93*INDEX('00 - Lists'!$M$2:$M$11,MATCH(L93,'00 - Lists'!$L$2:$L$11,0))/100000),"")</f>
        <v/>
      </c>
      <c r="BS93" s="36" t="str">
        <f aca="false">IF(O93="","",IF(O93&gt;=20,"Yes","No"))</f>
        <v/>
      </c>
      <c r="BT93" s="36" t="str">
        <f aca="false">IF(O93="","",IF(O93&gt;=30,"Yes","No"))</f>
        <v/>
      </c>
      <c r="BU93" s="36" t="str">
        <f aca="false">IF(O93="","",IF(O93&gt;=75,"Yes","No"))</f>
        <v/>
      </c>
      <c r="BV93" s="36" t="str">
        <f aca="false">IF(O93="","",IF(O93&gt;=100,"Yes","No"))</f>
        <v/>
      </c>
      <c r="BW93" s="36" t="str">
        <f aca="false">IF(O93="","",IF(O93&gt;=150,"Yes","No"))</f>
        <v/>
      </c>
      <c r="BX93" s="36" t="str">
        <f aca="false">IF(O93="","",IF(O93&gt;=200,"Yes","No"))</f>
        <v/>
      </c>
      <c r="BY93" s="36" t="str">
        <f aca="false">IF(Q93="","",IF(Q93&gt;=150000,"Yes","No"))</f>
        <v/>
      </c>
      <c r="BZ93" s="36" t="str">
        <f aca="false">IF(Q93="","",IF(Q93&gt;=200000,"Yes","No"))</f>
        <v/>
      </c>
      <c r="CA93" s="36" t="str">
        <f aca="false">IF(Q93="","",IF(Q93&gt;=250000,"Yes","No"))</f>
        <v/>
      </c>
      <c r="CB93" s="36" t="str">
        <f aca="false">IF(Q93="","",IF(Q93&gt;=300000,"Yes","No"))</f>
        <v/>
      </c>
      <c r="CC93" s="37"/>
      <c r="CD93" s="36" t="str">
        <f aca="true">IF(B93="","",IF(TODAY()-B93&lt;=7,"🟢 0-7d",IF(TODAY()-B93&lt;=30,"🟡 8-30d",IF(TODAY()-B93&lt;=60,"🟠 31-60d","🔴 60d+"))))</f>
        <v/>
      </c>
      <c r="CE93" s="36" t="str">
        <f aca="false">IF(G93="","",IF(G93&lt;&gt;"USA","N/A - Not USA Role",IF(J93="Yes",IF(OR(F93="Intern",F93="New Grad"),"🟡 Possible","🟢 Strong"),IF(J93="No","🔴 Difficult","⚪ Unknown"))))</f>
        <v/>
      </c>
      <c r="CF93" s="37"/>
      <c r="CG93" s="37"/>
      <c r="CH93" s="38"/>
      <c r="CI93" s="38"/>
      <c r="CJ93" s="38"/>
      <c r="CK93" s="38"/>
    </row>
    <row r="94" customFormat="false" ht="15" hidden="false" customHeight="true" outlineLevel="0" collapsed="false">
      <c r="A94" s="26" t="str">
        <f aca="false">IF($C94="","",ROW()-3)</f>
        <v/>
      </c>
      <c r="B94" s="27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9"/>
      <c r="N94" s="29"/>
      <c r="O94" s="30" t="str">
        <f aca="false">IFERROR(IF(M94="","",M94*INDEX('00 - Lists'!$M$2:$M$11,MATCH(L94,'00 - Lists'!$L$2:$L$11,0))/100000),"")</f>
        <v/>
      </c>
      <c r="P94" s="30" t="str">
        <f aca="false">IFERROR(IF(N94="","",N94*INDEX('00 - Lists'!$M$2:$M$11,MATCH(L94,'00 - Lists'!$L$2:$L$11,0))/100000),"")</f>
        <v/>
      </c>
      <c r="Q94" s="31" t="str">
        <f aca="false">IFERROR(IF(M94="","",M94*INDEX('00 - Lists'!$N$2:$N$11,MATCH(L94,'00 - Lists'!$L$2:$L$11,0))),"")</f>
        <v/>
      </c>
      <c r="R94" s="31" t="str">
        <f aca="false">IFERROR(IF(N94="","",N94*INDEX('00 - Lists'!$N$2:$N$11,MATCH(L94,'00 - Lists'!$L$2:$L$11,0))),"")</f>
        <v/>
      </c>
      <c r="S94" s="32" t="str">
        <f aca="false">IF(O94="","",IF(O94&gt;=50,"Yes","No"))</f>
        <v/>
      </c>
      <c r="T94" s="32" t="str">
        <f aca="false">IF(Q94="","",IF(Q94&gt;=100000,"Yes","No"))</f>
        <v/>
      </c>
      <c r="U94" s="28"/>
      <c r="V94" s="28"/>
      <c r="W94" s="28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J94" s="34" t="str">
        <f aca="false">IF(OR($BD94&lt;&gt;"",$BF94&lt;&gt;"",$BH94&lt;&gt;""),"Yes","No")</f>
        <v>No</v>
      </c>
      <c r="BK94" s="35" t="str">
        <f aca="false">IFERROR(IF(BD94="","",BD94*INDEX('00 - Lists'!$M$2:$M$11,MATCH(L94,'00 - Lists'!$L$2:$L$11,0))/100000),"")</f>
        <v/>
      </c>
      <c r="BL94" s="35" t="str">
        <f aca="false">IFERROR(IF(BE94="","",BE94*INDEX('00 - Lists'!$M$2:$M$11,MATCH(L94,'00 - Lists'!$L$2:$L$11,0))/100000),"")</f>
        <v/>
      </c>
      <c r="BM94" s="35" t="str">
        <f aca="false">IFERROR(IF(BF94="","",BF94*INDEX('00 - Lists'!$M$2:$M$11,MATCH(L94,'00 - Lists'!$L$2:$L$11,0))/100000),"")</f>
        <v/>
      </c>
      <c r="BN94" s="35" t="str">
        <f aca="false">IFERROR(IF(BG94="","",BG94*INDEX('00 - Lists'!$M$2:$M$11,MATCH(L94,'00 - Lists'!$L$2:$L$11,0))/100000),"")</f>
        <v/>
      </c>
      <c r="BO94" s="35" t="str">
        <f aca="false">IFERROR(IF(BH94="","",BH94*INDEX('00 - Lists'!$M$2:$M$11,MATCH(L94,'00 - Lists'!$L$2:$L$11,0))/100000),"")</f>
        <v/>
      </c>
      <c r="BP94" s="35" t="str">
        <f aca="false">IFERROR(IF(BI94="","",BI94*INDEX('00 - Lists'!$M$2:$M$11,MATCH(L94,'00 - Lists'!$L$2:$L$11,0))/100000),"")</f>
        <v/>
      </c>
      <c r="BS94" s="36" t="str">
        <f aca="false">IF(O94="","",IF(O94&gt;=20,"Yes","No"))</f>
        <v/>
      </c>
      <c r="BT94" s="36" t="str">
        <f aca="false">IF(O94="","",IF(O94&gt;=30,"Yes","No"))</f>
        <v/>
      </c>
      <c r="BU94" s="36" t="str">
        <f aca="false">IF(O94="","",IF(O94&gt;=75,"Yes","No"))</f>
        <v/>
      </c>
      <c r="BV94" s="36" t="str">
        <f aca="false">IF(O94="","",IF(O94&gt;=100,"Yes","No"))</f>
        <v/>
      </c>
      <c r="BW94" s="36" t="str">
        <f aca="false">IF(O94="","",IF(O94&gt;=150,"Yes","No"))</f>
        <v/>
      </c>
      <c r="BX94" s="36" t="str">
        <f aca="false">IF(O94="","",IF(O94&gt;=200,"Yes","No"))</f>
        <v/>
      </c>
      <c r="BY94" s="36" t="str">
        <f aca="false">IF(Q94="","",IF(Q94&gt;=150000,"Yes","No"))</f>
        <v/>
      </c>
      <c r="BZ94" s="36" t="str">
        <f aca="false">IF(Q94="","",IF(Q94&gt;=200000,"Yes","No"))</f>
        <v/>
      </c>
      <c r="CA94" s="36" t="str">
        <f aca="false">IF(Q94="","",IF(Q94&gt;=250000,"Yes","No"))</f>
        <v/>
      </c>
      <c r="CB94" s="36" t="str">
        <f aca="false">IF(Q94="","",IF(Q94&gt;=300000,"Yes","No"))</f>
        <v/>
      </c>
      <c r="CC94" s="37"/>
      <c r="CD94" s="36" t="str">
        <f aca="true">IF(B94="","",IF(TODAY()-B94&lt;=7,"🟢 0-7d",IF(TODAY()-B94&lt;=30,"🟡 8-30d",IF(TODAY()-B94&lt;=60,"🟠 31-60d","🔴 60d+"))))</f>
        <v/>
      </c>
      <c r="CE94" s="36" t="str">
        <f aca="false">IF(G94="","",IF(G94&lt;&gt;"USA","N/A - Not USA Role",IF(J94="Yes",IF(OR(F94="Intern",F94="New Grad"),"🟡 Possible","🟢 Strong"),IF(J94="No","🔴 Difficult","⚪ Unknown"))))</f>
        <v/>
      </c>
      <c r="CF94" s="37"/>
      <c r="CG94" s="37"/>
      <c r="CH94" s="38"/>
      <c r="CI94" s="38"/>
      <c r="CJ94" s="38"/>
      <c r="CK94" s="38"/>
    </row>
    <row r="95" customFormat="false" ht="15" hidden="false" customHeight="true" outlineLevel="0" collapsed="false">
      <c r="A95" s="26" t="str">
        <f aca="false">IF($C95="","",ROW()-3)</f>
        <v/>
      </c>
      <c r="B95" s="27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9"/>
      <c r="N95" s="29"/>
      <c r="O95" s="30" t="str">
        <f aca="false">IFERROR(IF(M95="","",M95*INDEX('00 - Lists'!$M$2:$M$11,MATCH(L95,'00 - Lists'!$L$2:$L$11,0))/100000),"")</f>
        <v/>
      </c>
      <c r="P95" s="30" t="str">
        <f aca="false">IFERROR(IF(N95="","",N95*INDEX('00 - Lists'!$M$2:$M$11,MATCH(L95,'00 - Lists'!$L$2:$L$11,0))/100000),"")</f>
        <v/>
      </c>
      <c r="Q95" s="31" t="str">
        <f aca="false">IFERROR(IF(M95="","",M95*INDEX('00 - Lists'!$N$2:$N$11,MATCH(L95,'00 - Lists'!$L$2:$L$11,0))),"")</f>
        <v/>
      </c>
      <c r="R95" s="31" t="str">
        <f aca="false">IFERROR(IF(N95="","",N95*INDEX('00 - Lists'!$N$2:$N$11,MATCH(L95,'00 - Lists'!$L$2:$L$11,0))),"")</f>
        <v/>
      </c>
      <c r="S95" s="32" t="str">
        <f aca="false">IF(O95="","",IF(O95&gt;=50,"Yes","No"))</f>
        <v/>
      </c>
      <c r="T95" s="32" t="str">
        <f aca="false">IF(Q95="","",IF(Q95&gt;=100000,"Yes","No"))</f>
        <v/>
      </c>
      <c r="U95" s="28"/>
      <c r="V95" s="28"/>
      <c r="W95" s="28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J95" s="34" t="str">
        <f aca="false">IF(OR($BD95&lt;&gt;"",$BF95&lt;&gt;"",$BH95&lt;&gt;""),"Yes","No")</f>
        <v>No</v>
      </c>
      <c r="BK95" s="35" t="str">
        <f aca="false">IFERROR(IF(BD95="","",BD95*INDEX('00 - Lists'!$M$2:$M$11,MATCH(L95,'00 - Lists'!$L$2:$L$11,0))/100000),"")</f>
        <v/>
      </c>
      <c r="BL95" s="35" t="str">
        <f aca="false">IFERROR(IF(BE95="","",BE95*INDEX('00 - Lists'!$M$2:$M$11,MATCH(L95,'00 - Lists'!$L$2:$L$11,0))/100000),"")</f>
        <v/>
      </c>
      <c r="BM95" s="35" t="str">
        <f aca="false">IFERROR(IF(BF95="","",BF95*INDEX('00 - Lists'!$M$2:$M$11,MATCH(L95,'00 - Lists'!$L$2:$L$11,0))/100000),"")</f>
        <v/>
      </c>
      <c r="BN95" s="35" t="str">
        <f aca="false">IFERROR(IF(BG95="","",BG95*INDEX('00 - Lists'!$M$2:$M$11,MATCH(L95,'00 - Lists'!$L$2:$L$11,0))/100000),"")</f>
        <v/>
      </c>
      <c r="BO95" s="35" t="str">
        <f aca="false">IFERROR(IF(BH95="","",BH95*INDEX('00 - Lists'!$M$2:$M$11,MATCH(L95,'00 - Lists'!$L$2:$L$11,0))/100000),"")</f>
        <v/>
      </c>
      <c r="BP95" s="35" t="str">
        <f aca="false">IFERROR(IF(BI95="","",BI95*INDEX('00 - Lists'!$M$2:$M$11,MATCH(L95,'00 - Lists'!$L$2:$L$11,0))/100000),"")</f>
        <v/>
      </c>
      <c r="BS95" s="36" t="str">
        <f aca="false">IF(O95="","",IF(O95&gt;=20,"Yes","No"))</f>
        <v/>
      </c>
      <c r="BT95" s="36" t="str">
        <f aca="false">IF(O95="","",IF(O95&gt;=30,"Yes","No"))</f>
        <v/>
      </c>
      <c r="BU95" s="36" t="str">
        <f aca="false">IF(O95="","",IF(O95&gt;=75,"Yes","No"))</f>
        <v/>
      </c>
      <c r="BV95" s="36" t="str">
        <f aca="false">IF(O95="","",IF(O95&gt;=100,"Yes","No"))</f>
        <v/>
      </c>
      <c r="BW95" s="36" t="str">
        <f aca="false">IF(O95="","",IF(O95&gt;=150,"Yes","No"))</f>
        <v/>
      </c>
      <c r="BX95" s="36" t="str">
        <f aca="false">IF(O95="","",IF(O95&gt;=200,"Yes","No"))</f>
        <v/>
      </c>
      <c r="BY95" s="36" t="str">
        <f aca="false">IF(Q95="","",IF(Q95&gt;=150000,"Yes","No"))</f>
        <v/>
      </c>
      <c r="BZ95" s="36" t="str">
        <f aca="false">IF(Q95="","",IF(Q95&gt;=200000,"Yes","No"))</f>
        <v/>
      </c>
      <c r="CA95" s="36" t="str">
        <f aca="false">IF(Q95="","",IF(Q95&gt;=250000,"Yes","No"))</f>
        <v/>
      </c>
      <c r="CB95" s="36" t="str">
        <f aca="false">IF(Q95="","",IF(Q95&gt;=300000,"Yes","No"))</f>
        <v/>
      </c>
      <c r="CC95" s="37"/>
      <c r="CD95" s="36" t="str">
        <f aca="true">IF(B95="","",IF(TODAY()-B95&lt;=7,"🟢 0-7d",IF(TODAY()-B95&lt;=30,"🟡 8-30d",IF(TODAY()-B95&lt;=60,"🟠 31-60d","🔴 60d+"))))</f>
        <v/>
      </c>
      <c r="CE95" s="36" t="str">
        <f aca="false">IF(G95="","",IF(G95&lt;&gt;"USA","N/A - Not USA Role",IF(J95="Yes",IF(OR(F95="Intern",F95="New Grad"),"🟡 Possible","🟢 Strong"),IF(J95="No","🔴 Difficult","⚪ Unknown"))))</f>
        <v/>
      </c>
      <c r="CF95" s="37"/>
      <c r="CG95" s="37"/>
      <c r="CH95" s="38"/>
      <c r="CI95" s="38"/>
      <c r="CJ95" s="38"/>
      <c r="CK95" s="38"/>
    </row>
    <row r="96" customFormat="false" ht="15" hidden="false" customHeight="true" outlineLevel="0" collapsed="false">
      <c r="A96" s="26" t="str">
        <f aca="false">IF($C96="","",ROW()-3)</f>
        <v/>
      </c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9"/>
      <c r="N96" s="29"/>
      <c r="O96" s="30" t="str">
        <f aca="false">IFERROR(IF(M96="","",M96*INDEX('00 - Lists'!$M$2:$M$11,MATCH(L96,'00 - Lists'!$L$2:$L$11,0))/100000),"")</f>
        <v/>
      </c>
      <c r="P96" s="30" t="str">
        <f aca="false">IFERROR(IF(N96="","",N96*INDEX('00 - Lists'!$M$2:$M$11,MATCH(L96,'00 - Lists'!$L$2:$L$11,0))/100000),"")</f>
        <v/>
      </c>
      <c r="Q96" s="31" t="str">
        <f aca="false">IFERROR(IF(M96="","",M96*INDEX('00 - Lists'!$N$2:$N$11,MATCH(L96,'00 - Lists'!$L$2:$L$11,0))),"")</f>
        <v/>
      </c>
      <c r="R96" s="31" t="str">
        <f aca="false">IFERROR(IF(N96="","",N96*INDEX('00 - Lists'!$N$2:$N$11,MATCH(L96,'00 - Lists'!$L$2:$L$11,0))),"")</f>
        <v/>
      </c>
      <c r="S96" s="32" t="str">
        <f aca="false">IF(O96="","",IF(O96&gt;=50,"Yes","No"))</f>
        <v/>
      </c>
      <c r="T96" s="32" t="str">
        <f aca="false">IF(Q96="","",IF(Q96&gt;=100000,"Yes","No"))</f>
        <v/>
      </c>
      <c r="U96" s="28"/>
      <c r="V96" s="28"/>
      <c r="W96" s="28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J96" s="34" t="str">
        <f aca="false">IF(OR($BD96&lt;&gt;"",$BF96&lt;&gt;"",$BH96&lt;&gt;""),"Yes","No")</f>
        <v>No</v>
      </c>
      <c r="BK96" s="35" t="str">
        <f aca="false">IFERROR(IF(BD96="","",BD96*INDEX('00 - Lists'!$M$2:$M$11,MATCH(L96,'00 - Lists'!$L$2:$L$11,0))/100000),"")</f>
        <v/>
      </c>
      <c r="BL96" s="35" t="str">
        <f aca="false">IFERROR(IF(BE96="","",BE96*INDEX('00 - Lists'!$M$2:$M$11,MATCH(L96,'00 - Lists'!$L$2:$L$11,0))/100000),"")</f>
        <v/>
      </c>
      <c r="BM96" s="35" t="str">
        <f aca="false">IFERROR(IF(BF96="","",BF96*INDEX('00 - Lists'!$M$2:$M$11,MATCH(L96,'00 - Lists'!$L$2:$L$11,0))/100000),"")</f>
        <v/>
      </c>
      <c r="BN96" s="35" t="str">
        <f aca="false">IFERROR(IF(BG96="","",BG96*INDEX('00 - Lists'!$M$2:$M$11,MATCH(L96,'00 - Lists'!$L$2:$L$11,0))/100000),"")</f>
        <v/>
      </c>
      <c r="BO96" s="35" t="str">
        <f aca="false">IFERROR(IF(BH96="","",BH96*INDEX('00 - Lists'!$M$2:$M$11,MATCH(L96,'00 - Lists'!$L$2:$L$11,0))/100000),"")</f>
        <v/>
      </c>
      <c r="BP96" s="35" t="str">
        <f aca="false">IFERROR(IF(BI96="","",BI96*INDEX('00 - Lists'!$M$2:$M$11,MATCH(L96,'00 - Lists'!$L$2:$L$11,0))/100000),"")</f>
        <v/>
      </c>
      <c r="BS96" s="36" t="str">
        <f aca="false">IF(O96="","",IF(O96&gt;=20,"Yes","No"))</f>
        <v/>
      </c>
      <c r="BT96" s="36" t="str">
        <f aca="false">IF(O96="","",IF(O96&gt;=30,"Yes","No"))</f>
        <v/>
      </c>
      <c r="BU96" s="36" t="str">
        <f aca="false">IF(O96="","",IF(O96&gt;=75,"Yes","No"))</f>
        <v/>
      </c>
      <c r="BV96" s="36" t="str">
        <f aca="false">IF(O96="","",IF(O96&gt;=100,"Yes","No"))</f>
        <v/>
      </c>
      <c r="BW96" s="36" t="str">
        <f aca="false">IF(O96="","",IF(O96&gt;=150,"Yes","No"))</f>
        <v/>
      </c>
      <c r="BX96" s="36" t="str">
        <f aca="false">IF(O96="","",IF(O96&gt;=200,"Yes","No"))</f>
        <v/>
      </c>
      <c r="BY96" s="36" t="str">
        <f aca="false">IF(Q96="","",IF(Q96&gt;=150000,"Yes","No"))</f>
        <v/>
      </c>
      <c r="BZ96" s="36" t="str">
        <f aca="false">IF(Q96="","",IF(Q96&gt;=200000,"Yes","No"))</f>
        <v/>
      </c>
      <c r="CA96" s="36" t="str">
        <f aca="false">IF(Q96="","",IF(Q96&gt;=250000,"Yes","No"))</f>
        <v/>
      </c>
      <c r="CB96" s="36" t="str">
        <f aca="false">IF(Q96="","",IF(Q96&gt;=300000,"Yes","No"))</f>
        <v/>
      </c>
      <c r="CC96" s="37"/>
      <c r="CD96" s="36" t="str">
        <f aca="true">IF(B96="","",IF(TODAY()-B96&lt;=7,"🟢 0-7d",IF(TODAY()-B96&lt;=30,"🟡 8-30d",IF(TODAY()-B96&lt;=60,"🟠 31-60d","🔴 60d+"))))</f>
        <v/>
      </c>
      <c r="CE96" s="36" t="str">
        <f aca="false">IF(G96="","",IF(G96&lt;&gt;"USA","N/A - Not USA Role",IF(J96="Yes",IF(OR(F96="Intern",F96="New Grad"),"🟡 Possible","🟢 Strong"),IF(J96="No","🔴 Difficult","⚪ Unknown"))))</f>
        <v/>
      </c>
      <c r="CF96" s="37"/>
      <c r="CG96" s="37"/>
      <c r="CH96" s="38"/>
      <c r="CI96" s="38"/>
      <c r="CJ96" s="38"/>
      <c r="CK96" s="38"/>
    </row>
    <row r="97" customFormat="false" ht="15" hidden="false" customHeight="true" outlineLevel="0" collapsed="false">
      <c r="A97" s="26" t="str">
        <f aca="false">IF($C97="","",ROW()-3)</f>
        <v/>
      </c>
      <c r="B97" s="27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9"/>
      <c r="N97" s="29"/>
      <c r="O97" s="30" t="str">
        <f aca="false">IFERROR(IF(M97="","",M97*INDEX('00 - Lists'!$M$2:$M$11,MATCH(L97,'00 - Lists'!$L$2:$L$11,0))/100000),"")</f>
        <v/>
      </c>
      <c r="P97" s="30" t="str">
        <f aca="false">IFERROR(IF(N97="","",N97*INDEX('00 - Lists'!$M$2:$M$11,MATCH(L97,'00 - Lists'!$L$2:$L$11,0))/100000),"")</f>
        <v/>
      </c>
      <c r="Q97" s="31" t="str">
        <f aca="false">IFERROR(IF(M97="","",M97*INDEX('00 - Lists'!$N$2:$N$11,MATCH(L97,'00 - Lists'!$L$2:$L$11,0))),"")</f>
        <v/>
      </c>
      <c r="R97" s="31" t="str">
        <f aca="false">IFERROR(IF(N97="","",N97*INDEX('00 - Lists'!$N$2:$N$11,MATCH(L97,'00 - Lists'!$L$2:$L$11,0))),"")</f>
        <v/>
      </c>
      <c r="S97" s="32" t="str">
        <f aca="false">IF(O97="","",IF(O97&gt;=50,"Yes","No"))</f>
        <v/>
      </c>
      <c r="T97" s="32" t="str">
        <f aca="false">IF(Q97="","",IF(Q97&gt;=100000,"Yes","No"))</f>
        <v/>
      </c>
      <c r="U97" s="28"/>
      <c r="V97" s="28"/>
      <c r="W97" s="28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J97" s="34" t="str">
        <f aca="false">IF(OR($BD97&lt;&gt;"",$BF97&lt;&gt;"",$BH97&lt;&gt;""),"Yes","No")</f>
        <v>No</v>
      </c>
      <c r="BK97" s="35" t="str">
        <f aca="false">IFERROR(IF(BD97="","",BD97*INDEX('00 - Lists'!$M$2:$M$11,MATCH(L97,'00 - Lists'!$L$2:$L$11,0))/100000),"")</f>
        <v/>
      </c>
      <c r="BL97" s="35" t="str">
        <f aca="false">IFERROR(IF(BE97="","",BE97*INDEX('00 - Lists'!$M$2:$M$11,MATCH(L97,'00 - Lists'!$L$2:$L$11,0))/100000),"")</f>
        <v/>
      </c>
      <c r="BM97" s="35" t="str">
        <f aca="false">IFERROR(IF(BF97="","",BF97*INDEX('00 - Lists'!$M$2:$M$11,MATCH(L97,'00 - Lists'!$L$2:$L$11,0))/100000),"")</f>
        <v/>
      </c>
      <c r="BN97" s="35" t="str">
        <f aca="false">IFERROR(IF(BG97="","",BG97*INDEX('00 - Lists'!$M$2:$M$11,MATCH(L97,'00 - Lists'!$L$2:$L$11,0))/100000),"")</f>
        <v/>
      </c>
      <c r="BO97" s="35" t="str">
        <f aca="false">IFERROR(IF(BH97="","",BH97*INDEX('00 - Lists'!$M$2:$M$11,MATCH(L97,'00 - Lists'!$L$2:$L$11,0))/100000),"")</f>
        <v/>
      </c>
      <c r="BP97" s="35" t="str">
        <f aca="false">IFERROR(IF(BI97="","",BI97*INDEX('00 - Lists'!$M$2:$M$11,MATCH(L97,'00 - Lists'!$L$2:$L$11,0))/100000),"")</f>
        <v/>
      </c>
      <c r="BS97" s="36" t="str">
        <f aca="false">IF(O97="","",IF(O97&gt;=20,"Yes","No"))</f>
        <v/>
      </c>
      <c r="BT97" s="36" t="str">
        <f aca="false">IF(O97="","",IF(O97&gt;=30,"Yes","No"))</f>
        <v/>
      </c>
      <c r="BU97" s="36" t="str">
        <f aca="false">IF(O97="","",IF(O97&gt;=75,"Yes","No"))</f>
        <v/>
      </c>
      <c r="BV97" s="36" t="str">
        <f aca="false">IF(O97="","",IF(O97&gt;=100,"Yes","No"))</f>
        <v/>
      </c>
      <c r="BW97" s="36" t="str">
        <f aca="false">IF(O97="","",IF(O97&gt;=150,"Yes","No"))</f>
        <v/>
      </c>
      <c r="BX97" s="36" t="str">
        <f aca="false">IF(O97="","",IF(O97&gt;=200,"Yes","No"))</f>
        <v/>
      </c>
      <c r="BY97" s="36" t="str">
        <f aca="false">IF(Q97="","",IF(Q97&gt;=150000,"Yes","No"))</f>
        <v/>
      </c>
      <c r="BZ97" s="36" t="str">
        <f aca="false">IF(Q97="","",IF(Q97&gt;=200000,"Yes","No"))</f>
        <v/>
      </c>
      <c r="CA97" s="36" t="str">
        <f aca="false">IF(Q97="","",IF(Q97&gt;=250000,"Yes","No"))</f>
        <v/>
      </c>
      <c r="CB97" s="36" t="str">
        <f aca="false">IF(Q97="","",IF(Q97&gt;=300000,"Yes","No"))</f>
        <v/>
      </c>
      <c r="CC97" s="37"/>
      <c r="CD97" s="36" t="str">
        <f aca="true">IF(B97="","",IF(TODAY()-B97&lt;=7,"🟢 0-7d",IF(TODAY()-B97&lt;=30,"🟡 8-30d",IF(TODAY()-B97&lt;=60,"🟠 31-60d","🔴 60d+"))))</f>
        <v/>
      </c>
      <c r="CE97" s="36" t="str">
        <f aca="false">IF(G97="","",IF(G97&lt;&gt;"USA","N/A - Not USA Role",IF(J97="Yes",IF(OR(F97="Intern",F97="New Grad"),"🟡 Possible","🟢 Strong"),IF(J97="No","🔴 Difficult","⚪ Unknown"))))</f>
        <v/>
      </c>
      <c r="CF97" s="37"/>
      <c r="CG97" s="37"/>
      <c r="CH97" s="38"/>
      <c r="CI97" s="38"/>
      <c r="CJ97" s="38"/>
      <c r="CK97" s="38"/>
    </row>
    <row r="98" customFormat="false" ht="15" hidden="false" customHeight="true" outlineLevel="0" collapsed="false">
      <c r="A98" s="26" t="str">
        <f aca="false">IF($C98="","",ROW()-3)</f>
        <v/>
      </c>
      <c r="B98" s="27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9"/>
      <c r="N98" s="29"/>
      <c r="O98" s="30" t="str">
        <f aca="false">IFERROR(IF(M98="","",M98*INDEX('00 - Lists'!$M$2:$M$11,MATCH(L98,'00 - Lists'!$L$2:$L$11,0))/100000),"")</f>
        <v/>
      </c>
      <c r="P98" s="30" t="str">
        <f aca="false">IFERROR(IF(N98="","",N98*INDEX('00 - Lists'!$M$2:$M$11,MATCH(L98,'00 - Lists'!$L$2:$L$11,0))/100000),"")</f>
        <v/>
      </c>
      <c r="Q98" s="31" t="str">
        <f aca="false">IFERROR(IF(M98="","",M98*INDEX('00 - Lists'!$N$2:$N$11,MATCH(L98,'00 - Lists'!$L$2:$L$11,0))),"")</f>
        <v/>
      </c>
      <c r="R98" s="31" t="str">
        <f aca="false">IFERROR(IF(N98="","",N98*INDEX('00 - Lists'!$N$2:$N$11,MATCH(L98,'00 - Lists'!$L$2:$L$11,0))),"")</f>
        <v/>
      </c>
      <c r="S98" s="32" t="str">
        <f aca="false">IF(O98="","",IF(O98&gt;=50,"Yes","No"))</f>
        <v/>
      </c>
      <c r="T98" s="32" t="str">
        <f aca="false">IF(Q98="","",IF(Q98&gt;=100000,"Yes","No"))</f>
        <v/>
      </c>
      <c r="U98" s="28"/>
      <c r="V98" s="28"/>
      <c r="W98" s="28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J98" s="34" t="str">
        <f aca="false">IF(OR($BD98&lt;&gt;"",$BF98&lt;&gt;"",$BH98&lt;&gt;""),"Yes","No")</f>
        <v>No</v>
      </c>
      <c r="BK98" s="35" t="str">
        <f aca="false">IFERROR(IF(BD98="","",BD98*INDEX('00 - Lists'!$M$2:$M$11,MATCH(L98,'00 - Lists'!$L$2:$L$11,0))/100000),"")</f>
        <v/>
      </c>
      <c r="BL98" s="35" t="str">
        <f aca="false">IFERROR(IF(BE98="","",BE98*INDEX('00 - Lists'!$M$2:$M$11,MATCH(L98,'00 - Lists'!$L$2:$L$11,0))/100000),"")</f>
        <v/>
      </c>
      <c r="BM98" s="35" t="str">
        <f aca="false">IFERROR(IF(BF98="","",BF98*INDEX('00 - Lists'!$M$2:$M$11,MATCH(L98,'00 - Lists'!$L$2:$L$11,0))/100000),"")</f>
        <v/>
      </c>
      <c r="BN98" s="35" t="str">
        <f aca="false">IFERROR(IF(BG98="","",BG98*INDEX('00 - Lists'!$M$2:$M$11,MATCH(L98,'00 - Lists'!$L$2:$L$11,0))/100000),"")</f>
        <v/>
      </c>
      <c r="BO98" s="35" t="str">
        <f aca="false">IFERROR(IF(BH98="","",BH98*INDEX('00 - Lists'!$M$2:$M$11,MATCH(L98,'00 - Lists'!$L$2:$L$11,0))/100000),"")</f>
        <v/>
      </c>
      <c r="BP98" s="35" t="str">
        <f aca="false">IFERROR(IF(BI98="","",BI98*INDEX('00 - Lists'!$M$2:$M$11,MATCH(L98,'00 - Lists'!$L$2:$L$11,0))/100000),"")</f>
        <v/>
      </c>
      <c r="BS98" s="36" t="str">
        <f aca="false">IF(O98="","",IF(O98&gt;=20,"Yes","No"))</f>
        <v/>
      </c>
      <c r="BT98" s="36" t="str">
        <f aca="false">IF(O98="","",IF(O98&gt;=30,"Yes","No"))</f>
        <v/>
      </c>
      <c r="BU98" s="36" t="str">
        <f aca="false">IF(O98="","",IF(O98&gt;=75,"Yes","No"))</f>
        <v/>
      </c>
      <c r="BV98" s="36" t="str">
        <f aca="false">IF(O98="","",IF(O98&gt;=100,"Yes","No"))</f>
        <v/>
      </c>
      <c r="BW98" s="36" t="str">
        <f aca="false">IF(O98="","",IF(O98&gt;=150,"Yes","No"))</f>
        <v/>
      </c>
      <c r="BX98" s="36" t="str">
        <f aca="false">IF(O98="","",IF(O98&gt;=200,"Yes","No"))</f>
        <v/>
      </c>
      <c r="BY98" s="36" t="str">
        <f aca="false">IF(Q98="","",IF(Q98&gt;=150000,"Yes","No"))</f>
        <v/>
      </c>
      <c r="BZ98" s="36" t="str">
        <f aca="false">IF(Q98="","",IF(Q98&gt;=200000,"Yes","No"))</f>
        <v/>
      </c>
      <c r="CA98" s="36" t="str">
        <f aca="false">IF(Q98="","",IF(Q98&gt;=250000,"Yes","No"))</f>
        <v/>
      </c>
      <c r="CB98" s="36" t="str">
        <f aca="false">IF(Q98="","",IF(Q98&gt;=300000,"Yes","No"))</f>
        <v/>
      </c>
      <c r="CC98" s="37"/>
      <c r="CD98" s="36" t="str">
        <f aca="true">IF(B98="","",IF(TODAY()-B98&lt;=7,"🟢 0-7d",IF(TODAY()-B98&lt;=30,"🟡 8-30d",IF(TODAY()-B98&lt;=60,"🟠 31-60d","🔴 60d+"))))</f>
        <v/>
      </c>
      <c r="CE98" s="36" t="str">
        <f aca="false">IF(G98="","",IF(G98&lt;&gt;"USA","N/A - Not USA Role",IF(J98="Yes",IF(OR(F98="Intern",F98="New Grad"),"🟡 Possible","🟢 Strong"),IF(J98="No","🔴 Difficult","⚪ Unknown"))))</f>
        <v/>
      </c>
      <c r="CF98" s="37"/>
      <c r="CG98" s="37"/>
      <c r="CH98" s="38"/>
      <c r="CI98" s="38"/>
      <c r="CJ98" s="38"/>
      <c r="CK98" s="38"/>
    </row>
    <row r="99" customFormat="false" ht="15" hidden="false" customHeight="true" outlineLevel="0" collapsed="false">
      <c r="A99" s="26" t="str">
        <f aca="false">IF($C99="","",ROW()-3)</f>
        <v/>
      </c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9"/>
      <c r="N99" s="29"/>
      <c r="O99" s="30" t="str">
        <f aca="false">IFERROR(IF(M99="","",M99*INDEX('00 - Lists'!$M$2:$M$11,MATCH(L99,'00 - Lists'!$L$2:$L$11,0))/100000),"")</f>
        <v/>
      </c>
      <c r="P99" s="30" t="str">
        <f aca="false">IFERROR(IF(N99="","",N99*INDEX('00 - Lists'!$M$2:$M$11,MATCH(L99,'00 - Lists'!$L$2:$L$11,0))/100000),"")</f>
        <v/>
      </c>
      <c r="Q99" s="31" t="str">
        <f aca="false">IFERROR(IF(M99="","",M99*INDEX('00 - Lists'!$N$2:$N$11,MATCH(L99,'00 - Lists'!$L$2:$L$11,0))),"")</f>
        <v/>
      </c>
      <c r="R99" s="31" t="str">
        <f aca="false">IFERROR(IF(N99="","",N99*INDEX('00 - Lists'!$N$2:$N$11,MATCH(L99,'00 - Lists'!$L$2:$L$11,0))),"")</f>
        <v/>
      </c>
      <c r="S99" s="32" t="str">
        <f aca="false">IF(O99="","",IF(O99&gt;=50,"Yes","No"))</f>
        <v/>
      </c>
      <c r="T99" s="32" t="str">
        <f aca="false">IF(Q99="","",IF(Q99&gt;=100000,"Yes","No"))</f>
        <v/>
      </c>
      <c r="U99" s="28"/>
      <c r="V99" s="28"/>
      <c r="W99" s="28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J99" s="34" t="str">
        <f aca="false">IF(OR($BD99&lt;&gt;"",$BF99&lt;&gt;"",$BH99&lt;&gt;""),"Yes","No")</f>
        <v>No</v>
      </c>
      <c r="BK99" s="35" t="str">
        <f aca="false">IFERROR(IF(BD99="","",BD99*INDEX('00 - Lists'!$M$2:$M$11,MATCH(L99,'00 - Lists'!$L$2:$L$11,0))/100000),"")</f>
        <v/>
      </c>
      <c r="BL99" s="35" t="str">
        <f aca="false">IFERROR(IF(BE99="","",BE99*INDEX('00 - Lists'!$M$2:$M$11,MATCH(L99,'00 - Lists'!$L$2:$L$11,0))/100000),"")</f>
        <v/>
      </c>
      <c r="BM99" s="35" t="str">
        <f aca="false">IFERROR(IF(BF99="","",BF99*INDEX('00 - Lists'!$M$2:$M$11,MATCH(L99,'00 - Lists'!$L$2:$L$11,0))/100000),"")</f>
        <v/>
      </c>
      <c r="BN99" s="35" t="str">
        <f aca="false">IFERROR(IF(BG99="","",BG99*INDEX('00 - Lists'!$M$2:$M$11,MATCH(L99,'00 - Lists'!$L$2:$L$11,0))/100000),"")</f>
        <v/>
      </c>
      <c r="BO99" s="35" t="str">
        <f aca="false">IFERROR(IF(BH99="","",BH99*INDEX('00 - Lists'!$M$2:$M$11,MATCH(L99,'00 - Lists'!$L$2:$L$11,0))/100000),"")</f>
        <v/>
      </c>
      <c r="BP99" s="35" t="str">
        <f aca="false">IFERROR(IF(BI99="","",BI99*INDEX('00 - Lists'!$M$2:$M$11,MATCH(L99,'00 - Lists'!$L$2:$L$11,0))/100000),"")</f>
        <v/>
      </c>
      <c r="BS99" s="36" t="str">
        <f aca="false">IF(O99="","",IF(O99&gt;=20,"Yes","No"))</f>
        <v/>
      </c>
      <c r="BT99" s="36" t="str">
        <f aca="false">IF(O99="","",IF(O99&gt;=30,"Yes","No"))</f>
        <v/>
      </c>
      <c r="BU99" s="36" t="str">
        <f aca="false">IF(O99="","",IF(O99&gt;=75,"Yes","No"))</f>
        <v/>
      </c>
      <c r="BV99" s="36" t="str">
        <f aca="false">IF(O99="","",IF(O99&gt;=100,"Yes","No"))</f>
        <v/>
      </c>
      <c r="BW99" s="36" t="str">
        <f aca="false">IF(O99="","",IF(O99&gt;=150,"Yes","No"))</f>
        <v/>
      </c>
      <c r="BX99" s="36" t="str">
        <f aca="false">IF(O99="","",IF(O99&gt;=200,"Yes","No"))</f>
        <v/>
      </c>
      <c r="BY99" s="36" t="str">
        <f aca="false">IF(Q99="","",IF(Q99&gt;=150000,"Yes","No"))</f>
        <v/>
      </c>
      <c r="BZ99" s="36" t="str">
        <f aca="false">IF(Q99="","",IF(Q99&gt;=200000,"Yes","No"))</f>
        <v/>
      </c>
      <c r="CA99" s="36" t="str">
        <f aca="false">IF(Q99="","",IF(Q99&gt;=250000,"Yes","No"))</f>
        <v/>
      </c>
      <c r="CB99" s="36" t="str">
        <f aca="false">IF(Q99="","",IF(Q99&gt;=300000,"Yes","No"))</f>
        <v/>
      </c>
      <c r="CC99" s="37"/>
      <c r="CD99" s="36" t="str">
        <f aca="true">IF(B99="","",IF(TODAY()-B99&lt;=7,"🟢 0-7d",IF(TODAY()-B99&lt;=30,"🟡 8-30d",IF(TODAY()-B99&lt;=60,"🟠 31-60d","🔴 60d+"))))</f>
        <v/>
      </c>
      <c r="CE99" s="36" t="str">
        <f aca="false">IF(G99="","",IF(G99&lt;&gt;"USA","N/A - Not USA Role",IF(J99="Yes",IF(OR(F99="Intern",F99="New Grad"),"🟡 Possible","🟢 Strong"),IF(J99="No","🔴 Difficult","⚪ Unknown"))))</f>
        <v/>
      </c>
      <c r="CF99" s="37"/>
      <c r="CG99" s="37"/>
      <c r="CH99" s="38"/>
      <c r="CI99" s="38"/>
      <c r="CJ99" s="38"/>
      <c r="CK99" s="38"/>
    </row>
    <row r="100" customFormat="false" ht="15" hidden="false" customHeight="true" outlineLevel="0" collapsed="false">
      <c r="A100" s="26" t="str">
        <f aca="false">IF($C100="","",ROW()-3)</f>
        <v/>
      </c>
      <c r="B100" s="27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9"/>
      <c r="N100" s="29"/>
      <c r="O100" s="30" t="str">
        <f aca="false">IFERROR(IF(M100="","",M100*INDEX('00 - Lists'!$M$2:$M$11,MATCH(L100,'00 - Lists'!$L$2:$L$11,0))/100000),"")</f>
        <v/>
      </c>
      <c r="P100" s="30" t="str">
        <f aca="false">IFERROR(IF(N100="","",N100*INDEX('00 - Lists'!$M$2:$M$11,MATCH(L100,'00 - Lists'!$L$2:$L$11,0))/100000),"")</f>
        <v/>
      </c>
      <c r="Q100" s="31" t="str">
        <f aca="false">IFERROR(IF(M100="","",M100*INDEX('00 - Lists'!$N$2:$N$11,MATCH(L100,'00 - Lists'!$L$2:$L$11,0))),"")</f>
        <v/>
      </c>
      <c r="R100" s="31" t="str">
        <f aca="false">IFERROR(IF(N100="","",N100*INDEX('00 - Lists'!$N$2:$N$11,MATCH(L100,'00 - Lists'!$L$2:$L$11,0))),"")</f>
        <v/>
      </c>
      <c r="S100" s="32" t="str">
        <f aca="false">IF(O100="","",IF(O100&gt;=50,"Yes","No"))</f>
        <v/>
      </c>
      <c r="T100" s="32" t="str">
        <f aca="false">IF(Q100="","",IF(Q100&gt;=100000,"Yes","No"))</f>
        <v/>
      </c>
      <c r="U100" s="28"/>
      <c r="V100" s="28"/>
      <c r="W100" s="28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J100" s="34" t="str">
        <f aca="false">IF(OR($BD100&lt;&gt;"",$BF100&lt;&gt;"",$BH100&lt;&gt;""),"Yes","No")</f>
        <v>No</v>
      </c>
      <c r="BK100" s="35" t="str">
        <f aca="false">IFERROR(IF(BD100="","",BD100*INDEX('00 - Lists'!$M$2:$M$11,MATCH(L100,'00 - Lists'!$L$2:$L$11,0))/100000),"")</f>
        <v/>
      </c>
      <c r="BL100" s="35" t="str">
        <f aca="false">IFERROR(IF(BE100="","",BE100*INDEX('00 - Lists'!$M$2:$M$11,MATCH(L100,'00 - Lists'!$L$2:$L$11,0))/100000),"")</f>
        <v/>
      </c>
      <c r="BM100" s="35" t="str">
        <f aca="false">IFERROR(IF(BF100="","",BF100*INDEX('00 - Lists'!$M$2:$M$11,MATCH(L100,'00 - Lists'!$L$2:$L$11,0))/100000),"")</f>
        <v/>
      </c>
      <c r="BN100" s="35" t="str">
        <f aca="false">IFERROR(IF(BG100="","",BG100*INDEX('00 - Lists'!$M$2:$M$11,MATCH(L100,'00 - Lists'!$L$2:$L$11,0))/100000),"")</f>
        <v/>
      </c>
      <c r="BO100" s="35" t="str">
        <f aca="false">IFERROR(IF(BH100="","",BH100*INDEX('00 - Lists'!$M$2:$M$11,MATCH(L100,'00 - Lists'!$L$2:$L$11,0))/100000),"")</f>
        <v/>
      </c>
      <c r="BP100" s="35" t="str">
        <f aca="false">IFERROR(IF(BI100="","",BI100*INDEX('00 - Lists'!$M$2:$M$11,MATCH(L100,'00 - Lists'!$L$2:$L$11,0))/100000),"")</f>
        <v/>
      </c>
      <c r="BS100" s="36" t="str">
        <f aca="false">IF(O100="","",IF(O100&gt;=20,"Yes","No"))</f>
        <v/>
      </c>
      <c r="BT100" s="36" t="str">
        <f aca="false">IF(O100="","",IF(O100&gt;=30,"Yes","No"))</f>
        <v/>
      </c>
      <c r="BU100" s="36" t="str">
        <f aca="false">IF(O100="","",IF(O100&gt;=75,"Yes","No"))</f>
        <v/>
      </c>
      <c r="BV100" s="36" t="str">
        <f aca="false">IF(O100="","",IF(O100&gt;=100,"Yes","No"))</f>
        <v/>
      </c>
      <c r="BW100" s="36" t="str">
        <f aca="false">IF(O100="","",IF(O100&gt;=150,"Yes","No"))</f>
        <v/>
      </c>
      <c r="BX100" s="36" t="str">
        <f aca="false">IF(O100="","",IF(O100&gt;=200,"Yes","No"))</f>
        <v/>
      </c>
      <c r="BY100" s="36" t="str">
        <f aca="false">IF(Q100="","",IF(Q100&gt;=150000,"Yes","No"))</f>
        <v/>
      </c>
      <c r="BZ100" s="36" t="str">
        <f aca="false">IF(Q100="","",IF(Q100&gt;=200000,"Yes","No"))</f>
        <v/>
      </c>
      <c r="CA100" s="36" t="str">
        <f aca="false">IF(Q100="","",IF(Q100&gt;=250000,"Yes","No"))</f>
        <v/>
      </c>
      <c r="CB100" s="36" t="str">
        <f aca="false">IF(Q100="","",IF(Q100&gt;=300000,"Yes","No"))</f>
        <v/>
      </c>
      <c r="CC100" s="37"/>
      <c r="CD100" s="36" t="str">
        <f aca="true">IF(B100="","",IF(TODAY()-B100&lt;=7,"🟢 0-7d",IF(TODAY()-B100&lt;=30,"🟡 8-30d",IF(TODAY()-B100&lt;=60,"🟠 31-60d","🔴 60d+"))))</f>
        <v/>
      </c>
      <c r="CE100" s="36" t="str">
        <f aca="false">IF(G100="","",IF(G100&lt;&gt;"USA","N/A - Not USA Role",IF(J100="Yes",IF(OR(F100="Intern",F100="New Grad"),"🟡 Possible","🟢 Strong"),IF(J100="No","🔴 Difficult","⚪ Unknown"))))</f>
        <v/>
      </c>
      <c r="CF100" s="37"/>
      <c r="CG100" s="37"/>
      <c r="CH100" s="38"/>
      <c r="CI100" s="38"/>
      <c r="CJ100" s="38"/>
      <c r="CK100" s="38"/>
    </row>
    <row r="101" customFormat="false" ht="15" hidden="false" customHeight="true" outlineLevel="0" collapsed="false">
      <c r="A101" s="26" t="str">
        <f aca="false">IF($C101="","",ROW()-3)</f>
        <v/>
      </c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9"/>
      <c r="N101" s="29"/>
      <c r="O101" s="30" t="str">
        <f aca="false">IFERROR(IF(M101="","",M101*INDEX('00 - Lists'!$M$2:$M$11,MATCH(L101,'00 - Lists'!$L$2:$L$11,0))/100000),"")</f>
        <v/>
      </c>
      <c r="P101" s="30" t="str">
        <f aca="false">IFERROR(IF(N101="","",N101*INDEX('00 - Lists'!$M$2:$M$11,MATCH(L101,'00 - Lists'!$L$2:$L$11,0))/100000),"")</f>
        <v/>
      </c>
      <c r="Q101" s="31" t="str">
        <f aca="false">IFERROR(IF(M101="","",M101*INDEX('00 - Lists'!$N$2:$N$11,MATCH(L101,'00 - Lists'!$L$2:$L$11,0))),"")</f>
        <v/>
      </c>
      <c r="R101" s="31" t="str">
        <f aca="false">IFERROR(IF(N101="","",N101*INDEX('00 - Lists'!$N$2:$N$11,MATCH(L101,'00 - Lists'!$L$2:$L$11,0))),"")</f>
        <v/>
      </c>
      <c r="S101" s="32" t="str">
        <f aca="false">IF(O101="","",IF(O101&gt;=50,"Yes","No"))</f>
        <v/>
      </c>
      <c r="T101" s="32" t="str">
        <f aca="false">IF(Q101="","",IF(Q101&gt;=100000,"Yes","No"))</f>
        <v/>
      </c>
      <c r="U101" s="28"/>
      <c r="V101" s="28"/>
      <c r="W101" s="28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J101" s="34" t="str">
        <f aca="false">IF(OR($BD101&lt;&gt;"",$BF101&lt;&gt;"",$BH101&lt;&gt;""),"Yes","No")</f>
        <v>No</v>
      </c>
      <c r="BK101" s="35" t="str">
        <f aca="false">IFERROR(IF(BD101="","",BD101*INDEX('00 - Lists'!$M$2:$M$11,MATCH(L101,'00 - Lists'!$L$2:$L$11,0))/100000),"")</f>
        <v/>
      </c>
      <c r="BL101" s="35" t="str">
        <f aca="false">IFERROR(IF(BE101="","",BE101*INDEX('00 - Lists'!$M$2:$M$11,MATCH(L101,'00 - Lists'!$L$2:$L$11,0))/100000),"")</f>
        <v/>
      </c>
      <c r="BM101" s="35" t="str">
        <f aca="false">IFERROR(IF(BF101="","",BF101*INDEX('00 - Lists'!$M$2:$M$11,MATCH(L101,'00 - Lists'!$L$2:$L$11,0))/100000),"")</f>
        <v/>
      </c>
      <c r="BN101" s="35" t="str">
        <f aca="false">IFERROR(IF(BG101="","",BG101*INDEX('00 - Lists'!$M$2:$M$11,MATCH(L101,'00 - Lists'!$L$2:$L$11,0))/100000),"")</f>
        <v/>
      </c>
      <c r="BO101" s="35" t="str">
        <f aca="false">IFERROR(IF(BH101="","",BH101*INDEX('00 - Lists'!$M$2:$M$11,MATCH(L101,'00 - Lists'!$L$2:$L$11,0))/100000),"")</f>
        <v/>
      </c>
      <c r="BP101" s="35" t="str">
        <f aca="false">IFERROR(IF(BI101="","",BI101*INDEX('00 - Lists'!$M$2:$M$11,MATCH(L101,'00 - Lists'!$L$2:$L$11,0))/100000),"")</f>
        <v/>
      </c>
      <c r="BS101" s="36" t="str">
        <f aca="false">IF(O101="","",IF(O101&gt;=20,"Yes","No"))</f>
        <v/>
      </c>
      <c r="BT101" s="36" t="str">
        <f aca="false">IF(O101="","",IF(O101&gt;=30,"Yes","No"))</f>
        <v/>
      </c>
      <c r="BU101" s="36" t="str">
        <f aca="false">IF(O101="","",IF(O101&gt;=75,"Yes","No"))</f>
        <v/>
      </c>
      <c r="BV101" s="36" t="str">
        <f aca="false">IF(O101="","",IF(O101&gt;=100,"Yes","No"))</f>
        <v/>
      </c>
      <c r="BW101" s="36" t="str">
        <f aca="false">IF(O101="","",IF(O101&gt;=150,"Yes","No"))</f>
        <v/>
      </c>
      <c r="BX101" s="36" t="str">
        <f aca="false">IF(O101="","",IF(O101&gt;=200,"Yes","No"))</f>
        <v/>
      </c>
      <c r="BY101" s="36" t="str">
        <f aca="false">IF(Q101="","",IF(Q101&gt;=150000,"Yes","No"))</f>
        <v/>
      </c>
      <c r="BZ101" s="36" t="str">
        <f aca="false">IF(Q101="","",IF(Q101&gt;=200000,"Yes","No"))</f>
        <v/>
      </c>
      <c r="CA101" s="36" t="str">
        <f aca="false">IF(Q101="","",IF(Q101&gt;=250000,"Yes","No"))</f>
        <v/>
      </c>
      <c r="CB101" s="36" t="str">
        <f aca="false">IF(Q101="","",IF(Q101&gt;=300000,"Yes","No"))</f>
        <v/>
      </c>
      <c r="CC101" s="37"/>
      <c r="CD101" s="36" t="str">
        <f aca="true">IF(B101="","",IF(TODAY()-B101&lt;=7,"🟢 0-7d",IF(TODAY()-B101&lt;=30,"🟡 8-30d",IF(TODAY()-B101&lt;=60,"🟠 31-60d","🔴 60d+"))))</f>
        <v/>
      </c>
      <c r="CE101" s="36" t="str">
        <f aca="false">IF(G101="","",IF(G101&lt;&gt;"USA","N/A - Not USA Role",IF(J101="Yes",IF(OR(F101="Intern",F101="New Grad"),"🟡 Possible","🟢 Strong"),IF(J101="No","🔴 Difficult","⚪ Unknown"))))</f>
        <v/>
      </c>
      <c r="CF101" s="37"/>
      <c r="CG101" s="37"/>
      <c r="CH101" s="38"/>
      <c r="CI101" s="38"/>
      <c r="CJ101" s="38"/>
      <c r="CK101" s="38"/>
    </row>
    <row r="102" customFormat="false" ht="15" hidden="false" customHeight="true" outlineLevel="0" collapsed="false">
      <c r="A102" s="26" t="str">
        <f aca="false">IF($C102="","",ROW()-3)</f>
        <v/>
      </c>
      <c r="B102" s="27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9"/>
      <c r="N102" s="29"/>
      <c r="O102" s="30" t="str">
        <f aca="false">IFERROR(IF(M102="","",M102*INDEX('00 - Lists'!$M$2:$M$11,MATCH(L102,'00 - Lists'!$L$2:$L$11,0))/100000),"")</f>
        <v/>
      </c>
      <c r="P102" s="30" t="str">
        <f aca="false">IFERROR(IF(N102="","",N102*INDEX('00 - Lists'!$M$2:$M$11,MATCH(L102,'00 - Lists'!$L$2:$L$11,0))/100000),"")</f>
        <v/>
      </c>
      <c r="Q102" s="31" t="str">
        <f aca="false">IFERROR(IF(M102="","",M102*INDEX('00 - Lists'!$N$2:$N$11,MATCH(L102,'00 - Lists'!$L$2:$L$11,0))),"")</f>
        <v/>
      </c>
      <c r="R102" s="31" t="str">
        <f aca="false">IFERROR(IF(N102="","",N102*INDEX('00 - Lists'!$N$2:$N$11,MATCH(L102,'00 - Lists'!$L$2:$L$11,0))),"")</f>
        <v/>
      </c>
      <c r="S102" s="32" t="str">
        <f aca="false">IF(O102="","",IF(O102&gt;=50,"Yes","No"))</f>
        <v/>
      </c>
      <c r="T102" s="32" t="str">
        <f aca="false">IF(Q102="","",IF(Q102&gt;=100000,"Yes","No"))</f>
        <v/>
      </c>
      <c r="U102" s="28"/>
      <c r="V102" s="28"/>
      <c r="W102" s="28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J102" s="34" t="str">
        <f aca="false">IF(OR($BD102&lt;&gt;"",$BF102&lt;&gt;"",$BH102&lt;&gt;""),"Yes","No")</f>
        <v>No</v>
      </c>
      <c r="BK102" s="35" t="str">
        <f aca="false">IFERROR(IF(BD102="","",BD102*INDEX('00 - Lists'!$M$2:$M$11,MATCH(L102,'00 - Lists'!$L$2:$L$11,0))/100000),"")</f>
        <v/>
      </c>
      <c r="BL102" s="35" t="str">
        <f aca="false">IFERROR(IF(BE102="","",BE102*INDEX('00 - Lists'!$M$2:$M$11,MATCH(L102,'00 - Lists'!$L$2:$L$11,0))/100000),"")</f>
        <v/>
      </c>
      <c r="BM102" s="35" t="str">
        <f aca="false">IFERROR(IF(BF102="","",BF102*INDEX('00 - Lists'!$M$2:$M$11,MATCH(L102,'00 - Lists'!$L$2:$L$11,0))/100000),"")</f>
        <v/>
      </c>
      <c r="BN102" s="35" t="str">
        <f aca="false">IFERROR(IF(BG102="","",BG102*INDEX('00 - Lists'!$M$2:$M$11,MATCH(L102,'00 - Lists'!$L$2:$L$11,0))/100000),"")</f>
        <v/>
      </c>
      <c r="BO102" s="35" t="str">
        <f aca="false">IFERROR(IF(BH102="","",BH102*INDEX('00 - Lists'!$M$2:$M$11,MATCH(L102,'00 - Lists'!$L$2:$L$11,0))/100000),"")</f>
        <v/>
      </c>
      <c r="BP102" s="35" t="str">
        <f aca="false">IFERROR(IF(BI102="","",BI102*INDEX('00 - Lists'!$M$2:$M$11,MATCH(L102,'00 - Lists'!$L$2:$L$11,0))/100000),"")</f>
        <v/>
      </c>
      <c r="BS102" s="36" t="str">
        <f aca="false">IF(O102="","",IF(O102&gt;=20,"Yes","No"))</f>
        <v/>
      </c>
      <c r="BT102" s="36" t="str">
        <f aca="false">IF(O102="","",IF(O102&gt;=30,"Yes","No"))</f>
        <v/>
      </c>
      <c r="BU102" s="36" t="str">
        <f aca="false">IF(O102="","",IF(O102&gt;=75,"Yes","No"))</f>
        <v/>
      </c>
      <c r="BV102" s="36" t="str">
        <f aca="false">IF(O102="","",IF(O102&gt;=100,"Yes","No"))</f>
        <v/>
      </c>
      <c r="BW102" s="36" t="str">
        <f aca="false">IF(O102="","",IF(O102&gt;=150,"Yes","No"))</f>
        <v/>
      </c>
      <c r="BX102" s="36" t="str">
        <f aca="false">IF(O102="","",IF(O102&gt;=200,"Yes","No"))</f>
        <v/>
      </c>
      <c r="BY102" s="36" t="str">
        <f aca="false">IF(Q102="","",IF(Q102&gt;=150000,"Yes","No"))</f>
        <v/>
      </c>
      <c r="BZ102" s="36" t="str">
        <f aca="false">IF(Q102="","",IF(Q102&gt;=200000,"Yes","No"))</f>
        <v/>
      </c>
      <c r="CA102" s="36" t="str">
        <f aca="false">IF(Q102="","",IF(Q102&gt;=250000,"Yes","No"))</f>
        <v/>
      </c>
      <c r="CB102" s="36" t="str">
        <f aca="false">IF(Q102="","",IF(Q102&gt;=300000,"Yes","No"))</f>
        <v/>
      </c>
      <c r="CC102" s="37"/>
      <c r="CD102" s="36" t="str">
        <f aca="true">IF(B102="","",IF(TODAY()-B102&lt;=7,"🟢 0-7d",IF(TODAY()-B102&lt;=30,"🟡 8-30d",IF(TODAY()-B102&lt;=60,"🟠 31-60d","🔴 60d+"))))</f>
        <v/>
      </c>
      <c r="CE102" s="36" t="str">
        <f aca="false">IF(G102="","",IF(G102&lt;&gt;"USA","N/A - Not USA Role",IF(J102="Yes",IF(OR(F102="Intern",F102="New Grad"),"🟡 Possible","🟢 Strong"),IF(J102="No","🔴 Difficult","⚪ Unknown"))))</f>
        <v/>
      </c>
      <c r="CF102" s="37"/>
      <c r="CG102" s="37"/>
      <c r="CH102" s="38"/>
      <c r="CI102" s="38"/>
      <c r="CJ102" s="38"/>
      <c r="CK102" s="38"/>
    </row>
    <row r="103" customFormat="false" ht="15" hidden="false" customHeight="true" outlineLevel="0" collapsed="false">
      <c r="A103" s="26" t="str">
        <f aca="false">IF($C103="","",ROW()-3)</f>
        <v/>
      </c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9"/>
      <c r="N103" s="29"/>
      <c r="O103" s="30" t="str">
        <f aca="false">IFERROR(IF(M103="","",M103*INDEX('00 - Lists'!$M$2:$M$11,MATCH(L103,'00 - Lists'!$L$2:$L$11,0))/100000),"")</f>
        <v/>
      </c>
      <c r="P103" s="30" t="str">
        <f aca="false">IFERROR(IF(N103="","",N103*INDEX('00 - Lists'!$M$2:$M$11,MATCH(L103,'00 - Lists'!$L$2:$L$11,0))/100000),"")</f>
        <v/>
      </c>
      <c r="Q103" s="31" t="str">
        <f aca="false">IFERROR(IF(M103="","",M103*INDEX('00 - Lists'!$N$2:$N$11,MATCH(L103,'00 - Lists'!$L$2:$L$11,0))),"")</f>
        <v/>
      </c>
      <c r="R103" s="31" t="str">
        <f aca="false">IFERROR(IF(N103="","",N103*INDEX('00 - Lists'!$N$2:$N$11,MATCH(L103,'00 - Lists'!$L$2:$L$11,0))),"")</f>
        <v/>
      </c>
      <c r="S103" s="32" t="str">
        <f aca="false">IF(O103="","",IF(O103&gt;=50,"Yes","No"))</f>
        <v/>
      </c>
      <c r="T103" s="32" t="str">
        <f aca="false">IF(Q103="","",IF(Q103&gt;=100000,"Yes","No"))</f>
        <v/>
      </c>
      <c r="U103" s="28"/>
      <c r="V103" s="28"/>
      <c r="W103" s="28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J103" s="34" t="str">
        <f aca="false">IF(OR($BD103&lt;&gt;"",$BF103&lt;&gt;"",$BH103&lt;&gt;""),"Yes","No")</f>
        <v>No</v>
      </c>
      <c r="BK103" s="35" t="str">
        <f aca="false">IFERROR(IF(BD103="","",BD103*INDEX('00 - Lists'!$M$2:$M$11,MATCH(L103,'00 - Lists'!$L$2:$L$11,0))/100000),"")</f>
        <v/>
      </c>
      <c r="BL103" s="35" t="str">
        <f aca="false">IFERROR(IF(BE103="","",BE103*INDEX('00 - Lists'!$M$2:$M$11,MATCH(L103,'00 - Lists'!$L$2:$L$11,0))/100000),"")</f>
        <v/>
      </c>
      <c r="BM103" s="35" t="str">
        <f aca="false">IFERROR(IF(BF103="","",BF103*INDEX('00 - Lists'!$M$2:$M$11,MATCH(L103,'00 - Lists'!$L$2:$L$11,0))/100000),"")</f>
        <v/>
      </c>
      <c r="BN103" s="35" t="str">
        <f aca="false">IFERROR(IF(BG103="","",BG103*INDEX('00 - Lists'!$M$2:$M$11,MATCH(L103,'00 - Lists'!$L$2:$L$11,0))/100000),"")</f>
        <v/>
      </c>
      <c r="BO103" s="35" t="str">
        <f aca="false">IFERROR(IF(BH103="","",BH103*INDEX('00 - Lists'!$M$2:$M$11,MATCH(L103,'00 - Lists'!$L$2:$L$11,0))/100000),"")</f>
        <v/>
      </c>
      <c r="BP103" s="35" t="str">
        <f aca="false">IFERROR(IF(BI103="","",BI103*INDEX('00 - Lists'!$M$2:$M$11,MATCH(L103,'00 - Lists'!$L$2:$L$11,0))/100000),"")</f>
        <v/>
      </c>
      <c r="BS103" s="36" t="str">
        <f aca="false">IF(O103="","",IF(O103&gt;=20,"Yes","No"))</f>
        <v/>
      </c>
      <c r="BT103" s="36" t="str">
        <f aca="false">IF(O103="","",IF(O103&gt;=30,"Yes","No"))</f>
        <v/>
      </c>
      <c r="BU103" s="36" t="str">
        <f aca="false">IF(O103="","",IF(O103&gt;=75,"Yes","No"))</f>
        <v/>
      </c>
      <c r="BV103" s="36" t="str">
        <f aca="false">IF(O103="","",IF(O103&gt;=100,"Yes","No"))</f>
        <v/>
      </c>
      <c r="BW103" s="36" t="str">
        <f aca="false">IF(O103="","",IF(O103&gt;=150,"Yes","No"))</f>
        <v/>
      </c>
      <c r="BX103" s="36" t="str">
        <f aca="false">IF(O103="","",IF(O103&gt;=200,"Yes","No"))</f>
        <v/>
      </c>
      <c r="BY103" s="36" t="str">
        <f aca="false">IF(Q103="","",IF(Q103&gt;=150000,"Yes","No"))</f>
        <v/>
      </c>
      <c r="BZ103" s="36" t="str">
        <f aca="false">IF(Q103="","",IF(Q103&gt;=200000,"Yes","No"))</f>
        <v/>
      </c>
      <c r="CA103" s="36" t="str">
        <f aca="false">IF(Q103="","",IF(Q103&gt;=250000,"Yes","No"))</f>
        <v/>
      </c>
      <c r="CB103" s="36" t="str">
        <f aca="false">IF(Q103="","",IF(Q103&gt;=300000,"Yes","No"))</f>
        <v/>
      </c>
      <c r="CC103" s="37"/>
      <c r="CD103" s="36" t="str">
        <f aca="true">IF(B103="","",IF(TODAY()-B103&lt;=7,"🟢 0-7d",IF(TODAY()-B103&lt;=30,"🟡 8-30d",IF(TODAY()-B103&lt;=60,"🟠 31-60d","🔴 60d+"))))</f>
        <v/>
      </c>
      <c r="CE103" s="36" t="str">
        <f aca="false">IF(G103="","",IF(G103&lt;&gt;"USA","N/A - Not USA Role",IF(J103="Yes",IF(OR(F103="Intern",F103="New Grad"),"🟡 Possible","🟢 Strong"),IF(J103="No","🔴 Difficult","⚪ Unknown"))))</f>
        <v/>
      </c>
      <c r="CF103" s="37"/>
      <c r="CG103" s="37"/>
      <c r="CH103" s="38"/>
      <c r="CI103" s="38"/>
      <c r="CJ103" s="38"/>
      <c r="CK103" s="38"/>
    </row>
    <row r="104" customFormat="false" ht="15" hidden="false" customHeight="true" outlineLevel="0" collapsed="false">
      <c r="A104" s="26" t="str">
        <f aca="false">IF($C104="","",ROW()-3)</f>
        <v/>
      </c>
      <c r="B104" s="27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9"/>
      <c r="N104" s="29"/>
      <c r="O104" s="30" t="str">
        <f aca="false">IFERROR(IF(M104="","",M104*INDEX('00 - Lists'!$M$2:$M$11,MATCH(L104,'00 - Lists'!$L$2:$L$11,0))/100000),"")</f>
        <v/>
      </c>
      <c r="P104" s="30" t="str">
        <f aca="false">IFERROR(IF(N104="","",N104*INDEX('00 - Lists'!$M$2:$M$11,MATCH(L104,'00 - Lists'!$L$2:$L$11,0))/100000),"")</f>
        <v/>
      </c>
      <c r="Q104" s="31" t="str">
        <f aca="false">IFERROR(IF(M104="","",M104*INDEX('00 - Lists'!$N$2:$N$11,MATCH(L104,'00 - Lists'!$L$2:$L$11,0))),"")</f>
        <v/>
      </c>
      <c r="R104" s="31" t="str">
        <f aca="false">IFERROR(IF(N104="","",N104*INDEX('00 - Lists'!$N$2:$N$11,MATCH(L104,'00 - Lists'!$L$2:$L$11,0))),"")</f>
        <v/>
      </c>
      <c r="S104" s="32" t="str">
        <f aca="false">IF(O104="","",IF(O104&gt;=50,"Yes","No"))</f>
        <v/>
      </c>
      <c r="T104" s="32" t="str">
        <f aca="false">IF(Q104="","",IF(Q104&gt;=100000,"Yes","No"))</f>
        <v/>
      </c>
      <c r="U104" s="28"/>
      <c r="V104" s="28"/>
      <c r="W104" s="28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J104" s="34" t="str">
        <f aca="false">IF(OR($BD104&lt;&gt;"",$BF104&lt;&gt;"",$BH104&lt;&gt;""),"Yes","No")</f>
        <v>No</v>
      </c>
      <c r="BK104" s="35" t="str">
        <f aca="false">IFERROR(IF(BD104="","",BD104*INDEX('00 - Lists'!$M$2:$M$11,MATCH(L104,'00 - Lists'!$L$2:$L$11,0))/100000),"")</f>
        <v/>
      </c>
      <c r="BL104" s="35" t="str">
        <f aca="false">IFERROR(IF(BE104="","",BE104*INDEX('00 - Lists'!$M$2:$M$11,MATCH(L104,'00 - Lists'!$L$2:$L$11,0))/100000),"")</f>
        <v/>
      </c>
      <c r="BM104" s="35" t="str">
        <f aca="false">IFERROR(IF(BF104="","",BF104*INDEX('00 - Lists'!$M$2:$M$11,MATCH(L104,'00 - Lists'!$L$2:$L$11,0))/100000),"")</f>
        <v/>
      </c>
      <c r="BN104" s="35" t="str">
        <f aca="false">IFERROR(IF(BG104="","",BG104*INDEX('00 - Lists'!$M$2:$M$11,MATCH(L104,'00 - Lists'!$L$2:$L$11,0))/100000),"")</f>
        <v/>
      </c>
      <c r="BO104" s="35" t="str">
        <f aca="false">IFERROR(IF(BH104="","",BH104*INDEX('00 - Lists'!$M$2:$M$11,MATCH(L104,'00 - Lists'!$L$2:$L$11,0))/100000),"")</f>
        <v/>
      </c>
      <c r="BP104" s="35" t="str">
        <f aca="false">IFERROR(IF(BI104="","",BI104*INDEX('00 - Lists'!$M$2:$M$11,MATCH(L104,'00 - Lists'!$L$2:$L$11,0))/100000),"")</f>
        <v/>
      </c>
      <c r="BS104" s="36" t="str">
        <f aca="false">IF(O104="","",IF(O104&gt;=20,"Yes","No"))</f>
        <v/>
      </c>
      <c r="BT104" s="36" t="str">
        <f aca="false">IF(O104="","",IF(O104&gt;=30,"Yes","No"))</f>
        <v/>
      </c>
      <c r="BU104" s="36" t="str">
        <f aca="false">IF(O104="","",IF(O104&gt;=75,"Yes","No"))</f>
        <v/>
      </c>
      <c r="BV104" s="36" t="str">
        <f aca="false">IF(O104="","",IF(O104&gt;=100,"Yes","No"))</f>
        <v/>
      </c>
      <c r="BW104" s="36" t="str">
        <f aca="false">IF(O104="","",IF(O104&gt;=150,"Yes","No"))</f>
        <v/>
      </c>
      <c r="BX104" s="36" t="str">
        <f aca="false">IF(O104="","",IF(O104&gt;=200,"Yes","No"))</f>
        <v/>
      </c>
      <c r="BY104" s="36" t="str">
        <f aca="false">IF(Q104="","",IF(Q104&gt;=150000,"Yes","No"))</f>
        <v/>
      </c>
      <c r="BZ104" s="36" t="str">
        <f aca="false">IF(Q104="","",IF(Q104&gt;=200000,"Yes","No"))</f>
        <v/>
      </c>
      <c r="CA104" s="36" t="str">
        <f aca="false">IF(Q104="","",IF(Q104&gt;=250000,"Yes","No"))</f>
        <v/>
      </c>
      <c r="CB104" s="36" t="str">
        <f aca="false">IF(Q104="","",IF(Q104&gt;=300000,"Yes","No"))</f>
        <v/>
      </c>
      <c r="CC104" s="37"/>
      <c r="CD104" s="36" t="str">
        <f aca="true">IF(B104="","",IF(TODAY()-B104&lt;=7,"🟢 0-7d",IF(TODAY()-B104&lt;=30,"🟡 8-30d",IF(TODAY()-B104&lt;=60,"🟠 31-60d","🔴 60d+"))))</f>
        <v/>
      </c>
      <c r="CE104" s="36" t="str">
        <f aca="false">IF(G104="","",IF(G104&lt;&gt;"USA","N/A - Not USA Role",IF(J104="Yes",IF(OR(F104="Intern",F104="New Grad"),"🟡 Possible","🟢 Strong"),IF(J104="No","🔴 Difficult","⚪ Unknown"))))</f>
        <v/>
      </c>
      <c r="CF104" s="37"/>
      <c r="CG104" s="37"/>
      <c r="CH104" s="38"/>
      <c r="CI104" s="38"/>
      <c r="CJ104" s="38"/>
      <c r="CK104" s="38"/>
    </row>
    <row r="105" customFormat="false" ht="15" hidden="false" customHeight="true" outlineLevel="0" collapsed="false">
      <c r="A105" s="26" t="str">
        <f aca="false">IF($C105="","",ROW()-3)</f>
        <v/>
      </c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9"/>
      <c r="N105" s="29"/>
      <c r="O105" s="30" t="str">
        <f aca="false">IFERROR(IF(M105="","",M105*INDEX('00 - Lists'!$M$2:$M$11,MATCH(L105,'00 - Lists'!$L$2:$L$11,0))/100000),"")</f>
        <v/>
      </c>
      <c r="P105" s="30" t="str">
        <f aca="false">IFERROR(IF(N105="","",N105*INDEX('00 - Lists'!$M$2:$M$11,MATCH(L105,'00 - Lists'!$L$2:$L$11,0))/100000),"")</f>
        <v/>
      </c>
      <c r="Q105" s="31" t="str">
        <f aca="false">IFERROR(IF(M105="","",M105*INDEX('00 - Lists'!$N$2:$N$11,MATCH(L105,'00 - Lists'!$L$2:$L$11,0))),"")</f>
        <v/>
      </c>
      <c r="R105" s="31" t="str">
        <f aca="false">IFERROR(IF(N105="","",N105*INDEX('00 - Lists'!$N$2:$N$11,MATCH(L105,'00 - Lists'!$L$2:$L$11,0))),"")</f>
        <v/>
      </c>
      <c r="S105" s="32" t="str">
        <f aca="false">IF(O105="","",IF(O105&gt;=50,"Yes","No"))</f>
        <v/>
      </c>
      <c r="T105" s="32" t="str">
        <f aca="false">IF(Q105="","",IF(Q105&gt;=100000,"Yes","No"))</f>
        <v/>
      </c>
      <c r="U105" s="28"/>
      <c r="V105" s="28"/>
      <c r="W105" s="28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J105" s="34" t="str">
        <f aca="false">IF(OR($BD105&lt;&gt;"",$BF105&lt;&gt;"",$BH105&lt;&gt;""),"Yes","No")</f>
        <v>No</v>
      </c>
      <c r="BK105" s="35" t="str">
        <f aca="false">IFERROR(IF(BD105="","",BD105*INDEX('00 - Lists'!$M$2:$M$11,MATCH(L105,'00 - Lists'!$L$2:$L$11,0))/100000),"")</f>
        <v/>
      </c>
      <c r="BL105" s="35" t="str">
        <f aca="false">IFERROR(IF(BE105="","",BE105*INDEX('00 - Lists'!$M$2:$M$11,MATCH(L105,'00 - Lists'!$L$2:$L$11,0))/100000),"")</f>
        <v/>
      </c>
      <c r="BM105" s="35" t="str">
        <f aca="false">IFERROR(IF(BF105="","",BF105*INDEX('00 - Lists'!$M$2:$M$11,MATCH(L105,'00 - Lists'!$L$2:$L$11,0))/100000),"")</f>
        <v/>
      </c>
      <c r="BN105" s="35" t="str">
        <f aca="false">IFERROR(IF(BG105="","",BG105*INDEX('00 - Lists'!$M$2:$M$11,MATCH(L105,'00 - Lists'!$L$2:$L$11,0))/100000),"")</f>
        <v/>
      </c>
      <c r="BO105" s="35" t="str">
        <f aca="false">IFERROR(IF(BH105="","",BH105*INDEX('00 - Lists'!$M$2:$M$11,MATCH(L105,'00 - Lists'!$L$2:$L$11,0))/100000),"")</f>
        <v/>
      </c>
      <c r="BP105" s="35" t="str">
        <f aca="false">IFERROR(IF(BI105="","",BI105*INDEX('00 - Lists'!$M$2:$M$11,MATCH(L105,'00 - Lists'!$L$2:$L$11,0))/100000),"")</f>
        <v/>
      </c>
      <c r="BS105" s="36" t="str">
        <f aca="false">IF(O105="","",IF(O105&gt;=20,"Yes","No"))</f>
        <v/>
      </c>
      <c r="BT105" s="36" t="str">
        <f aca="false">IF(O105="","",IF(O105&gt;=30,"Yes","No"))</f>
        <v/>
      </c>
      <c r="BU105" s="36" t="str">
        <f aca="false">IF(O105="","",IF(O105&gt;=75,"Yes","No"))</f>
        <v/>
      </c>
      <c r="BV105" s="36" t="str">
        <f aca="false">IF(O105="","",IF(O105&gt;=100,"Yes","No"))</f>
        <v/>
      </c>
      <c r="BW105" s="36" t="str">
        <f aca="false">IF(O105="","",IF(O105&gt;=150,"Yes","No"))</f>
        <v/>
      </c>
      <c r="BX105" s="36" t="str">
        <f aca="false">IF(O105="","",IF(O105&gt;=200,"Yes","No"))</f>
        <v/>
      </c>
      <c r="BY105" s="36" t="str">
        <f aca="false">IF(Q105="","",IF(Q105&gt;=150000,"Yes","No"))</f>
        <v/>
      </c>
      <c r="BZ105" s="36" t="str">
        <f aca="false">IF(Q105="","",IF(Q105&gt;=200000,"Yes","No"))</f>
        <v/>
      </c>
      <c r="CA105" s="36" t="str">
        <f aca="false">IF(Q105="","",IF(Q105&gt;=250000,"Yes","No"))</f>
        <v/>
      </c>
      <c r="CB105" s="36" t="str">
        <f aca="false">IF(Q105="","",IF(Q105&gt;=300000,"Yes","No"))</f>
        <v/>
      </c>
      <c r="CC105" s="37"/>
      <c r="CD105" s="36" t="str">
        <f aca="true">IF(B105="","",IF(TODAY()-B105&lt;=7,"🟢 0-7d",IF(TODAY()-B105&lt;=30,"🟡 8-30d",IF(TODAY()-B105&lt;=60,"🟠 31-60d","🔴 60d+"))))</f>
        <v/>
      </c>
      <c r="CE105" s="36" t="str">
        <f aca="false">IF(G105="","",IF(G105&lt;&gt;"USA","N/A - Not USA Role",IF(J105="Yes",IF(OR(F105="Intern",F105="New Grad"),"🟡 Possible","🟢 Strong"),IF(J105="No","🔴 Difficult","⚪ Unknown"))))</f>
        <v/>
      </c>
      <c r="CF105" s="37"/>
      <c r="CG105" s="37"/>
      <c r="CH105" s="38"/>
      <c r="CI105" s="38"/>
      <c r="CJ105" s="38"/>
      <c r="CK105" s="38"/>
    </row>
    <row r="106" customFormat="false" ht="15" hidden="false" customHeight="true" outlineLevel="0" collapsed="false">
      <c r="A106" s="26" t="str">
        <f aca="false">IF($C106="","",ROW()-3)</f>
        <v/>
      </c>
      <c r="B106" s="27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9"/>
      <c r="N106" s="29"/>
      <c r="O106" s="30" t="str">
        <f aca="false">IFERROR(IF(M106="","",M106*INDEX('00 - Lists'!$M$2:$M$11,MATCH(L106,'00 - Lists'!$L$2:$L$11,0))/100000),"")</f>
        <v/>
      </c>
      <c r="P106" s="30" t="str">
        <f aca="false">IFERROR(IF(N106="","",N106*INDEX('00 - Lists'!$M$2:$M$11,MATCH(L106,'00 - Lists'!$L$2:$L$11,0))/100000),"")</f>
        <v/>
      </c>
      <c r="Q106" s="31" t="str">
        <f aca="false">IFERROR(IF(M106="","",M106*INDEX('00 - Lists'!$N$2:$N$11,MATCH(L106,'00 - Lists'!$L$2:$L$11,0))),"")</f>
        <v/>
      </c>
      <c r="R106" s="31" t="str">
        <f aca="false">IFERROR(IF(N106="","",N106*INDEX('00 - Lists'!$N$2:$N$11,MATCH(L106,'00 - Lists'!$L$2:$L$11,0))),"")</f>
        <v/>
      </c>
      <c r="S106" s="32" t="str">
        <f aca="false">IF(O106="","",IF(O106&gt;=50,"Yes","No"))</f>
        <v/>
      </c>
      <c r="T106" s="32" t="str">
        <f aca="false">IF(Q106="","",IF(Q106&gt;=100000,"Yes","No"))</f>
        <v/>
      </c>
      <c r="U106" s="28"/>
      <c r="V106" s="28"/>
      <c r="W106" s="28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J106" s="34" t="str">
        <f aca="false">IF(OR($BD106&lt;&gt;"",$BF106&lt;&gt;"",$BH106&lt;&gt;""),"Yes","No")</f>
        <v>No</v>
      </c>
      <c r="BK106" s="35" t="str">
        <f aca="false">IFERROR(IF(BD106="","",BD106*INDEX('00 - Lists'!$M$2:$M$11,MATCH(L106,'00 - Lists'!$L$2:$L$11,0))/100000),"")</f>
        <v/>
      </c>
      <c r="BL106" s="35" t="str">
        <f aca="false">IFERROR(IF(BE106="","",BE106*INDEX('00 - Lists'!$M$2:$M$11,MATCH(L106,'00 - Lists'!$L$2:$L$11,0))/100000),"")</f>
        <v/>
      </c>
      <c r="BM106" s="35" t="str">
        <f aca="false">IFERROR(IF(BF106="","",BF106*INDEX('00 - Lists'!$M$2:$M$11,MATCH(L106,'00 - Lists'!$L$2:$L$11,0))/100000),"")</f>
        <v/>
      </c>
      <c r="BN106" s="35" t="str">
        <f aca="false">IFERROR(IF(BG106="","",BG106*INDEX('00 - Lists'!$M$2:$M$11,MATCH(L106,'00 - Lists'!$L$2:$L$11,0))/100000),"")</f>
        <v/>
      </c>
      <c r="BO106" s="35" t="str">
        <f aca="false">IFERROR(IF(BH106="","",BH106*INDEX('00 - Lists'!$M$2:$M$11,MATCH(L106,'00 - Lists'!$L$2:$L$11,0))/100000),"")</f>
        <v/>
      </c>
      <c r="BP106" s="35" t="str">
        <f aca="false">IFERROR(IF(BI106="","",BI106*INDEX('00 - Lists'!$M$2:$M$11,MATCH(L106,'00 - Lists'!$L$2:$L$11,0))/100000),"")</f>
        <v/>
      </c>
      <c r="BS106" s="36" t="str">
        <f aca="false">IF(O106="","",IF(O106&gt;=20,"Yes","No"))</f>
        <v/>
      </c>
      <c r="BT106" s="36" t="str">
        <f aca="false">IF(O106="","",IF(O106&gt;=30,"Yes","No"))</f>
        <v/>
      </c>
      <c r="BU106" s="36" t="str">
        <f aca="false">IF(O106="","",IF(O106&gt;=75,"Yes","No"))</f>
        <v/>
      </c>
      <c r="BV106" s="36" t="str">
        <f aca="false">IF(O106="","",IF(O106&gt;=100,"Yes","No"))</f>
        <v/>
      </c>
      <c r="BW106" s="36" t="str">
        <f aca="false">IF(O106="","",IF(O106&gt;=150,"Yes","No"))</f>
        <v/>
      </c>
      <c r="BX106" s="36" t="str">
        <f aca="false">IF(O106="","",IF(O106&gt;=200,"Yes","No"))</f>
        <v/>
      </c>
      <c r="BY106" s="36" t="str">
        <f aca="false">IF(Q106="","",IF(Q106&gt;=150000,"Yes","No"))</f>
        <v/>
      </c>
      <c r="BZ106" s="36" t="str">
        <f aca="false">IF(Q106="","",IF(Q106&gt;=200000,"Yes","No"))</f>
        <v/>
      </c>
      <c r="CA106" s="36" t="str">
        <f aca="false">IF(Q106="","",IF(Q106&gt;=250000,"Yes","No"))</f>
        <v/>
      </c>
      <c r="CB106" s="36" t="str">
        <f aca="false">IF(Q106="","",IF(Q106&gt;=300000,"Yes","No"))</f>
        <v/>
      </c>
      <c r="CC106" s="37"/>
      <c r="CD106" s="36" t="str">
        <f aca="true">IF(B106="","",IF(TODAY()-B106&lt;=7,"🟢 0-7d",IF(TODAY()-B106&lt;=30,"🟡 8-30d",IF(TODAY()-B106&lt;=60,"🟠 31-60d","🔴 60d+"))))</f>
        <v/>
      </c>
      <c r="CE106" s="36" t="str">
        <f aca="false">IF(G106="","",IF(G106&lt;&gt;"USA","N/A - Not USA Role",IF(J106="Yes",IF(OR(F106="Intern",F106="New Grad"),"🟡 Possible","🟢 Strong"),IF(J106="No","🔴 Difficult","⚪ Unknown"))))</f>
        <v/>
      </c>
      <c r="CF106" s="37"/>
      <c r="CG106" s="37"/>
      <c r="CH106" s="38"/>
      <c r="CI106" s="38"/>
      <c r="CJ106" s="38"/>
      <c r="CK106" s="38"/>
    </row>
    <row r="107" customFormat="false" ht="15" hidden="false" customHeight="true" outlineLevel="0" collapsed="false">
      <c r="A107" s="26" t="str">
        <f aca="false">IF($C107="","",ROW()-3)</f>
        <v/>
      </c>
      <c r="B107" s="27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9"/>
      <c r="N107" s="29"/>
      <c r="O107" s="30" t="str">
        <f aca="false">IFERROR(IF(M107="","",M107*INDEX('00 - Lists'!$M$2:$M$11,MATCH(L107,'00 - Lists'!$L$2:$L$11,0))/100000),"")</f>
        <v/>
      </c>
      <c r="P107" s="30" t="str">
        <f aca="false">IFERROR(IF(N107="","",N107*INDEX('00 - Lists'!$M$2:$M$11,MATCH(L107,'00 - Lists'!$L$2:$L$11,0))/100000),"")</f>
        <v/>
      </c>
      <c r="Q107" s="31" t="str">
        <f aca="false">IFERROR(IF(M107="","",M107*INDEX('00 - Lists'!$N$2:$N$11,MATCH(L107,'00 - Lists'!$L$2:$L$11,0))),"")</f>
        <v/>
      </c>
      <c r="R107" s="31" t="str">
        <f aca="false">IFERROR(IF(N107="","",N107*INDEX('00 - Lists'!$N$2:$N$11,MATCH(L107,'00 - Lists'!$L$2:$L$11,0))),"")</f>
        <v/>
      </c>
      <c r="S107" s="32" t="str">
        <f aca="false">IF(O107="","",IF(O107&gt;=50,"Yes","No"))</f>
        <v/>
      </c>
      <c r="T107" s="32" t="str">
        <f aca="false">IF(Q107="","",IF(Q107&gt;=100000,"Yes","No"))</f>
        <v/>
      </c>
      <c r="U107" s="28"/>
      <c r="V107" s="28"/>
      <c r="W107" s="28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J107" s="34" t="str">
        <f aca="false">IF(OR($BD107&lt;&gt;"",$BF107&lt;&gt;"",$BH107&lt;&gt;""),"Yes","No")</f>
        <v>No</v>
      </c>
      <c r="BK107" s="35" t="str">
        <f aca="false">IFERROR(IF(BD107="","",BD107*INDEX('00 - Lists'!$M$2:$M$11,MATCH(L107,'00 - Lists'!$L$2:$L$11,0))/100000),"")</f>
        <v/>
      </c>
      <c r="BL107" s="35" t="str">
        <f aca="false">IFERROR(IF(BE107="","",BE107*INDEX('00 - Lists'!$M$2:$M$11,MATCH(L107,'00 - Lists'!$L$2:$L$11,0))/100000),"")</f>
        <v/>
      </c>
      <c r="BM107" s="35" t="str">
        <f aca="false">IFERROR(IF(BF107="","",BF107*INDEX('00 - Lists'!$M$2:$M$11,MATCH(L107,'00 - Lists'!$L$2:$L$11,0))/100000),"")</f>
        <v/>
      </c>
      <c r="BN107" s="35" t="str">
        <f aca="false">IFERROR(IF(BG107="","",BG107*INDEX('00 - Lists'!$M$2:$M$11,MATCH(L107,'00 - Lists'!$L$2:$L$11,0))/100000),"")</f>
        <v/>
      </c>
      <c r="BO107" s="35" t="str">
        <f aca="false">IFERROR(IF(BH107="","",BH107*INDEX('00 - Lists'!$M$2:$M$11,MATCH(L107,'00 - Lists'!$L$2:$L$11,0))/100000),"")</f>
        <v/>
      </c>
      <c r="BP107" s="35" t="str">
        <f aca="false">IFERROR(IF(BI107="","",BI107*INDEX('00 - Lists'!$M$2:$M$11,MATCH(L107,'00 - Lists'!$L$2:$L$11,0))/100000),"")</f>
        <v/>
      </c>
      <c r="BS107" s="36" t="str">
        <f aca="false">IF(O107="","",IF(O107&gt;=20,"Yes","No"))</f>
        <v/>
      </c>
      <c r="BT107" s="36" t="str">
        <f aca="false">IF(O107="","",IF(O107&gt;=30,"Yes","No"))</f>
        <v/>
      </c>
      <c r="BU107" s="36" t="str">
        <f aca="false">IF(O107="","",IF(O107&gt;=75,"Yes","No"))</f>
        <v/>
      </c>
      <c r="BV107" s="36" t="str">
        <f aca="false">IF(O107="","",IF(O107&gt;=100,"Yes","No"))</f>
        <v/>
      </c>
      <c r="BW107" s="36" t="str">
        <f aca="false">IF(O107="","",IF(O107&gt;=150,"Yes","No"))</f>
        <v/>
      </c>
      <c r="BX107" s="36" t="str">
        <f aca="false">IF(O107="","",IF(O107&gt;=200,"Yes","No"))</f>
        <v/>
      </c>
      <c r="BY107" s="36" t="str">
        <f aca="false">IF(Q107="","",IF(Q107&gt;=150000,"Yes","No"))</f>
        <v/>
      </c>
      <c r="BZ107" s="36" t="str">
        <f aca="false">IF(Q107="","",IF(Q107&gt;=200000,"Yes","No"))</f>
        <v/>
      </c>
      <c r="CA107" s="36" t="str">
        <f aca="false">IF(Q107="","",IF(Q107&gt;=250000,"Yes","No"))</f>
        <v/>
      </c>
      <c r="CB107" s="36" t="str">
        <f aca="false">IF(Q107="","",IF(Q107&gt;=300000,"Yes","No"))</f>
        <v/>
      </c>
      <c r="CC107" s="37"/>
      <c r="CD107" s="36" t="str">
        <f aca="true">IF(B107="","",IF(TODAY()-B107&lt;=7,"🟢 0-7d",IF(TODAY()-B107&lt;=30,"🟡 8-30d",IF(TODAY()-B107&lt;=60,"🟠 31-60d","🔴 60d+"))))</f>
        <v/>
      </c>
      <c r="CE107" s="36" t="str">
        <f aca="false">IF(G107="","",IF(G107&lt;&gt;"USA","N/A - Not USA Role",IF(J107="Yes",IF(OR(F107="Intern",F107="New Grad"),"🟡 Possible","🟢 Strong"),IF(J107="No","🔴 Difficult","⚪ Unknown"))))</f>
        <v/>
      </c>
      <c r="CF107" s="37"/>
      <c r="CG107" s="37"/>
      <c r="CH107" s="38"/>
      <c r="CI107" s="38"/>
      <c r="CJ107" s="38"/>
      <c r="CK107" s="38"/>
    </row>
    <row r="108" customFormat="false" ht="15" hidden="false" customHeight="true" outlineLevel="0" collapsed="false">
      <c r="A108" s="26" t="str">
        <f aca="false">IF($C108="","",ROW()-3)</f>
        <v/>
      </c>
      <c r="B108" s="27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9"/>
      <c r="N108" s="29"/>
      <c r="O108" s="30" t="str">
        <f aca="false">IFERROR(IF(M108="","",M108*INDEX('00 - Lists'!$M$2:$M$11,MATCH(L108,'00 - Lists'!$L$2:$L$11,0))/100000),"")</f>
        <v/>
      </c>
      <c r="P108" s="30" t="str">
        <f aca="false">IFERROR(IF(N108="","",N108*INDEX('00 - Lists'!$M$2:$M$11,MATCH(L108,'00 - Lists'!$L$2:$L$11,0))/100000),"")</f>
        <v/>
      </c>
      <c r="Q108" s="31" t="str">
        <f aca="false">IFERROR(IF(M108="","",M108*INDEX('00 - Lists'!$N$2:$N$11,MATCH(L108,'00 - Lists'!$L$2:$L$11,0))),"")</f>
        <v/>
      </c>
      <c r="R108" s="31" t="str">
        <f aca="false">IFERROR(IF(N108="","",N108*INDEX('00 - Lists'!$N$2:$N$11,MATCH(L108,'00 - Lists'!$L$2:$L$11,0))),"")</f>
        <v/>
      </c>
      <c r="S108" s="32" t="str">
        <f aca="false">IF(O108="","",IF(O108&gt;=50,"Yes","No"))</f>
        <v/>
      </c>
      <c r="T108" s="32" t="str">
        <f aca="false">IF(Q108="","",IF(Q108&gt;=100000,"Yes","No"))</f>
        <v/>
      </c>
      <c r="U108" s="28"/>
      <c r="V108" s="28"/>
      <c r="W108" s="28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J108" s="34" t="str">
        <f aca="false">IF(OR($BD108&lt;&gt;"",$BF108&lt;&gt;"",$BH108&lt;&gt;""),"Yes","No")</f>
        <v>No</v>
      </c>
      <c r="BK108" s="35" t="str">
        <f aca="false">IFERROR(IF(BD108="","",BD108*INDEX('00 - Lists'!$M$2:$M$11,MATCH(L108,'00 - Lists'!$L$2:$L$11,0))/100000),"")</f>
        <v/>
      </c>
      <c r="BL108" s="35" t="str">
        <f aca="false">IFERROR(IF(BE108="","",BE108*INDEX('00 - Lists'!$M$2:$M$11,MATCH(L108,'00 - Lists'!$L$2:$L$11,0))/100000),"")</f>
        <v/>
      </c>
      <c r="BM108" s="35" t="str">
        <f aca="false">IFERROR(IF(BF108="","",BF108*INDEX('00 - Lists'!$M$2:$M$11,MATCH(L108,'00 - Lists'!$L$2:$L$11,0))/100000),"")</f>
        <v/>
      </c>
      <c r="BN108" s="35" t="str">
        <f aca="false">IFERROR(IF(BG108="","",BG108*INDEX('00 - Lists'!$M$2:$M$11,MATCH(L108,'00 - Lists'!$L$2:$L$11,0))/100000),"")</f>
        <v/>
      </c>
      <c r="BO108" s="35" t="str">
        <f aca="false">IFERROR(IF(BH108="","",BH108*INDEX('00 - Lists'!$M$2:$M$11,MATCH(L108,'00 - Lists'!$L$2:$L$11,0))/100000),"")</f>
        <v/>
      </c>
      <c r="BP108" s="35" t="str">
        <f aca="false">IFERROR(IF(BI108="","",BI108*INDEX('00 - Lists'!$M$2:$M$11,MATCH(L108,'00 - Lists'!$L$2:$L$11,0))/100000),"")</f>
        <v/>
      </c>
      <c r="BS108" s="36" t="str">
        <f aca="false">IF(O108="","",IF(O108&gt;=20,"Yes","No"))</f>
        <v/>
      </c>
      <c r="BT108" s="36" t="str">
        <f aca="false">IF(O108="","",IF(O108&gt;=30,"Yes","No"))</f>
        <v/>
      </c>
      <c r="BU108" s="36" t="str">
        <f aca="false">IF(O108="","",IF(O108&gt;=75,"Yes","No"))</f>
        <v/>
      </c>
      <c r="BV108" s="36" t="str">
        <f aca="false">IF(O108="","",IF(O108&gt;=100,"Yes","No"))</f>
        <v/>
      </c>
      <c r="BW108" s="36" t="str">
        <f aca="false">IF(O108="","",IF(O108&gt;=150,"Yes","No"))</f>
        <v/>
      </c>
      <c r="BX108" s="36" t="str">
        <f aca="false">IF(O108="","",IF(O108&gt;=200,"Yes","No"))</f>
        <v/>
      </c>
      <c r="BY108" s="36" t="str">
        <f aca="false">IF(Q108="","",IF(Q108&gt;=150000,"Yes","No"))</f>
        <v/>
      </c>
      <c r="BZ108" s="36" t="str">
        <f aca="false">IF(Q108="","",IF(Q108&gt;=200000,"Yes","No"))</f>
        <v/>
      </c>
      <c r="CA108" s="36" t="str">
        <f aca="false">IF(Q108="","",IF(Q108&gt;=250000,"Yes","No"))</f>
        <v/>
      </c>
      <c r="CB108" s="36" t="str">
        <f aca="false">IF(Q108="","",IF(Q108&gt;=300000,"Yes","No"))</f>
        <v/>
      </c>
      <c r="CC108" s="37"/>
      <c r="CD108" s="36" t="str">
        <f aca="true">IF(B108="","",IF(TODAY()-B108&lt;=7,"🟢 0-7d",IF(TODAY()-B108&lt;=30,"🟡 8-30d",IF(TODAY()-B108&lt;=60,"🟠 31-60d","🔴 60d+"))))</f>
        <v/>
      </c>
      <c r="CE108" s="36" t="str">
        <f aca="false">IF(G108="","",IF(G108&lt;&gt;"USA","N/A - Not USA Role",IF(J108="Yes",IF(OR(F108="Intern",F108="New Grad"),"🟡 Possible","🟢 Strong"),IF(J108="No","🔴 Difficult","⚪ Unknown"))))</f>
        <v/>
      </c>
      <c r="CF108" s="37"/>
      <c r="CG108" s="37"/>
      <c r="CH108" s="38"/>
      <c r="CI108" s="38"/>
      <c r="CJ108" s="38"/>
      <c r="CK108" s="38"/>
    </row>
    <row r="109" customFormat="false" ht="15" hidden="false" customHeight="true" outlineLevel="0" collapsed="false">
      <c r="A109" s="26" t="str">
        <f aca="false">IF($C109="","",ROW()-3)</f>
        <v/>
      </c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9"/>
      <c r="N109" s="29"/>
      <c r="O109" s="30" t="str">
        <f aca="false">IFERROR(IF(M109="","",M109*INDEX('00 - Lists'!$M$2:$M$11,MATCH(L109,'00 - Lists'!$L$2:$L$11,0))/100000),"")</f>
        <v/>
      </c>
      <c r="P109" s="30" t="str">
        <f aca="false">IFERROR(IF(N109="","",N109*INDEX('00 - Lists'!$M$2:$M$11,MATCH(L109,'00 - Lists'!$L$2:$L$11,0))/100000),"")</f>
        <v/>
      </c>
      <c r="Q109" s="31" t="str">
        <f aca="false">IFERROR(IF(M109="","",M109*INDEX('00 - Lists'!$N$2:$N$11,MATCH(L109,'00 - Lists'!$L$2:$L$11,0))),"")</f>
        <v/>
      </c>
      <c r="R109" s="31" t="str">
        <f aca="false">IFERROR(IF(N109="","",N109*INDEX('00 - Lists'!$N$2:$N$11,MATCH(L109,'00 - Lists'!$L$2:$L$11,0))),"")</f>
        <v/>
      </c>
      <c r="S109" s="32" t="str">
        <f aca="false">IF(O109="","",IF(O109&gt;=50,"Yes","No"))</f>
        <v/>
      </c>
      <c r="T109" s="32" t="str">
        <f aca="false">IF(Q109="","",IF(Q109&gt;=100000,"Yes","No"))</f>
        <v/>
      </c>
      <c r="U109" s="28"/>
      <c r="V109" s="28"/>
      <c r="W109" s="28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J109" s="34" t="str">
        <f aca="false">IF(OR($BD109&lt;&gt;"",$BF109&lt;&gt;"",$BH109&lt;&gt;""),"Yes","No")</f>
        <v>No</v>
      </c>
      <c r="BK109" s="35" t="str">
        <f aca="false">IFERROR(IF(BD109="","",BD109*INDEX('00 - Lists'!$M$2:$M$11,MATCH(L109,'00 - Lists'!$L$2:$L$11,0))/100000),"")</f>
        <v/>
      </c>
      <c r="BL109" s="35" t="str">
        <f aca="false">IFERROR(IF(BE109="","",BE109*INDEX('00 - Lists'!$M$2:$M$11,MATCH(L109,'00 - Lists'!$L$2:$L$11,0))/100000),"")</f>
        <v/>
      </c>
      <c r="BM109" s="35" t="str">
        <f aca="false">IFERROR(IF(BF109="","",BF109*INDEX('00 - Lists'!$M$2:$M$11,MATCH(L109,'00 - Lists'!$L$2:$L$11,0))/100000),"")</f>
        <v/>
      </c>
      <c r="BN109" s="35" t="str">
        <f aca="false">IFERROR(IF(BG109="","",BG109*INDEX('00 - Lists'!$M$2:$M$11,MATCH(L109,'00 - Lists'!$L$2:$L$11,0))/100000),"")</f>
        <v/>
      </c>
      <c r="BO109" s="35" t="str">
        <f aca="false">IFERROR(IF(BH109="","",BH109*INDEX('00 - Lists'!$M$2:$M$11,MATCH(L109,'00 - Lists'!$L$2:$L$11,0))/100000),"")</f>
        <v/>
      </c>
      <c r="BP109" s="35" t="str">
        <f aca="false">IFERROR(IF(BI109="","",BI109*INDEX('00 - Lists'!$M$2:$M$11,MATCH(L109,'00 - Lists'!$L$2:$L$11,0))/100000),"")</f>
        <v/>
      </c>
      <c r="BS109" s="36" t="str">
        <f aca="false">IF(O109="","",IF(O109&gt;=20,"Yes","No"))</f>
        <v/>
      </c>
      <c r="BT109" s="36" t="str">
        <f aca="false">IF(O109="","",IF(O109&gt;=30,"Yes","No"))</f>
        <v/>
      </c>
      <c r="BU109" s="36" t="str">
        <f aca="false">IF(O109="","",IF(O109&gt;=75,"Yes","No"))</f>
        <v/>
      </c>
      <c r="BV109" s="36" t="str">
        <f aca="false">IF(O109="","",IF(O109&gt;=100,"Yes","No"))</f>
        <v/>
      </c>
      <c r="BW109" s="36" t="str">
        <f aca="false">IF(O109="","",IF(O109&gt;=150,"Yes","No"))</f>
        <v/>
      </c>
      <c r="BX109" s="36" t="str">
        <f aca="false">IF(O109="","",IF(O109&gt;=200,"Yes","No"))</f>
        <v/>
      </c>
      <c r="BY109" s="36" t="str">
        <f aca="false">IF(Q109="","",IF(Q109&gt;=150000,"Yes","No"))</f>
        <v/>
      </c>
      <c r="BZ109" s="36" t="str">
        <f aca="false">IF(Q109="","",IF(Q109&gt;=200000,"Yes","No"))</f>
        <v/>
      </c>
      <c r="CA109" s="36" t="str">
        <f aca="false">IF(Q109="","",IF(Q109&gt;=250000,"Yes","No"))</f>
        <v/>
      </c>
      <c r="CB109" s="36" t="str">
        <f aca="false">IF(Q109="","",IF(Q109&gt;=300000,"Yes","No"))</f>
        <v/>
      </c>
      <c r="CC109" s="37"/>
      <c r="CD109" s="36" t="str">
        <f aca="true">IF(B109="","",IF(TODAY()-B109&lt;=7,"🟢 0-7d",IF(TODAY()-B109&lt;=30,"🟡 8-30d",IF(TODAY()-B109&lt;=60,"🟠 31-60d","🔴 60d+"))))</f>
        <v/>
      </c>
      <c r="CE109" s="36" t="str">
        <f aca="false">IF(G109="","",IF(G109&lt;&gt;"USA","N/A - Not USA Role",IF(J109="Yes",IF(OR(F109="Intern",F109="New Grad"),"🟡 Possible","🟢 Strong"),IF(J109="No","🔴 Difficult","⚪ Unknown"))))</f>
        <v/>
      </c>
      <c r="CF109" s="37"/>
      <c r="CG109" s="37"/>
      <c r="CH109" s="38"/>
      <c r="CI109" s="38"/>
      <c r="CJ109" s="38"/>
      <c r="CK109" s="38"/>
    </row>
    <row r="110" customFormat="false" ht="15" hidden="false" customHeight="true" outlineLevel="0" collapsed="false">
      <c r="A110" s="26" t="str">
        <f aca="false">IF($C110="","",ROW()-3)</f>
        <v/>
      </c>
      <c r="B110" s="27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9"/>
      <c r="N110" s="29"/>
      <c r="O110" s="30" t="str">
        <f aca="false">IFERROR(IF(M110="","",M110*INDEX('00 - Lists'!$M$2:$M$11,MATCH(L110,'00 - Lists'!$L$2:$L$11,0))/100000),"")</f>
        <v/>
      </c>
      <c r="P110" s="30" t="str">
        <f aca="false">IFERROR(IF(N110="","",N110*INDEX('00 - Lists'!$M$2:$M$11,MATCH(L110,'00 - Lists'!$L$2:$L$11,0))/100000),"")</f>
        <v/>
      </c>
      <c r="Q110" s="31" t="str">
        <f aca="false">IFERROR(IF(M110="","",M110*INDEX('00 - Lists'!$N$2:$N$11,MATCH(L110,'00 - Lists'!$L$2:$L$11,0))),"")</f>
        <v/>
      </c>
      <c r="R110" s="31" t="str">
        <f aca="false">IFERROR(IF(N110="","",N110*INDEX('00 - Lists'!$N$2:$N$11,MATCH(L110,'00 - Lists'!$L$2:$L$11,0))),"")</f>
        <v/>
      </c>
      <c r="S110" s="32" t="str">
        <f aca="false">IF(O110="","",IF(O110&gt;=50,"Yes","No"))</f>
        <v/>
      </c>
      <c r="T110" s="32" t="str">
        <f aca="false">IF(Q110="","",IF(Q110&gt;=100000,"Yes","No"))</f>
        <v/>
      </c>
      <c r="U110" s="28"/>
      <c r="V110" s="28"/>
      <c r="W110" s="28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J110" s="34" t="str">
        <f aca="false">IF(OR($BD110&lt;&gt;"",$BF110&lt;&gt;"",$BH110&lt;&gt;""),"Yes","No")</f>
        <v>No</v>
      </c>
      <c r="BK110" s="35" t="str">
        <f aca="false">IFERROR(IF(BD110="","",BD110*INDEX('00 - Lists'!$M$2:$M$11,MATCH(L110,'00 - Lists'!$L$2:$L$11,0))/100000),"")</f>
        <v/>
      </c>
      <c r="BL110" s="35" t="str">
        <f aca="false">IFERROR(IF(BE110="","",BE110*INDEX('00 - Lists'!$M$2:$M$11,MATCH(L110,'00 - Lists'!$L$2:$L$11,0))/100000),"")</f>
        <v/>
      </c>
      <c r="BM110" s="35" t="str">
        <f aca="false">IFERROR(IF(BF110="","",BF110*INDEX('00 - Lists'!$M$2:$M$11,MATCH(L110,'00 - Lists'!$L$2:$L$11,0))/100000),"")</f>
        <v/>
      </c>
      <c r="BN110" s="35" t="str">
        <f aca="false">IFERROR(IF(BG110="","",BG110*INDEX('00 - Lists'!$M$2:$M$11,MATCH(L110,'00 - Lists'!$L$2:$L$11,0))/100000),"")</f>
        <v/>
      </c>
      <c r="BO110" s="35" t="str">
        <f aca="false">IFERROR(IF(BH110="","",BH110*INDEX('00 - Lists'!$M$2:$M$11,MATCH(L110,'00 - Lists'!$L$2:$L$11,0))/100000),"")</f>
        <v/>
      </c>
      <c r="BP110" s="35" t="str">
        <f aca="false">IFERROR(IF(BI110="","",BI110*INDEX('00 - Lists'!$M$2:$M$11,MATCH(L110,'00 - Lists'!$L$2:$L$11,0))/100000),"")</f>
        <v/>
      </c>
      <c r="BS110" s="36" t="str">
        <f aca="false">IF(O110="","",IF(O110&gt;=20,"Yes","No"))</f>
        <v/>
      </c>
      <c r="BT110" s="36" t="str">
        <f aca="false">IF(O110="","",IF(O110&gt;=30,"Yes","No"))</f>
        <v/>
      </c>
      <c r="BU110" s="36" t="str">
        <f aca="false">IF(O110="","",IF(O110&gt;=75,"Yes","No"))</f>
        <v/>
      </c>
      <c r="BV110" s="36" t="str">
        <f aca="false">IF(O110="","",IF(O110&gt;=100,"Yes","No"))</f>
        <v/>
      </c>
      <c r="BW110" s="36" t="str">
        <f aca="false">IF(O110="","",IF(O110&gt;=150,"Yes","No"))</f>
        <v/>
      </c>
      <c r="BX110" s="36" t="str">
        <f aca="false">IF(O110="","",IF(O110&gt;=200,"Yes","No"))</f>
        <v/>
      </c>
      <c r="BY110" s="36" t="str">
        <f aca="false">IF(Q110="","",IF(Q110&gt;=150000,"Yes","No"))</f>
        <v/>
      </c>
      <c r="BZ110" s="36" t="str">
        <f aca="false">IF(Q110="","",IF(Q110&gt;=200000,"Yes","No"))</f>
        <v/>
      </c>
      <c r="CA110" s="36" t="str">
        <f aca="false">IF(Q110="","",IF(Q110&gt;=250000,"Yes","No"))</f>
        <v/>
      </c>
      <c r="CB110" s="36" t="str">
        <f aca="false">IF(Q110="","",IF(Q110&gt;=300000,"Yes","No"))</f>
        <v/>
      </c>
      <c r="CC110" s="37"/>
      <c r="CD110" s="36" t="str">
        <f aca="true">IF(B110="","",IF(TODAY()-B110&lt;=7,"🟢 0-7d",IF(TODAY()-B110&lt;=30,"🟡 8-30d",IF(TODAY()-B110&lt;=60,"🟠 31-60d","🔴 60d+"))))</f>
        <v/>
      </c>
      <c r="CE110" s="36" t="str">
        <f aca="false">IF(G110="","",IF(G110&lt;&gt;"USA","N/A - Not USA Role",IF(J110="Yes",IF(OR(F110="Intern",F110="New Grad"),"🟡 Possible","🟢 Strong"),IF(J110="No","🔴 Difficult","⚪ Unknown"))))</f>
        <v/>
      </c>
      <c r="CF110" s="37"/>
      <c r="CG110" s="37"/>
      <c r="CH110" s="38"/>
      <c r="CI110" s="38"/>
      <c r="CJ110" s="38"/>
      <c r="CK110" s="38"/>
    </row>
    <row r="111" customFormat="false" ht="15" hidden="false" customHeight="true" outlineLevel="0" collapsed="false">
      <c r="A111" s="26" t="str">
        <f aca="false">IF($C111="","",ROW()-3)</f>
        <v/>
      </c>
      <c r="B111" s="27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9"/>
      <c r="N111" s="29"/>
      <c r="O111" s="30" t="str">
        <f aca="false">IFERROR(IF(M111="","",M111*INDEX('00 - Lists'!$M$2:$M$11,MATCH(L111,'00 - Lists'!$L$2:$L$11,0))/100000),"")</f>
        <v/>
      </c>
      <c r="P111" s="30" t="str">
        <f aca="false">IFERROR(IF(N111="","",N111*INDEX('00 - Lists'!$M$2:$M$11,MATCH(L111,'00 - Lists'!$L$2:$L$11,0))/100000),"")</f>
        <v/>
      </c>
      <c r="Q111" s="31" t="str">
        <f aca="false">IFERROR(IF(M111="","",M111*INDEX('00 - Lists'!$N$2:$N$11,MATCH(L111,'00 - Lists'!$L$2:$L$11,0))),"")</f>
        <v/>
      </c>
      <c r="R111" s="31" t="str">
        <f aca="false">IFERROR(IF(N111="","",N111*INDEX('00 - Lists'!$N$2:$N$11,MATCH(L111,'00 - Lists'!$L$2:$L$11,0))),"")</f>
        <v/>
      </c>
      <c r="S111" s="32" t="str">
        <f aca="false">IF(O111="","",IF(O111&gt;=50,"Yes","No"))</f>
        <v/>
      </c>
      <c r="T111" s="32" t="str">
        <f aca="false">IF(Q111="","",IF(Q111&gt;=100000,"Yes","No"))</f>
        <v/>
      </c>
      <c r="U111" s="28"/>
      <c r="V111" s="28"/>
      <c r="W111" s="28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J111" s="34" t="str">
        <f aca="false">IF(OR($BD111&lt;&gt;"",$BF111&lt;&gt;"",$BH111&lt;&gt;""),"Yes","No")</f>
        <v>No</v>
      </c>
      <c r="BK111" s="35" t="str">
        <f aca="false">IFERROR(IF(BD111="","",BD111*INDEX('00 - Lists'!$M$2:$M$11,MATCH(L111,'00 - Lists'!$L$2:$L$11,0))/100000),"")</f>
        <v/>
      </c>
      <c r="BL111" s="35" t="str">
        <f aca="false">IFERROR(IF(BE111="","",BE111*INDEX('00 - Lists'!$M$2:$M$11,MATCH(L111,'00 - Lists'!$L$2:$L$11,0))/100000),"")</f>
        <v/>
      </c>
      <c r="BM111" s="35" t="str">
        <f aca="false">IFERROR(IF(BF111="","",BF111*INDEX('00 - Lists'!$M$2:$M$11,MATCH(L111,'00 - Lists'!$L$2:$L$11,0))/100000),"")</f>
        <v/>
      </c>
      <c r="BN111" s="35" t="str">
        <f aca="false">IFERROR(IF(BG111="","",BG111*INDEX('00 - Lists'!$M$2:$M$11,MATCH(L111,'00 - Lists'!$L$2:$L$11,0))/100000),"")</f>
        <v/>
      </c>
      <c r="BO111" s="35" t="str">
        <f aca="false">IFERROR(IF(BH111="","",BH111*INDEX('00 - Lists'!$M$2:$M$11,MATCH(L111,'00 - Lists'!$L$2:$L$11,0))/100000),"")</f>
        <v/>
      </c>
      <c r="BP111" s="35" t="str">
        <f aca="false">IFERROR(IF(BI111="","",BI111*INDEX('00 - Lists'!$M$2:$M$11,MATCH(L111,'00 - Lists'!$L$2:$L$11,0))/100000),"")</f>
        <v/>
      </c>
      <c r="BS111" s="36" t="str">
        <f aca="false">IF(O111="","",IF(O111&gt;=20,"Yes","No"))</f>
        <v/>
      </c>
      <c r="BT111" s="36" t="str">
        <f aca="false">IF(O111="","",IF(O111&gt;=30,"Yes","No"))</f>
        <v/>
      </c>
      <c r="BU111" s="36" t="str">
        <f aca="false">IF(O111="","",IF(O111&gt;=75,"Yes","No"))</f>
        <v/>
      </c>
      <c r="BV111" s="36" t="str">
        <f aca="false">IF(O111="","",IF(O111&gt;=100,"Yes","No"))</f>
        <v/>
      </c>
      <c r="BW111" s="36" t="str">
        <f aca="false">IF(O111="","",IF(O111&gt;=150,"Yes","No"))</f>
        <v/>
      </c>
      <c r="BX111" s="36" t="str">
        <f aca="false">IF(O111="","",IF(O111&gt;=200,"Yes","No"))</f>
        <v/>
      </c>
      <c r="BY111" s="36" t="str">
        <f aca="false">IF(Q111="","",IF(Q111&gt;=150000,"Yes","No"))</f>
        <v/>
      </c>
      <c r="BZ111" s="36" t="str">
        <f aca="false">IF(Q111="","",IF(Q111&gt;=200000,"Yes","No"))</f>
        <v/>
      </c>
      <c r="CA111" s="36" t="str">
        <f aca="false">IF(Q111="","",IF(Q111&gt;=250000,"Yes","No"))</f>
        <v/>
      </c>
      <c r="CB111" s="36" t="str">
        <f aca="false">IF(Q111="","",IF(Q111&gt;=300000,"Yes","No"))</f>
        <v/>
      </c>
      <c r="CC111" s="37"/>
      <c r="CD111" s="36" t="str">
        <f aca="true">IF(B111="","",IF(TODAY()-B111&lt;=7,"🟢 0-7d",IF(TODAY()-B111&lt;=30,"🟡 8-30d",IF(TODAY()-B111&lt;=60,"🟠 31-60d","🔴 60d+"))))</f>
        <v/>
      </c>
      <c r="CE111" s="36" t="str">
        <f aca="false">IF(G111="","",IF(G111&lt;&gt;"USA","N/A - Not USA Role",IF(J111="Yes",IF(OR(F111="Intern",F111="New Grad"),"🟡 Possible","🟢 Strong"),IF(J111="No","🔴 Difficult","⚪ Unknown"))))</f>
        <v/>
      </c>
      <c r="CF111" s="37"/>
      <c r="CG111" s="37"/>
      <c r="CH111" s="38"/>
      <c r="CI111" s="38"/>
      <c r="CJ111" s="38"/>
      <c r="CK111" s="38"/>
    </row>
    <row r="112" customFormat="false" ht="15" hidden="false" customHeight="true" outlineLevel="0" collapsed="false">
      <c r="A112" s="26" t="str">
        <f aca="false">IF($C112="","",ROW()-3)</f>
        <v/>
      </c>
      <c r="B112" s="27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9"/>
      <c r="N112" s="29"/>
      <c r="O112" s="30" t="str">
        <f aca="false">IFERROR(IF(M112="","",M112*INDEX('00 - Lists'!$M$2:$M$11,MATCH(L112,'00 - Lists'!$L$2:$L$11,0))/100000),"")</f>
        <v/>
      </c>
      <c r="P112" s="30" t="str">
        <f aca="false">IFERROR(IF(N112="","",N112*INDEX('00 - Lists'!$M$2:$M$11,MATCH(L112,'00 - Lists'!$L$2:$L$11,0))/100000),"")</f>
        <v/>
      </c>
      <c r="Q112" s="31" t="str">
        <f aca="false">IFERROR(IF(M112="","",M112*INDEX('00 - Lists'!$N$2:$N$11,MATCH(L112,'00 - Lists'!$L$2:$L$11,0))),"")</f>
        <v/>
      </c>
      <c r="R112" s="31" t="str">
        <f aca="false">IFERROR(IF(N112="","",N112*INDEX('00 - Lists'!$N$2:$N$11,MATCH(L112,'00 - Lists'!$L$2:$L$11,0))),"")</f>
        <v/>
      </c>
      <c r="S112" s="32" t="str">
        <f aca="false">IF(O112="","",IF(O112&gt;=50,"Yes","No"))</f>
        <v/>
      </c>
      <c r="T112" s="32" t="str">
        <f aca="false">IF(Q112="","",IF(Q112&gt;=100000,"Yes","No"))</f>
        <v/>
      </c>
      <c r="U112" s="28"/>
      <c r="V112" s="28"/>
      <c r="W112" s="28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J112" s="34" t="str">
        <f aca="false">IF(OR($BD112&lt;&gt;"",$BF112&lt;&gt;"",$BH112&lt;&gt;""),"Yes","No")</f>
        <v>No</v>
      </c>
      <c r="BK112" s="35" t="str">
        <f aca="false">IFERROR(IF(BD112="","",BD112*INDEX('00 - Lists'!$M$2:$M$11,MATCH(L112,'00 - Lists'!$L$2:$L$11,0))/100000),"")</f>
        <v/>
      </c>
      <c r="BL112" s="35" t="str">
        <f aca="false">IFERROR(IF(BE112="","",BE112*INDEX('00 - Lists'!$M$2:$M$11,MATCH(L112,'00 - Lists'!$L$2:$L$11,0))/100000),"")</f>
        <v/>
      </c>
      <c r="BM112" s="35" t="str">
        <f aca="false">IFERROR(IF(BF112="","",BF112*INDEX('00 - Lists'!$M$2:$M$11,MATCH(L112,'00 - Lists'!$L$2:$L$11,0))/100000),"")</f>
        <v/>
      </c>
      <c r="BN112" s="35" t="str">
        <f aca="false">IFERROR(IF(BG112="","",BG112*INDEX('00 - Lists'!$M$2:$M$11,MATCH(L112,'00 - Lists'!$L$2:$L$11,0))/100000),"")</f>
        <v/>
      </c>
      <c r="BO112" s="35" t="str">
        <f aca="false">IFERROR(IF(BH112="","",BH112*INDEX('00 - Lists'!$M$2:$M$11,MATCH(L112,'00 - Lists'!$L$2:$L$11,0))/100000),"")</f>
        <v/>
      </c>
      <c r="BP112" s="35" t="str">
        <f aca="false">IFERROR(IF(BI112="","",BI112*INDEX('00 - Lists'!$M$2:$M$11,MATCH(L112,'00 - Lists'!$L$2:$L$11,0))/100000),"")</f>
        <v/>
      </c>
      <c r="BS112" s="36" t="str">
        <f aca="false">IF(O112="","",IF(O112&gt;=20,"Yes","No"))</f>
        <v/>
      </c>
      <c r="BT112" s="36" t="str">
        <f aca="false">IF(O112="","",IF(O112&gt;=30,"Yes","No"))</f>
        <v/>
      </c>
      <c r="BU112" s="36" t="str">
        <f aca="false">IF(O112="","",IF(O112&gt;=75,"Yes","No"))</f>
        <v/>
      </c>
      <c r="BV112" s="36" t="str">
        <f aca="false">IF(O112="","",IF(O112&gt;=100,"Yes","No"))</f>
        <v/>
      </c>
      <c r="BW112" s="36" t="str">
        <f aca="false">IF(O112="","",IF(O112&gt;=150,"Yes","No"))</f>
        <v/>
      </c>
      <c r="BX112" s="36" t="str">
        <f aca="false">IF(O112="","",IF(O112&gt;=200,"Yes","No"))</f>
        <v/>
      </c>
      <c r="BY112" s="36" t="str">
        <f aca="false">IF(Q112="","",IF(Q112&gt;=150000,"Yes","No"))</f>
        <v/>
      </c>
      <c r="BZ112" s="36" t="str">
        <f aca="false">IF(Q112="","",IF(Q112&gt;=200000,"Yes","No"))</f>
        <v/>
      </c>
      <c r="CA112" s="36" t="str">
        <f aca="false">IF(Q112="","",IF(Q112&gt;=250000,"Yes","No"))</f>
        <v/>
      </c>
      <c r="CB112" s="36" t="str">
        <f aca="false">IF(Q112="","",IF(Q112&gt;=300000,"Yes","No"))</f>
        <v/>
      </c>
      <c r="CC112" s="37"/>
      <c r="CD112" s="36" t="str">
        <f aca="true">IF(B112="","",IF(TODAY()-B112&lt;=7,"🟢 0-7d",IF(TODAY()-B112&lt;=30,"🟡 8-30d",IF(TODAY()-B112&lt;=60,"🟠 31-60d","🔴 60d+"))))</f>
        <v/>
      </c>
      <c r="CE112" s="36" t="str">
        <f aca="false">IF(G112="","",IF(G112&lt;&gt;"USA","N/A - Not USA Role",IF(J112="Yes",IF(OR(F112="Intern",F112="New Grad"),"🟡 Possible","🟢 Strong"),IF(J112="No","🔴 Difficult","⚪ Unknown"))))</f>
        <v/>
      </c>
      <c r="CF112" s="37"/>
      <c r="CG112" s="37"/>
      <c r="CH112" s="38"/>
      <c r="CI112" s="38"/>
      <c r="CJ112" s="38"/>
      <c r="CK112" s="38"/>
    </row>
    <row r="113" customFormat="false" ht="15" hidden="false" customHeight="true" outlineLevel="0" collapsed="false">
      <c r="A113" s="26" t="str">
        <f aca="false">IF($C113="","",ROW()-3)</f>
        <v/>
      </c>
      <c r="B113" s="27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9"/>
      <c r="N113" s="29"/>
      <c r="O113" s="30" t="str">
        <f aca="false">IFERROR(IF(M113="","",M113*INDEX('00 - Lists'!$M$2:$M$11,MATCH(L113,'00 - Lists'!$L$2:$L$11,0))/100000),"")</f>
        <v/>
      </c>
      <c r="P113" s="30" t="str">
        <f aca="false">IFERROR(IF(N113="","",N113*INDEX('00 - Lists'!$M$2:$M$11,MATCH(L113,'00 - Lists'!$L$2:$L$11,0))/100000),"")</f>
        <v/>
      </c>
      <c r="Q113" s="31" t="str">
        <f aca="false">IFERROR(IF(M113="","",M113*INDEX('00 - Lists'!$N$2:$N$11,MATCH(L113,'00 - Lists'!$L$2:$L$11,0))),"")</f>
        <v/>
      </c>
      <c r="R113" s="31" t="str">
        <f aca="false">IFERROR(IF(N113="","",N113*INDEX('00 - Lists'!$N$2:$N$11,MATCH(L113,'00 - Lists'!$L$2:$L$11,0))),"")</f>
        <v/>
      </c>
      <c r="S113" s="32" t="str">
        <f aca="false">IF(O113="","",IF(O113&gt;=50,"Yes","No"))</f>
        <v/>
      </c>
      <c r="T113" s="32" t="str">
        <f aca="false">IF(Q113="","",IF(Q113&gt;=100000,"Yes","No"))</f>
        <v/>
      </c>
      <c r="U113" s="28"/>
      <c r="V113" s="28"/>
      <c r="W113" s="28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J113" s="34" t="str">
        <f aca="false">IF(OR($BD113&lt;&gt;"",$BF113&lt;&gt;"",$BH113&lt;&gt;""),"Yes","No")</f>
        <v>No</v>
      </c>
      <c r="BK113" s="35" t="str">
        <f aca="false">IFERROR(IF(BD113="","",BD113*INDEX('00 - Lists'!$M$2:$M$11,MATCH(L113,'00 - Lists'!$L$2:$L$11,0))/100000),"")</f>
        <v/>
      </c>
      <c r="BL113" s="35" t="str">
        <f aca="false">IFERROR(IF(BE113="","",BE113*INDEX('00 - Lists'!$M$2:$M$11,MATCH(L113,'00 - Lists'!$L$2:$L$11,0))/100000),"")</f>
        <v/>
      </c>
      <c r="BM113" s="35" t="str">
        <f aca="false">IFERROR(IF(BF113="","",BF113*INDEX('00 - Lists'!$M$2:$M$11,MATCH(L113,'00 - Lists'!$L$2:$L$11,0))/100000),"")</f>
        <v/>
      </c>
      <c r="BN113" s="35" t="str">
        <f aca="false">IFERROR(IF(BG113="","",BG113*INDEX('00 - Lists'!$M$2:$M$11,MATCH(L113,'00 - Lists'!$L$2:$L$11,0))/100000),"")</f>
        <v/>
      </c>
      <c r="BO113" s="35" t="str">
        <f aca="false">IFERROR(IF(BH113="","",BH113*INDEX('00 - Lists'!$M$2:$M$11,MATCH(L113,'00 - Lists'!$L$2:$L$11,0))/100000),"")</f>
        <v/>
      </c>
      <c r="BP113" s="35" t="str">
        <f aca="false">IFERROR(IF(BI113="","",BI113*INDEX('00 - Lists'!$M$2:$M$11,MATCH(L113,'00 - Lists'!$L$2:$L$11,0))/100000),"")</f>
        <v/>
      </c>
      <c r="BS113" s="36" t="str">
        <f aca="false">IF(O113="","",IF(O113&gt;=20,"Yes","No"))</f>
        <v/>
      </c>
      <c r="BT113" s="36" t="str">
        <f aca="false">IF(O113="","",IF(O113&gt;=30,"Yes","No"))</f>
        <v/>
      </c>
      <c r="BU113" s="36" t="str">
        <f aca="false">IF(O113="","",IF(O113&gt;=75,"Yes","No"))</f>
        <v/>
      </c>
      <c r="BV113" s="36" t="str">
        <f aca="false">IF(O113="","",IF(O113&gt;=100,"Yes","No"))</f>
        <v/>
      </c>
      <c r="BW113" s="36" t="str">
        <f aca="false">IF(O113="","",IF(O113&gt;=150,"Yes","No"))</f>
        <v/>
      </c>
      <c r="BX113" s="36" t="str">
        <f aca="false">IF(O113="","",IF(O113&gt;=200,"Yes","No"))</f>
        <v/>
      </c>
      <c r="BY113" s="36" t="str">
        <f aca="false">IF(Q113="","",IF(Q113&gt;=150000,"Yes","No"))</f>
        <v/>
      </c>
      <c r="BZ113" s="36" t="str">
        <f aca="false">IF(Q113="","",IF(Q113&gt;=200000,"Yes","No"))</f>
        <v/>
      </c>
      <c r="CA113" s="36" t="str">
        <f aca="false">IF(Q113="","",IF(Q113&gt;=250000,"Yes","No"))</f>
        <v/>
      </c>
      <c r="CB113" s="36" t="str">
        <f aca="false">IF(Q113="","",IF(Q113&gt;=300000,"Yes","No"))</f>
        <v/>
      </c>
      <c r="CC113" s="37"/>
      <c r="CD113" s="36" t="str">
        <f aca="true">IF(B113="","",IF(TODAY()-B113&lt;=7,"🟢 0-7d",IF(TODAY()-B113&lt;=30,"🟡 8-30d",IF(TODAY()-B113&lt;=60,"🟠 31-60d","🔴 60d+"))))</f>
        <v/>
      </c>
      <c r="CE113" s="36" t="str">
        <f aca="false">IF(G113="","",IF(G113&lt;&gt;"USA","N/A - Not USA Role",IF(J113="Yes",IF(OR(F113="Intern",F113="New Grad"),"🟡 Possible","🟢 Strong"),IF(J113="No","🔴 Difficult","⚪ Unknown"))))</f>
        <v/>
      </c>
      <c r="CF113" s="37"/>
      <c r="CG113" s="37"/>
      <c r="CH113" s="38"/>
      <c r="CI113" s="38"/>
      <c r="CJ113" s="38"/>
      <c r="CK113" s="38"/>
    </row>
    <row r="114" customFormat="false" ht="15" hidden="false" customHeight="true" outlineLevel="0" collapsed="false">
      <c r="A114" s="26" t="str">
        <f aca="false">IF($C114="","",ROW()-3)</f>
        <v/>
      </c>
      <c r="B114" s="27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9"/>
      <c r="N114" s="29"/>
      <c r="O114" s="30" t="str">
        <f aca="false">IFERROR(IF(M114="","",M114*INDEX('00 - Lists'!$M$2:$M$11,MATCH(L114,'00 - Lists'!$L$2:$L$11,0))/100000),"")</f>
        <v/>
      </c>
      <c r="P114" s="30" t="str">
        <f aca="false">IFERROR(IF(N114="","",N114*INDEX('00 - Lists'!$M$2:$M$11,MATCH(L114,'00 - Lists'!$L$2:$L$11,0))/100000),"")</f>
        <v/>
      </c>
      <c r="Q114" s="31" t="str">
        <f aca="false">IFERROR(IF(M114="","",M114*INDEX('00 - Lists'!$N$2:$N$11,MATCH(L114,'00 - Lists'!$L$2:$L$11,0))),"")</f>
        <v/>
      </c>
      <c r="R114" s="31" t="str">
        <f aca="false">IFERROR(IF(N114="","",N114*INDEX('00 - Lists'!$N$2:$N$11,MATCH(L114,'00 - Lists'!$L$2:$L$11,0))),"")</f>
        <v/>
      </c>
      <c r="S114" s="32" t="str">
        <f aca="false">IF(O114="","",IF(O114&gt;=50,"Yes","No"))</f>
        <v/>
      </c>
      <c r="T114" s="32" t="str">
        <f aca="false">IF(Q114="","",IF(Q114&gt;=100000,"Yes","No"))</f>
        <v/>
      </c>
      <c r="U114" s="28"/>
      <c r="V114" s="28"/>
      <c r="W114" s="28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J114" s="34" t="str">
        <f aca="false">IF(OR($BD114&lt;&gt;"",$BF114&lt;&gt;"",$BH114&lt;&gt;""),"Yes","No")</f>
        <v>No</v>
      </c>
      <c r="BK114" s="35" t="str">
        <f aca="false">IFERROR(IF(BD114="","",BD114*INDEX('00 - Lists'!$M$2:$M$11,MATCH(L114,'00 - Lists'!$L$2:$L$11,0))/100000),"")</f>
        <v/>
      </c>
      <c r="BL114" s="35" t="str">
        <f aca="false">IFERROR(IF(BE114="","",BE114*INDEX('00 - Lists'!$M$2:$M$11,MATCH(L114,'00 - Lists'!$L$2:$L$11,0))/100000),"")</f>
        <v/>
      </c>
      <c r="BM114" s="35" t="str">
        <f aca="false">IFERROR(IF(BF114="","",BF114*INDEX('00 - Lists'!$M$2:$M$11,MATCH(L114,'00 - Lists'!$L$2:$L$11,0))/100000),"")</f>
        <v/>
      </c>
      <c r="BN114" s="35" t="str">
        <f aca="false">IFERROR(IF(BG114="","",BG114*INDEX('00 - Lists'!$M$2:$M$11,MATCH(L114,'00 - Lists'!$L$2:$L$11,0))/100000),"")</f>
        <v/>
      </c>
      <c r="BO114" s="35" t="str">
        <f aca="false">IFERROR(IF(BH114="","",BH114*INDEX('00 - Lists'!$M$2:$M$11,MATCH(L114,'00 - Lists'!$L$2:$L$11,0))/100000),"")</f>
        <v/>
      </c>
      <c r="BP114" s="35" t="str">
        <f aca="false">IFERROR(IF(BI114="","",BI114*INDEX('00 - Lists'!$M$2:$M$11,MATCH(L114,'00 - Lists'!$L$2:$L$11,0))/100000),"")</f>
        <v/>
      </c>
      <c r="BS114" s="36" t="str">
        <f aca="false">IF(O114="","",IF(O114&gt;=20,"Yes","No"))</f>
        <v/>
      </c>
      <c r="BT114" s="36" t="str">
        <f aca="false">IF(O114="","",IF(O114&gt;=30,"Yes","No"))</f>
        <v/>
      </c>
      <c r="BU114" s="36" t="str">
        <f aca="false">IF(O114="","",IF(O114&gt;=75,"Yes","No"))</f>
        <v/>
      </c>
      <c r="BV114" s="36" t="str">
        <f aca="false">IF(O114="","",IF(O114&gt;=100,"Yes","No"))</f>
        <v/>
      </c>
      <c r="BW114" s="36" t="str">
        <f aca="false">IF(O114="","",IF(O114&gt;=150,"Yes","No"))</f>
        <v/>
      </c>
      <c r="BX114" s="36" t="str">
        <f aca="false">IF(O114="","",IF(O114&gt;=200,"Yes","No"))</f>
        <v/>
      </c>
      <c r="BY114" s="36" t="str">
        <f aca="false">IF(Q114="","",IF(Q114&gt;=150000,"Yes","No"))</f>
        <v/>
      </c>
      <c r="BZ114" s="36" t="str">
        <f aca="false">IF(Q114="","",IF(Q114&gt;=200000,"Yes","No"))</f>
        <v/>
      </c>
      <c r="CA114" s="36" t="str">
        <f aca="false">IF(Q114="","",IF(Q114&gt;=250000,"Yes","No"))</f>
        <v/>
      </c>
      <c r="CB114" s="36" t="str">
        <f aca="false">IF(Q114="","",IF(Q114&gt;=300000,"Yes","No"))</f>
        <v/>
      </c>
      <c r="CC114" s="37"/>
      <c r="CD114" s="36" t="str">
        <f aca="true">IF(B114="","",IF(TODAY()-B114&lt;=7,"🟢 0-7d",IF(TODAY()-B114&lt;=30,"🟡 8-30d",IF(TODAY()-B114&lt;=60,"🟠 31-60d","🔴 60d+"))))</f>
        <v/>
      </c>
      <c r="CE114" s="36" t="str">
        <f aca="false">IF(G114="","",IF(G114&lt;&gt;"USA","N/A - Not USA Role",IF(J114="Yes",IF(OR(F114="Intern",F114="New Grad"),"🟡 Possible","🟢 Strong"),IF(J114="No","🔴 Difficult","⚪ Unknown"))))</f>
        <v/>
      </c>
      <c r="CF114" s="37"/>
      <c r="CG114" s="37"/>
      <c r="CH114" s="38"/>
      <c r="CI114" s="38"/>
      <c r="CJ114" s="38"/>
      <c r="CK114" s="38"/>
    </row>
    <row r="115" customFormat="false" ht="15" hidden="false" customHeight="true" outlineLevel="0" collapsed="false">
      <c r="A115" s="26" t="str">
        <f aca="false">IF($C115="","",ROW()-3)</f>
        <v/>
      </c>
      <c r="B115" s="27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9"/>
      <c r="N115" s="29"/>
      <c r="O115" s="30" t="str">
        <f aca="false">IFERROR(IF(M115="","",M115*INDEX('00 - Lists'!$M$2:$M$11,MATCH(L115,'00 - Lists'!$L$2:$L$11,0))/100000),"")</f>
        <v/>
      </c>
      <c r="P115" s="30" t="str">
        <f aca="false">IFERROR(IF(N115="","",N115*INDEX('00 - Lists'!$M$2:$M$11,MATCH(L115,'00 - Lists'!$L$2:$L$11,0))/100000),"")</f>
        <v/>
      </c>
      <c r="Q115" s="31" t="str">
        <f aca="false">IFERROR(IF(M115="","",M115*INDEX('00 - Lists'!$N$2:$N$11,MATCH(L115,'00 - Lists'!$L$2:$L$11,0))),"")</f>
        <v/>
      </c>
      <c r="R115" s="31" t="str">
        <f aca="false">IFERROR(IF(N115="","",N115*INDEX('00 - Lists'!$N$2:$N$11,MATCH(L115,'00 - Lists'!$L$2:$L$11,0))),"")</f>
        <v/>
      </c>
      <c r="S115" s="32" t="str">
        <f aca="false">IF(O115="","",IF(O115&gt;=50,"Yes","No"))</f>
        <v/>
      </c>
      <c r="T115" s="32" t="str">
        <f aca="false">IF(Q115="","",IF(Q115&gt;=100000,"Yes","No"))</f>
        <v/>
      </c>
      <c r="U115" s="28"/>
      <c r="V115" s="28"/>
      <c r="W115" s="28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J115" s="34" t="str">
        <f aca="false">IF(OR($BD115&lt;&gt;"",$BF115&lt;&gt;"",$BH115&lt;&gt;""),"Yes","No")</f>
        <v>No</v>
      </c>
      <c r="BK115" s="35" t="str">
        <f aca="false">IFERROR(IF(BD115="","",BD115*INDEX('00 - Lists'!$M$2:$M$11,MATCH(L115,'00 - Lists'!$L$2:$L$11,0))/100000),"")</f>
        <v/>
      </c>
      <c r="BL115" s="35" t="str">
        <f aca="false">IFERROR(IF(BE115="","",BE115*INDEX('00 - Lists'!$M$2:$M$11,MATCH(L115,'00 - Lists'!$L$2:$L$11,0))/100000),"")</f>
        <v/>
      </c>
      <c r="BM115" s="35" t="str">
        <f aca="false">IFERROR(IF(BF115="","",BF115*INDEX('00 - Lists'!$M$2:$M$11,MATCH(L115,'00 - Lists'!$L$2:$L$11,0))/100000),"")</f>
        <v/>
      </c>
      <c r="BN115" s="35" t="str">
        <f aca="false">IFERROR(IF(BG115="","",BG115*INDEX('00 - Lists'!$M$2:$M$11,MATCH(L115,'00 - Lists'!$L$2:$L$11,0))/100000),"")</f>
        <v/>
      </c>
      <c r="BO115" s="35" t="str">
        <f aca="false">IFERROR(IF(BH115="","",BH115*INDEX('00 - Lists'!$M$2:$M$11,MATCH(L115,'00 - Lists'!$L$2:$L$11,0))/100000),"")</f>
        <v/>
      </c>
      <c r="BP115" s="35" t="str">
        <f aca="false">IFERROR(IF(BI115="","",BI115*INDEX('00 - Lists'!$M$2:$M$11,MATCH(L115,'00 - Lists'!$L$2:$L$11,0))/100000),"")</f>
        <v/>
      </c>
      <c r="BS115" s="36" t="str">
        <f aca="false">IF(O115="","",IF(O115&gt;=20,"Yes","No"))</f>
        <v/>
      </c>
      <c r="BT115" s="36" t="str">
        <f aca="false">IF(O115="","",IF(O115&gt;=30,"Yes","No"))</f>
        <v/>
      </c>
      <c r="BU115" s="36" t="str">
        <f aca="false">IF(O115="","",IF(O115&gt;=75,"Yes","No"))</f>
        <v/>
      </c>
      <c r="BV115" s="36" t="str">
        <f aca="false">IF(O115="","",IF(O115&gt;=100,"Yes","No"))</f>
        <v/>
      </c>
      <c r="BW115" s="36" t="str">
        <f aca="false">IF(O115="","",IF(O115&gt;=150,"Yes","No"))</f>
        <v/>
      </c>
      <c r="BX115" s="36" t="str">
        <f aca="false">IF(O115="","",IF(O115&gt;=200,"Yes","No"))</f>
        <v/>
      </c>
      <c r="BY115" s="36" t="str">
        <f aca="false">IF(Q115="","",IF(Q115&gt;=150000,"Yes","No"))</f>
        <v/>
      </c>
      <c r="BZ115" s="36" t="str">
        <f aca="false">IF(Q115="","",IF(Q115&gt;=200000,"Yes","No"))</f>
        <v/>
      </c>
      <c r="CA115" s="36" t="str">
        <f aca="false">IF(Q115="","",IF(Q115&gt;=250000,"Yes","No"))</f>
        <v/>
      </c>
      <c r="CB115" s="36" t="str">
        <f aca="false">IF(Q115="","",IF(Q115&gt;=300000,"Yes","No"))</f>
        <v/>
      </c>
      <c r="CC115" s="37"/>
      <c r="CD115" s="36" t="str">
        <f aca="true">IF(B115="","",IF(TODAY()-B115&lt;=7,"🟢 0-7d",IF(TODAY()-B115&lt;=30,"🟡 8-30d",IF(TODAY()-B115&lt;=60,"🟠 31-60d","🔴 60d+"))))</f>
        <v/>
      </c>
      <c r="CE115" s="36" t="str">
        <f aca="false">IF(G115="","",IF(G115&lt;&gt;"USA","N/A - Not USA Role",IF(J115="Yes",IF(OR(F115="Intern",F115="New Grad"),"🟡 Possible","🟢 Strong"),IF(J115="No","🔴 Difficult","⚪ Unknown"))))</f>
        <v/>
      </c>
      <c r="CF115" s="37"/>
      <c r="CG115" s="37"/>
      <c r="CH115" s="38"/>
      <c r="CI115" s="38"/>
      <c r="CJ115" s="38"/>
      <c r="CK115" s="38"/>
    </row>
    <row r="116" customFormat="false" ht="15" hidden="false" customHeight="true" outlineLevel="0" collapsed="false">
      <c r="A116" s="26" t="str">
        <f aca="false">IF($C116="","",ROW()-3)</f>
        <v/>
      </c>
      <c r="B116" s="27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9"/>
      <c r="N116" s="29"/>
      <c r="O116" s="30" t="str">
        <f aca="false">IFERROR(IF(M116="","",M116*INDEX('00 - Lists'!$M$2:$M$11,MATCH(L116,'00 - Lists'!$L$2:$L$11,0))/100000),"")</f>
        <v/>
      </c>
      <c r="P116" s="30" t="str">
        <f aca="false">IFERROR(IF(N116="","",N116*INDEX('00 - Lists'!$M$2:$M$11,MATCH(L116,'00 - Lists'!$L$2:$L$11,0))/100000),"")</f>
        <v/>
      </c>
      <c r="Q116" s="31" t="str">
        <f aca="false">IFERROR(IF(M116="","",M116*INDEX('00 - Lists'!$N$2:$N$11,MATCH(L116,'00 - Lists'!$L$2:$L$11,0))),"")</f>
        <v/>
      </c>
      <c r="R116" s="31" t="str">
        <f aca="false">IFERROR(IF(N116="","",N116*INDEX('00 - Lists'!$N$2:$N$11,MATCH(L116,'00 - Lists'!$L$2:$L$11,0))),"")</f>
        <v/>
      </c>
      <c r="S116" s="32" t="str">
        <f aca="false">IF(O116="","",IF(O116&gt;=50,"Yes","No"))</f>
        <v/>
      </c>
      <c r="T116" s="32" t="str">
        <f aca="false">IF(Q116="","",IF(Q116&gt;=100000,"Yes","No"))</f>
        <v/>
      </c>
      <c r="U116" s="28"/>
      <c r="V116" s="28"/>
      <c r="W116" s="28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J116" s="34" t="str">
        <f aca="false">IF(OR($BD116&lt;&gt;"",$BF116&lt;&gt;"",$BH116&lt;&gt;""),"Yes","No")</f>
        <v>No</v>
      </c>
      <c r="BK116" s="35" t="str">
        <f aca="false">IFERROR(IF(BD116="","",BD116*INDEX('00 - Lists'!$M$2:$M$11,MATCH(L116,'00 - Lists'!$L$2:$L$11,0))/100000),"")</f>
        <v/>
      </c>
      <c r="BL116" s="35" t="str">
        <f aca="false">IFERROR(IF(BE116="","",BE116*INDEX('00 - Lists'!$M$2:$M$11,MATCH(L116,'00 - Lists'!$L$2:$L$11,0))/100000),"")</f>
        <v/>
      </c>
      <c r="BM116" s="35" t="str">
        <f aca="false">IFERROR(IF(BF116="","",BF116*INDEX('00 - Lists'!$M$2:$M$11,MATCH(L116,'00 - Lists'!$L$2:$L$11,0))/100000),"")</f>
        <v/>
      </c>
      <c r="BN116" s="35" t="str">
        <f aca="false">IFERROR(IF(BG116="","",BG116*INDEX('00 - Lists'!$M$2:$M$11,MATCH(L116,'00 - Lists'!$L$2:$L$11,0))/100000),"")</f>
        <v/>
      </c>
      <c r="BO116" s="35" t="str">
        <f aca="false">IFERROR(IF(BH116="","",BH116*INDEX('00 - Lists'!$M$2:$M$11,MATCH(L116,'00 - Lists'!$L$2:$L$11,0))/100000),"")</f>
        <v/>
      </c>
      <c r="BP116" s="35" t="str">
        <f aca="false">IFERROR(IF(BI116="","",BI116*INDEX('00 - Lists'!$M$2:$M$11,MATCH(L116,'00 - Lists'!$L$2:$L$11,0))/100000),"")</f>
        <v/>
      </c>
      <c r="BS116" s="36" t="str">
        <f aca="false">IF(O116="","",IF(O116&gt;=20,"Yes","No"))</f>
        <v/>
      </c>
      <c r="BT116" s="36" t="str">
        <f aca="false">IF(O116="","",IF(O116&gt;=30,"Yes","No"))</f>
        <v/>
      </c>
      <c r="BU116" s="36" t="str">
        <f aca="false">IF(O116="","",IF(O116&gt;=75,"Yes","No"))</f>
        <v/>
      </c>
      <c r="BV116" s="36" t="str">
        <f aca="false">IF(O116="","",IF(O116&gt;=100,"Yes","No"))</f>
        <v/>
      </c>
      <c r="BW116" s="36" t="str">
        <f aca="false">IF(O116="","",IF(O116&gt;=150,"Yes","No"))</f>
        <v/>
      </c>
      <c r="BX116" s="36" t="str">
        <f aca="false">IF(O116="","",IF(O116&gt;=200,"Yes","No"))</f>
        <v/>
      </c>
      <c r="BY116" s="36" t="str">
        <f aca="false">IF(Q116="","",IF(Q116&gt;=150000,"Yes","No"))</f>
        <v/>
      </c>
      <c r="BZ116" s="36" t="str">
        <f aca="false">IF(Q116="","",IF(Q116&gt;=200000,"Yes","No"))</f>
        <v/>
      </c>
      <c r="CA116" s="36" t="str">
        <f aca="false">IF(Q116="","",IF(Q116&gt;=250000,"Yes","No"))</f>
        <v/>
      </c>
      <c r="CB116" s="36" t="str">
        <f aca="false">IF(Q116="","",IF(Q116&gt;=300000,"Yes","No"))</f>
        <v/>
      </c>
      <c r="CC116" s="37"/>
      <c r="CD116" s="36" t="str">
        <f aca="true">IF(B116="","",IF(TODAY()-B116&lt;=7,"🟢 0-7d",IF(TODAY()-B116&lt;=30,"🟡 8-30d",IF(TODAY()-B116&lt;=60,"🟠 31-60d","🔴 60d+"))))</f>
        <v/>
      </c>
      <c r="CE116" s="36" t="str">
        <f aca="false">IF(G116="","",IF(G116&lt;&gt;"USA","N/A - Not USA Role",IF(J116="Yes",IF(OR(F116="Intern",F116="New Grad"),"🟡 Possible","🟢 Strong"),IF(J116="No","🔴 Difficult","⚪ Unknown"))))</f>
        <v/>
      </c>
      <c r="CF116" s="37"/>
      <c r="CG116" s="37"/>
      <c r="CH116" s="38"/>
      <c r="CI116" s="38"/>
      <c r="CJ116" s="38"/>
      <c r="CK116" s="38"/>
    </row>
    <row r="117" customFormat="false" ht="15" hidden="false" customHeight="true" outlineLevel="0" collapsed="false">
      <c r="A117" s="26" t="str">
        <f aca="false">IF($C117="","",ROW()-3)</f>
        <v/>
      </c>
      <c r="B117" s="27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9"/>
      <c r="N117" s="29"/>
      <c r="O117" s="30" t="str">
        <f aca="false">IFERROR(IF(M117="","",M117*INDEX('00 - Lists'!$M$2:$M$11,MATCH(L117,'00 - Lists'!$L$2:$L$11,0))/100000),"")</f>
        <v/>
      </c>
      <c r="P117" s="30" t="str">
        <f aca="false">IFERROR(IF(N117="","",N117*INDEX('00 - Lists'!$M$2:$M$11,MATCH(L117,'00 - Lists'!$L$2:$L$11,0))/100000),"")</f>
        <v/>
      </c>
      <c r="Q117" s="31" t="str">
        <f aca="false">IFERROR(IF(M117="","",M117*INDEX('00 - Lists'!$N$2:$N$11,MATCH(L117,'00 - Lists'!$L$2:$L$11,0))),"")</f>
        <v/>
      </c>
      <c r="R117" s="31" t="str">
        <f aca="false">IFERROR(IF(N117="","",N117*INDEX('00 - Lists'!$N$2:$N$11,MATCH(L117,'00 - Lists'!$L$2:$L$11,0))),"")</f>
        <v/>
      </c>
      <c r="S117" s="32" t="str">
        <f aca="false">IF(O117="","",IF(O117&gt;=50,"Yes","No"))</f>
        <v/>
      </c>
      <c r="T117" s="32" t="str">
        <f aca="false">IF(Q117="","",IF(Q117&gt;=100000,"Yes","No"))</f>
        <v/>
      </c>
      <c r="U117" s="28"/>
      <c r="V117" s="28"/>
      <c r="W117" s="28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J117" s="34" t="str">
        <f aca="false">IF(OR($BD117&lt;&gt;"",$BF117&lt;&gt;"",$BH117&lt;&gt;""),"Yes","No")</f>
        <v>No</v>
      </c>
      <c r="BK117" s="35" t="str">
        <f aca="false">IFERROR(IF(BD117="","",BD117*INDEX('00 - Lists'!$M$2:$M$11,MATCH(L117,'00 - Lists'!$L$2:$L$11,0))/100000),"")</f>
        <v/>
      </c>
      <c r="BL117" s="35" t="str">
        <f aca="false">IFERROR(IF(BE117="","",BE117*INDEX('00 - Lists'!$M$2:$M$11,MATCH(L117,'00 - Lists'!$L$2:$L$11,0))/100000),"")</f>
        <v/>
      </c>
      <c r="BM117" s="35" t="str">
        <f aca="false">IFERROR(IF(BF117="","",BF117*INDEX('00 - Lists'!$M$2:$M$11,MATCH(L117,'00 - Lists'!$L$2:$L$11,0))/100000),"")</f>
        <v/>
      </c>
      <c r="BN117" s="35" t="str">
        <f aca="false">IFERROR(IF(BG117="","",BG117*INDEX('00 - Lists'!$M$2:$M$11,MATCH(L117,'00 - Lists'!$L$2:$L$11,0))/100000),"")</f>
        <v/>
      </c>
      <c r="BO117" s="35" t="str">
        <f aca="false">IFERROR(IF(BH117="","",BH117*INDEX('00 - Lists'!$M$2:$M$11,MATCH(L117,'00 - Lists'!$L$2:$L$11,0))/100000),"")</f>
        <v/>
      </c>
      <c r="BP117" s="35" t="str">
        <f aca="false">IFERROR(IF(BI117="","",BI117*INDEX('00 - Lists'!$M$2:$M$11,MATCH(L117,'00 - Lists'!$L$2:$L$11,0))/100000),"")</f>
        <v/>
      </c>
      <c r="BS117" s="36" t="str">
        <f aca="false">IF(O117="","",IF(O117&gt;=20,"Yes","No"))</f>
        <v/>
      </c>
      <c r="BT117" s="36" t="str">
        <f aca="false">IF(O117="","",IF(O117&gt;=30,"Yes","No"))</f>
        <v/>
      </c>
      <c r="BU117" s="36" t="str">
        <f aca="false">IF(O117="","",IF(O117&gt;=75,"Yes","No"))</f>
        <v/>
      </c>
      <c r="BV117" s="36" t="str">
        <f aca="false">IF(O117="","",IF(O117&gt;=100,"Yes","No"))</f>
        <v/>
      </c>
      <c r="BW117" s="36" t="str">
        <f aca="false">IF(O117="","",IF(O117&gt;=150,"Yes","No"))</f>
        <v/>
      </c>
      <c r="BX117" s="36" t="str">
        <f aca="false">IF(O117="","",IF(O117&gt;=200,"Yes","No"))</f>
        <v/>
      </c>
      <c r="BY117" s="36" t="str">
        <f aca="false">IF(Q117="","",IF(Q117&gt;=150000,"Yes","No"))</f>
        <v/>
      </c>
      <c r="BZ117" s="36" t="str">
        <f aca="false">IF(Q117="","",IF(Q117&gt;=200000,"Yes","No"))</f>
        <v/>
      </c>
      <c r="CA117" s="36" t="str">
        <f aca="false">IF(Q117="","",IF(Q117&gt;=250000,"Yes","No"))</f>
        <v/>
      </c>
      <c r="CB117" s="36" t="str">
        <f aca="false">IF(Q117="","",IF(Q117&gt;=300000,"Yes","No"))</f>
        <v/>
      </c>
      <c r="CC117" s="37"/>
      <c r="CD117" s="36" t="str">
        <f aca="true">IF(B117="","",IF(TODAY()-B117&lt;=7,"🟢 0-7d",IF(TODAY()-B117&lt;=30,"🟡 8-30d",IF(TODAY()-B117&lt;=60,"🟠 31-60d","🔴 60d+"))))</f>
        <v/>
      </c>
      <c r="CE117" s="36" t="str">
        <f aca="false">IF(G117="","",IF(G117&lt;&gt;"USA","N/A - Not USA Role",IF(J117="Yes",IF(OR(F117="Intern",F117="New Grad"),"🟡 Possible","🟢 Strong"),IF(J117="No","🔴 Difficult","⚪ Unknown"))))</f>
        <v/>
      </c>
      <c r="CF117" s="37"/>
      <c r="CG117" s="37"/>
      <c r="CH117" s="38"/>
      <c r="CI117" s="38"/>
      <c r="CJ117" s="38"/>
      <c r="CK117" s="38"/>
    </row>
    <row r="118" customFormat="false" ht="15" hidden="false" customHeight="true" outlineLevel="0" collapsed="false">
      <c r="A118" s="26" t="str">
        <f aca="false">IF($C118="","",ROW()-3)</f>
        <v/>
      </c>
      <c r="B118" s="27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9"/>
      <c r="N118" s="29"/>
      <c r="O118" s="30" t="str">
        <f aca="false">IFERROR(IF(M118="","",M118*INDEX('00 - Lists'!$M$2:$M$11,MATCH(L118,'00 - Lists'!$L$2:$L$11,0))/100000),"")</f>
        <v/>
      </c>
      <c r="P118" s="30" t="str">
        <f aca="false">IFERROR(IF(N118="","",N118*INDEX('00 - Lists'!$M$2:$M$11,MATCH(L118,'00 - Lists'!$L$2:$L$11,0))/100000),"")</f>
        <v/>
      </c>
      <c r="Q118" s="31" t="str">
        <f aca="false">IFERROR(IF(M118="","",M118*INDEX('00 - Lists'!$N$2:$N$11,MATCH(L118,'00 - Lists'!$L$2:$L$11,0))),"")</f>
        <v/>
      </c>
      <c r="R118" s="31" t="str">
        <f aca="false">IFERROR(IF(N118="","",N118*INDEX('00 - Lists'!$N$2:$N$11,MATCH(L118,'00 - Lists'!$L$2:$L$11,0))),"")</f>
        <v/>
      </c>
      <c r="S118" s="32" t="str">
        <f aca="false">IF(O118="","",IF(O118&gt;=50,"Yes","No"))</f>
        <v/>
      </c>
      <c r="T118" s="32" t="str">
        <f aca="false">IF(Q118="","",IF(Q118&gt;=100000,"Yes","No"))</f>
        <v/>
      </c>
      <c r="U118" s="28"/>
      <c r="V118" s="28"/>
      <c r="W118" s="28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J118" s="34" t="str">
        <f aca="false">IF(OR($BD118&lt;&gt;"",$BF118&lt;&gt;"",$BH118&lt;&gt;""),"Yes","No")</f>
        <v>No</v>
      </c>
      <c r="BK118" s="35" t="str">
        <f aca="false">IFERROR(IF(BD118="","",BD118*INDEX('00 - Lists'!$M$2:$M$11,MATCH(L118,'00 - Lists'!$L$2:$L$11,0))/100000),"")</f>
        <v/>
      </c>
      <c r="BL118" s="35" t="str">
        <f aca="false">IFERROR(IF(BE118="","",BE118*INDEX('00 - Lists'!$M$2:$M$11,MATCH(L118,'00 - Lists'!$L$2:$L$11,0))/100000),"")</f>
        <v/>
      </c>
      <c r="BM118" s="35" t="str">
        <f aca="false">IFERROR(IF(BF118="","",BF118*INDEX('00 - Lists'!$M$2:$M$11,MATCH(L118,'00 - Lists'!$L$2:$L$11,0))/100000),"")</f>
        <v/>
      </c>
      <c r="BN118" s="35" t="str">
        <f aca="false">IFERROR(IF(BG118="","",BG118*INDEX('00 - Lists'!$M$2:$M$11,MATCH(L118,'00 - Lists'!$L$2:$L$11,0))/100000),"")</f>
        <v/>
      </c>
      <c r="BO118" s="35" t="str">
        <f aca="false">IFERROR(IF(BH118="","",BH118*INDEX('00 - Lists'!$M$2:$M$11,MATCH(L118,'00 - Lists'!$L$2:$L$11,0))/100000),"")</f>
        <v/>
      </c>
      <c r="BP118" s="35" t="str">
        <f aca="false">IFERROR(IF(BI118="","",BI118*INDEX('00 - Lists'!$M$2:$M$11,MATCH(L118,'00 - Lists'!$L$2:$L$11,0))/100000),"")</f>
        <v/>
      </c>
      <c r="BS118" s="36" t="str">
        <f aca="false">IF(O118="","",IF(O118&gt;=20,"Yes","No"))</f>
        <v/>
      </c>
      <c r="BT118" s="36" t="str">
        <f aca="false">IF(O118="","",IF(O118&gt;=30,"Yes","No"))</f>
        <v/>
      </c>
      <c r="BU118" s="36" t="str">
        <f aca="false">IF(O118="","",IF(O118&gt;=75,"Yes","No"))</f>
        <v/>
      </c>
      <c r="BV118" s="36" t="str">
        <f aca="false">IF(O118="","",IF(O118&gt;=100,"Yes","No"))</f>
        <v/>
      </c>
      <c r="BW118" s="36" t="str">
        <f aca="false">IF(O118="","",IF(O118&gt;=150,"Yes","No"))</f>
        <v/>
      </c>
      <c r="BX118" s="36" t="str">
        <f aca="false">IF(O118="","",IF(O118&gt;=200,"Yes","No"))</f>
        <v/>
      </c>
      <c r="BY118" s="36" t="str">
        <f aca="false">IF(Q118="","",IF(Q118&gt;=150000,"Yes","No"))</f>
        <v/>
      </c>
      <c r="BZ118" s="36" t="str">
        <f aca="false">IF(Q118="","",IF(Q118&gt;=200000,"Yes","No"))</f>
        <v/>
      </c>
      <c r="CA118" s="36" t="str">
        <f aca="false">IF(Q118="","",IF(Q118&gt;=250000,"Yes","No"))</f>
        <v/>
      </c>
      <c r="CB118" s="36" t="str">
        <f aca="false">IF(Q118="","",IF(Q118&gt;=300000,"Yes","No"))</f>
        <v/>
      </c>
      <c r="CC118" s="37"/>
      <c r="CD118" s="36" t="str">
        <f aca="true">IF(B118="","",IF(TODAY()-B118&lt;=7,"🟢 0-7d",IF(TODAY()-B118&lt;=30,"🟡 8-30d",IF(TODAY()-B118&lt;=60,"🟠 31-60d","🔴 60d+"))))</f>
        <v/>
      </c>
      <c r="CE118" s="36" t="str">
        <f aca="false">IF(G118="","",IF(G118&lt;&gt;"USA","N/A - Not USA Role",IF(J118="Yes",IF(OR(F118="Intern",F118="New Grad"),"🟡 Possible","🟢 Strong"),IF(J118="No","🔴 Difficult","⚪ Unknown"))))</f>
        <v/>
      </c>
      <c r="CF118" s="37"/>
      <c r="CG118" s="37"/>
      <c r="CH118" s="38"/>
      <c r="CI118" s="38"/>
      <c r="CJ118" s="38"/>
      <c r="CK118" s="38"/>
    </row>
    <row r="119" customFormat="false" ht="15" hidden="false" customHeight="true" outlineLevel="0" collapsed="false">
      <c r="A119" s="26" t="str">
        <f aca="false">IF($C119="","",ROW()-3)</f>
        <v/>
      </c>
      <c r="B119" s="27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9"/>
      <c r="N119" s="29"/>
      <c r="O119" s="30" t="str">
        <f aca="false">IFERROR(IF(M119="","",M119*INDEX('00 - Lists'!$M$2:$M$11,MATCH(L119,'00 - Lists'!$L$2:$L$11,0))/100000),"")</f>
        <v/>
      </c>
      <c r="P119" s="30" t="str">
        <f aca="false">IFERROR(IF(N119="","",N119*INDEX('00 - Lists'!$M$2:$M$11,MATCH(L119,'00 - Lists'!$L$2:$L$11,0))/100000),"")</f>
        <v/>
      </c>
      <c r="Q119" s="31" t="str">
        <f aca="false">IFERROR(IF(M119="","",M119*INDEX('00 - Lists'!$N$2:$N$11,MATCH(L119,'00 - Lists'!$L$2:$L$11,0))),"")</f>
        <v/>
      </c>
      <c r="R119" s="31" t="str">
        <f aca="false">IFERROR(IF(N119="","",N119*INDEX('00 - Lists'!$N$2:$N$11,MATCH(L119,'00 - Lists'!$L$2:$L$11,0))),"")</f>
        <v/>
      </c>
      <c r="S119" s="32" t="str">
        <f aca="false">IF(O119="","",IF(O119&gt;=50,"Yes","No"))</f>
        <v/>
      </c>
      <c r="T119" s="32" t="str">
        <f aca="false">IF(Q119="","",IF(Q119&gt;=100000,"Yes","No"))</f>
        <v/>
      </c>
      <c r="U119" s="28"/>
      <c r="V119" s="28"/>
      <c r="W119" s="28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J119" s="34" t="str">
        <f aca="false">IF(OR($BD119&lt;&gt;"",$BF119&lt;&gt;"",$BH119&lt;&gt;""),"Yes","No")</f>
        <v>No</v>
      </c>
      <c r="BK119" s="35" t="str">
        <f aca="false">IFERROR(IF(BD119="","",BD119*INDEX('00 - Lists'!$M$2:$M$11,MATCH(L119,'00 - Lists'!$L$2:$L$11,0))/100000),"")</f>
        <v/>
      </c>
      <c r="BL119" s="35" t="str">
        <f aca="false">IFERROR(IF(BE119="","",BE119*INDEX('00 - Lists'!$M$2:$M$11,MATCH(L119,'00 - Lists'!$L$2:$L$11,0))/100000),"")</f>
        <v/>
      </c>
      <c r="BM119" s="35" t="str">
        <f aca="false">IFERROR(IF(BF119="","",BF119*INDEX('00 - Lists'!$M$2:$M$11,MATCH(L119,'00 - Lists'!$L$2:$L$11,0))/100000),"")</f>
        <v/>
      </c>
      <c r="BN119" s="35" t="str">
        <f aca="false">IFERROR(IF(BG119="","",BG119*INDEX('00 - Lists'!$M$2:$M$11,MATCH(L119,'00 - Lists'!$L$2:$L$11,0))/100000),"")</f>
        <v/>
      </c>
      <c r="BO119" s="35" t="str">
        <f aca="false">IFERROR(IF(BH119="","",BH119*INDEX('00 - Lists'!$M$2:$M$11,MATCH(L119,'00 - Lists'!$L$2:$L$11,0))/100000),"")</f>
        <v/>
      </c>
      <c r="BP119" s="35" t="str">
        <f aca="false">IFERROR(IF(BI119="","",BI119*INDEX('00 - Lists'!$M$2:$M$11,MATCH(L119,'00 - Lists'!$L$2:$L$11,0))/100000),"")</f>
        <v/>
      </c>
      <c r="BS119" s="36" t="str">
        <f aca="false">IF(O119="","",IF(O119&gt;=20,"Yes","No"))</f>
        <v/>
      </c>
      <c r="BT119" s="36" t="str">
        <f aca="false">IF(O119="","",IF(O119&gt;=30,"Yes","No"))</f>
        <v/>
      </c>
      <c r="BU119" s="36" t="str">
        <f aca="false">IF(O119="","",IF(O119&gt;=75,"Yes","No"))</f>
        <v/>
      </c>
      <c r="BV119" s="36" t="str">
        <f aca="false">IF(O119="","",IF(O119&gt;=100,"Yes","No"))</f>
        <v/>
      </c>
      <c r="BW119" s="36" t="str">
        <f aca="false">IF(O119="","",IF(O119&gt;=150,"Yes","No"))</f>
        <v/>
      </c>
      <c r="BX119" s="36" t="str">
        <f aca="false">IF(O119="","",IF(O119&gt;=200,"Yes","No"))</f>
        <v/>
      </c>
      <c r="BY119" s="36" t="str">
        <f aca="false">IF(Q119="","",IF(Q119&gt;=150000,"Yes","No"))</f>
        <v/>
      </c>
      <c r="BZ119" s="36" t="str">
        <f aca="false">IF(Q119="","",IF(Q119&gt;=200000,"Yes","No"))</f>
        <v/>
      </c>
      <c r="CA119" s="36" t="str">
        <f aca="false">IF(Q119="","",IF(Q119&gt;=250000,"Yes","No"))</f>
        <v/>
      </c>
      <c r="CB119" s="36" t="str">
        <f aca="false">IF(Q119="","",IF(Q119&gt;=300000,"Yes","No"))</f>
        <v/>
      </c>
      <c r="CC119" s="37"/>
      <c r="CD119" s="36" t="str">
        <f aca="true">IF(B119="","",IF(TODAY()-B119&lt;=7,"🟢 0-7d",IF(TODAY()-B119&lt;=30,"🟡 8-30d",IF(TODAY()-B119&lt;=60,"🟠 31-60d","🔴 60d+"))))</f>
        <v/>
      </c>
      <c r="CE119" s="36" t="str">
        <f aca="false">IF(G119="","",IF(G119&lt;&gt;"USA","N/A - Not USA Role",IF(J119="Yes",IF(OR(F119="Intern",F119="New Grad"),"🟡 Possible","🟢 Strong"),IF(J119="No","🔴 Difficult","⚪ Unknown"))))</f>
        <v/>
      </c>
      <c r="CF119" s="37"/>
      <c r="CG119" s="37"/>
      <c r="CH119" s="38"/>
      <c r="CI119" s="38"/>
      <c r="CJ119" s="38"/>
      <c r="CK119" s="38"/>
    </row>
    <row r="120" customFormat="false" ht="15" hidden="false" customHeight="true" outlineLevel="0" collapsed="false">
      <c r="A120" s="26" t="str">
        <f aca="false">IF($C120="","",ROW()-3)</f>
        <v/>
      </c>
      <c r="B120" s="27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9"/>
      <c r="N120" s="29"/>
      <c r="O120" s="30" t="str">
        <f aca="false">IFERROR(IF(M120="","",M120*INDEX('00 - Lists'!$M$2:$M$11,MATCH(L120,'00 - Lists'!$L$2:$L$11,0))/100000),"")</f>
        <v/>
      </c>
      <c r="P120" s="30" t="str">
        <f aca="false">IFERROR(IF(N120="","",N120*INDEX('00 - Lists'!$M$2:$M$11,MATCH(L120,'00 - Lists'!$L$2:$L$11,0))/100000),"")</f>
        <v/>
      </c>
      <c r="Q120" s="31" t="str">
        <f aca="false">IFERROR(IF(M120="","",M120*INDEX('00 - Lists'!$N$2:$N$11,MATCH(L120,'00 - Lists'!$L$2:$L$11,0))),"")</f>
        <v/>
      </c>
      <c r="R120" s="31" t="str">
        <f aca="false">IFERROR(IF(N120="","",N120*INDEX('00 - Lists'!$N$2:$N$11,MATCH(L120,'00 - Lists'!$L$2:$L$11,0))),"")</f>
        <v/>
      </c>
      <c r="S120" s="32" t="str">
        <f aca="false">IF(O120="","",IF(O120&gt;=50,"Yes","No"))</f>
        <v/>
      </c>
      <c r="T120" s="32" t="str">
        <f aca="false">IF(Q120="","",IF(Q120&gt;=100000,"Yes","No"))</f>
        <v/>
      </c>
      <c r="U120" s="28"/>
      <c r="V120" s="28"/>
      <c r="W120" s="28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J120" s="34" t="str">
        <f aca="false">IF(OR($BD120&lt;&gt;"",$BF120&lt;&gt;"",$BH120&lt;&gt;""),"Yes","No")</f>
        <v>No</v>
      </c>
      <c r="BK120" s="35" t="str">
        <f aca="false">IFERROR(IF(BD120="","",BD120*INDEX('00 - Lists'!$M$2:$M$11,MATCH(L120,'00 - Lists'!$L$2:$L$11,0))/100000),"")</f>
        <v/>
      </c>
      <c r="BL120" s="35" t="str">
        <f aca="false">IFERROR(IF(BE120="","",BE120*INDEX('00 - Lists'!$M$2:$M$11,MATCH(L120,'00 - Lists'!$L$2:$L$11,0))/100000),"")</f>
        <v/>
      </c>
      <c r="BM120" s="35" t="str">
        <f aca="false">IFERROR(IF(BF120="","",BF120*INDEX('00 - Lists'!$M$2:$M$11,MATCH(L120,'00 - Lists'!$L$2:$L$11,0))/100000),"")</f>
        <v/>
      </c>
      <c r="BN120" s="35" t="str">
        <f aca="false">IFERROR(IF(BG120="","",BG120*INDEX('00 - Lists'!$M$2:$M$11,MATCH(L120,'00 - Lists'!$L$2:$L$11,0))/100000),"")</f>
        <v/>
      </c>
      <c r="BO120" s="35" t="str">
        <f aca="false">IFERROR(IF(BH120="","",BH120*INDEX('00 - Lists'!$M$2:$M$11,MATCH(L120,'00 - Lists'!$L$2:$L$11,0))/100000),"")</f>
        <v/>
      </c>
      <c r="BP120" s="35" t="str">
        <f aca="false">IFERROR(IF(BI120="","",BI120*INDEX('00 - Lists'!$M$2:$M$11,MATCH(L120,'00 - Lists'!$L$2:$L$11,0))/100000),"")</f>
        <v/>
      </c>
      <c r="BS120" s="36" t="str">
        <f aca="false">IF(O120="","",IF(O120&gt;=20,"Yes","No"))</f>
        <v/>
      </c>
      <c r="BT120" s="36" t="str">
        <f aca="false">IF(O120="","",IF(O120&gt;=30,"Yes","No"))</f>
        <v/>
      </c>
      <c r="BU120" s="36" t="str">
        <f aca="false">IF(O120="","",IF(O120&gt;=75,"Yes","No"))</f>
        <v/>
      </c>
      <c r="BV120" s="36" t="str">
        <f aca="false">IF(O120="","",IF(O120&gt;=100,"Yes","No"))</f>
        <v/>
      </c>
      <c r="BW120" s="36" t="str">
        <f aca="false">IF(O120="","",IF(O120&gt;=150,"Yes","No"))</f>
        <v/>
      </c>
      <c r="BX120" s="36" t="str">
        <f aca="false">IF(O120="","",IF(O120&gt;=200,"Yes","No"))</f>
        <v/>
      </c>
      <c r="BY120" s="36" t="str">
        <f aca="false">IF(Q120="","",IF(Q120&gt;=150000,"Yes","No"))</f>
        <v/>
      </c>
      <c r="BZ120" s="36" t="str">
        <f aca="false">IF(Q120="","",IF(Q120&gt;=200000,"Yes","No"))</f>
        <v/>
      </c>
      <c r="CA120" s="36" t="str">
        <f aca="false">IF(Q120="","",IF(Q120&gt;=250000,"Yes","No"))</f>
        <v/>
      </c>
      <c r="CB120" s="36" t="str">
        <f aca="false">IF(Q120="","",IF(Q120&gt;=300000,"Yes","No"))</f>
        <v/>
      </c>
      <c r="CC120" s="37"/>
      <c r="CD120" s="36" t="str">
        <f aca="true">IF(B120="","",IF(TODAY()-B120&lt;=7,"🟢 0-7d",IF(TODAY()-B120&lt;=30,"🟡 8-30d",IF(TODAY()-B120&lt;=60,"🟠 31-60d","🔴 60d+"))))</f>
        <v/>
      </c>
      <c r="CE120" s="36" t="str">
        <f aca="false">IF(G120="","",IF(G120&lt;&gt;"USA","N/A - Not USA Role",IF(J120="Yes",IF(OR(F120="Intern",F120="New Grad"),"🟡 Possible","🟢 Strong"),IF(J120="No","🔴 Difficult","⚪ Unknown"))))</f>
        <v/>
      </c>
      <c r="CF120" s="37"/>
      <c r="CG120" s="37"/>
      <c r="CH120" s="38"/>
      <c r="CI120" s="38"/>
      <c r="CJ120" s="38"/>
      <c r="CK120" s="38"/>
    </row>
    <row r="121" customFormat="false" ht="15" hidden="false" customHeight="true" outlineLevel="0" collapsed="false">
      <c r="A121" s="26" t="str">
        <f aca="false">IF($C121="","",ROW()-3)</f>
        <v/>
      </c>
      <c r="B121" s="27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9"/>
      <c r="N121" s="29"/>
      <c r="O121" s="30" t="str">
        <f aca="false">IFERROR(IF(M121="","",M121*INDEX('00 - Lists'!$M$2:$M$11,MATCH(L121,'00 - Lists'!$L$2:$L$11,0))/100000),"")</f>
        <v/>
      </c>
      <c r="P121" s="30" t="str">
        <f aca="false">IFERROR(IF(N121="","",N121*INDEX('00 - Lists'!$M$2:$M$11,MATCH(L121,'00 - Lists'!$L$2:$L$11,0))/100000),"")</f>
        <v/>
      </c>
      <c r="Q121" s="31" t="str">
        <f aca="false">IFERROR(IF(M121="","",M121*INDEX('00 - Lists'!$N$2:$N$11,MATCH(L121,'00 - Lists'!$L$2:$L$11,0))),"")</f>
        <v/>
      </c>
      <c r="R121" s="31" t="str">
        <f aca="false">IFERROR(IF(N121="","",N121*INDEX('00 - Lists'!$N$2:$N$11,MATCH(L121,'00 - Lists'!$L$2:$L$11,0))),"")</f>
        <v/>
      </c>
      <c r="S121" s="32" t="str">
        <f aca="false">IF(O121="","",IF(O121&gt;=50,"Yes","No"))</f>
        <v/>
      </c>
      <c r="T121" s="32" t="str">
        <f aca="false">IF(Q121="","",IF(Q121&gt;=100000,"Yes","No"))</f>
        <v/>
      </c>
      <c r="U121" s="28"/>
      <c r="V121" s="28"/>
      <c r="W121" s="28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J121" s="34" t="str">
        <f aca="false">IF(OR($BD121&lt;&gt;"",$BF121&lt;&gt;"",$BH121&lt;&gt;""),"Yes","No")</f>
        <v>No</v>
      </c>
      <c r="BK121" s="35" t="str">
        <f aca="false">IFERROR(IF(BD121="","",BD121*INDEX('00 - Lists'!$M$2:$M$11,MATCH(L121,'00 - Lists'!$L$2:$L$11,0))/100000),"")</f>
        <v/>
      </c>
      <c r="BL121" s="35" t="str">
        <f aca="false">IFERROR(IF(BE121="","",BE121*INDEX('00 - Lists'!$M$2:$M$11,MATCH(L121,'00 - Lists'!$L$2:$L$11,0))/100000),"")</f>
        <v/>
      </c>
      <c r="BM121" s="35" t="str">
        <f aca="false">IFERROR(IF(BF121="","",BF121*INDEX('00 - Lists'!$M$2:$M$11,MATCH(L121,'00 - Lists'!$L$2:$L$11,0))/100000),"")</f>
        <v/>
      </c>
      <c r="BN121" s="35" t="str">
        <f aca="false">IFERROR(IF(BG121="","",BG121*INDEX('00 - Lists'!$M$2:$M$11,MATCH(L121,'00 - Lists'!$L$2:$L$11,0))/100000),"")</f>
        <v/>
      </c>
      <c r="BO121" s="35" t="str">
        <f aca="false">IFERROR(IF(BH121="","",BH121*INDEX('00 - Lists'!$M$2:$M$11,MATCH(L121,'00 - Lists'!$L$2:$L$11,0))/100000),"")</f>
        <v/>
      </c>
      <c r="BP121" s="35" t="str">
        <f aca="false">IFERROR(IF(BI121="","",BI121*INDEX('00 - Lists'!$M$2:$M$11,MATCH(L121,'00 - Lists'!$L$2:$L$11,0))/100000),"")</f>
        <v/>
      </c>
      <c r="BS121" s="36" t="str">
        <f aca="false">IF(O121="","",IF(O121&gt;=20,"Yes","No"))</f>
        <v/>
      </c>
      <c r="BT121" s="36" t="str">
        <f aca="false">IF(O121="","",IF(O121&gt;=30,"Yes","No"))</f>
        <v/>
      </c>
      <c r="BU121" s="36" t="str">
        <f aca="false">IF(O121="","",IF(O121&gt;=75,"Yes","No"))</f>
        <v/>
      </c>
      <c r="BV121" s="36" t="str">
        <f aca="false">IF(O121="","",IF(O121&gt;=100,"Yes","No"))</f>
        <v/>
      </c>
      <c r="BW121" s="36" t="str">
        <f aca="false">IF(O121="","",IF(O121&gt;=150,"Yes","No"))</f>
        <v/>
      </c>
      <c r="BX121" s="36" t="str">
        <f aca="false">IF(O121="","",IF(O121&gt;=200,"Yes","No"))</f>
        <v/>
      </c>
      <c r="BY121" s="36" t="str">
        <f aca="false">IF(Q121="","",IF(Q121&gt;=150000,"Yes","No"))</f>
        <v/>
      </c>
      <c r="BZ121" s="36" t="str">
        <f aca="false">IF(Q121="","",IF(Q121&gt;=200000,"Yes","No"))</f>
        <v/>
      </c>
      <c r="CA121" s="36" t="str">
        <f aca="false">IF(Q121="","",IF(Q121&gt;=250000,"Yes","No"))</f>
        <v/>
      </c>
      <c r="CB121" s="36" t="str">
        <f aca="false">IF(Q121="","",IF(Q121&gt;=300000,"Yes","No"))</f>
        <v/>
      </c>
      <c r="CC121" s="37"/>
      <c r="CD121" s="36" t="str">
        <f aca="true">IF(B121="","",IF(TODAY()-B121&lt;=7,"🟢 0-7d",IF(TODAY()-B121&lt;=30,"🟡 8-30d",IF(TODAY()-B121&lt;=60,"🟠 31-60d","🔴 60d+"))))</f>
        <v/>
      </c>
      <c r="CE121" s="36" t="str">
        <f aca="false">IF(G121="","",IF(G121&lt;&gt;"USA","N/A - Not USA Role",IF(J121="Yes",IF(OR(F121="Intern",F121="New Grad"),"🟡 Possible","🟢 Strong"),IF(J121="No","🔴 Difficult","⚪ Unknown"))))</f>
        <v/>
      </c>
      <c r="CF121" s="37"/>
      <c r="CG121" s="37"/>
      <c r="CH121" s="38"/>
      <c r="CI121" s="38"/>
      <c r="CJ121" s="38"/>
      <c r="CK121" s="38"/>
    </row>
    <row r="122" customFormat="false" ht="15" hidden="false" customHeight="true" outlineLevel="0" collapsed="false">
      <c r="A122" s="26" t="str">
        <f aca="false">IF($C122="","",ROW()-3)</f>
        <v/>
      </c>
      <c r="B122" s="27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9"/>
      <c r="N122" s="29"/>
      <c r="O122" s="30" t="str">
        <f aca="false">IFERROR(IF(M122="","",M122*INDEX('00 - Lists'!$M$2:$M$11,MATCH(L122,'00 - Lists'!$L$2:$L$11,0))/100000),"")</f>
        <v/>
      </c>
      <c r="P122" s="30" t="str">
        <f aca="false">IFERROR(IF(N122="","",N122*INDEX('00 - Lists'!$M$2:$M$11,MATCH(L122,'00 - Lists'!$L$2:$L$11,0))/100000),"")</f>
        <v/>
      </c>
      <c r="Q122" s="31" t="str">
        <f aca="false">IFERROR(IF(M122="","",M122*INDEX('00 - Lists'!$N$2:$N$11,MATCH(L122,'00 - Lists'!$L$2:$L$11,0))),"")</f>
        <v/>
      </c>
      <c r="R122" s="31" t="str">
        <f aca="false">IFERROR(IF(N122="","",N122*INDEX('00 - Lists'!$N$2:$N$11,MATCH(L122,'00 - Lists'!$L$2:$L$11,0))),"")</f>
        <v/>
      </c>
      <c r="S122" s="32" t="str">
        <f aca="false">IF(O122="","",IF(O122&gt;=50,"Yes","No"))</f>
        <v/>
      </c>
      <c r="T122" s="32" t="str">
        <f aca="false">IF(Q122="","",IF(Q122&gt;=100000,"Yes","No"))</f>
        <v/>
      </c>
      <c r="U122" s="28"/>
      <c r="V122" s="28"/>
      <c r="W122" s="28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J122" s="34" t="str">
        <f aca="false">IF(OR($BD122&lt;&gt;"",$BF122&lt;&gt;"",$BH122&lt;&gt;""),"Yes","No")</f>
        <v>No</v>
      </c>
      <c r="BK122" s="35" t="str">
        <f aca="false">IFERROR(IF(BD122="","",BD122*INDEX('00 - Lists'!$M$2:$M$11,MATCH(L122,'00 - Lists'!$L$2:$L$11,0))/100000),"")</f>
        <v/>
      </c>
      <c r="BL122" s="35" t="str">
        <f aca="false">IFERROR(IF(BE122="","",BE122*INDEX('00 - Lists'!$M$2:$M$11,MATCH(L122,'00 - Lists'!$L$2:$L$11,0))/100000),"")</f>
        <v/>
      </c>
      <c r="BM122" s="35" t="str">
        <f aca="false">IFERROR(IF(BF122="","",BF122*INDEX('00 - Lists'!$M$2:$M$11,MATCH(L122,'00 - Lists'!$L$2:$L$11,0))/100000),"")</f>
        <v/>
      </c>
      <c r="BN122" s="35" t="str">
        <f aca="false">IFERROR(IF(BG122="","",BG122*INDEX('00 - Lists'!$M$2:$M$11,MATCH(L122,'00 - Lists'!$L$2:$L$11,0))/100000),"")</f>
        <v/>
      </c>
      <c r="BO122" s="35" t="str">
        <f aca="false">IFERROR(IF(BH122="","",BH122*INDEX('00 - Lists'!$M$2:$M$11,MATCH(L122,'00 - Lists'!$L$2:$L$11,0))/100000),"")</f>
        <v/>
      </c>
      <c r="BP122" s="35" t="str">
        <f aca="false">IFERROR(IF(BI122="","",BI122*INDEX('00 - Lists'!$M$2:$M$11,MATCH(L122,'00 - Lists'!$L$2:$L$11,0))/100000),"")</f>
        <v/>
      </c>
      <c r="BS122" s="36" t="str">
        <f aca="false">IF(O122="","",IF(O122&gt;=20,"Yes","No"))</f>
        <v/>
      </c>
      <c r="BT122" s="36" t="str">
        <f aca="false">IF(O122="","",IF(O122&gt;=30,"Yes","No"))</f>
        <v/>
      </c>
      <c r="BU122" s="36" t="str">
        <f aca="false">IF(O122="","",IF(O122&gt;=75,"Yes","No"))</f>
        <v/>
      </c>
      <c r="BV122" s="36" t="str">
        <f aca="false">IF(O122="","",IF(O122&gt;=100,"Yes","No"))</f>
        <v/>
      </c>
      <c r="BW122" s="36" t="str">
        <f aca="false">IF(O122="","",IF(O122&gt;=150,"Yes","No"))</f>
        <v/>
      </c>
      <c r="BX122" s="36" t="str">
        <f aca="false">IF(O122="","",IF(O122&gt;=200,"Yes","No"))</f>
        <v/>
      </c>
      <c r="BY122" s="36" t="str">
        <f aca="false">IF(Q122="","",IF(Q122&gt;=150000,"Yes","No"))</f>
        <v/>
      </c>
      <c r="BZ122" s="36" t="str">
        <f aca="false">IF(Q122="","",IF(Q122&gt;=200000,"Yes","No"))</f>
        <v/>
      </c>
      <c r="CA122" s="36" t="str">
        <f aca="false">IF(Q122="","",IF(Q122&gt;=250000,"Yes","No"))</f>
        <v/>
      </c>
      <c r="CB122" s="36" t="str">
        <f aca="false">IF(Q122="","",IF(Q122&gt;=300000,"Yes","No"))</f>
        <v/>
      </c>
      <c r="CC122" s="37"/>
      <c r="CD122" s="36" t="str">
        <f aca="true">IF(B122="","",IF(TODAY()-B122&lt;=7,"🟢 0-7d",IF(TODAY()-B122&lt;=30,"🟡 8-30d",IF(TODAY()-B122&lt;=60,"🟠 31-60d","🔴 60d+"))))</f>
        <v/>
      </c>
      <c r="CE122" s="36" t="str">
        <f aca="false">IF(G122="","",IF(G122&lt;&gt;"USA","N/A - Not USA Role",IF(J122="Yes",IF(OR(F122="Intern",F122="New Grad"),"🟡 Possible","🟢 Strong"),IF(J122="No","🔴 Difficult","⚪ Unknown"))))</f>
        <v/>
      </c>
      <c r="CF122" s="37"/>
      <c r="CG122" s="37"/>
      <c r="CH122" s="38"/>
      <c r="CI122" s="38"/>
      <c r="CJ122" s="38"/>
      <c r="CK122" s="38"/>
    </row>
    <row r="123" customFormat="false" ht="15" hidden="false" customHeight="true" outlineLevel="0" collapsed="false">
      <c r="A123" s="26" t="str">
        <f aca="false">IF($C123="","",ROW()-3)</f>
        <v/>
      </c>
      <c r="B123" s="27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9"/>
      <c r="N123" s="29"/>
      <c r="O123" s="30" t="str">
        <f aca="false">IFERROR(IF(M123="","",M123*INDEX('00 - Lists'!$M$2:$M$11,MATCH(L123,'00 - Lists'!$L$2:$L$11,0))/100000),"")</f>
        <v/>
      </c>
      <c r="P123" s="30" t="str">
        <f aca="false">IFERROR(IF(N123="","",N123*INDEX('00 - Lists'!$M$2:$M$11,MATCH(L123,'00 - Lists'!$L$2:$L$11,0))/100000),"")</f>
        <v/>
      </c>
      <c r="Q123" s="31" t="str">
        <f aca="false">IFERROR(IF(M123="","",M123*INDEX('00 - Lists'!$N$2:$N$11,MATCH(L123,'00 - Lists'!$L$2:$L$11,0))),"")</f>
        <v/>
      </c>
      <c r="R123" s="31" t="str">
        <f aca="false">IFERROR(IF(N123="","",N123*INDEX('00 - Lists'!$N$2:$N$11,MATCH(L123,'00 - Lists'!$L$2:$L$11,0))),"")</f>
        <v/>
      </c>
      <c r="S123" s="32" t="str">
        <f aca="false">IF(O123="","",IF(O123&gt;=50,"Yes","No"))</f>
        <v/>
      </c>
      <c r="T123" s="32" t="str">
        <f aca="false">IF(Q123="","",IF(Q123&gt;=100000,"Yes","No"))</f>
        <v/>
      </c>
      <c r="U123" s="28"/>
      <c r="V123" s="28"/>
      <c r="W123" s="28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J123" s="34" t="str">
        <f aca="false">IF(OR($BD123&lt;&gt;"",$BF123&lt;&gt;"",$BH123&lt;&gt;""),"Yes","No")</f>
        <v>No</v>
      </c>
      <c r="BK123" s="35" t="str">
        <f aca="false">IFERROR(IF(BD123="","",BD123*INDEX('00 - Lists'!$M$2:$M$11,MATCH(L123,'00 - Lists'!$L$2:$L$11,0))/100000),"")</f>
        <v/>
      </c>
      <c r="BL123" s="35" t="str">
        <f aca="false">IFERROR(IF(BE123="","",BE123*INDEX('00 - Lists'!$M$2:$M$11,MATCH(L123,'00 - Lists'!$L$2:$L$11,0))/100000),"")</f>
        <v/>
      </c>
      <c r="BM123" s="35" t="str">
        <f aca="false">IFERROR(IF(BF123="","",BF123*INDEX('00 - Lists'!$M$2:$M$11,MATCH(L123,'00 - Lists'!$L$2:$L$11,0))/100000),"")</f>
        <v/>
      </c>
      <c r="BN123" s="35" t="str">
        <f aca="false">IFERROR(IF(BG123="","",BG123*INDEX('00 - Lists'!$M$2:$M$11,MATCH(L123,'00 - Lists'!$L$2:$L$11,0))/100000),"")</f>
        <v/>
      </c>
      <c r="BO123" s="35" t="str">
        <f aca="false">IFERROR(IF(BH123="","",BH123*INDEX('00 - Lists'!$M$2:$M$11,MATCH(L123,'00 - Lists'!$L$2:$L$11,0))/100000),"")</f>
        <v/>
      </c>
      <c r="BP123" s="35" t="str">
        <f aca="false">IFERROR(IF(BI123="","",BI123*INDEX('00 - Lists'!$M$2:$M$11,MATCH(L123,'00 - Lists'!$L$2:$L$11,0))/100000),"")</f>
        <v/>
      </c>
      <c r="BS123" s="36" t="str">
        <f aca="false">IF(O123="","",IF(O123&gt;=20,"Yes","No"))</f>
        <v/>
      </c>
      <c r="BT123" s="36" t="str">
        <f aca="false">IF(O123="","",IF(O123&gt;=30,"Yes","No"))</f>
        <v/>
      </c>
      <c r="BU123" s="36" t="str">
        <f aca="false">IF(O123="","",IF(O123&gt;=75,"Yes","No"))</f>
        <v/>
      </c>
      <c r="BV123" s="36" t="str">
        <f aca="false">IF(O123="","",IF(O123&gt;=100,"Yes","No"))</f>
        <v/>
      </c>
      <c r="BW123" s="36" t="str">
        <f aca="false">IF(O123="","",IF(O123&gt;=150,"Yes","No"))</f>
        <v/>
      </c>
      <c r="BX123" s="36" t="str">
        <f aca="false">IF(O123="","",IF(O123&gt;=200,"Yes","No"))</f>
        <v/>
      </c>
      <c r="BY123" s="36" t="str">
        <f aca="false">IF(Q123="","",IF(Q123&gt;=150000,"Yes","No"))</f>
        <v/>
      </c>
      <c r="BZ123" s="36" t="str">
        <f aca="false">IF(Q123="","",IF(Q123&gt;=200000,"Yes","No"))</f>
        <v/>
      </c>
      <c r="CA123" s="36" t="str">
        <f aca="false">IF(Q123="","",IF(Q123&gt;=250000,"Yes","No"))</f>
        <v/>
      </c>
      <c r="CB123" s="36" t="str">
        <f aca="false">IF(Q123="","",IF(Q123&gt;=300000,"Yes","No"))</f>
        <v/>
      </c>
      <c r="CC123" s="37"/>
      <c r="CD123" s="36" t="str">
        <f aca="true">IF(B123="","",IF(TODAY()-B123&lt;=7,"🟢 0-7d",IF(TODAY()-B123&lt;=30,"🟡 8-30d",IF(TODAY()-B123&lt;=60,"🟠 31-60d","🔴 60d+"))))</f>
        <v/>
      </c>
      <c r="CE123" s="36" t="str">
        <f aca="false">IF(G123="","",IF(G123&lt;&gt;"USA","N/A - Not USA Role",IF(J123="Yes",IF(OR(F123="Intern",F123="New Grad"),"🟡 Possible","🟢 Strong"),IF(J123="No","🔴 Difficult","⚪ Unknown"))))</f>
        <v/>
      </c>
      <c r="CF123" s="37"/>
      <c r="CG123" s="37"/>
      <c r="CH123" s="38"/>
      <c r="CI123" s="38"/>
      <c r="CJ123" s="38"/>
      <c r="CK123" s="38"/>
    </row>
    <row r="124" customFormat="false" ht="15" hidden="false" customHeight="true" outlineLevel="0" collapsed="false">
      <c r="A124" s="26" t="str">
        <f aca="false">IF($C124="","",ROW()-3)</f>
        <v/>
      </c>
      <c r="B124" s="27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9"/>
      <c r="N124" s="29"/>
      <c r="O124" s="30" t="str">
        <f aca="false">IFERROR(IF(M124="","",M124*INDEX('00 - Lists'!$M$2:$M$11,MATCH(L124,'00 - Lists'!$L$2:$L$11,0))/100000),"")</f>
        <v/>
      </c>
      <c r="P124" s="30" t="str">
        <f aca="false">IFERROR(IF(N124="","",N124*INDEX('00 - Lists'!$M$2:$M$11,MATCH(L124,'00 - Lists'!$L$2:$L$11,0))/100000),"")</f>
        <v/>
      </c>
      <c r="Q124" s="31" t="str">
        <f aca="false">IFERROR(IF(M124="","",M124*INDEX('00 - Lists'!$N$2:$N$11,MATCH(L124,'00 - Lists'!$L$2:$L$11,0))),"")</f>
        <v/>
      </c>
      <c r="R124" s="31" t="str">
        <f aca="false">IFERROR(IF(N124="","",N124*INDEX('00 - Lists'!$N$2:$N$11,MATCH(L124,'00 - Lists'!$L$2:$L$11,0))),"")</f>
        <v/>
      </c>
      <c r="S124" s="32" t="str">
        <f aca="false">IF(O124="","",IF(O124&gt;=50,"Yes","No"))</f>
        <v/>
      </c>
      <c r="T124" s="32" t="str">
        <f aca="false">IF(Q124="","",IF(Q124&gt;=100000,"Yes","No"))</f>
        <v/>
      </c>
      <c r="U124" s="28"/>
      <c r="V124" s="28"/>
      <c r="W124" s="28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J124" s="34" t="str">
        <f aca="false">IF(OR($BD124&lt;&gt;"",$BF124&lt;&gt;"",$BH124&lt;&gt;""),"Yes","No")</f>
        <v>No</v>
      </c>
      <c r="BK124" s="35" t="str">
        <f aca="false">IFERROR(IF(BD124="","",BD124*INDEX('00 - Lists'!$M$2:$M$11,MATCH(L124,'00 - Lists'!$L$2:$L$11,0))/100000),"")</f>
        <v/>
      </c>
      <c r="BL124" s="35" t="str">
        <f aca="false">IFERROR(IF(BE124="","",BE124*INDEX('00 - Lists'!$M$2:$M$11,MATCH(L124,'00 - Lists'!$L$2:$L$11,0))/100000),"")</f>
        <v/>
      </c>
      <c r="BM124" s="35" t="str">
        <f aca="false">IFERROR(IF(BF124="","",BF124*INDEX('00 - Lists'!$M$2:$M$11,MATCH(L124,'00 - Lists'!$L$2:$L$11,0))/100000),"")</f>
        <v/>
      </c>
      <c r="BN124" s="35" t="str">
        <f aca="false">IFERROR(IF(BG124="","",BG124*INDEX('00 - Lists'!$M$2:$M$11,MATCH(L124,'00 - Lists'!$L$2:$L$11,0))/100000),"")</f>
        <v/>
      </c>
      <c r="BO124" s="35" t="str">
        <f aca="false">IFERROR(IF(BH124="","",BH124*INDEX('00 - Lists'!$M$2:$M$11,MATCH(L124,'00 - Lists'!$L$2:$L$11,0))/100000),"")</f>
        <v/>
      </c>
      <c r="BP124" s="35" t="str">
        <f aca="false">IFERROR(IF(BI124="","",BI124*INDEX('00 - Lists'!$M$2:$M$11,MATCH(L124,'00 - Lists'!$L$2:$L$11,0))/100000),"")</f>
        <v/>
      </c>
      <c r="BS124" s="36" t="str">
        <f aca="false">IF(O124="","",IF(O124&gt;=20,"Yes","No"))</f>
        <v/>
      </c>
      <c r="BT124" s="36" t="str">
        <f aca="false">IF(O124="","",IF(O124&gt;=30,"Yes","No"))</f>
        <v/>
      </c>
      <c r="BU124" s="36" t="str">
        <f aca="false">IF(O124="","",IF(O124&gt;=75,"Yes","No"))</f>
        <v/>
      </c>
      <c r="BV124" s="36" t="str">
        <f aca="false">IF(O124="","",IF(O124&gt;=100,"Yes","No"))</f>
        <v/>
      </c>
      <c r="BW124" s="36" t="str">
        <f aca="false">IF(O124="","",IF(O124&gt;=150,"Yes","No"))</f>
        <v/>
      </c>
      <c r="BX124" s="36" t="str">
        <f aca="false">IF(O124="","",IF(O124&gt;=200,"Yes","No"))</f>
        <v/>
      </c>
      <c r="BY124" s="36" t="str">
        <f aca="false">IF(Q124="","",IF(Q124&gt;=150000,"Yes","No"))</f>
        <v/>
      </c>
      <c r="BZ124" s="36" t="str">
        <f aca="false">IF(Q124="","",IF(Q124&gt;=200000,"Yes","No"))</f>
        <v/>
      </c>
      <c r="CA124" s="36" t="str">
        <f aca="false">IF(Q124="","",IF(Q124&gt;=250000,"Yes","No"))</f>
        <v/>
      </c>
      <c r="CB124" s="36" t="str">
        <f aca="false">IF(Q124="","",IF(Q124&gt;=300000,"Yes","No"))</f>
        <v/>
      </c>
      <c r="CC124" s="37"/>
      <c r="CD124" s="36" t="str">
        <f aca="true">IF(B124="","",IF(TODAY()-B124&lt;=7,"🟢 0-7d",IF(TODAY()-B124&lt;=30,"🟡 8-30d",IF(TODAY()-B124&lt;=60,"🟠 31-60d","🔴 60d+"))))</f>
        <v/>
      </c>
      <c r="CE124" s="36" t="str">
        <f aca="false">IF(G124="","",IF(G124&lt;&gt;"USA","N/A - Not USA Role",IF(J124="Yes",IF(OR(F124="Intern",F124="New Grad"),"🟡 Possible","🟢 Strong"),IF(J124="No","🔴 Difficult","⚪ Unknown"))))</f>
        <v/>
      </c>
      <c r="CF124" s="37"/>
      <c r="CG124" s="37"/>
      <c r="CH124" s="38"/>
      <c r="CI124" s="38"/>
      <c r="CJ124" s="38"/>
      <c r="CK124" s="38"/>
    </row>
    <row r="125" customFormat="false" ht="15" hidden="false" customHeight="true" outlineLevel="0" collapsed="false">
      <c r="A125" s="26" t="str">
        <f aca="false">IF($C125="","",ROW()-3)</f>
        <v/>
      </c>
      <c r="B125" s="27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9"/>
      <c r="N125" s="29"/>
      <c r="O125" s="30" t="str">
        <f aca="false">IFERROR(IF(M125="","",M125*INDEX('00 - Lists'!$M$2:$M$11,MATCH(L125,'00 - Lists'!$L$2:$L$11,0))/100000),"")</f>
        <v/>
      </c>
      <c r="P125" s="30" t="str">
        <f aca="false">IFERROR(IF(N125="","",N125*INDEX('00 - Lists'!$M$2:$M$11,MATCH(L125,'00 - Lists'!$L$2:$L$11,0))/100000),"")</f>
        <v/>
      </c>
      <c r="Q125" s="31" t="str">
        <f aca="false">IFERROR(IF(M125="","",M125*INDEX('00 - Lists'!$N$2:$N$11,MATCH(L125,'00 - Lists'!$L$2:$L$11,0))),"")</f>
        <v/>
      </c>
      <c r="R125" s="31" t="str">
        <f aca="false">IFERROR(IF(N125="","",N125*INDEX('00 - Lists'!$N$2:$N$11,MATCH(L125,'00 - Lists'!$L$2:$L$11,0))),"")</f>
        <v/>
      </c>
      <c r="S125" s="32" t="str">
        <f aca="false">IF(O125="","",IF(O125&gt;=50,"Yes","No"))</f>
        <v/>
      </c>
      <c r="T125" s="32" t="str">
        <f aca="false">IF(Q125="","",IF(Q125&gt;=100000,"Yes","No"))</f>
        <v/>
      </c>
      <c r="U125" s="28"/>
      <c r="V125" s="28"/>
      <c r="W125" s="28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J125" s="34" t="str">
        <f aca="false">IF(OR($BD125&lt;&gt;"",$BF125&lt;&gt;"",$BH125&lt;&gt;""),"Yes","No")</f>
        <v>No</v>
      </c>
      <c r="BK125" s="35" t="str">
        <f aca="false">IFERROR(IF(BD125="","",BD125*INDEX('00 - Lists'!$M$2:$M$11,MATCH(L125,'00 - Lists'!$L$2:$L$11,0))/100000),"")</f>
        <v/>
      </c>
      <c r="BL125" s="35" t="str">
        <f aca="false">IFERROR(IF(BE125="","",BE125*INDEX('00 - Lists'!$M$2:$M$11,MATCH(L125,'00 - Lists'!$L$2:$L$11,0))/100000),"")</f>
        <v/>
      </c>
      <c r="BM125" s="35" t="str">
        <f aca="false">IFERROR(IF(BF125="","",BF125*INDEX('00 - Lists'!$M$2:$M$11,MATCH(L125,'00 - Lists'!$L$2:$L$11,0))/100000),"")</f>
        <v/>
      </c>
      <c r="BN125" s="35" t="str">
        <f aca="false">IFERROR(IF(BG125="","",BG125*INDEX('00 - Lists'!$M$2:$M$11,MATCH(L125,'00 - Lists'!$L$2:$L$11,0))/100000),"")</f>
        <v/>
      </c>
      <c r="BO125" s="35" t="str">
        <f aca="false">IFERROR(IF(BH125="","",BH125*INDEX('00 - Lists'!$M$2:$M$11,MATCH(L125,'00 - Lists'!$L$2:$L$11,0))/100000),"")</f>
        <v/>
      </c>
      <c r="BP125" s="35" t="str">
        <f aca="false">IFERROR(IF(BI125="","",BI125*INDEX('00 - Lists'!$M$2:$M$11,MATCH(L125,'00 - Lists'!$L$2:$L$11,0))/100000),"")</f>
        <v/>
      </c>
      <c r="BS125" s="36" t="str">
        <f aca="false">IF(O125="","",IF(O125&gt;=20,"Yes","No"))</f>
        <v/>
      </c>
      <c r="BT125" s="36" t="str">
        <f aca="false">IF(O125="","",IF(O125&gt;=30,"Yes","No"))</f>
        <v/>
      </c>
      <c r="BU125" s="36" t="str">
        <f aca="false">IF(O125="","",IF(O125&gt;=75,"Yes","No"))</f>
        <v/>
      </c>
      <c r="BV125" s="36" t="str">
        <f aca="false">IF(O125="","",IF(O125&gt;=100,"Yes","No"))</f>
        <v/>
      </c>
      <c r="BW125" s="36" t="str">
        <f aca="false">IF(O125="","",IF(O125&gt;=150,"Yes","No"))</f>
        <v/>
      </c>
      <c r="BX125" s="36" t="str">
        <f aca="false">IF(O125="","",IF(O125&gt;=200,"Yes","No"))</f>
        <v/>
      </c>
      <c r="BY125" s="36" t="str">
        <f aca="false">IF(Q125="","",IF(Q125&gt;=150000,"Yes","No"))</f>
        <v/>
      </c>
      <c r="BZ125" s="36" t="str">
        <f aca="false">IF(Q125="","",IF(Q125&gt;=200000,"Yes","No"))</f>
        <v/>
      </c>
      <c r="CA125" s="36" t="str">
        <f aca="false">IF(Q125="","",IF(Q125&gt;=250000,"Yes","No"))</f>
        <v/>
      </c>
      <c r="CB125" s="36" t="str">
        <f aca="false">IF(Q125="","",IF(Q125&gt;=300000,"Yes","No"))</f>
        <v/>
      </c>
      <c r="CC125" s="37"/>
      <c r="CD125" s="36" t="str">
        <f aca="true">IF(B125="","",IF(TODAY()-B125&lt;=7,"🟢 0-7d",IF(TODAY()-B125&lt;=30,"🟡 8-30d",IF(TODAY()-B125&lt;=60,"🟠 31-60d","🔴 60d+"))))</f>
        <v/>
      </c>
      <c r="CE125" s="36" t="str">
        <f aca="false">IF(G125="","",IF(G125&lt;&gt;"USA","N/A - Not USA Role",IF(J125="Yes",IF(OR(F125="Intern",F125="New Grad"),"🟡 Possible","🟢 Strong"),IF(J125="No","🔴 Difficult","⚪ Unknown"))))</f>
        <v/>
      </c>
      <c r="CF125" s="37"/>
      <c r="CG125" s="37"/>
      <c r="CH125" s="38"/>
      <c r="CI125" s="38"/>
      <c r="CJ125" s="38"/>
      <c r="CK125" s="38"/>
    </row>
    <row r="126" customFormat="false" ht="15" hidden="false" customHeight="true" outlineLevel="0" collapsed="false">
      <c r="A126" s="26" t="str">
        <f aca="false">IF($C126="","",ROW()-3)</f>
        <v/>
      </c>
      <c r="B126" s="27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9"/>
      <c r="N126" s="29"/>
      <c r="O126" s="30" t="str">
        <f aca="false">IFERROR(IF(M126="","",M126*INDEX('00 - Lists'!$M$2:$M$11,MATCH(L126,'00 - Lists'!$L$2:$L$11,0))/100000),"")</f>
        <v/>
      </c>
      <c r="P126" s="30" t="str">
        <f aca="false">IFERROR(IF(N126="","",N126*INDEX('00 - Lists'!$M$2:$M$11,MATCH(L126,'00 - Lists'!$L$2:$L$11,0))/100000),"")</f>
        <v/>
      </c>
      <c r="Q126" s="31" t="str">
        <f aca="false">IFERROR(IF(M126="","",M126*INDEX('00 - Lists'!$N$2:$N$11,MATCH(L126,'00 - Lists'!$L$2:$L$11,0))),"")</f>
        <v/>
      </c>
      <c r="R126" s="31" t="str">
        <f aca="false">IFERROR(IF(N126="","",N126*INDEX('00 - Lists'!$N$2:$N$11,MATCH(L126,'00 - Lists'!$L$2:$L$11,0))),"")</f>
        <v/>
      </c>
      <c r="S126" s="32" t="str">
        <f aca="false">IF(O126="","",IF(O126&gt;=50,"Yes","No"))</f>
        <v/>
      </c>
      <c r="T126" s="32" t="str">
        <f aca="false">IF(Q126="","",IF(Q126&gt;=100000,"Yes","No"))</f>
        <v/>
      </c>
      <c r="U126" s="28"/>
      <c r="V126" s="28"/>
      <c r="W126" s="28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J126" s="34" t="str">
        <f aca="false">IF(OR($BD126&lt;&gt;"",$BF126&lt;&gt;"",$BH126&lt;&gt;""),"Yes","No")</f>
        <v>No</v>
      </c>
      <c r="BK126" s="35" t="str">
        <f aca="false">IFERROR(IF(BD126="","",BD126*INDEX('00 - Lists'!$M$2:$M$11,MATCH(L126,'00 - Lists'!$L$2:$L$11,0))/100000),"")</f>
        <v/>
      </c>
      <c r="BL126" s="35" t="str">
        <f aca="false">IFERROR(IF(BE126="","",BE126*INDEX('00 - Lists'!$M$2:$M$11,MATCH(L126,'00 - Lists'!$L$2:$L$11,0))/100000),"")</f>
        <v/>
      </c>
      <c r="BM126" s="35" t="str">
        <f aca="false">IFERROR(IF(BF126="","",BF126*INDEX('00 - Lists'!$M$2:$M$11,MATCH(L126,'00 - Lists'!$L$2:$L$11,0))/100000),"")</f>
        <v/>
      </c>
      <c r="BN126" s="35" t="str">
        <f aca="false">IFERROR(IF(BG126="","",BG126*INDEX('00 - Lists'!$M$2:$M$11,MATCH(L126,'00 - Lists'!$L$2:$L$11,0))/100000),"")</f>
        <v/>
      </c>
      <c r="BO126" s="35" t="str">
        <f aca="false">IFERROR(IF(BH126="","",BH126*INDEX('00 - Lists'!$M$2:$M$11,MATCH(L126,'00 - Lists'!$L$2:$L$11,0))/100000),"")</f>
        <v/>
      </c>
      <c r="BP126" s="35" t="str">
        <f aca="false">IFERROR(IF(BI126="","",BI126*INDEX('00 - Lists'!$M$2:$M$11,MATCH(L126,'00 - Lists'!$L$2:$L$11,0))/100000),"")</f>
        <v/>
      </c>
      <c r="BS126" s="36" t="str">
        <f aca="false">IF(O126="","",IF(O126&gt;=20,"Yes","No"))</f>
        <v/>
      </c>
      <c r="BT126" s="36" t="str">
        <f aca="false">IF(O126="","",IF(O126&gt;=30,"Yes","No"))</f>
        <v/>
      </c>
      <c r="BU126" s="36" t="str">
        <f aca="false">IF(O126="","",IF(O126&gt;=75,"Yes","No"))</f>
        <v/>
      </c>
      <c r="BV126" s="36" t="str">
        <f aca="false">IF(O126="","",IF(O126&gt;=100,"Yes","No"))</f>
        <v/>
      </c>
      <c r="BW126" s="36" t="str">
        <f aca="false">IF(O126="","",IF(O126&gt;=150,"Yes","No"))</f>
        <v/>
      </c>
      <c r="BX126" s="36" t="str">
        <f aca="false">IF(O126="","",IF(O126&gt;=200,"Yes","No"))</f>
        <v/>
      </c>
      <c r="BY126" s="36" t="str">
        <f aca="false">IF(Q126="","",IF(Q126&gt;=150000,"Yes","No"))</f>
        <v/>
      </c>
      <c r="BZ126" s="36" t="str">
        <f aca="false">IF(Q126="","",IF(Q126&gt;=200000,"Yes","No"))</f>
        <v/>
      </c>
      <c r="CA126" s="36" t="str">
        <f aca="false">IF(Q126="","",IF(Q126&gt;=250000,"Yes","No"))</f>
        <v/>
      </c>
      <c r="CB126" s="36" t="str">
        <f aca="false">IF(Q126="","",IF(Q126&gt;=300000,"Yes","No"))</f>
        <v/>
      </c>
      <c r="CC126" s="37"/>
      <c r="CD126" s="36" t="str">
        <f aca="true">IF(B126="","",IF(TODAY()-B126&lt;=7,"🟢 0-7d",IF(TODAY()-B126&lt;=30,"🟡 8-30d",IF(TODAY()-B126&lt;=60,"🟠 31-60d","🔴 60d+"))))</f>
        <v/>
      </c>
      <c r="CE126" s="36" t="str">
        <f aca="false">IF(G126="","",IF(G126&lt;&gt;"USA","N/A - Not USA Role",IF(J126="Yes",IF(OR(F126="Intern",F126="New Grad"),"🟡 Possible","🟢 Strong"),IF(J126="No","🔴 Difficult","⚪ Unknown"))))</f>
        <v/>
      </c>
      <c r="CF126" s="37"/>
      <c r="CG126" s="37"/>
      <c r="CH126" s="38"/>
      <c r="CI126" s="38"/>
      <c r="CJ126" s="38"/>
      <c r="CK126" s="38"/>
    </row>
    <row r="127" customFormat="false" ht="15" hidden="false" customHeight="true" outlineLevel="0" collapsed="false">
      <c r="A127" s="26" t="str">
        <f aca="false">IF($C127="","",ROW()-3)</f>
        <v/>
      </c>
      <c r="B127" s="27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9"/>
      <c r="N127" s="29"/>
      <c r="O127" s="30" t="str">
        <f aca="false">IFERROR(IF(M127="","",M127*INDEX('00 - Lists'!$M$2:$M$11,MATCH(L127,'00 - Lists'!$L$2:$L$11,0))/100000),"")</f>
        <v/>
      </c>
      <c r="P127" s="30" t="str">
        <f aca="false">IFERROR(IF(N127="","",N127*INDEX('00 - Lists'!$M$2:$M$11,MATCH(L127,'00 - Lists'!$L$2:$L$11,0))/100000),"")</f>
        <v/>
      </c>
      <c r="Q127" s="31" t="str">
        <f aca="false">IFERROR(IF(M127="","",M127*INDEX('00 - Lists'!$N$2:$N$11,MATCH(L127,'00 - Lists'!$L$2:$L$11,0))),"")</f>
        <v/>
      </c>
      <c r="R127" s="31" t="str">
        <f aca="false">IFERROR(IF(N127="","",N127*INDEX('00 - Lists'!$N$2:$N$11,MATCH(L127,'00 - Lists'!$L$2:$L$11,0))),"")</f>
        <v/>
      </c>
      <c r="S127" s="32" t="str">
        <f aca="false">IF(O127="","",IF(O127&gt;=50,"Yes","No"))</f>
        <v/>
      </c>
      <c r="T127" s="32" t="str">
        <f aca="false">IF(Q127="","",IF(Q127&gt;=100000,"Yes","No"))</f>
        <v/>
      </c>
      <c r="U127" s="28"/>
      <c r="V127" s="28"/>
      <c r="W127" s="28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J127" s="34" t="str">
        <f aca="false">IF(OR($BD127&lt;&gt;"",$BF127&lt;&gt;"",$BH127&lt;&gt;""),"Yes","No")</f>
        <v>No</v>
      </c>
      <c r="BK127" s="35" t="str">
        <f aca="false">IFERROR(IF(BD127="","",BD127*INDEX('00 - Lists'!$M$2:$M$11,MATCH(L127,'00 - Lists'!$L$2:$L$11,0))/100000),"")</f>
        <v/>
      </c>
      <c r="BL127" s="35" t="str">
        <f aca="false">IFERROR(IF(BE127="","",BE127*INDEX('00 - Lists'!$M$2:$M$11,MATCH(L127,'00 - Lists'!$L$2:$L$11,0))/100000),"")</f>
        <v/>
      </c>
      <c r="BM127" s="35" t="str">
        <f aca="false">IFERROR(IF(BF127="","",BF127*INDEX('00 - Lists'!$M$2:$M$11,MATCH(L127,'00 - Lists'!$L$2:$L$11,0))/100000),"")</f>
        <v/>
      </c>
      <c r="BN127" s="35" t="str">
        <f aca="false">IFERROR(IF(BG127="","",BG127*INDEX('00 - Lists'!$M$2:$M$11,MATCH(L127,'00 - Lists'!$L$2:$L$11,0))/100000),"")</f>
        <v/>
      </c>
      <c r="BO127" s="35" t="str">
        <f aca="false">IFERROR(IF(BH127="","",BH127*INDEX('00 - Lists'!$M$2:$M$11,MATCH(L127,'00 - Lists'!$L$2:$L$11,0))/100000),"")</f>
        <v/>
      </c>
      <c r="BP127" s="35" t="str">
        <f aca="false">IFERROR(IF(BI127="","",BI127*INDEX('00 - Lists'!$M$2:$M$11,MATCH(L127,'00 - Lists'!$L$2:$L$11,0))/100000),"")</f>
        <v/>
      </c>
      <c r="BS127" s="36" t="str">
        <f aca="false">IF(O127="","",IF(O127&gt;=20,"Yes","No"))</f>
        <v/>
      </c>
      <c r="BT127" s="36" t="str">
        <f aca="false">IF(O127="","",IF(O127&gt;=30,"Yes","No"))</f>
        <v/>
      </c>
      <c r="BU127" s="36" t="str">
        <f aca="false">IF(O127="","",IF(O127&gt;=75,"Yes","No"))</f>
        <v/>
      </c>
      <c r="BV127" s="36" t="str">
        <f aca="false">IF(O127="","",IF(O127&gt;=100,"Yes","No"))</f>
        <v/>
      </c>
      <c r="BW127" s="36" t="str">
        <f aca="false">IF(O127="","",IF(O127&gt;=150,"Yes","No"))</f>
        <v/>
      </c>
      <c r="BX127" s="36" t="str">
        <f aca="false">IF(O127="","",IF(O127&gt;=200,"Yes","No"))</f>
        <v/>
      </c>
      <c r="BY127" s="36" t="str">
        <f aca="false">IF(Q127="","",IF(Q127&gt;=150000,"Yes","No"))</f>
        <v/>
      </c>
      <c r="BZ127" s="36" t="str">
        <f aca="false">IF(Q127="","",IF(Q127&gt;=200000,"Yes","No"))</f>
        <v/>
      </c>
      <c r="CA127" s="36" t="str">
        <f aca="false">IF(Q127="","",IF(Q127&gt;=250000,"Yes","No"))</f>
        <v/>
      </c>
      <c r="CB127" s="36" t="str">
        <f aca="false">IF(Q127="","",IF(Q127&gt;=300000,"Yes","No"))</f>
        <v/>
      </c>
      <c r="CC127" s="37"/>
      <c r="CD127" s="36" t="str">
        <f aca="true">IF(B127="","",IF(TODAY()-B127&lt;=7,"🟢 0-7d",IF(TODAY()-B127&lt;=30,"🟡 8-30d",IF(TODAY()-B127&lt;=60,"🟠 31-60d","🔴 60d+"))))</f>
        <v/>
      </c>
      <c r="CE127" s="36" t="str">
        <f aca="false">IF(G127="","",IF(G127&lt;&gt;"USA","N/A - Not USA Role",IF(J127="Yes",IF(OR(F127="Intern",F127="New Grad"),"🟡 Possible","🟢 Strong"),IF(J127="No","🔴 Difficult","⚪ Unknown"))))</f>
        <v/>
      </c>
      <c r="CF127" s="37"/>
      <c r="CG127" s="37"/>
      <c r="CH127" s="38"/>
      <c r="CI127" s="38"/>
      <c r="CJ127" s="38"/>
      <c r="CK127" s="38"/>
    </row>
    <row r="128" customFormat="false" ht="15" hidden="false" customHeight="true" outlineLevel="0" collapsed="false">
      <c r="A128" s="26" t="str">
        <f aca="false">IF($C128="","",ROW()-3)</f>
        <v/>
      </c>
      <c r="B128" s="27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9"/>
      <c r="N128" s="29"/>
      <c r="O128" s="30" t="str">
        <f aca="false">IFERROR(IF(M128="","",M128*INDEX('00 - Lists'!$M$2:$M$11,MATCH(L128,'00 - Lists'!$L$2:$L$11,0))/100000),"")</f>
        <v/>
      </c>
      <c r="P128" s="30" t="str">
        <f aca="false">IFERROR(IF(N128="","",N128*INDEX('00 - Lists'!$M$2:$M$11,MATCH(L128,'00 - Lists'!$L$2:$L$11,0))/100000),"")</f>
        <v/>
      </c>
      <c r="Q128" s="31" t="str">
        <f aca="false">IFERROR(IF(M128="","",M128*INDEX('00 - Lists'!$N$2:$N$11,MATCH(L128,'00 - Lists'!$L$2:$L$11,0))),"")</f>
        <v/>
      </c>
      <c r="R128" s="31" t="str">
        <f aca="false">IFERROR(IF(N128="","",N128*INDEX('00 - Lists'!$N$2:$N$11,MATCH(L128,'00 - Lists'!$L$2:$L$11,0))),"")</f>
        <v/>
      </c>
      <c r="S128" s="32" t="str">
        <f aca="false">IF(O128="","",IF(O128&gt;=50,"Yes","No"))</f>
        <v/>
      </c>
      <c r="T128" s="32" t="str">
        <f aca="false">IF(Q128="","",IF(Q128&gt;=100000,"Yes","No"))</f>
        <v/>
      </c>
      <c r="U128" s="28"/>
      <c r="V128" s="28"/>
      <c r="W128" s="28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J128" s="34" t="str">
        <f aca="false">IF(OR($BD128&lt;&gt;"",$BF128&lt;&gt;"",$BH128&lt;&gt;""),"Yes","No")</f>
        <v>No</v>
      </c>
      <c r="BK128" s="35" t="str">
        <f aca="false">IFERROR(IF(BD128="","",BD128*INDEX('00 - Lists'!$M$2:$M$11,MATCH(L128,'00 - Lists'!$L$2:$L$11,0))/100000),"")</f>
        <v/>
      </c>
      <c r="BL128" s="35" t="str">
        <f aca="false">IFERROR(IF(BE128="","",BE128*INDEX('00 - Lists'!$M$2:$M$11,MATCH(L128,'00 - Lists'!$L$2:$L$11,0))/100000),"")</f>
        <v/>
      </c>
      <c r="BM128" s="35" t="str">
        <f aca="false">IFERROR(IF(BF128="","",BF128*INDEX('00 - Lists'!$M$2:$M$11,MATCH(L128,'00 - Lists'!$L$2:$L$11,0))/100000),"")</f>
        <v/>
      </c>
      <c r="BN128" s="35" t="str">
        <f aca="false">IFERROR(IF(BG128="","",BG128*INDEX('00 - Lists'!$M$2:$M$11,MATCH(L128,'00 - Lists'!$L$2:$L$11,0))/100000),"")</f>
        <v/>
      </c>
      <c r="BO128" s="35" t="str">
        <f aca="false">IFERROR(IF(BH128="","",BH128*INDEX('00 - Lists'!$M$2:$M$11,MATCH(L128,'00 - Lists'!$L$2:$L$11,0))/100000),"")</f>
        <v/>
      </c>
      <c r="BP128" s="35" t="str">
        <f aca="false">IFERROR(IF(BI128="","",BI128*INDEX('00 - Lists'!$M$2:$M$11,MATCH(L128,'00 - Lists'!$L$2:$L$11,0))/100000),"")</f>
        <v/>
      </c>
      <c r="BS128" s="36" t="str">
        <f aca="false">IF(O128="","",IF(O128&gt;=20,"Yes","No"))</f>
        <v/>
      </c>
      <c r="BT128" s="36" t="str">
        <f aca="false">IF(O128="","",IF(O128&gt;=30,"Yes","No"))</f>
        <v/>
      </c>
      <c r="BU128" s="36" t="str">
        <f aca="false">IF(O128="","",IF(O128&gt;=75,"Yes","No"))</f>
        <v/>
      </c>
      <c r="BV128" s="36" t="str">
        <f aca="false">IF(O128="","",IF(O128&gt;=100,"Yes","No"))</f>
        <v/>
      </c>
      <c r="BW128" s="36" t="str">
        <f aca="false">IF(O128="","",IF(O128&gt;=150,"Yes","No"))</f>
        <v/>
      </c>
      <c r="BX128" s="36" t="str">
        <f aca="false">IF(O128="","",IF(O128&gt;=200,"Yes","No"))</f>
        <v/>
      </c>
      <c r="BY128" s="36" t="str">
        <f aca="false">IF(Q128="","",IF(Q128&gt;=150000,"Yes","No"))</f>
        <v/>
      </c>
      <c r="BZ128" s="36" t="str">
        <f aca="false">IF(Q128="","",IF(Q128&gt;=200000,"Yes","No"))</f>
        <v/>
      </c>
      <c r="CA128" s="36" t="str">
        <f aca="false">IF(Q128="","",IF(Q128&gt;=250000,"Yes","No"))</f>
        <v/>
      </c>
      <c r="CB128" s="36" t="str">
        <f aca="false">IF(Q128="","",IF(Q128&gt;=300000,"Yes","No"))</f>
        <v/>
      </c>
      <c r="CC128" s="37"/>
      <c r="CD128" s="36" t="str">
        <f aca="true">IF(B128="","",IF(TODAY()-B128&lt;=7,"🟢 0-7d",IF(TODAY()-B128&lt;=30,"🟡 8-30d",IF(TODAY()-B128&lt;=60,"🟠 31-60d","🔴 60d+"))))</f>
        <v/>
      </c>
      <c r="CE128" s="36" t="str">
        <f aca="false">IF(G128="","",IF(G128&lt;&gt;"USA","N/A - Not USA Role",IF(J128="Yes",IF(OR(F128="Intern",F128="New Grad"),"🟡 Possible","🟢 Strong"),IF(J128="No","🔴 Difficult","⚪ Unknown"))))</f>
        <v/>
      </c>
      <c r="CF128" s="37"/>
      <c r="CG128" s="37"/>
      <c r="CH128" s="38"/>
      <c r="CI128" s="38"/>
      <c r="CJ128" s="38"/>
      <c r="CK128" s="38"/>
    </row>
    <row r="129" customFormat="false" ht="15" hidden="false" customHeight="true" outlineLevel="0" collapsed="false">
      <c r="A129" s="26" t="str">
        <f aca="false">IF($C129="","",ROW()-3)</f>
        <v/>
      </c>
      <c r="B129" s="27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9"/>
      <c r="N129" s="29"/>
      <c r="O129" s="30" t="str">
        <f aca="false">IFERROR(IF(M129="","",M129*INDEX('00 - Lists'!$M$2:$M$11,MATCH(L129,'00 - Lists'!$L$2:$L$11,0))/100000),"")</f>
        <v/>
      </c>
      <c r="P129" s="30" t="str">
        <f aca="false">IFERROR(IF(N129="","",N129*INDEX('00 - Lists'!$M$2:$M$11,MATCH(L129,'00 - Lists'!$L$2:$L$11,0))/100000),"")</f>
        <v/>
      </c>
      <c r="Q129" s="31" t="str">
        <f aca="false">IFERROR(IF(M129="","",M129*INDEX('00 - Lists'!$N$2:$N$11,MATCH(L129,'00 - Lists'!$L$2:$L$11,0))),"")</f>
        <v/>
      </c>
      <c r="R129" s="31" t="str">
        <f aca="false">IFERROR(IF(N129="","",N129*INDEX('00 - Lists'!$N$2:$N$11,MATCH(L129,'00 - Lists'!$L$2:$L$11,0))),"")</f>
        <v/>
      </c>
      <c r="S129" s="32" t="str">
        <f aca="false">IF(O129="","",IF(O129&gt;=50,"Yes","No"))</f>
        <v/>
      </c>
      <c r="T129" s="32" t="str">
        <f aca="false">IF(Q129="","",IF(Q129&gt;=100000,"Yes","No"))</f>
        <v/>
      </c>
      <c r="U129" s="28"/>
      <c r="V129" s="28"/>
      <c r="W129" s="28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J129" s="34" t="str">
        <f aca="false">IF(OR($BD129&lt;&gt;"",$BF129&lt;&gt;"",$BH129&lt;&gt;""),"Yes","No")</f>
        <v>No</v>
      </c>
      <c r="BK129" s="35" t="str">
        <f aca="false">IFERROR(IF(BD129="","",BD129*INDEX('00 - Lists'!$M$2:$M$11,MATCH(L129,'00 - Lists'!$L$2:$L$11,0))/100000),"")</f>
        <v/>
      </c>
      <c r="BL129" s="35" t="str">
        <f aca="false">IFERROR(IF(BE129="","",BE129*INDEX('00 - Lists'!$M$2:$M$11,MATCH(L129,'00 - Lists'!$L$2:$L$11,0))/100000),"")</f>
        <v/>
      </c>
      <c r="BM129" s="35" t="str">
        <f aca="false">IFERROR(IF(BF129="","",BF129*INDEX('00 - Lists'!$M$2:$M$11,MATCH(L129,'00 - Lists'!$L$2:$L$11,0))/100000),"")</f>
        <v/>
      </c>
      <c r="BN129" s="35" t="str">
        <f aca="false">IFERROR(IF(BG129="","",BG129*INDEX('00 - Lists'!$M$2:$M$11,MATCH(L129,'00 - Lists'!$L$2:$L$11,0))/100000),"")</f>
        <v/>
      </c>
      <c r="BO129" s="35" t="str">
        <f aca="false">IFERROR(IF(BH129="","",BH129*INDEX('00 - Lists'!$M$2:$M$11,MATCH(L129,'00 - Lists'!$L$2:$L$11,0))/100000),"")</f>
        <v/>
      </c>
      <c r="BP129" s="35" t="str">
        <f aca="false">IFERROR(IF(BI129="","",BI129*INDEX('00 - Lists'!$M$2:$M$11,MATCH(L129,'00 - Lists'!$L$2:$L$11,0))/100000),"")</f>
        <v/>
      </c>
      <c r="BS129" s="36" t="str">
        <f aca="false">IF(O129="","",IF(O129&gt;=20,"Yes","No"))</f>
        <v/>
      </c>
      <c r="BT129" s="36" t="str">
        <f aca="false">IF(O129="","",IF(O129&gt;=30,"Yes","No"))</f>
        <v/>
      </c>
      <c r="BU129" s="36" t="str">
        <f aca="false">IF(O129="","",IF(O129&gt;=75,"Yes","No"))</f>
        <v/>
      </c>
      <c r="BV129" s="36" t="str">
        <f aca="false">IF(O129="","",IF(O129&gt;=100,"Yes","No"))</f>
        <v/>
      </c>
      <c r="BW129" s="36" t="str">
        <f aca="false">IF(O129="","",IF(O129&gt;=150,"Yes","No"))</f>
        <v/>
      </c>
      <c r="BX129" s="36" t="str">
        <f aca="false">IF(O129="","",IF(O129&gt;=200,"Yes","No"))</f>
        <v/>
      </c>
      <c r="BY129" s="36" t="str">
        <f aca="false">IF(Q129="","",IF(Q129&gt;=150000,"Yes","No"))</f>
        <v/>
      </c>
      <c r="BZ129" s="36" t="str">
        <f aca="false">IF(Q129="","",IF(Q129&gt;=200000,"Yes","No"))</f>
        <v/>
      </c>
      <c r="CA129" s="36" t="str">
        <f aca="false">IF(Q129="","",IF(Q129&gt;=250000,"Yes","No"))</f>
        <v/>
      </c>
      <c r="CB129" s="36" t="str">
        <f aca="false">IF(Q129="","",IF(Q129&gt;=300000,"Yes","No"))</f>
        <v/>
      </c>
      <c r="CC129" s="37"/>
      <c r="CD129" s="36" t="str">
        <f aca="true">IF(B129="","",IF(TODAY()-B129&lt;=7,"🟢 0-7d",IF(TODAY()-B129&lt;=30,"🟡 8-30d",IF(TODAY()-B129&lt;=60,"🟠 31-60d","🔴 60d+"))))</f>
        <v/>
      </c>
      <c r="CE129" s="36" t="str">
        <f aca="false">IF(G129="","",IF(G129&lt;&gt;"USA","N/A - Not USA Role",IF(J129="Yes",IF(OR(F129="Intern",F129="New Grad"),"🟡 Possible","🟢 Strong"),IF(J129="No","🔴 Difficult","⚪ Unknown"))))</f>
        <v/>
      </c>
      <c r="CF129" s="37"/>
      <c r="CG129" s="37"/>
      <c r="CH129" s="38"/>
      <c r="CI129" s="38"/>
      <c r="CJ129" s="38"/>
      <c r="CK129" s="38"/>
    </row>
    <row r="130" customFormat="false" ht="15" hidden="false" customHeight="true" outlineLevel="0" collapsed="false">
      <c r="A130" s="26" t="str">
        <f aca="false">IF($C130="","",ROW()-3)</f>
        <v/>
      </c>
      <c r="B130" s="27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9"/>
      <c r="N130" s="29"/>
      <c r="O130" s="30" t="str">
        <f aca="false">IFERROR(IF(M130="","",M130*INDEX('00 - Lists'!$M$2:$M$11,MATCH(L130,'00 - Lists'!$L$2:$L$11,0))/100000),"")</f>
        <v/>
      </c>
      <c r="P130" s="30" t="str">
        <f aca="false">IFERROR(IF(N130="","",N130*INDEX('00 - Lists'!$M$2:$M$11,MATCH(L130,'00 - Lists'!$L$2:$L$11,0))/100000),"")</f>
        <v/>
      </c>
      <c r="Q130" s="31" t="str">
        <f aca="false">IFERROR(IF(M130="","",M130*INDEX('00 - Lists'!$N$2:$N$11,MATCH(L130,'00 - Lists'!$L$2:$L$11,0))),"")</f>
        <v/>
      </c>
      <c r="R130" s="31" t="str">
        <f aca="false">IFERROR(IF(N130="","",N130*INDEX('00 - Lists'!$N$2:$N$11,MATCH(L130,'00 - Lists'!$L$2:$L$11,0))),"")</f>
        <v/>
      </c>
      <c r="S130" s="32" t="str">
        <f aca="false">IF(O130="","",IF(O130&gt;=50,"Yes","No"))</f>
        <v/>
      </c>
      <c r="T130" s="32" t="str">
        <f aca="false">IF(Q130="","",IF(Q130&gt;=100000,"Yes","No"))</f>
        <v/>
      </c>
      <c r="U130" s="28"/>
      <c r="V130" s="28"/>
      <c r="W130" s="28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J130" s="34" t="str">
        <f aca="false">IF(OR($BD130&lt;&gt;"",$BF130&lt;&gt;"",$BH130&lt;&gt;""),"Yes","No")</f>
        <v>No</v>
      </c>
      <c r="BK130" s="35" t="str">
        <f aca="false">IFERROR(IF(BD130="","",BD130*INDEX('00 - Lists'!$M$2:$M$11,MATCH(L130,'00 - Lists'!$L$2:$L$11,0))/100000),"")</f>
        <v/>
      </c>
      <c r="BL130" s="35" t="str">
        <f aca="false">IFERROR(IF(BE130="","",BE130*INDEX('00 - Lists'!$M$2:$M$11,MATCH(L130,'00 - Lists'!$L$2:$L$11,0))/100000),"")</f>
        <v/>
      </c>
      <c r="BM130" s="35" t="str">
        <f aca="false">IFERROR(IF(BF130="","",BF130*INDEX('00 - Lists'!$M$2:$M$11,MATCH(L130,'00 - Lists'!$L$2:$L$11,0))/100000),"")</f>
        <v/>
      </c>
      <c r="BN130" s="35" t="str">
        <f aca="false">IFERROR(IF(BG130="","",BG130*INDEX('00 - Lists'!$M$2:$M$11,MATCH(L130,'00 - Lists'!$L$2:$L$11,0))/100000),"")</f>
        <v/>
      </c>
      <c r="BO130" s="35" t="str">
        <f aca="false">IFERROR(IF(BH130="","",BH130*INDEX('00 - Lists'!$M$2:$M$11,MATCH(L130,'00 - Lists'!$L$2:$L$11,0))/100000),"")</f>
        <v/>
      </c>
      <c r="BP130" s="35" t="str">
        <f aca="false">IFERROR(IF(BI130="","",BI130*INDEX('00 - Lists'!$M$2:$M$11,MATCH(L130,'00 - Lists'!$L$2:$L$11,0))/100000),"")</f>
        <v/>
      </c>
      <c r="BS130" s="36" t="str">
        <f aca="false">IF(O130="","",IF(O130&gt;=20,"Yes","No"))</f>
        <v/>
      </c>
      <c r="BT130" s="36" t="str">
        <f aca="false">IF(O130="","",IF(O130&gt;=30,"Yes","No"))</f>
        <v/>
      </c>
      <c r="BU130" s="36" t="str">
        <f aca="false">IF(O130="","",IF(O130&gt;=75,"Yes","No"))</f>
        <v/>
      </c>
      <c r="BV130" s="36" t="str">
        <f aca="false">IF(O130="","",IF(O130&gt;=100,"Yes","No"))</f>
        <v/>
      </c>
      <c r="BW130" s="36" t="str">
        <f aca="false">IF(O130="","",IF(O130&gt;=150,"Yes","No"))</f>
        <v/>
      </c>
      <c r="BX130" s="36" t="str">
        <f aca="false">IF(O130="","",IF(O130&gt;=200,"Yes","No"))</f>
        <v/>
      </c>
      <c r="BY130" s="36" t="str">
        <f aca="false">IF(Q130="","",IF(Q130&gt;=150000,"Yes","No"))</f>
        <v/>
      </c>
      <c r="BZ130" s="36" t="str">
        <f aca="false">IF(Q130="","",IF(Q130&gt;=200000,"Yes","No"))</f>
        <v/>
      </c>
      <c r="CA130" s="36" t="str">
        <f aca="false">IF(Q130="","",IF(Q130&gt;=250000,"Yes","No"))</f>
        <v/>
      </c>
      <c r="CB130" s="36" t="str">
        <f aca="false">IF(Q130="","",IF(Q130&gt;=300000,"Yes","No"))</f>
        <v/>
      </c>
      <c r="CC130" s="37"/>
      <c r="CD130" s="36" t="str">
        <f aca="true">IF(B130="","",IF(TODAY()-B130&lt;=7,"🟢 0-7d",IF(TODAY()-B130&lt;=30,"🟡 8-30d",IF(TODAY()-B130&lt;=60,"🟠 31-60d","🔴 60d+"))))</f>
        <v/>
      </c>
      <c r="CE130" s="36" t="str">
        <f aca="false">IF(G130="","",IF(G130&lt;&gt;"USA","N/A - Not USA Role",IF(J130="Yes",IF(OR(F130="Intern",F130="New Grad"),"🟡 Possible","🟢 Strong"),IF(J130="No","🔴 Difficult","⚪ Unknown"))))</f>
        <v/>
      </c>
      <c r="CF130" s="37"/>
      <c r="CG130" s="37"/>
      <c r="CH130" s="38"/>
      <c r="CI130" s="38"/>
      <c r="CJ130" s="38"/>
      <c r="CK130" s="38"/>
    </row>
    <row r="131" customFormat="false" ht="15" hidden="false" customHeight="true" outlineLevel="0" collapsed="false">
      <c r="A131" s="26" t="str">
        <f aca="false">IF($C131="","",ROW()-3)</f>
        <v/>
      </c>
      <c r="B131" s="27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9"/>
      <c r="N131" s="29"/>
      <c r="O131" s="30" t="str">
        <f aca="false">IFERROR(IF(M131="","",M131*INDEX('00 - Lists'!$M$2:$M$11,MATCH(L131,'00 - Lists'!$L$2:$L$11,0))/100000),"")</f>
        <v/>
      </c>
      <c r="P131" s="30" t="str">
        <f aca="false">IFERROR(IF(N131="","",N131*INDEX('00 - Lists'!$M$2:$M$11,MATCH(L131,'00 - Lists'!$L$2:$L$11,0))/100000),"")</f>
        <v/>
      </c>
      <c r="Q131" s="31" t="str">
        <f aca="false">IFERROR(IF(M131="","",M131*INDEX('00 - Lists'!$N$2:$N$11,MATCH(L131,'00 - Lists'!$L$2:$L$11,0))),"")</f>
        <v/>
      </c>
      <c r="R131" s="31" t="str">
        <f aca="false">IFERROR(IF(N131="","",N131*INDEX('00 - Lists'!$N$2:$N$11,MATCH(L131,'00 - Lists'!$L$2:$L$11,0))),"")</f>
        <v/>
      </c>
      <c r="S131" s="32" t="str">
        <f aca="false">IF(O131="","",IF(O131&gt;=50,"Yes","No"))</f>
        <v/>
      </c>
      <c r="T131" s="32" t="str">
        <f aca="false">IF(Q131="","",IF(Q131&gt;=100000,"Yes","No"))</f>
        <v/>
      </c>
      <c r="U131" s="28"/>
      <c r="V131" s="28"/>
      <c r="W131" s="28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J131" s="34" t="str">
        <f aca="false">IF(OR($BD131&lt;&gt;"",$BF131&lt;&gt;"",$BH131&lt;&gt;""),"Yes","No")</f>
        <v>No</v>
      </c>
      <c r="BK131" s="35" t="str">
        <f aca="false">IFERROR(IF(BD131="","",BD131*INDEX('00 - Lists'!$M$2:$M$11,MATCH(L131,'00 - Lists'!$L$2:$L$11,0))/100000),"")</f>
        <v/>
      </c>
      <c r="BL131" s="35" t="str">
        <f aca="false">IFERROR(IF(BE131="","",BE131*INDEX('00 - Lists'!$M$2:$M$11,MATCH(L131,'00 - Lists'!$L$2:$L$11,0))/100000),"")</f>
        <v/>
      </c>
      <c r="BM131" s="35" t="str">
        <f aca="false">IFERROR(IF(BF131="","",BF131*INDEX('00 - Lists'!$M$2:$M$11,MATCH(L131,'00 - Lists'!$L$2:$L$11,0))/100000),"")</f>
        <v/>
      </c>
      <c r="BN131" s="35" t="str">
        <f aca="false">IFERROR(IF(BG131="","",BG131*INDEX('00 - Lists'!$M$2:$M$11,MATCH(L131,'00 - Lists'!$L$2:$L$11,0))/100000),"")</f>
        <v/>
      </c>
      <c r="BO131" s="35" t="str">
        <f aca="false">IFERROR(IF(BH131="","",BH131*INDEX('00 - Lists'!$M$2:$M$11,MATCH(L131,'00 - Lists'!$L$2:$L$11,0))/100000),"")</f>
        <v/>
      </c>
      <c r="BP131" s="35" t="str">
        <f aca="false">IFERROR(IF(BI131="","",BI131*INDEX('00 - Lists'!$M$2:$M$11,MATCH(L131,'00 - Lists'!$L$2:$L$11,0))/100000),"")</f>
        <v/>
      </c>
      <c r="BS131" s="36" t="str">
        <f aca="false">IF(O131="","",IF(O131&gt;=20,"Yes","No"))</f>
        <v/>
      </c>
      <c r="BT131" s="36" t="str">
        <f aca="false">IF(O131="","",IF(O131&gt;=30,"Yes","No"))</f>
        <v/>
      </c>
      <c r="BU131" s="36" t="str">
        <f aca="false">IF(O131="","",IF(O131&gt;=75,"Yes","No"))</f>
        <v/>
      </c>
      <c r="BV131" s="36" t="str">
        <f aca="false">IF(O131="","",IF(O131&gt;=100,"Yes","No"))</f>
        <v/>
      </c>
      <c r="BW131" s="36" t="str">
        <f aca="false">IF(O131="","",IF(O131&gt;=150,"Yes","No"))</f>
        <v/>
      </c>
      <c r="BX131" s="36" t="str">
        <f aca="false">IF(O131="","",IF(O131&gt;=200,"Yes","No"))</f>
        <v/>
      </c>
      <c r="BY131" s="36" t="str">
        <f aca="false">IF(Q131="","",IF(Q131&gt;=150000,"Yes","No"))</f>
        <v/>
      </c>
      <c r="BZ131" s="36" t="str">
        <f aca="false">IF(Q131="","",IF(Q131&gt;=200000,"Yes","No"))</f>
        <v/>
      </c>
      <c r="CA131" s="36" t="str">
        <f aca="false">IF(Q131="","",IF(Q131&gt;=250000,"Yes","No"))</f>
        <v/>
      </c>
      <c r="CB131" s="36" t="str">
        <f aca="false">IF(Q131="","",IF(Q131&gt;=300000,"Yes","No"))</f>
        <v/>
      </c>
      <c r="CC131" s="37"/>
      <c r="CD131" s="36" t="str">
        <f aca="true">IF(B131="","",IF(TODAY()-B131&lt;=7,"🟢 0-7d",IF(TODAY()-B131&lt;=30,"🟡 8-30d",IF(TODAY()-B131&lt;=60,"🟠 31-60d","🔴 60d+"))))</f>
        <v/>
      </c>
      <c r="CE131" s="36" t="str">
        <f aca="false">IF(G131="","",IF(G131&lt;&gt;"USA","N/A - Not USA Role",IF(J131="Yes",IF(OR(F131="Intern",F131="New Grad"),"🟡 Possible","🟢 Strong"),IF(J131="No","🔴 Difficult","⚪ Unknown"))))</f>
        <v/>
      </c>
      <c r="CF131" s="37"/>
      <c r="CG131" s="37"/>
      <c r="CH131" s="38"/>
      <c r="CI131" s="38"/>
      <c r="CJ131" s="38"/>
      <c r="CK131" s="38"/>
    </row>
    <row r="132" customFormat="false" ht="15" hidden="false" customHeight="true" outlineLevel="0" collapsed="false">
      <c r="A132" s="26" t="str">
        <f aca="false">IF($C132="","",ROW()-3)</f>
        <v/>
      </c>
      <c r="B132" s="27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9"/>
      <c r="N132" s="29"/>
      <c r="O132" s="30" t="str">
        <f aca="false">IFERROR(IF(M132="","",M132*INDEX('00 - Lists'!$M$2:$M$11,MATCH(L132,'00 - Lists'!$L$2:$L$11,0))/100000),"")</f>
        <v/>
      </c>
      <c r="P132" s="30" t="str">
        <f aca="false">IFERROR(IF(N132="","",N132*INDEX('00 - Lists'!$M$2:$M$11,MATCH(L132,'00 - Lists'!$L$2:$L$11,0))/100000),"")</f>
        <v/>
      </c>
      <c r="Q132" s="31" t="str">
        <f aca="false">IFERROR(IF(M132="","",M132*INDEX('00 - Lists'!$N$2:$N$11,MATCH(L132,'00 - Lists'!$L$2:$L$11,0))),"")</f>
        <v/>
      </c>
      <c r="R132" s="31" t="str">
        <f aca="false">IFERROR(IF(N132="","",N132*INDEX('00 - Lists'!$N$2:$N$11,MATCH(L132,'00 - Lists'!$L$2:$L$11,0))),"")</f>
        <v/>
      </c>
      <c r="S132" s="32" t="str">
        <f aca="false">IF(O132="","",IF(O132&gt;=50,"Yes","No"))</f>
        <v/>
      </c>
      <c r="T132" s="32" t="str">
        <f aca="false">IF(Q132="","",IF(Q132&gt;=100000,"Yes","No"))</f>
        <v/>
      </c>
      <c r="U132" s="28"/>
      <c r="V132" s="28"/>
      <c r="W132" s="28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J132" s="34" t="str">
        <f aca="false">IF(OR($BD132&lt;&gt;"",$BF132&lt;&gt;"",$BH132&lt;&gt;""),"Yes","No")</f>
        <v>No</v>
      </c>
      <c r="BK132" s="35" t="str">
        <f aca="false">IFERROR(IF(BD132="","",BD132*INDEX('00 - Lists'!$M$2:$M$11,MATCH(L132,'00 - Lists'!$L$2:$L$11,0))/100000),"")</f>
        <v/>
      </c>
      <c r="BL132" s="35" t="str">
        <f aca="false">IFERROR(IF(BE132="","",BE132*INDEX('00 - Lists'!$M$2:$M$11,MATCH(L132,'00 - Lists'!$L$2:$L$11,0))/100000),"")</f>
        <v/>
      </c>
      <c r="BM132" s="35" t="str">
        <f aca="false">IFERROR(IF(BF132="","",BF132*INDEX('00 - Lists'!$M$2:$M$11,MATCH(L132,'00 - Lists'!$L$2:$L$11,0))/100000),"")</f>
        <v/>
      </c>
      <c r="BN132" s="35" t="str">
        <f aca="false">IFERROR(IF(BG132="","",BG132*INDEX('00 - Lists'!$M$2:$M$11,MATCH(L132,'00 - Lists'!$L$2:$L$11,0))/100000),"")</f>
        <v/>
      </c>
      <c r="BO132" s="35" t="str">
        <f aca="false">IFERROR(IF(BH132="","",BH132*INDEX('00 - Lists'!$M$2:$M$11,MATCH(L132,'00 - Lists'!$L$2:$L$11,0))/100000),"")</f>
        <v/>
      </c>
      <c r="BP132" s="35" t="str">
        <f aca="false">IFERROR(IF(BI132="","",BI132*INDEX('00 - Lists'!$M$2:$M$11,MATCH(L132,'00 - Lists'!$L$2:$L$11,0))/100000),"")</f>
        <v/>
      </c>
      <c r="BS132" s="36" t="str">
        <f aca="false">IF(O132="","",IF(O132&gt;=20,"Yes","No"))</f>
        <v/>
      </c>
      <c r="BT132" s="36" t="str">
        <f aca="false">IF(O132="","",IF(O132&gt;=30,"Yes","No"))</f>
        <v/>
      </c>
      <c r="BU132" s="36" t="str">
        <f aca="false">IF(O132="","",IF(O132&gt;=75,"Yes","No"))</f>
        <v/>
      </c>
      <c r="BV132" s="36" t="str">
        <f aca="false">IF(O132="","",IF(O132&gt;=100,"Yes","No"))</f>
        <v/>
      </c>
      <c r="BW132" s="36" t="str">
        <f aca="false">IF(O132="","",IF(O132&gt;=150,"Yes","No"))</f>
        <v/>
      </c>
      <c r="BX132" s="36" t="str">
        <f aca="false">IF(O132="","",IF(O132&gt;=200,"Yes","No"))</f>
        <v/>
      </c>
      <c r="BY132" s="36" t="str">
        <f aca="false">IF(Q132="","",IF(Q132&gt;=150000,"Yes","No"))</f>
        <v/>
      </c>
      <c r="BZ132" s="36" t="str">
        <f aca="false">IF(Q132="","",IF(Q132&gt;=200000,"Yes","No"))</f>
        <v/>
      </c>
      <c r="CA132" s="36" t="str">
        <f aca="false">IF(Q132="","",IF(Q132&gt;=250000,"Yes","No"))</f>
        <v/>
      </c>
      <c r="CB132" s="36" t="str">
        <f aca="false">IF(Q132="","",IF(Q132&gt;=300000,"Yes","No"))</f>
        <v/>
      </c>
      <c r="CC132" s="37"/>
      <c r="CD132" s="36" t="str">
        <f aca="true">IF(B132="","",IF(TODAY()-B132&lt;=7,"🟢 0-7d",IF(TODAY()-B132&lt;=30,"🟡 8-30d",IF(TODAY()-B132&lt;=60,"🟠 31-60d","🔴 60d+"))))</f>
        <v/>
      </c>
      <c r="CE132" s="36" t="str">
        <f aca="false">IF(G132="","",IF(G132&lt;&gt;"USA","N/A - Not USA Role",IF(J132="Yes",IF(OR(F132="Intern",F132="New Grad"),"🟡 Possible","🟢 Strong"),IF(J132="No","🔴 Difficult","⚪ Unknown"))))</f>
        <v/>
      </c>
      <c r="CF132" s="37"/>
      <c r="CG132" s="37"/>
      <c r="CH132" s="38"/>
      <c r="CI132" s="38"/>
      <c r="CJ132" s="38"/>
      <c r="CK132" s="38"/>
    </row>
    <row r="133" customFormat="false" ht="15" hidden="false" customHeight="true" outlineLevel="0" collapsed="false">
      <c r="A133" s="26" t="str">
        <f aca="false">IF($C133="","",ROW()-3)</f>
        <v/>
      </c>
      <c r="B133" s="27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9"/>
      <c r="N133" s="29"/>
      <c r="O133" s="30" t="str">
        <f aca="false">IFERROR(IF(M133="","",M133*INDEX('00 - Lists'!$M$2:$M$11,MATCH(L133,'00 - Lists'!$L$2:$L$11,0))/100000),"")</f>
        <v/>
      </c>
      <c r="P133" s="30" t="str">
        <f aca="false">IFERROR(IF(N133="","",N133*INDEX('00 - Lists'!$M$2:$M$11,MATCH(L133,'00 - Lists'!$L$2:$L$11,0))/100000),"")</f>
        <v/>
      </c>
      <c r="Q133" s="31" t="str">
        <f aca="false">IFERROR(IF(M133="","",M133*INDEX('00 - Lists'!$N$2:$N$11,MATCH(L133,'00 - Lists'!$L$2:$L$11,0))),"")</f>
        <v/>
      </c>
      <c r="R133" s="31" t="str">
        <f aca="false">IFERROR(IF(N133="","",N133*INDEX('00 - Lists'!$N$2:$N$11,MATCH(L133,'00 - Lists'!$L$2:$L$11,0))),"")</f>
        <v/>
      </c>
      <c r="S133" s="32" t="str">
        <f aca="false">IF(O133="","",IF(O133&gt;=50,"Yes","No"))</f>
        <v/>
      </c>
      <c r="T133" s="32" t="str">
        <f aca="false">IF(Q133="","",IF(Q133&gt;=100000,"Yes","No"))</f>
        <v/>
      </c>
      <c r="U133" s="28"/>
      <c r="V133" s="28"/>
      <c r="W133" s="28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J133" s="34" t="str">
        <f aca="false">IF(OR($BD133&lt;&gt;"",$BF133&lt;&gt;"",$BH133&lt;&gt;""),"Yes","No")</f>
        <v>No</v>
      </c>
      <c r="BK133" s="35" t="str">
        <f aca="false">IFERROR(IF(BD133="","",BD133*INDEX('00 - Lists'!$M$2:$M$11,MATCH(L133,'00 - Lists'!$L$2:$L$11,0))/100000),"")</f>
        <v/>
      </c>
      <c r="BL133" s="35" t="str">
        <f aca="false">IFERROR(IF(BE133="","",BE133*INDEX('00 - Lists'!$M$2:$M$11,MATCH(L133,'00 - Lists'!$L$2:$L$11,0))/100000),"")</f>
        <v/>
      </c>
      <c r="BM133" s="35" t="str">
        <f aca="false">IFERROR(IF(BF133="","",BF133*INDEX('00 - Lists'!$M$2:$M$11,MATCH(L133,'00 - Lists'!$L$2:$L$11,0))/100000),"")</f>
        <v/>
      </c>
      <c r="BN133" s="35" t="str">
        <f aca="false">IFERROR(IF(BG133="","",BG133*INDEX('00 - Lists'!$M$2:$M$11,MATCH(L133,'00 - Lists'!$L$2:$L$11,0))/100000),"")</f>
        <v/>
      </c>
      <c r="BO133" s="35" t="str">
        <f aca="false">IFERROR(IF(BH133="","",BH133*INDEX('00 - Lists'!$M$2:$M$11,MATCH(L133,'00 - Lists'!$L$2:$L$11,0))/100000),"")</f>
        <v/>
      </c>
      <c r="BP133" s="35" t="str">
        <f aca="false">IFERROR(IF(BI133="","",BI133*INDEX('00 - Lists'!$M$2:$M$11,MATCH(L133,'00 - Lists'!$L$2:$L$11,0))/100000),"")</f>
        <v/>
      </c>
      <c r="BS133" s="36" t="str">
        <f aca="false">IF(O133="","",IF(O133&gt;=20,"Yes","No"))</f>
        <v/>
      </c>
      <c r="BT133" s="36" t="str">
        <f aca="false">IF(O133="","",IF(O133&gt;=30,"Yes","No"))</f>
        <v/>
      </c>
      <c r="BU133" s="36" t="str">
        <f aca="false">IF(O133="","",IF(O133&gt;=75,"Yes","No"))</f>
        <v/>
      </c>
      <c r="BV133" s="36" t="str">
        <f aca="false">IF(O133="","",IF(O133&gt;=100,"Yes","No"))</f>
        <v/>
      </c>
      <c r="BW133" s="36" t="str">
        <f aca="false">IF(O133="","",IF(O133&gt;=150,"Yes","No"))</f>
        <v/>
      </c>
      <c r="BX133" s="36" t="str">
        <f aca="false">IF(O133="","",IF(O133&gt;=200,"Yes","No"))</f>
        <v/>
      </c>
      <c r="BY133" s="36" t="str">
        <f aca="false">IF(Q133="","",IF(Q133&gt;=150000,"Yes","No"))</f>
        <v/>
      </c>
      <c r="BZ133" s="36" t="str">
        <f aca="false">IF(Q133="","",IF(Q133&gt;=200000,"Yes","No"))</f>
        <v/>
      </c>
      <c r="CA133" s="36" t="str">
        <f aca="false">IF(Q133="","",IF(Q133&gt;=250000,"Yes","No"))</f>
        <v/>
      </c>
      <c r="CB133" s="36" t="str">
        <f aca="false">IF(Q133="","",IF(Q133&gt;=300000,"Yes","No"))</f>
        <v/>
      </c>
      <c r="CC133" s="37"/>
      <c r="CD133" s="36" t="str">
        <f aca="true">IF(B133="","",IF(TODAY()-B133&lt;=7,"🟢 0-7d",IF(TODAY()-B133&lt;=30,"🟡 8-30d",IF(TODAY()-B133&lt;=60,"🟠 31-60d","🔴 60d+"))))</f>
        <v/>
      </c>
      <c r="CE133" s="36" t="str">
        <f aca="false">IF(G133="","",IF(G133&lt;&gt;"USA","N/A - Not USA Role",IF(J133="Yes",IF(OR(F133="Intern",F133="New Grad"),"🟡 Possible","🟢 Strong"),IF(J133="No","🔴 Difficult","⚪ Unknown"))))</f>
        <v/>
      </c>
      <c r="CF133" s="37"/>
      <c r="CG133" s="37"/>
      <c r="CH133" s="38"/>
      <c r="CI133" s="38"/>
      <c r="CJ133" s="38"/>
      <c r="CK133" s="38"/>
    </row>
    <row r="134" customFormat="false" ht="15" hidden="false" customHeight="true" outlineLevel="0" collapsed="false">
      <c r="A134" s="26" t="str">
        <f aca="false">IF($C134="","",ROW()-3)</f>
        <v/>
      </c>
      <c r="B134" s="27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9"/>
      <c r="N134" s="29"/>
      <c r="O134" s="30" t="str">
        <f aca="false">IFERROR(IF(M134="","",M134*INDEX('00 - Lists'!$M$2:$M$11,MATCH(L134,'00 - Lists'!$L$2:$L$11,0))/100000),"")</f>
        <v/>
      </c>
      <c r="P134" s="30" t="str">
        <f aca="false">IFERROR(IF(N134="","",N134*INDEX('00 - Lists'!$M$2:$M$11,MATCH(L134,'00 - Lists'!$L$2:$L$11,0))/100000),"")</f>
        <v/>
      </c>
      <c r="Q134" s="31" t="str">
        <f aca="false">IFERROR(IF(M134="","",M134*INDEX('00 - Lists'!$N$2:$N$11,MATCH(L134,'00 - Lists'!$L$2:$L$11,0))),"")</f>
        <v/>
      </c>
      <c r="R134" s="31" t="str">
        <f aca="false">IFERROR(IF(N134="","",N134*INDEX('00 - Lists'!$N$2:$N$11,MATCH(L134,'00 - Lists'!$L$2:$L$11,0))),"")</f>
        <v/>
      </c>
      <c r="S134" s="32" t="str">
        <f aca="false">IF(O134="","",IF(O134&gt;=50,"Yes","No"))</f>
        <v/>
      </c>
      <c r="T134" s="32" t="str">
        <f aca="false">IF(Q134="","",IF(Q134&gt;=100000,"Yes","No"))</f>
        <v/>
      </c>
      <c r="U134" s="28"/>
      <c r="V134" s="28"/>
      <c r="W134" s="28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J134" s="34" t="str">
        <f aca="false">IF(OR($BD134&lt;&gt;"",$BF134&lt;&gt;"",$BH134&lt;&gt;""),"Yes","No")</f>
        <v>No</v>
      </c>
      <c r="BK134" s="35" t="str">
        <f aca="false">IFERROR(IF(BD134="","",BD134*INDEX('00 - Lists'!$M$2:$M$11,MATCH(L134,'00 - Lists'!$L$2:$L$11,0))/100000),"")</f>
        <v/>
      </c>
      <c r="BL134" s="35" t="str">
        <f aca="false">IFERROR(IF(BE134="","",BE134*INDEX('00 - Lists'!$M$2:$M$11,MATCH(L134,'00 - Lists'!$L$2:$L$11,0))/100000),"")</f>
        <v/>
      </c>
      <c r="BM134" s="35" t="str">
        <f aca="false">IFERROR(IF(BF134="","",BF134*INDEX('00 - Lists'!$M$2:$M$11,MATCH(L134,'00 - Lists'!$L$2:$L$11,0))/100000),"")</f>
        <v/>
      </c>
      <c r="BN134" s="35" t="str">
        <f aca="false">IFERROR(IF(BG134="","",BG134*INDEX('00 - Lists'!$M$2:$M$11,MATCH(L134,'00 - Lists'!$L$2:$L$11,0))/100000),"")</f>
        <v/>
      </c>
      <c r="BO134" s="35" t="str">
        <f aca="false">IFERROR(IF(BH134="","",BH134*INDEX('00 - Lists'!$M$2:$M$11,MATCH(L134,'00 - Lists'!$L$2:$L$11,0))/100000),"")</f>
        <v/>
      </c>
      <c r="BP134" s="35" t="str">
        <f aca="false">IFERROR(IF(BI134="","",BI134*INDEX('00 - Lists'!$M$2:$M$11,MATCH(L134,'00 - Lists'!$L$2:$L$11,0))/100000),"")</f>
        <v/>
      </c>
      <c r="BS134" s="36" t="str">
        <f aca="false">IF(O134="","",IF(O134&gt;=20,"Yes","No"))</f>
        <v/>
      </c>
      <c r="BT134" s="36" t="str">
        <f aca="false">IF(O134="","",IF(O134&gt;=30,"Yes","No"))</f>
        <v/>
      </c>
      <c r="BU134" s="36" t="str">
        <f aca="false">IF(O134="","",IF(O134&gt;=75,"Yes","No"))</f>
        <v/>
      </c>
      <c r="BV134" s="36" t="str">
        <f aca="false">IF(O134="","",IF(O134&gt;=100,"Yes","No"))</f>
        <v/>
      </c>
      <c r="BW134" s="36" t="str">
        <f aca="false">IF(O134="","",IF(O134&gt;=150,"Yes","No"))</f>
        <v/>
      </c>
      <c r="BX134" s="36" t="str">
        <f aca="false">IF(O134="","",IF(O134&gt;=200,"Yes","No"))</f>
        <v/>
      </c>
      <c r="BY134" s="36" t="str">
        <f aca="false">IF(Q134="","",IF(Q134&gt;=150000,"Yes","No"))</f>
        <v/>
      </c>
      <c r="BZ134" s="36" t="str">
        <f aca="false">IF(Q134="","",IF(Q134&gt;=200000,"Yes","No"))</f>
        <v/>
      </c>
      <c r="CA134" s="36" t="str">
        <f aca="false">IF(Q134="","",IF(Q134&gt;=250000,"Yes","No"))</f>
        <v/>
      </c>
      <c r="CB134" s="36" t="str">
        <f aca="false">IF(Q134="","",IF(Q134&gt;=300000,"Yes","No"))</f>
        <v/>
      </c>
      <c r="CC134" s="37"/>
      <c r="CD134" s="36" t="str">
        <f aca="true">IF(B134="","",IF(TODAY()-B134&lt;=7,"🟢 0-7d",IF(TODAY()-B134&lt;=30,"🟡 8-30d",IF(TODAY()-B134&lt;=60,"🟠 31-60d","🔴 60d+"))))</f>
        <v/>
      </c>
      <c r="CE134" s="36" t="str">
        <f aca="false">IF(G134="","",IF(G134&lt;&gt;"USA","N/A - Not USA Role",IF(J134="Yes",IF(OR(F134="Intern",F134="New Grad"),"🟡 Possible","🟢 Strong"),IF(J134="No","🔴 Difficult","⚪ Unknown"))))</f>
        <v/>
      </c>
      <c r="CF134" s="37"/>
      <c r="CG134" s="37"/>
      <c r="CH134" s="38"/>
      <c r="CI134" s="38"/>
      <c r="CJ134" s="38"/>
      <c r="CK134" s="38"/>
    </row>
    <row r="135" customFormat="false" ht="15" hidden="false" customHeight="true" outlineLevel="0" collapsed="false">
      <c r="A135" s="26" t="str">
        <f aca="false">IF($C135="","",ROW()-3)</f>
        <v/>
      </c>
      <c r="B135" s="27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9"/>
      <c r="N135" s="29"/>
      <c r="O135" s="30" t="str">
        <f aca="false">IFERROR(IF(M135="","",M135*INDEX('00 - Lists'!$M$2:$M$11,MATCH(L135,'00 - Lists'!$L$2:$L$11,0))/100000),"")</f>
        <v/>
      </c>
      <c r="P135" s="30" t="str">
        <f aca="false">IFERROR(IF(N135="","",N135*INDEX('00 - Lists'!$M$2:$M$11,MATCH(L135,'00 - Lists'!$L$2:$L$11,0))/100000),"")</f>
        <v/>
      </c>
      <c r="Q135" s="31" t="str">
        <f aca="false">IFERROR(IF(M135="","",M135*INDEX('00 - Lists'!$N$2:$N$11,MATCH(L135,'00 - Lists'!$L$2:$L$11,0))),"")</f>
        <v/>
      </c>
      <c r="R135" s="31" t="str">
        <f aca="false">IFERROR(IF(N135="","",N135*INDEX('00 - Lists'!$N$2:$N$11,MATCH(L135,'00 - Lists'!$L$2:$L$11,0))),"")</f>
        <v/>
      </c>
      <c r="S135" s="32" t="str">
        <f aca="false">IF(O135="","",IF(O135&gt;=50,"Yes","No"))</f>
        <v/>
      </c>
      <c r="T135" s="32" t="str">
        <f aca="false">IF(Q135="","",IF(Q135&gt;=100000,"Yes","No"))</f>
        <v/>
      </c>
      <c r="U135" s="28"/>
      <c r="V135" s="28"/>
      <c r="W135" s="28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J135" s="34" t="str">
        <f aca="false">IF(OR($BD135&lt;&gt;"",$BF135&lt;&gt;"",$BH135&lt;&gt;""),"Yes","No")</f>
        <v>No</v>
      </c>
      <c r="BK135" s="35" t="str">
        <f aca="false">IFERROR(IF(BD135="","",BD135*INDEX('00 - Lists'!$M$2:$M$11,MATCH(L135,'00 - Lists'!$L$2:$L$11,0))/100000),"")</f>
        <v/>
      </c>
      <c r="BL135" s="35" t="str">
        <f aca="false">IFERROR(IF(BE135="","",BE135*INDEX('00 - Lists'!$M$2:$M$11,MATCH(L135,'00 - Lists'!$L$2:$L$11,0))/100000),"")</f>
        <v/>
      </c>
      <c r="BM135" s="35" t="str">
        <f aca="false">IFERROR(IF(BF135="","",BF135*INDEX('00 - Lists'!$M$2:$M$11,MATCH(L135,'00 - Lists'!$L$2:$L$11,0))/100000),"")</f>
        <v/>
      </c>
      <c r="BN135" s="35" t="str">
        <f aca="false">IFERROR(IF(BG135="","",BG135*INDEX('00 - Lists'!$M$2:$M$11,MATCH(L135,'00 - Lists'!$L$2:$L$11,0))/100000),"")</f>
        <v/>
      </c>
      <c r="BO135" s="35" t="str">
        <f aca="false">IFERROR(IF(BH135="","",BH135*INDEX('00 - Lists'!$M$2:$M$11,MATCH(L135,'00 - Lists'!$L$2:$L$11,0))/100000),"")</f>
        <v/>
      </c>
      <c r="BP135" s="35" t="str">
        <f aca="false">IFERROR(IF(BI135="","",BI135*INDEX('00 - Lists'!$M$2:$M$11,MATCH(L135,'00 - Lists'!$L$2:$L$11,0))/100000),"")</f>
        <v/>
      </c>
      <c r="BS135" s="36" t="str">
        <f aca="false">IF(O135="","",IF(O135&gt;=20,"Yes","No"))</f>
        <v/>
      </c>
      <c r="BT135" s="36" t="str">
        <f aca="false">IF(O135="","",IF(O135&gt;=30,"Yes","No"))</f>
        <v/>
      </c>
      <c r="BU135" s="36" t="str">
        <f aca="false">IF(O135="","",IF(O135&gt;=75,"Yes","No"))</f>
        <v/>
      </c>
      <c r="BV135" s="36" t="str">
        <f aca="false">IF(O135="","",IF(O135&gt;=100,"Yes","No"))</f>
        <v/>
      </c>
      <c r="BW135" s="36" t="str">
        <f aca="false">IF(O135="","",IF(O135&gt;=150,"Yes","No"))</f>
        <v/>
      </c>
      <c r="BX135" s="36" t="str">
        <f aca="false">IF(O135="","",IF(O135&gt;=200,"Yes","No"))</f>
        <v/>
      </c>
      <c r="BY135" s="36" t="str">
        <f aca="false">IF(Q135="","",IF(Q135&gt;=150000,"Yes","No"))</f>
        <v/>
      </c>
      <c r="BZ135" s="36" t="str">
        <f aca="false">IF(Q135="","",IF(Q135&gt;=200000,"Yes","No"))</f>
        <v/>
      </c>
      <c r="CA135" s="36" t="str">
        <f aca="false">IF(Q135="","",IF(Q135&gt;=250000,"Yes","No"))</f>
        <v/>
      </c>
      <c r="CB135" s="36" t="str">
        <f aca="false">IF(Q135="","",IF(Q135&gt;=300000,"Yes","No"))</f>
        <v/>
      </c>
      <c r="CC135" s="37"/>
      <c r="CD135" s="36" t="str">
        <f aca="true">IF(B135="","",IF(TODAY()-B135&lt;=7,"🟢 0-7d",IF(TODAY()-B135&lt;=30,"🟡 8-30d",IF(TODAY()-B135&lt;=60,"🟠 31-60d","🔴 60d+"))))</f>
        <v/>
      </c>
      <c r="CE135" s="36" t="str">
        <f aca="false">IF(G135="","",IF(G135&lt;&gt;"USA","N/A - Not USA Role",IF(J135="Yes",IF(OR(F135="Intern",F135="New Grad"),"🟡 Possible","🟢 Strong"),IF(J135="No","🔴 Difficult","⚪ Unknown"))))</f>
        <v/>
      </c>
      <c r="CF135" s="37"/>
      <c r="CG135" s="37"/>
      <c r="CH135" s="38"/>
      <c r="CI135" s="38"/>
      <c r="CJ135" s="38"/>
      <c r="CK135" s="38"/>
    </row>
    <row r="136" customFormat="false" ht="15" hidden="false" customHeight="true" outlineLevel="0" collapsed="false">
      <c r="A136" s="26" t="str">
        <f aca="false">IF($C136="","",ROW()-3)</f>
        <v/>
      </c>
      <c r="B136" s="27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9"/>
      <c r="N136" s="29"/>
      <c r="O136" s="30" t="str">
        <f aca="false">IFERROR(IF(M136="","",M136*INDEX('00 - Lists'!$M$2:$M$11,MATCH(L136,'00 - Lists'!$L$2:$L$11,0))/100000),"")</f>
        <v/>
      </c>
      <c r="P136" s="30" t="str">
        <f aca="false">IFERROR(IF(N136="","",N136*INDEX('00 - Lists'!$M$2:$M$11,MATCH(L136,'00 - Lists'!$L$2:$L$11,0))/100000),"")</f>
        <v/>
      </c>
      <c r="Q136" s="31" t="str">
        <f aca="false">IFERROR(IF(M136="","",M136*INDEX('00 - Lists'!$N$2:$N$11,MATCH(L136,'00 - Lists'!$L$2:$L$11,0))),"")</f>
        <v/>
      </c>
      <c r="R136" s="31" t="str">
        <f aca="false">IFERROR(IF(N136="","",N136*INDEX('00 - Lists'!$N$2:$N$11,MATCH(L136,'00 - Lists'!$L$2:$L$11,0))),"")</f>
        <v/>
      </c>
      <c r="S136" s="32" t="str">
        <f aca="false">IF(O136="","",IF(O136&gt;=50,"Yes","No"))</f>
        <v/>
      </c>
      <c r="T136" s="32" t="str">
        <f aca="false">IF(Q136="","",IF(Q136&gt;=100000,"Yes","No"))</f>
        <v/>
      </c>
      <c r="U136" s="28"/>
      <c r="V136" s="28"/>
      <c r="W136" s="28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J136" s="34" t="str">
        <f aca="false">IF(OR($BD136&lt;&gt;"",$BF136&lt;&gt;"",$BH136&lt;&gt;""),"Yes","No")</f>
        <v>No</v>
      </c>
      <c r="BK136" s="35" t="str">
        <f aca="false">IFERROR(IF(BD136="","",BD136*INDEX('00 - Lists'!$M$2:$M$11,MATCH(L136,'00 - Lists'!$L$2:$L$11,0))/100000),"")</f>
        <v/>
      </c>
      <c r="BL136" s="35" t="str">
        <f aca="false">IFERROR(IF(BE136="","",BE136*INDEX('00 - Lists'!$M$2:$M$11,MATCH(L136,'00 - Lists'!$L$2:$L$11,0))/100000),"")</f>
        <v/>
      </c>
      <c r="BM136" s="35" t="str">
        <f aca="false">IFERROR(IF(BF136="","",BF136*INDEX('00 - Lists'!$M$2:$M$11,MATCH(L136,'00 - Lists'!$L$2:$L$11,0))/100000),"")</f>
        <v/>
      </c>
      <c r="BN136" s="35" t="str">
        <f aca="false">IFERROR(IF(BG136="","",BG136*INDEX('00 - Lists'!$M$2:$M$11,MATCH(L136,'00 - Lists'!$L$2:$L$11,0))/100000),"")</f>
        <v/>
      </c>
      <c r="BO136" s="35" t="str">
        <f aca="false">IFERROR(IF(BH136="","",BH136*INDEX('00 - Lists'!$M$2:$M$11,MATCH(L136,'00 - Lists'!$L$2:$L$11,0))/100000),"")</f>
        <v/>
      </c>
      <c r="BP136" s="35" t="str">
        <f aca="false">IFERROR(IF(BI136="","",BI136*INDEX('00 - Lists'!$M$2:$M$11,MATCH(L136,'00 - Lists'!$L$2:$L$11,0))/100000),"")</f>
        <v/>
      </c>
      <c r="BS136" s="36" t="str">
        <f aca="false">IF(O136="","",IF(O136&gt;=20,"Yes","No"))</f>
        <v/>
      </c>
      <c r="BT136" s="36" t="str">
        <f aca="false">IF(O136="","",IF(O136&gt;=30,"Yes","No"))</f>
        <v/>
      </c>
      <c r="BU136" s="36" t="str">
        <f aca="false">IF(O136="","",IF(O136&gt;=75,"Yes","No"))</f>
        <v/>
      </c>
      <c r="BV136" s="36" t="str">
        <f aca="false">IF(O136="","",IF(O136&gt;=100,"Yes","No"))</f>
        <v/>
      </c>
      <c r="BW136" s="36" t="str">
        <f aca="false">IF(O136="","",IF(O136&gt;=150,"Yes","No"))</f>
        <v/>
      </c>
      <c r="BX136" s="36" t="str">
        <f aca="false">IF(O136="","",IF(O136&gt;=200,"Yes","No"))</f>
        <v/>
      </c>
      <c r="BY136" s="36" t="str">
        <f aca="false">IF(Q136="","",IF(Q136&gt;=150000,"Yes","No"))</f>
        <v/>
      </c>
      <c r="BZ136" s="36" t="str">
        <f aca="false">IF(Q136="","",IF(Q136&gt;=200000,"Yes","No"))</f>
        <v/>
      </c>
      <c r="CA136" s="36" t="str">
        <f aca="false">IF(Q136="","",IF(Q136&gt;=250000,"Yes","No"))</f>
        <v/>
      </c>
      <c r="CB136" s="36" t="str">
        <f aca="false">IF(Q136="","",IF(Q136&gt;=300000,"Yes","No"))</f>
        <v/>
      </c>
      <c r="CC136" s="37"/>
      <c r="CD136" s="36" t="str">
        <f aca="true">IF(B136="","",IF(TODAY()-B136&lt;=7,"🟢 0-7d",IF(TODAY()-B136&lt;=30,"🟡 8-30d",IF(TODAY()-B136&lt;=60,"🟠 31-60d","🔴 60d+"))))</f>
        <v/>
      </c>
      <c r="CE136" s="36" t="str">
        <f aca="false">IF(G136="","",IF(G136&lt;&gt;"USA","N/A - Not USA Role",IF(J136="Yes",IF(OR(F136="Intern",F136="New Grad"),"🟡 Possible","🟢 Strong"),IF(J136="No","🔴 Difficult","⚪ Unknown"))))</f>
        <v/>
      </c>
      <c r="CF136" s="37"/>
      <c r="CG136" s="37"/>
      <c r="CH136" s="38"/>
      <c r="CI136" s="38"/>
      <c r="CJ136" s="38"/>
      <c r="CK136" s="38"/>
    </row>
    <row r="137" customFormat="false" ht="15" hidden="false" customHeight="true" outlineLevel="0" collapsed="false">
      <c r="A137" s="26" t="str">
        <f aca="false">IF($C137="","",ROW()-3)</f>
        <v/>
      </c>
      <c r="B137" s="27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9"/>
      <c r="N137" s="29"/>
      <c r="O137" s="30" t="str">
        <f aca="false">IFERROR(IF(M137="","",M137*INDEX('00 - Lists'!$M$2:$M$11,MATCH(L137,'00 - Lists'!$L$2:$L$11,0))/100000),"")</f>
        <v/>
      </c>
      <c r="P137" s="30" t="str">
        <f aca="false">IFERROR(IF(N137="","",N137*INDEX('00 - Lists'!$M$2:$M$11,MATCH(L137,'00 - Lists'!$L$2:$L$11,0))/100000),"")</f>
        <v/>
      </c>
      <c r="Q137" s="31" t="str">
        <f aca="false">IFERROR(IF(M137="","",M137*INDEX('00 - Lists'!$N$2:$N$11,MATCH(L137,'00 - Lists'!$L$2:$L$11,0))),"")</f>
        <v/>
      </c>
      <c r="R137" s="31" t="str">
        <f aca="false">IFERROR(IF(N137="","",N137*INDEX('00 - Lists'!$N$2:$N$11,MATCH(L137,'00 - Lists'!$L$2:$L$11,0))),"")</f>
        <v/>
      </c>
      <c r="S137" s="32" t="str">
        <f aca="false">IF(O137="","",IF(O137&gt;=50,"Yes","No"))</f>
        <v/>
      </c>
      <c r="T137" s="32" t="str">
        <f aca="false">IF(Q137="","",IF(Q137&gt;=100000,"Yes","No"))</f>
        <v/>
      </c>
      <c r="U137" s="28"/>
      <c r="V137" s="28"/>
      <c r="W137" s="28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J137" s="34" t="str">
        <f aca="false">IF(OR($BD137&lt;&gt;"",$BF137&lt;&gt;"",$BH137&lt;&gt;""),"Yes","No")</f>
        <v>No</v>
      </c>
      <c r="BK137" s="35" t="str">
        <f aca="false">IFERROR(IF(BD137="","",BD137*INDEX('00 - Lists'!$M$2:$M$11,MATCH(L137,'00 - Lists'!$L$2:$L$11,0))/100000),"")</f>
        <v/>
      </c>
      <c r="BL137" s="35" t="str">
        <f aca="false">IFERROR(IF(BE137="","",BE137*INDEX('00 - Lists'!$M$2:$M$11,MATCH(L137,'00 - Lists'!$L$2:$L$11,0))/100000),"")</f>
        <v/>
      </c>
      <c r="BM137" s="35" t="str">
        <f aca="false">IFERROR(IF(BF137="","",BF137*INDEX('00 - Lists'!$M$2:$M$11,MATCH(L137,'00 - Lists'!$L$2:$L$11,0))/100000),"")</f>
        <v/>
      </c>
      <c r="BN137" s="35" t="str">
        <f aca="false">IFERROR(IF(BG137="","",BG137*INDEX('00 - Lists'!$M$2:$M$11,MATCH(L137,'00 - Lists'!$L$2:$L$11,0))/100000),"")</f>
        <v/>
      </c>
      <c r="BO137" s="35" t="str">
        <f aca="false">IFERROR(IF(BH137="","",BH137*INDEX('00 - Lists'!$M$2:$M$11,MATCH(L137,'00 - Lists'!$L$2:$L$11,0))/100000),"")</f>
        <v/>
      </c>
      <c r="BP137" s="35" t="str">
        <f aca="false">IFERROR(IF(BI137="","",BI137*INDEX('00 - Lists'!$M$2:$M$11,MATCH(L137,'00 - Lists'!$L$2:$L$11,0))/100000),"")</f>
        <v/>
      </c>
      <c r="BS137" s="36" t="str">
        <f aca="false">IF(O137="","",IF(O137&gt;=20,"Yes","No"))</f>
        <v/>
      </c>
      <c r="BT137" s="36" t="str">
        <f aca="false">IF(O137="","",IF(O137&gt;=30,"Yes","No"))</f>
        <v/>
      </c>
      <c r="BU137" s="36" t="str">
        <f aca="false">IF(O137="","",IF(O137&gt;=75,"Yes","No"))</f>
        <v/>
      </c>
      <c r="BV137" s="36" t="str">
        <f aca="false">IF(O137="","",IF(O137&gt;=100,"Yes","No"))</f>
        <v/>
      </c>
      <c r="BW137" s="36" t="str">
        <f aca="false">IF(O137="","",IF(O137&gt;=150,"Yes","No"))</f>
        <v/>
      </c>
      <c r="BX137" s="36" t="str">
        <f aca="false">IF(O137="","",IF(O137&gt;=200,"Yes","No"))</f>
        <v/>
      </c>
      <c r="BY137" s="36" t="str">
        <f aca="false">IF(Q137="","",IF(Q137&gt;=150000,"Yes","No"))</f>
        <v/>
      </c>
      <c r="BZ137" s="36" t="str">
        <f aca="false">IF(Q137="","",IF(Q137&gt;=200000,"Yes","No"))</f>
        <v/>
      </c>
      <c r="CA137" s="36" t="str">
        <f aca="false">IF(Q137="","",IF(Q137&gt;=250000,"Yes","No"))</f>
        <v/>
      </c>
      <c r="CB137" s="36" t="str">
        <f aca="false">IF(Q137="","",IF(Q137&gt;=300000,"Yes","No"))</f>
        <v/>
      </c>
      <c r="CC137" s="37"/>
      <c r="CD137" s="36" t="str">
        <f aca="true">IF(B137="","",IF(TODAY()-B137&lt;=7,"🟢 0-7d",IF(TODAY()-B137&lt;=30,"🟡 8-30d",IF(TODAY()-B137&lt;=60,"🟠 31-60d","🔴 60d+"))))</f>
        <v/>
      </c>
      <c r="CE137" s="36" t="str">
        <f aca="false">IF(G137="","",IF(G137&lt;&gt;"USA","N/A - Not USA Role",IF(J137="Yes",IF(OR(F137="Intern",F137="New Grad"),"🟡 Possible","🟢 Strong"),IF(J137="No","🔴 Difficult","⚪ Unknown"))))</f>
        <v/>
      </c>
      <c r="CF137" s="37"/>
      <c r="CG137" s="37"/>
      <c r="CH137" s="38"/>
      <c r="CI137" s="38"/>
      <c r="CJ137" s="38"/>
      <c r="CK137" s="38"/>
    </row>
    <row r="138" customFormat="false" ht="15" hidden="false" customHeight="true" outlineLevel="0" collapsed="false">
      <c r="A138" s="26" t="str">
        <f aca="false">IF($C138="","",ROW()-3)</f>
        <v/>
      </c>
      <c r="B138" s="27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9"/>
      <c r="N138" s="29"/>
      <c r="O138" s="30" t="str">
        <f aca="false">IFERROR(IF(M138="","",M138*INDEX('00 - Lists'!$M$2:$M$11,MATCH(L138,'00 - Lists'!$L$2:$L$11,0))/100000),"")</f>
        <v/>
      </c>
      <c r="P138" s="30" t="str">
        <f aca="false">IFERROR(IF(N138="","",N138*INDEX('00 - Lists'!$M$2:$M$11,MATCH(L138,'00 - Lists'!$L$2:$L$11,0))/100000),"")</f>
        <v/>
      </c>
      <c r="Q138" s="31" t="str">
        <f aca="false">IFERROR(IF(M138="","",M138*INDEX('00 - Lists'!$N$2:$N$11,MATCH(L138,'00 - Lists'!$L$2:$L$11,0))),"")</f>
        <v/>
      </c>
      <c r="R138" s="31" t="str">
        <f aca="false">IFERROR(IF(N138="","",N138*INDEX('00 - Lists'!$N$2:$N$11,MATCH(L138,'00 - Lists'!$L$2:$L$11,0))),"")</f>
        <v/>
      </c>
      <c r="S138" s="32" t="str">
        <f aca="false">IF(O138="","",IF(O138&gt;=50,"Yes","No"))</f>
        <v/>
      </c>
      <c r="T138" s="32" t="str">
        <f aca="false">IF(Q138="","",IF(Q138&gt;=100000,"Yes","No"))</f>
        <v/>
      </c>
      <c r="U138" s="28"/>
      <c r="V138" s="28"/>
      <c r="W138" s="28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J138" s="34" t="str">
        <f aca="false">IF(OR($BD138&lt;&gt;"",$BF138&lt;&gt;"",$BH138&lt;&gt;""),"Yes","No")</f>
        <v>No</v>
      </c>
      <c r="BK138" s="35" t="str">
        <f aca="false">IFERROR(IF(BD138="","",BD138*INDEX('00 - Lists'!$M$2:$M$11,MATCH(L138,'00 - Lists'!$L$2:$L$11,0))/100000),"")</f>
        <v/>
      </c>
      <c r="BL138" s="35" t="str">
        <f aca="false">IFERROR(IF(BE138="","",BE138*INDEX('00 - Lists'!$M$2:$M$11,MATCH(L138,'00 - Lists'!$L$2:$L$11,0))/100000),"")</f>
        <v/>
      </c>
      <c r="BM138" s="35" t="str">
        <f aca="false">IFERROR(IF(BF138="","",BF138*INDEX('00 - Lists'!$M$2:$M$11,MATCH(L138,'00 - Lists'!$L$2:$L$11,0))/100000),"")</f>
        <v/>
      </c>
      <c r="BN138" s="35" t="str">
        <f aca="false">IFERROR(IF(BG138="","",BG138*INDEX('00 - Lists'!$M$2:$M$11,MATCH(L138,'00 - Lists'!$L$2:$L$11,0))/100000),"")</f>
        <v/>
      </c>
      <c r="BO138" s="35" t="str">
        <f aca="false">IFERROR(IF(BH138="","",BH138*INDEX('00 - Lists'!$M$2:$M$11,MATCH(L138,'00 - Lists'!$L$2:$L$11,0))/100000),"")</f>
        <v/>
      </c>
      <c r="BP138" s="35" t="str">
        <f aca="false">IFERROR(IF(BI138="","",BI138*INDEX('00 - Lists'!$M$2:$M$11,MATCH(L138,'00 - Lists'!$L$2:$L$11,0))/100000),"")</f>
        <v/>
      </c>
      <c r="BS138" s="36" t="str">
        <f aca="false">IF(O138="","",IF(O138&gt;=20,"Yes","No"))</f>
        <v/>
      </c>
      <c r="BT138" s="36" t="str">
        <f aca="false">IF(O138="","",IF(O138&gt;=30,"Yes","No"))</f>
        <v/>
      </c>
      <c r="BU138" s="36" t="str">
        <f aca="false">IF(O138="","",IF(O138&gt;=75,"Yes","No"))</f>
        <v/>
      </c>
      <c r="BV138" s="36" t="str">
        <f aca="false">IF(O138="","",IF(O138&gt;=100,"Yes","No"))</f>
        <v/>
      </c>
      <c r="BW138" s="36" t="str">
        <f aca="false">IF(O138="","",IF(O138&gt;=150,"Yes","No"))</f>
        <v/>
      </c>
      <c r="BX138" s="36" t="str">
        <f aca="false">IF(O138="","",IF(O138&gt;=200,"Yes","No"))</f>
        <v/>
      </c>
      <c r="BY138" s="36" t="str">
        <f aca="false">IF(Q138="","",IF(Q138&gt;=150000,"Yes","No"))</f>
        <v/>
      </c>
      <c r="BZ138" s="36" t="str">
        <f aca="false">IF(Q138="","",IF(Q138&gt;=200000,"Yes","No"))</f>
        <v/>
      </c>
      <c r="CA138" s="36" t="str">
        <f aca="false">IF(Q138="","",IF(Q138&gt;=250000,"Yes","No"))</f>
        <v/>
      </c>
      <c r="CB138" s="36" t="str">
        <f aca="false">IF(Q138="","",IF(Q138&gt;=300000,"Yes","No"))</f>
        <v/>
      </c>
      <c r="CC138" s="37"/>
      <c r="CD138" s="36" t="str">
        <f aca="true">IF(B138="","",IF(TODAY()-B138&lt;=7,"🟢 0-7d",IF(TODAY()-B138&lt;=30,"🟡 8-30d",IF(TODAY()-B138&lt;=60,"🟠 31-60d","🔴 60d+"))))</f>
        <v/>
      </c>
      <c r="CE138" s="36" t="str">
        <f aca="false">IF(G138="","",IF(G138&lt;&gt;"USA","N/A - Not USA Role",IF(J138="Yes",IF(OR(F138="Intern",F138="New Grad"),"🟡 Possible","🟢 Strong"),IF(J138="No","🔴 Difficult","⚪ Unknown"))))</f>
        <v/>
      </c>
      <c r="CF138" s="37"/>
      <c r="CG138" s="37"/>
      <c r="CH138" s="38"/>
      <c r="CI138" s="38"/>
      <c r="CJ138" s="38"/>
      <c r="CK138" s="38"/>
    </row>
    <row r="139" customFormat="false" ht="15" hidden="false" customHeight="true" outlineLevel="0" collapsed="false">
      <c r="A139" s="26" t="str">
        <f aca="false">IF($C139="","",ROW()-3)</f>
        <v/>
      </c>
      <c r="B139" s="27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9"/>
      <c r="N139" s="29"/>
      <c r="O139" s="30" t="str">
        <f aca="false">IFERROR(IF(M139="","",M139*INDEX('00 - Lists'!$M$2:$M$11,MATCH(L139,'00 - Lists'!$L$2:$L$11,0))/100000),"")</f>
        <v/>
      </c>
      <c r="P139" s="30" t="str">
        <f aca="false">IFERROR(IF(N139="","",N139*INDEX('00 - Lists'!$M$2:$M$11,MATCH(L139,'00 - Lists'!$L$2:$L$11,0))/100000),"")</f>
        <v/>
      </c>
      <c r="Q139" s="31" t="str">
        <f aca="false">IFERROR(IF(M139="","",M139*INDEX('00 - Lists'!$N$2:$N$11,MATCH(L139,'00 - Lists'!$L$2:$L$11,0))),"")</f>
        <v/>
      </c>
      <c r="R139" s="31" t="str">
        <f aca="false">IFERROR(IF(N139="","",N139*INDEX('00 - Lists'!$N$2:$N$11,MATCH(L139,'00 - Lists'!$L$2:$L$11,0))),"")</f>
        <v/>
      </c>
      <c r="S139" s="32" t="str">
        <f aca="false">IF(O139="","",IF(O139&gt;=50,"Yes","No"))</f>
        <v/>
      </c>
      <c r="T139" s="32" t="str">
        <f aca="false">IF(Q139="","",IF(Q139&gt;=100000,"Yes","No"))</f>
        <v/>
      </c>
      <c r="U139" s="28"/>
      <c r="V139" s="28"/>
      <c r="W139" s="28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J139" s="34" t="str">
        <f aca="false">IF(OR($BD139&lt;&gt;"",$BF139&lt;&gt;"",$BH139&lt;&gt;""),"Yes","No")</f>
        <v>No</v>
      </c>
      <c r="BK139" s="35" t="str">
        <f aca="false">IFERROR(IF(BD139="","",BD139*INDEX('00 - Lists'!$M$2:$M$11,MATCH(L139,'00 - Lists'!$L$2:$L$11,0))/100000),"")</f>
        <v/>
      </c>
      <c r="BL139" s="35" t="str">
        <f aca="false">IFERROR(IF(BE139="","",BE139*INDEX('00 - Lists'!$M$2:$M$11,MATCH(L139,'00 - Lists'!$L$2:$L$11,0))/100000),"")</f>
        <v/>
      </c>
      <c r="BM139" s="35" t="str">
        <f aca="false">IFERROR(IF(BF139="","",BF139*INDEX('00 - Lists'!$M$2:$M$11,MATCH(L139,'00 - Lists'!$L$2:$L$11,0))/100000),"")</f>
        <v/>
      </c>
      <c r="BN139" s="35" t="str">
        <f aca="false">IFERROR(IF(BG139="","",BG139*INDEX('00 - Lists'!$M$2:$M$11,MATCH(L139,'00 - Lists'!$L$2:$L$11,0))/100000),"")</f>
        <v/>
      </c>
      <c r="BO139" s="35" t="str">
        <f aca="false">IFERROR(IF(BH139="","",BH139*INDEX('00 - Lists'!$M$2:$M$11,MATCH(L139,'00 - Lists'!$L$2:$L$11,0))/100000),"")</f>
        <v/>
      </c>
      <c r="BP139" s="35" t="str">
        <f aca="false">IFERROR(IF(BI139="","",BI139*INDEX('00 - Lists'!$M$2:$M$11,MATCH(L139,'00 - Lists'!$L$2:$L$11,0))/100000),"")</f>
        <v/>
      </c>
      <c r="BS139" s="36" t="str">
        <f aca="false">IF(O139="","",IF(O139&gt;=20,"Yes","No"))</f>
        <v/>
      </c>
      <c r="BT139" s="36" t="str">
        <f aca="false">IF(O139="","",IF(O139&gt;=30,"Yes","No"))</f>
        <v/>
      </c>
      <c r="BU139" s="36" t="str">
        <f aca="false">IF(O139="","",IF(O139&gt;=75,"Yes","No"))</f>
        <v/>
      </c>
      <c r="BV139" s="36" t="str">
        <f aca="false">IF(O139="","",IF(O139&gt;=100,"Yes","No"))</f>
        <v/>
      </c>
      <c r="BW139" s="36" t="str">
        <f aca="false">IF(O139="","",IF(O139&gt;=150,"Yes","No"))</f>
        <v/>
      </c>
      <c r="BX139" s="36" t="str">
        <f aca="false">IF(O139="","",IF(O139&gt;=200,"Yes","No"))</f>
        <v/>
      </c>
      <c r="BY139" s="36" t="str">
        <f aca="false">IF(Q139="","",IF(Q139&gt;=150000,"Yes","No"))</f>
        <v/>
      </c>
      <c r="BZ139" s="36" t="str">
        <f aca="false">IF(Q139="","",IF(Q139&gt;=200000,"Yes","No"))</f>
        <v/>
      </c>
      <c r="CA139" s="36" t="str">
        <f aca="false">IF(Q139="","",IF(Q139&gt;=250000,"Yes","No"))</f>
        <v/>
      </c>
      <c r="CB139" s="36" t="str">
        <f aca="false">IF(Q139="","",IF(Q139&gt;=300000,"Yes","No"))</f>
        <v/>
      </c>
      <c r="CC139" s="37"/>
      <c r="CD139" s="36" t="str">
        <f aca="true">IF(B139="","",IF(TODAY()-B139&lt;=7,"🟢 0-7d",IF(TODAY()-B139&lt;=30,"🟡 8-30d",IF(TODAY()-B139&lt;=60,"🟠 31-60d","🔴 60d+"))))</f>
        <v/>
      </c>
      <c r="CE139" s="36" t="str">
        <f aca="false">IF(G139="","",IF(G139&lt;&gt;"USA","N/A - Not USA Role",IF(J139="Yes",IF(OR(F139="Intern",F139="New Grad"),"🟡 Possible","🟢 Strong"),IF(J139="No","🔴 Difficult","⚪ Unknown"))))</f>
        <v/>
      </c>
      <c r="CF139" s="37"/>
      <c r="CG139" s="37"/>
      <c r="CH139" s="38"/>
      <c r="CI139" s="38"/>
      <c r="CJ139" s="38"/>
      <c r="CK139" s="38"/>
    </row>
    <row r="140" customFormat="false" ht="15" hidden="false" customHeight="true" outlineLevel="0" collapsed="false">
      <c r="A140" s="26" t="str">
        <f aca="false">IF($C140="","",ROW()-3)</f>
        <v/>
      </c>
      <c r="B140" s="27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9"/>
      <c r="N140" s="29"/>
      <c r="O140" s="30" t="str">
        <f aca="false">IFERROR(IF(M140="","",M140*INDEX('00 - Lists'!$M$2:$M$11,MATCH(L140,'00 - Lists'!$L$2:$L$11,0))/100000),"")</f>
        <v/>
      </c>
      <c r="P140" s="30" t="str">
        <f aca="false">IFERROR(IF(N140="","",N140*INDEX('00 - Lists'!$M$2:$M$11,MATCH(L140,'00 - Lists'!$L$2:$L$11,0))/100000),"")</f>
        <v/>
      </c>
      <c r="Q140" s="31" t="str">
        <f aca="false">IFERROR(IF(M140="","",M140*INDEX('00 - Lists'!$N$2:$N$11,MATCH(L140,'00 - Lists'!$L$2:$L$11,0))),"")</f>
        <v/>
      </c>
      <c r="R140" s="31" t="str">
        <f aca="false">IFERROR(IF(N140="","",N140*INDEX('00 - Lists'!$N$2:$N$11,MATCH(L140,'00 - Lists'!$L$2:$L$11,0))),"")</f>
        <v/>
      </c>
      <c r="S140" s="32" t="str">
        <f aca="false">IF(O140="","",IF(O140&gt;=50,"Yes","No"))</f>
        <v/>
      </c>
      <c r="T140" s="32" t="str">
        <f aca="false">IF(Q140="","",IF(Q140&gt;=100000,"Yes","No"))</f>
        <v/>
      </c>
      <c r="U140" s="28"/>
      <c r="V140" s="28"/>
      <c r="W140" s="28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J140" s="34" t="str">
        <f aca="false">IF(OR($BD140&lt;&gt;"",$BF140&lt;&gt;"",$BH140&lt;&gt;""),"Yes","No")</f>
        <v>No</v>
      </c>
      <c r="BK140" s="35" t="str">
        <f aca="false">IFERROR(IF(BD140="","",BD140*INDEX('00 - Lists'!$M$2:$M$11,MATCH(L140,'00 - Lists'!$L$2:$L$11,0))/100000),"")</f>
        <v/>
      </c>
      <c r="BL140" s="35" t="str">
        <f aca="false">IFERROR(IF(BE140="","",BE140*INDEX('00 - Lists'!$M$2:$M$11,MATCH(L140,'00 - Lists'!$L$2:$L$11,0))/100000),"")</f>
        <v/>
      </c>
      <c r="BM140" s="35" t="str">
        <f aca="false">IFERROR(IF(BF140="","",BF140*INDEX('00 - Lists'!$M$2:$M$11,MATCH(L140,'00 - Lists'!$L$2:$L$11,0))/100000),"")</f>
        <v/>
      </c>
      <c r="BN140" s="35" t="str">
        <f aca="false">IFERROR(IF(BG140="","",BG140*INDEX('00 - Lists'!$M$2:$M$11,MATCH(L140,'00 - Lists'!$L$2:$L$11,0))/100000),"")</f>
        <v/>
      </c>
      <c r="BO140" s="35" t="str">
        <f aca="false">IFERROR(IF(BH140="","",BH140*INDEX('00 - Lists'!$M$2:$M$11,MATCH(L140,'00 - Lists'!$L$2:$L$11,0))/100000),"")</f>
        <v/>
      </c>
      <c r="BP140" s="35" t="str">
        <f aca="false">IFERROR(IF(BI140="","",BI140*INDEX('00 - Lists'!$M$2:$M$11,MATCH(L140,'00 - Lists'!$L$2:$L$11,0))/100000),"")</f>
        <v/>
      </c>
      <c r="BS140" s="36" t="str">
        <f aca="false">IF(O140="","",IF(O140&gt;=20,"Yes","No"))</f>
        <v/>
      </c>
      <c r="BT140" s="36" t="str">
        <f aca="false">IF(O140="","",IF(O140&gt;=30,"Yes","No"))</f>
        <v/>
      </c>
      <c r="BU140" s="36" t="str">
        <f aca="false">IF(O140="","",IF(O140&gt;=75,"Yes","No"))</f>
        <v/>
      </c>
      <c r="BV140" s="36" t="str">
        <f aca="false">IF(O140="","",IF(O140&gt;=100,"Yes","No"))</f>
        <v/>
      </c>
      <c r="BW140" s="36" t="str">
        <f aca="false">IF(O140="","",IF(O140&gt;=150,"Yes","No"))</f>
        <v/>
      </c>
      <c r="BX140" s="36" t="str">
        <f aca="false">IF(O140="","",IF(O140&gt;=200,"Yes","No"))</f>
        <v/>
      </c>
      <c r="BY140" s="36" t="str">
        <f aca="false">IF(Q140="","",IF(Q140&gt;=150000,"Yes","No"))</f>
        <v/>
      </c>
      <c r="BZ140" s="36" t="str">
        <f aca="false">IF(Q140="","",IF(Q140&gt;=200000,"Yes","No"))</f>
        <v/>
      </c>
      <c r="CA140" s="36" t="str">
        <f aca="false">IF(Q140="","",IF(Q140&gt;=250000,"Yes","No"))</f>
        <v/>
      </c>
      <c r="CB140" s="36" t="str">
        <f aca="false">IF(Q140="","",IF(Q140&gt;=300000,"Yes","No"))</f>
        <v/>
      </c>
      <c r="CC140" s="37"/>
      <c r="CD140" s="36" t="str">
        <f aca="true">IF(B140="","",IF(TODAY()-B140&lt;=7,"🟢 0-7d",IF(TODAY()-B140&lt;=30,"🟡 8-30d",IF(TODAY()-B140&lt;=60,"🟠 31-60d","🔴 60d+"))))</f>
        <v/>
      </c>
      <c r="CE140" s="36" t="str">
        <f aca="false">IF(G140="","",IF(G140&lt;&gt;"USA","N/A - Not USA Role",IF(J140="Yes",IF(OR(F140="Intern",F140="New Grad"),"🟡 Possible","🟢 Strong"),IF(J140="No","🔴 Difficult","⚪ Unknown"))))</f>
        <v/>
      </c>
      <c r="CF140" s="37"/>
      <c r="CG140" s="37"/>
      <c r="CH140" s="38"/>
      <c r="CI140" s="38"/>
      <c r="CJ140" s="38"/>
      <c r="CK140" s="38"/>
    </row>
    <row r="141" customFormat="false" ht="15" hidden="false" customHeight="true" outlineLevel="0" collapsed="false">
      <c r="A141" s="26" t="str">
        <f aca="false">IF($C141="","",ROW()-3)</f>
        <v/>
      </c>
      <c r="B141" s="27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9"/>
      <c r="N141" s="29"/>
      <c r="O141" s="30" t="str">
        <f aca="false">IFERROR(IF(M141="","",M141*INDEX('00 - Lists'!$M$2:$M$11,MATCH(L141,'00 - Lists'!$L$2:$L$11,0))/100000),"")</f>
        <v/>
      </c>
      <c r="P141" s="30" t="str">
        <f aca="false">IFERROR(IF(N141="","",N141*INDEX('00 - Lists'!$M$2:$M$11,MATCH(L141,'00 - Lists'!$L$2:$L$11,0))/100000),"")</f>
        <v/>
      </c>
      <c r="Q141" s="31" t="str">
        <f aca="false">IFERROR(IF(M141="","",M141*INDEX('00 - Lists'!$N$2:$N$11,MATCH(L141,'00 - Lists'!$L$2:$L$11,0))),"")</f>
        <v/>
      </c>
      <c r="R141" s="31" t="str">
        <f aca="false">IFERROR(IF(N141="","",N141*INDEX('00 - Lists'!$N$2:$N$11,MATCH(L141,'00 - Lists'!$L$2:$L$11,0))),"")</f>
        <v/>
      </c>
      <c r="S141" s="32" t="str">
        <f aca="false">IF(O141="","",IF(O141&gt;=50,"Yes","No"))</f>
        <v/>
      </c>
      <c r="T141" s="32" t="str">
        <f aca="false">IF(Q141="","",IF(Q141&gt;=100000,"Yes","No"))</f>
        <v/>
      </c>
      <c r="U141" s="28"/>
      <c r="V141" s="28"/>
      <c r="W141" s="28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J141" s="34" t="str">
        <f aca="false">IF(OR($BD141&lt;&gt;"",$BF141&lt;&gt;"",$BH141&lt;&gt;""),"Yes","No")</f>
        <v>No</v>
      </c>
      <c r="BK141" s="35" t="str">
        <f aca="false">IFERROR(IF(BD141="","",BD141*INDEX('00 - Lists'!$M$2:$M$11,MATCH(L141,'00 - Lists'!$L$2:$L$11,0))/100000),"")</f>
        <v/>
      </c>
      <c r="BL141" s="35" t="str">
        <f aca="false">IFERROR(IF(BE141="","",BE141*INDEX('00 - Lists'!$M$2:$M$11,MATCH(L141,'00 - Lists'!$L$2:$L$11,0))/100000),"")</f>
        <v/>
      </c>
      <c r="BM141" s="35" t="str">
        <f aca="false">IFERROR(IF(BF141="","",BF141*INDEX('00 - Lists'!$M$2:$M$11,MATCH(L141,'00 - Lists'!$L$2:$L$11,0))/100000),"")</f>
        <v/>
      </c>
      <c r="BN141" s="35" t="str">
        <f aca="false">IFERROR(IF(BG141="","",BG141*INDEX('00 - Lists'!$M$2:$M$11,MATCH(L141,'00 - Lists'!$L$2:$L$11,0))/100000),"")</f>
        <v/>
      </c>
      <c r="BO141" s="35" t="str">
        <f aca="false">IFERROR(IF(BH141="","",BH141*INDEX('00 - Lists'!$M$2:$M$11,MATCH(L141,'00 - Lists'!$L$2:$L$11,0))/100000),"")</f>
        <v/>
      </c>
      <c r="BP141" s="35" t="str">
        <f aca="false">IFERROR(IF(BI141="","",BI141*INDEX('00 - Lists'!$M$2:$M$11,MATCH(L141,'00 - Lists'!$L$2:$L$11,0))/100000),"")</f>
        <v/>
      </c>
      <c r="BS141" s="36" t="str">
        <f aca="false">IF(O141="","",IF(O141&gt;=20,"Yes","No"))</f>
        <v/>
      </c>
      <c r="BT141" s="36" t="str">
        <f aca="false">IF(O141="","",IF(O141&gt;=30,"Yes","No"))</f>
        <v/>
      </c>
      <c r="BU141" s="36" t="str">
        <f aca="false">IF(O141="","",IF(O141&gt;=75,"Yes","No"))</f>
        <v/>
      </c>
      <c r="BV141" s="36" t="str">
        <f aca="false">IF(O141="","",IF(O141&gt;=100,"Yes","No"))</f>
        <v/>
      </c>
      <c r="BW141" s="36" t="str">
        <f aca="false">IF(O141="","",IF(O141&gt;=150,"Yes","No"))</f>
        <v/>
      </c>
      <c r="BX141" s="36" t="str">
        <f aca="false">IF(O141="","",IF(O141&gt;=200,"Yes","No"))</f>
        <v/>
      </c>
      <c r="BY141" s="36" t="str">
        <f aca="false">IF(Q141="","",IF(Q141&gt;=150000,"Yes","No"))</f>
        <v/>
      </c>
      <c r="BZ141" s="36" t="str">
        <f aca="false">IF(Q141="","",IF(Q141&gt;=200000,"Yes","No"))</f>
        <v/>
      </c>
      <c r="CA141" s="36" t="str">
        <f aca="false">IF(Q141="","",IF(Q141&gt;=250000,"Yes","No"))</f>
        <v/>
      </c>
      <c r="CB141" s="36" t="str">
        <f aca="false">IF(Q141="","",IF(Q141&gt;=300000,"Yes","No"))</f>
        <v/>
      </c>
      <c r="CC141" s="37"/>
      <c r="CD141" s="36" t="str">
        <f aca="true">IF(B141="","",IF(TODAY()-B141&lt;=7,"🟢 0-7d",IF(TODAY()-B141&lt;=30,"🟡 8-30d",IF(TODAY()-B141&lt;=60,"🟠 31-60d","🔴 60d+"))))</f>
        <v/>
      </c>
      <c r="CE141" s="36" t="str">
        <f aca="false">IF(G141="","",IF(G141&lt;&gt;"USA","N/A - Not USA Role",IF(J141="Yes",IF(OR(F141="Intern",F141="New Grad"),"🟡 Possible","🟢 Strong"),IF(J141="No","🔴 Difficult","⚪ Unknown"))))</f>
        <v/>
      </c>
      <c r="CF141" s="37"/>
      <c r="CG141" s="37"/>
      <c r="CH141" s="38"/>
      <c r="CI141" s="38"/>
      <c r="CJ141" s="38"/>
      <c r="CK141" s="38"/>
    </row>
    <row r="142" customFormat="false" ht="15" hidden="false" customHeight="true" outlineLevel="0" collapsed="false">
      <c r="A142" s="26" t="str">
        <f aca="false">IF($C142="","",ROW()-3)</f>
        <v/>
      </c>
      <c r="B142" s="27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9"/>
      <c r="N142" s="29"/>
      <c r="O142" s="30" t="str">
        <f aca="false">IFERROR(IF(M142="","",M142*INDEX('00 - Lists'!$M$2:$M$11,MATCH(L142,'00 - Lists'!$L$2:$L$11,0))/100000),"")</f>
        <v/>
      </c>
      <c r="P142" s="30" t="str">
        <f aca="false">IFERROR(IF(N142="","",N142*INDEX('00 - Lists'!$M$2:$M$11,MATCH(L142,'00 - Lists'!$L$2:$L$11,0))/100000),"")</f>
        <v/>
      </c>
      <c r="Q142" s="31" t="str">
        <f aca="false">IFERROR(IF(M142="","",M142*INDEX('00 - Lists'!$N$2:$N$11,MATCH(L142,'00 - Lists'!$L$2:$L$11,0))),"")</f>
        <v/>
      </c>
      <c r="R142" s="31" t="str">
        <f aca="false">IFERROR(IF(N142="","",N142*INDEX('00 - Lists'!$N$2:$N$11,MATCH(L142,'00 - Lists'!$L$2:$L$11,0))),"")</f>
        <v/>
      </c>
      <c r="S142" s="32" t="str">
        <f aca="false">IF(O142="","",IF(O142&gt;=50,"Yes","No"))</f>
        <v/>
      </c>
      <c r="T142" s="32" t="str">
        <f aca="false">IF(Q142="","",IF(Q142&gt;=100000,"Yes","No"))</f>
        <v/>
      </c>
      <c r="U142" s="28"/>
      <c r="V142" s="28"/>
      <c r="W142" s="28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J142" s="34" t="str">
        <f aca="false">IF(OR($BD142&lt;&gt;"",$BF142&lt;&gt;"",$BH142&lt;&gt;""),"Yes","No")</f>
        <v>No</v>
      </c>
      <c r="BK142" s="35" t="str">
        <f aca="false">IFERROR(IF(BD142="","",BD142*INDEX('00 - Lists'!$M$2:$M$11,MATCH(L142,'00 - Lists'!$L$2:$L$11,0))/100000),"")</f>
        <v/>
      </c>
      <c r="BL142" s="35" t="str">
        <f aca="false">IFERROR(IF(BE142="","",BE142*INDEX('00 - Lists'!$M$2:$M$11,MATCH(L142,'00 - Lists'!$L$2:$L$11,0))/100000),"")</f>
        <v/>
      </c>
      <c r="BM142" s="35" t="str">
        <f aca="false">IFERROR(IF(BF142="","",BF142*INDEX('00 - Lists'!$M$2:$M$11,MATCH(L142,'00 - Lists'!$L$2:$L$11,0))/100000),"")</f>
        <v/>
      </c>
      <c r="BN142" s="35" t="str">
        <f aca="false">IFERROR(IF(BG142="","",BG142*INDEX('00 - Lists'!$M$2:$M$11,MATCH(L142,'00 - Lists'!$L$2:$L$11,0))/100000),"")</f>
        <v/>
      </c>
      <c r="BO142" s="35" t="str">
        <f aca="false">IFERROR(IF(BH142="","",BH142*INDEX('00 - Lists'!$M$2:$M$11,MATCH(L142,'00 - Lists'!$L$2:$L$11,0))/100000),"")</f>
        <v/>
      </c>
      <c r="BP142" s="35" t="str">
        <f aca="false">IFERROR(IF(BI142="","",BI142*INDEX('00 - Lists'!$M$2:$M$11,MATCH(L142,'00 - Lists'!$L$2:$L$11,0))/100000),"")</f>
        <v/>
      </c>
      <c r="BS142" s="36" t="str">
        <f aca="false">IF(O142="","",IF(O142&gt;=20,"Yes","No"))</f>
        <v/>
      </c>
      <c r="BT142" s="36" t="str">
        <f aca="false">IF(O142="","",IF(O142&gt;=30,"Yes","No"))</f>
        <v/>
      </c>
      <c r="BU142" s="36" t="str">
        <f aca="false">IF(O142="","",IF(O142&gt;=75,"Yes","No"))</f>
        <v/>
      </c>
      <c r="BV142" s="36" t="str">
        <f aca="false">IF(O142="","",IF(O142&gt;=100,"Yes","No"))</f>
        <v/>
      </c>
      <c r="BW142" s="36" t="str">
        <f aca="false">IF(O142="","",IF(O142&gt;=150,"Yes","No"))</f>
        <v/>
      </c>
      <c r="BX142" s="36" t="str">
        <f aca="false">IF(O142="","",IF(O142&gt;=200,"Yes","No"))</f>
        <v/>
      </c>
      <c r="BY142" s="36" t="str">
        <f aca="false">IF(Q142="","",IF(Q142&gt;=150000,"Yes","No"))</f>
        <v/>
      </c>
      <c r="BZ142" s="36" t="str">
        <f aca="false">IF(Q142="","",IF(Q142&gt;=200000,"Yes","No"))</f>
        <v/>
      </c>
      <c r="CA142" s="36" t="str">
        <f aca="false">IF(Q142="","",IF(Q142&gt;=250000,"Yes","No"))</f>
        <v/>
      </c>
      <c r="CB142" s="36" t="str">
        <f aca="false">IF(Q142="","",IF(Q142&gt;=300000,"Yes","No"))</f>
        <v/>
      </c>
      <c r="CC142" s="37"/>
      <c r="CD142" s="36" t="str">
        <f aca="true">IF(B142="","",IF(TODAY()-B142&lt;=7,"🟢 0-7d",IF(TODAY()-B142&lt;=30,"🟡 8-30d",IF(TODAY()-B142&lt;=60,"🟠 31-60d","🔴 60d+"))))</f>
        <v/>
      </c>
      <c r="CE142" s="36" t="str">
        <f aca="false">IF(G142="","",IF(G142&lt;&gt;"USA","N/A - Not USA Role",IF(J142="Yes",IF(OR(F142="Intern",F142="New Grad"),"🟡 Possible","🟢 Strong"),IF(J142="No","🔴 Difficult","⚪ Unknown"))))</f>
        <v/>
      </c>
      <c r="CF142" s="37"/>
      <c r="CG142" s="37"/>
      <c r="CH142" s="38"/>
      <c r="CI142" s="38"/>
      <c r="CJ142" s="38"/>
      <c r="CK142" s="38"/>
    </row>
    <row r="143" customFormat="false" ht="15" hidden="false" customHeight="true" outlineLevel="0" collapsed="false">
      <c r="A143" s="26" t="str">
        <f aca="false">IF($C143="","",ROW()-3)</f>
        <v/>
      </c>
      <c r="B143" s="27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9"/>
      <c r="N143" s="29"/>
      <c r="O143" s="30" t="str">
        <f aca="false">IFERROR(IF(M143="","",M143*INDEX('00 - Lists'!$M$2:$M$11,MATCH(L143,'00 - Lists'!$L$2:$L$11,0))/100000),"")</f>
        <v/>
      </c>
      <c r="P143" s="30" t="str">
        <f aca="false">IFERROR(IF(N143="","",N143*INDEX('00 - Lists'!$M$2:$M$11,MATCH(L143,'00 - Lists'!$L$2:$L$11,0))/100000),"")</f>
        <v/>
      </c>
      <c r="Q143" s="31" t="str">
        <f aca="false">IFERROR(IF(M143="","",M143*INDEX('00 - Lists'!$N$2:$N$11,MATCH(L143,'00 - Lists'!$L$2:$L$11,0))),"")</f>
        <v/>
      </c>
      <c r="R143" s="31" t="str">
        <f aca="false">IFERROR(IF(N143="","",N143*INDEX('00 - Lists'!$N$2:$N$11,MATCH(L143,'00 - Lists'!$L$2:$L$11,0))),"")</f>
        <v/>
      </c>
      <c r="S143" s="32" t="str">
        <f aca="false">IF(O143="","",IF(O143&gt;=50,"Yes","No"))</f>
        <v/>
      </c>
      <c r="T143" s="32" t="str">
        <f aca="false">IF(Q143="","",IF(Q143&gt;=100000,"Yes","No"))</f>
        <v/>
      </c>
      <c r="U143" s="28"/>
      <c r="V143" s="28"/>
      <c r="W143" s="28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J143" s="34" t="str">
        <f aca="false">IF(OR($BD143&lt;&gt;"",$BF143&lt;&gt;"",$BH143&lt;&gt;""),"Yes","No")</f>
        <v>No</v>
      </c>
      <c r="BK143" s="35" t="str">
        <f aca="false">IFERROR(IF(BD143="","",BD143*INDEX('00 - Lists'!$M$2:$M$11,MATCH(L143,'00 - Lists'!$L$2:$L$11,0))/100000),"")</f>
        <v/>
      </c>
      <c r="BL143" s="35" t="str">
        <f aca="false">IFERROR(IF(BE143="","",BE143*INDEX('00 - Lists'!$M$2:$M$11,MATCH(L143,'00 - Lists'!$L$2:$L$11,0))/100000),"")</f>
        <v/>
      </c>
      <c r="BM143" s="35" t="str">
        <f aca="false">IFERROR(IF(BF143="","",BF143*INDEX('00 - Lists'!$M$2:$M$11,MATCH(L143,'00 - Lists'!$L$2:$L$11,0))/100000),"")</f>
        <v/>
      </c>
      <c r="BN143" s="35" t="str">
        <f aca="false">IFERROR(IF(BG143="","",BG143*INDEX('00 - Lists'!$M$2:$M$11,MATCH(L143,'00 - Lists'!$L$2:$L$11,0))/100000),"")</f>
        <v/>
      </c>
      <c r="BO143" s="35" t="str">
        <f aca="false">IFERROR(IF(BH143="","",BH143*INDEX('00 - Lists'!$M$2:$M$11,MATCH(L143,'00 - Lists'!$L$2:$L$11,0))/100000),"")</f>
        <v/>
      </c>
      <c r="BP143" s="35" t="str">
        <f aca="false">IFERROR(IF(BI143="","",BI143*INDEX('00 - Lists'!$M$2:$M$11,MATCH(L143,'00 - Lists'!$L$2:$L$11,0))/100000),"")</f>
        <v/>
      </c>
      <c r="BS143" s="36" t="str">
        <f aca="false">IF(O143="","",IF(O143&gt;=20,"Yes","No"))</f>
        <v/>
      </c>
      <c r="BT143" s="36" t="str">
        <f aca="false">IF(O143="","",IF(O143&gt;=30,"Yes","No"))</f>
        <v/>
      </c>
      <c r="BU143" s="36" t="str">
        <f aca="false">IF(O143="","",IF(O143&gt;=75,"Yes","No"))</f>
        <v/>
      </c>
      <c r="BV143" s="36" t="str">
        <f aca="false">IF(O143="","",IF(O143&gt;=100,"Yes","No"))</f>
        <v/>
      </c>
      <c r="BW143" s="36" t="str">
        <f aca="false">IF(O143="","",IF(O143&gt;=150,"Yes","No"))</f>
        <v/>
      </c>
      <c r="BX143" s="36" t="str">
        <f aca="false">IF(O143="","",IF(O143&gt;=200,"Yes","No"))</f>
        <v/>
      </c>
      <c r="BY143" s="36" t="str">
        <f aca="false">IF(Q143="","",IF(Q143&gt;=150000,"Yes","No"))</f>
        <v/>
      </c>
      <c r="BZ143" s="36" t="str">
        <f aca="false">IF(Q143="","",IF(Q143&gt;=200000,"Yes","No"))</f>
        <v/>
      </c>
      <c r="CA143" s="36" t="str">
        <f aca="false">IF(Q143="","",IF(Q143&gt;=250000,"Yes","No"))</f>
        <v/>
      </c>
      <c r="CB143" s="36" t="str">
        <f aca="false">IF(Q143="","",IF(Q143&gt;=300000,"Yes","No"))</f>
        <v/>
      </c>
      <c r="CC143" s="37"/>
      <c r="CD143" s="36" t="str">
        <f aca="true">IF(B143="","",IF(TODAY()-B143&lt;=7,"🟢 0-7d",IF(TODAY()-B143&lt;=30,"🟡 8-30d",IF(TODAY()-B143&lt;=60,"🟠 31-60d","🔴 60d+"))))</f>
        <v/>
      </c>
      <c r="CE143" s="36" t="str">
        <f aca="false">IF(G143="","",IF(G143&lt;&gt;"USA","N/A - Not USA Role",IF(J143="Yes",IF(OR(F143="Intern",F143="New Grad"),"🟡 Possible","🟢 Strong"),IF(J143="No","🔴 Difficult","⚪ Unknown"))))</f>
        <v/>
      </c>
      <c r="CF143" s="37"/>
      <c r="CG143" s="37"/>
      <c r="CH143" s="38"/>
      <c r="CI143" s="38"/>
      <c r="CJ143" s="38"/>
      <c r="CK143" s="38"/>
    </row>
    <row r="144" customFormat="false" ht="15" hidden="false" customHeight="true" outlineLevel="0" collapsed="false">
      <c r="A144" s="26" t="str">
        <f aca="false">IF($C144="","",ROW()-3)</f>
        <v/>
      </c>
      <c r="B144" s="27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9"/>
      <c r="N144" s="29"/>
      <c r="O144" s="30" t="str">
        <f aca="false">IFERROR(IF(M144="","",M144*INDEX('00 - Lists'!$M$2:$M$11,MATCH(L144,'00 - Lists'!$L$2:$L$11,0))/100000),"")</f>
        <v/>
      </c>
      <c r="P144" s="30" t="str">
        <f aca="false">IFERROR(IF(N144="","",N144*INDEX('00 - Lists'!$M$2:$M$11,MATCH(L144,'00 - Lists'!$L$2:$L$11,0))/100000),"")</f>
        <v/>
      </c>
      <c r="Q144" s="31" t="str">
        <f aca="false">IFERROR(IF(M144="","",M144*INDEX('00 - Lists'!$N$2:$N$11,MATCH(L144,'00 - Lists'!$L$2:$L$11,0))),"")</f>
        <v/>
      </c>
      <c r="R144" s="31" t="str">
        <f aca="false">IFERROR(IF(N144="","",N144*INDEX('00 - Lists'!$N$2:$N$11,MATCH(L144,'00 - Lists'!$L$2:$L$11,0))),"")</f>
        <v/>
      </c>
      <c r="S144" s="32" t="str">
        <f aca="false">IF(O144="","",IF(O144&gt;=50,"Yes","No"))</f>
        <v/>
      </c>
      <c r="T144" s="32" t="str">
        <f aca="false">IF(Q144="","",IF(Q144&gt;=100000,"Yes","No"))</f>
        <v/>
      </c>
      <c r="U144" s="28"/>
      <c r="V144" s="28"/>
      <c r="W144" s="28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J144" s="34" t="str">
        <f aca="false">IF(OR($BD144&lt;&gt;"",$BF144&lt;&gt;"",$BH144&lt;&gt;""),"Yes","No")</f>
        <v>No</v>
      </c>
      <c r="BK144" s="35" t="str">
        <f aca="false">IFERROR(IF(BD144="","",BD144*INDEX('00 - Lists'!$M$2:$M$11,MATCH(L144,'00 - Lists'!$L$2:$L$11,0))/100000),"")</f>
        <v/>
      </c>
      <c r="BL144" s="35" t="str">
        <f aca="false">IFERROR(IF(BE144="","",BE144*INDEX('00 - Lists'!$M$2:$M$11,MATCH(L144,'00 - Lists'!$L$2:$L$11,0))/100000),"")</f>
        <v/>
      </c>
      <c r="BM144" s="35" t="str">
        <f aca="false">IFERROR(IF(BF144="","",BF144*INDEX('00 - Lists'!$M$2:$M$11,MATCH(L144,'00 - Lists'!$L$2:$L$11,0))/100000),"")</f>
        <v/>
      </c>
      <c r="BN144" s="35" t="str">
        <f aca="false">IFERROR(IF(BG144="","",BG144*INDEX('00 - Lists'!$M$2:$M$11,MATCH(L144,'00 - Lists'!$L$2:$L$11,0))/100000),"")</f>
        <v/>
      </c>
      <c r="BO144" s="35" t="str">
        <f aca="false">IFERROR(IF(BH144="","",BH144*INDEX('00 - Lists'!$M$2:$M$11,MATCH(L144,'00 - Lists'!$L$2:$L$11,0))/100000),"")</f>
        <v/>
      </c>
      <c r="BP144" s="35" t="str">
        <f aca="false">IFERROR(IF(BI144="","",BI144*INDEX('00 - Lists'!$M$2:$M$11,MATCH(L144,'00 - Lists'!$L$2:$L$11,0))/100000),"")</f>
        <v/>
      </c>
      <c r="BS144" s="36" t="str">
        <f aca="false">IF(O144="","",IF(O144&gt;=20,"Yes","No"))</f>
        <v/>
      </c>
      <c r="BT144" s="36" t="str">
        <f aca="false">IF(O144="","",IF(O144&gt;=30,"Yes","No"))</f>
        <v/>
      </c>
      <c r="BU144" s="36" t="str">
        <f aca="false">IF(O144="","",IF(O144&gt;=75,"Yes","No"))</f>
        <v/>
      </c>
      <c r="BV144" s="36" t="str">
        <f aca="false">IF(O144="","",IF(O144&gt;=100,"Yes","No"))</f>
        <v/>
      </c>
      <c r="BW144" s="36" t="str">
        <f aca="false">IF(O144="","",IF(O144&gt;=150,"Yes","No"))</f>
        <v/>
      </c>
      <c r="BX144" s="36" t="str">
        <f aca="false">IF(O144="","",IF(O144&gt;=200,"Yes","No"))</f>
        <v/>
      </c>
      <c r="BY144" s="36" t="str">
        <f aca="false">IF(Q144="","",IF(Q144&gt;=150000,"Yes","No"))</f>
        <v/>
      </c>
      <c r="BZ144" s="36" t="str">
        <f aca="false">IF(Q144="","",IF(Q144&gt;=200000,"Yes","No"))</f>
        <v/>
      </c>
      <c r="CA144" s="36" t="str">
        <f aca="false">IF(Q144="","",IF(Q144&gt;=250000,"Yes","No"))</f>
        <v/>
      </c>
      <c r="CB144" s="36" t="str">
        <f aca="false">IF(Q144="","",IF(Q144&gt;=300000,"Yes","No"))</f>
        <v/>
      </c>
      <c r="CC144" s="37"/>
      <c r="CD144" s="36" t="str">
        <f aca="true">IF(B144="","",IF(TODAY()-B144&lt;=7,"🟢 0-7d",IF(TODAY()-B144&lt;=30,"🟡 8-30d",IF(TODAY()-B144&lt;=60,"🟠 31-60d","🔴 60d+"))))</f>
        <v/>
      </c>
      <c r="CE144" s="36" t="str">
        <f aca="false">IF(G144="","",IF(G144&lt;&gt;"USA","N/A - Not USA Role",IF(J144="Yes",IF(OR(F144="Intern",F144="New Grad"),"🟡 Possible","🟢 Strong"),IF(J144="No","🔴 Difficult","⚪ Unknown"))))</f>
        <v/>
      </c>
      <c r="CF144" s="37"/>
      <c r="CG144" s="37"/>
      <c r="CH144" s="38"/>
      <c r="CI144" s="38"/>
      <c r="CJ144" s="38"/>
      <c r="CK144" s="38"/>
    </row>
    <row r="145" customFormat="false" ht="15" hidden="false" customHeight="true" outlineLevel="0" collapsed="false">
      <c r="A145" s="26" t="str">
        <f aca="false">IF($C145="","",ROW()-3)</f>
        <v/>
      </c>
      <c r="B145" s="27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9"/>
      <c r="N145" s="29"/>
      <c r="O145" s="30" t="str">
        <f aca="false">IFERROR(IF(M145="","",M145*INDEX('00 - Lists'!$M$2:$M$11,MATCH(L145,'00 - Lists'!$L$2:$L$11,0))/100000),"")</f>
        <v/>
      </c>
      <c r="P145" s="30" t="str">
        <f aca="false">IFERROR(IF(N145="","",N145*INDEX('00 - Lists'!$M$2:$M$11,MATCH(L145,'00 - Lists'!$L$2:$L$11,0))/100000),"")</f>
        <v/>
      </c>
      <c r="Q145" s="31" t="str">
        <f aca="false">IFERROR(IF(M145="","",M145*INDEX('00 - Lists'!$N$2:$N$11,MATCH(L145,'00 - Lists'!$L$2:$L$11,0))),"")</f>
        <v/>
      </c>
      <c r="R145" s="31" t="str">
        <f aca="false">IFERROR(IF(N145="","",N145*INDEX('00 - Lists'!$N$2:$N$11,MATCH(L145,'00 - Lists'!$L$2:$L$11,0))),"")</f>
        <v/>
      </c>
      <c r="S145" s="32" t="str">
        <f aca="false">IF(O145="","",IF(O145&gt;=50,"Yes","No"))</f>
        <v/>
      </c>
      <c r="T145" s="32" t="str">
        <f aca="false">IF(Q145="","",IF(Q145&gt;=100000,"Yes","No"))</f>
        <v/>
      </c>
      <c r="U145" s="28"/>
      <c r="V145" s="28"/>
      <c r="W145" s="28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J145" s="34" t="str">
        <f aca="false">IF(OR($BD145&lt;&gt;"",$BF145&lt;&gt;"",$BH145&lt;&gt;""),"Yes","No")</f>
        <v>No</v>
      </c>
      <c r="BK145" s="35" t="str">
        <f aca="false">IFERROR(IF(BD145="","",BD145*INDEX('00 - Lists'!$M$2:$M$11,MATCH(L145,'00 - Lists'!$L$2:$L$11,0))/100000),"")</f>
        <v/>
      </c>
      <c r="BL145" s="35" t="str">
        <f aca="false">IFERROR(IF(BE145="","",BE145*INDEX('00 - Lists'!$M$2:$M$11,MATCH(L145,'00 - Lists'!$L$2:$L$11,0))/100000),"")</f>
        <v/>
      </c>
      <c r="BM145" s="35" t="str">
        <f aca="false">IFERROR(IF(BF145="","",BF145*INDEX('00 - Lists'!$M$2:$M$11,MATCH(L145,'00 - Lists'!$L$2:$L$11,0))/100000),"")</f>
        <v/>
      </c>
      <c r="BN145" s="35" t="str">
        <f aca="false">IFERROR(IF(BG145="","",BG145*INDEX('00 - Lists'!$M$2:$M$11,MATCH(L145,'00 - Lists'!$L$2:$L$11,0))/100000),"")</f>
        <v/>
      </c>
      <c r="BO145" s="35" t="str">
        <f aca="false">IFERROR(IF(BH145="","",BH145*INDEX('00 - Lists'!$M$2:$M$11,MATCH(L145,'00 - Lists'!$L$2:$L$11,0))/100000),"")</f>
        <v/>
      </c>
      <c r="BP145" s="35" t="str">
        <f aca="false">IFERROR(IF(BI145="","",BI145*INDEX('00 - Lists'!$M$2:$M$11,MATCH(L145,'00 - Lists'!$L$2:$L$11,0))/100000),"")</f>
        <v/>
      </c>
      <c r="BS145" s="36" t="str">
        <f aca="false">IF(O145="","",IF(O145&gt;=20,"Yes","No"))</f>
        <v/>
      </c>
      <c r="BT145" s="36" t="str">
        <f aca="false">IF(O145="","",IF(O145&gt;=30,"Yes","No"))</f>
        <v/>
      </c>
      <c r="BU145" s="36" t="str">
        <f aca="false">IF(O145="","",IF(O145&gt;=75,"Yes","No"))</f>
        <v/>
      </c>
      <c r="BV145" s="36" t="str">
        <f aca="false">IF(O145="","",IF(O145&gt;=100,"Yes","No"))</f>
        <v/>
      </c>
      <c r="BW145" s="36" t="str">
        <f aca="false">IF(O145="","",IF(O145&gt;=150,"Yes","No"))</f>
        <v/>
      </c>
      <c r="BX145" s="36" t="str">
        <f aca="false">IF(O145="","",IF(O145&gt;=200,"Yes","No"))</f>
        <v/>
      </c>
      <c r="BY145" s="36" t="str">
        <f aca="false">IF(Q145="","",IF(Q145&gt;=150000,"Yes","No"))</f>
        <v/>
      </c>
      <c r="BZ145" s="36" t="str">
        <f aca="false">IF(Q145="","",IF(Q145&gt;=200000,"Yes","No"))</f>
        <v/>
      </c>
      <c r="CA145" s="36" t="str">
        <f aca="false">IF(Q145="","",IF(Q145&gt;=250000,"Yes","No"))</f>
        <v/>
      </c>
      <c r="CB145" s="36" t="str">
        <f aca="false">IF(Q145="","",IF(Q145&gt;=300000,"Yes","No"))</f>
        <v/>
      </c>
      <c r="CC145" s="37"/>
      <c r="CD145" s="36" t="str">
        <f aca="true">IF(B145="","",IF(TODAY()-B145&lt;=7,"🟢 0-7d",IF(TODAY()-B145&lt;=30,"🟡 8-30d",IF(TODAY()-B145&lt;=60,"🟠 31-60d","🔴 60d+"))))</f>
        <v/>
      </c>
      <c r="CE145" s="36" t="str">
        <f aca="false">IF(G145="","",IF(G145&lt;&gt;"USA","N/A - Not USA Role",IF(J145="Yes",IF(OR(F145="Intern",F145="New Grad"),"🟡 Possible","🟢 Strong"),IF(J145="No","🔴 Difficult","⚪ Unknown"))))</f>
        <v/>
      </c>
      <c r="CF145" s="37"/>
      <c r="CG145" s="37"/>
      <c r="CH145" s="38"/>
      <c r="CI145" s="38"/>
      <c r="CJ145" s="38"/>
      <c r="CK145" s="38"/>
    </row>
    <row r="146" customFormat="false" ht="15" hidden="false" customHeight="true" outlineLevel="0" collapsed="false">
      <c r="A146" s="26" t="str">
        <f aca="false">IF($C146="","",ROW()-3)</f>
        <v/>
      </c>
      <c r="B146" s="27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9"/>
      <c r="N146" s="29"/>
      <c r="O146" s="30" t="str">
        <f aca="false">IFERROR(IF(M146="","",M146*INDEX('00 - Lists'!$M$2:$M$11,MATCH(L146,'00 - Lists'!$L$2:$L$11,0))/100000),"")</f>
        <v/>
      </c>
      <c r="P146" s="30" t="str">
        <f aca="false">IFERROR(IF(N146="","",N146*INDEX('00 - Lists'!$M$2:$M$11,MATCH(L146,'00 - Lists'!$L$2:$L$11,0))/100000),"")</f>
        <v/>
      </c>
      <c r="Q146" s="31" t="str">
        <f aca="false">IFERROR(IF(M146="","",M146*INDEX('00 - Lists'!$N$2:$N$11,MATCH(L146,'00 - Lists'!$L$2:$L$11,0))),"")</f>
        <v/>
      </c>
      <c r="R146" s="31" t="str">
        <f aca="false">IFERROR(IF(N146="","",N146*INDEX('00 - Lists'!$N$2:$N$11,MATCH(L146,'00 - Lists'!$L$2:$L$11,0))),"")</f>
        <v/>
      </c>
      <c r="S146" s="32" t="str">
        <f aca="false">IF(O146="","",IF(O146&gt;=50,"Yes","No"))</f>
        <v/>
      </c>
      <c r="T146" s="32" t="str">
        <f aca="false">IF(Q146="","",IF(Q146&gt;=100000,"Yes","No"))</f>
        <v/>
      </c>
      <c r="U146" s="28"/>
      <c r="V146" s="28"/>
      <c r="W146" s="28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J146" s="34" t="str">
        <f aca="false">IF(OR($BD146&lt;&gt;"",$BF146&lt;&gt;"",$BH146&lt;&gt;""),"Yes","No")</f>
        <v>No</v>
      </c>
      <c r="BK146" s="35" t="str">
        <f aca="false">IFERROR(IF(BD146="","",BD146*INDEX('00 - Lists'!$M$2:$M$11,MATCH(L146,'00 - Lists'!$L$2:$L$11,0))/100000),"")</f>
        <v/>
      </c>
      <c r="BL146" s="35" t="str">
        <f aca="false">IFERROR(IF(BE146="","",BE146*INDEX('00 - Lists'!$M$2:$M$11,MATCH(L146,'00 - Lists'!$L$2:$L$11,0))/100000),"")</f>
        <v/>
      </c>
      <c r="BM146" s="35" t="str">
        <f aca="false">IFERROR(IF(BF146="","",BF146*INDEX('00 - Lists'!$M$2:$M$11,MATCH(L146,'00 - Lists'!$L$2:$L$11,0))/100000),"")</f>
        <v/>
      </c>
      <c r="BN146" s="35" t="str">
        <f aca="false">IFERROR(IF(BG146="","",BG146*INDEX('00 - Lists'!$M$2:$M$11,MATCH(L146,'00 - Lists'!$L$2:$L$11,0))/100000),"")</f>
        <v/>
      </c>
      <c r="BO146" s="35" t="str">
        <f aca="false">IFERROR(IF(BH146="","",BH146*INDEX('00 - Lists'!$M$2:$M$11,MATCH(L146,'00 - Lists'!$L$2:$L$11,0))/100000),"")</f>
        <v/>
      </c>
      <c r="BP146" s="35" t="str">
        <f aca="false">IFERROR(IF(BI146="","",BI146*INDEX('00 - Lists'!$M$2:$M$11,MATCH(L146,'00 - Lists'!$L$2:$L$11,0))/100000),"")</f>
        <v/>
      </c>
      <c r="BS146" s="36" t="str">
        <f aca="false">IF(O146="","",IF(O146&gt;=20,"Yes","No"))</f>
        <v/>
      </c>
      <c r="BT146" s="36" t="str">
        <f aca="false">IF(O146="","",IF(O146&gt;=30,"Yes","No"))</f>
        <v/>
      </c>
      <c r="BU146" s="36" t="str">
        <f aca="false">IF(O146="","",IF(O146&gt;=75,"Yes","No"))</f>
        <v/>
      </c>
      <c r="BV146" s="36" t="str">
        <f aca="false">IF(O146="","",IF(O146&gt;=100,"Yes","No"))</f>
        <v/>
      </c>
      <c r="BW146" s="36" t="str">
        <f aca="false">IF(O146="","",IF(O146&gt;=150,"Yes","No"))</f>
        <v/>
      </c>
      <c r="BX146" s="36" t="str">
        <f aca="false">IF(O146="","",IF(O146&gt;=200,"Yes","No"))</f>
        <v/>
      </c>
      <c r="BY146" s="36" t="str">
        <f aca="false">IF(Q146="","",IF(Q146&gt;=150000,"Yes","No"))</f>
        <v/>
      </c>
      <c r="BZ146" s="36" t="str">
        <f aca="false">IF(Q146="","",IF(Q146&gt;=200000,"Yes","No"))</f>
        <v/>
      </c>
      <c r="CA146" s="36" t="str">
        <f aca="false">IF(Q146="","",IF(Q146&gt;=250000,"Yes","No"))</f>
        <v/>
      </c>
      <c r="CB146" s="36" t="str">
        <f aca="false">IF(Q146="","",IF(Q146&gt;=300000,"Yes","No"))</f>
        <v/>
      </c>
      <c r="CC146" s="37"/>
      <c r="CD146" s="36" t="str">
        <f aca="true">IF(B146="","",IF(TODAY()-B146&lt;=7,"🟢 0-7d",IF(TODAY()-B146&lt;=30,"🟡 8-30d",IF(TODAY()-B146&lt;=60,"🟠 31-60d","🔴 60d+"))))</f>
        <v/>
      </c>
      <c r="CE146" s="36" t="str">
        <f aca="false">IF(G146="","",IF(G146&lt;&gt;"USA","N/A - Not USA Role",IF(J146="Yes",IF(OR(F146="Intern",F146="New Grad"),"🟡 Possible","🟢 Strong"),IF(J146="No","🔴 Difficult","⚪ Unknown"))))</f>
        <v/>
      </c>
      <c r="CF146" s="37"/>
      <c r="CG146" s="37"/>
      <c r="CH146" s="38"/>
      <c r="CI146" s="38"/>
      <c r="CJ146" s="38"/>
      <c r="CK146" s="38"/>
    </row>
    <row r="147" customFormat="false" ht="15" hidden="false" customHeight="true" outlineLevel="0" collapsed="false">
      <c r="A147" s="26" t="str">
        <f aca="false">IF($C147="","",ROW()-3)</f>
        <v/>
      </c>
      <c r="B147" s="27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9"/>
      <c r="N147" s="29"/>
      <c r="O147" s="30" t="str">
        <f aca="false">IFERROR(IF(M147="","",M147*INDEX('00 - Lists'!$M$2:$M$11,MATCH(L147,'00 - Lists'!$L$2:$L$11,0))/100000),"")</f>
        <v/>
      </c>
      <c r="P147" s="30" t="str">
        <f aca="false">IFERROR(IF(N147="","",N147*INDEX('00 - Lists'!$M$2:$M$11,MATCH(L147,'00 - Lists'!$L$2:$L$11,0))/100000),"")</f>
        <v/>
      </c>
      <c r="Q147" s="31" t="str">
        <f aca="false">IFERROR(IF(M147="","",M147*INDEX('00 - Lists'!$N$2:$N$11,MATCH(L147,'00 - Lists'!$L$2:$L$11,0))),"")</f>
        <v/>
      </c>
      <c r="R147" s="31" t="str">
        <f aca="false">IFERROR(IF(N147="","",N147*INDEX('00 - Lists'!$N$2:$N$11,MATCH(L147,'00 - Lists'!$L$2:$L$11,0))),"")</f>
        <v/>
      </c>
      <c r="S147" s="32" t="str">
        <f aca="false">IF(O147="","",IF(O147&gt;=50,"Yes","No"))</f>
        <v/>
      </c>
      <c r="T147" s="32" t="str">
        <f aca="false">IF(Q147="","",IF(Q147&gt;=100000,"Yes","No"))</f>
        <v/>
      </c>
      <c r="U147" s="28"/>
      <c r="V147" s="28"/>
      <c r="W147" s="28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J147" s="34" t="str">
        <f aca="false">IF(OR($BD147&lt;&gt;"",$BF147&lt;&gt;"",$BH147&lt;&gt;""),"Yes","No")</f>
        <v>No</v>
      </c>
      <c r="BK147" s="35" t="str">
        <f aca="false">IFERROR(IF(BD147="","",BD147*INDEX('00 - Lists'!$M$2:$M$11,MATCH(L147,'00 - Lists'!$L$2:$L$11,0))/100000),"")</f>
        <v/>
      </c>
      <c r="BL147" s="35" t="str">
        <f aca="false">IFERROR(IF(BE147="","",BE147*INDEX('00 - Lists'!$M$2:$M$11,MATCH(L147,'00 - Lists'!$L$2:$L$11,0))/100000),"")</f>
        <v/>
      </c>
      <c r="BM147" s="35" t="str">
        <f aca="false">IFERROR(IF(BF147="","",BF147*INDEX('00 - Lists'!$M$2:$M$11,MATCH(L147,'00 - Lists'!$L$2:$L$11,0))/100000),"")</f>
        <v/>
      </c>
      <c r="BN147" s="35" t="str">
        <f aca="false">IFERROR(IF(BG147="","",BG147*INDEX('00 - Lists'!$M$2:$M$11,MATCH(L147,'00 - Lists'!$L$2:$L$11,0))/100000),"")</f>
        <v/>
      </c>
      <c r="BO147" s="35" t="str">
        <f aca="false">IFERROR(IF(BH147="","",BH147*INDEX('00 - Lists'!$M$2:$M$11,MATCH(L147,'00 - Lists'!$L$2:$L$11,0))/100000),"")</f>
        <v/>
      </c>
      <c r="BP147" s="35" t="str">
        <f aca="false">IFERROR(IF(BI147="","",BI147*INDEX('00 - Lists'!$M$2:$M$11,MATCH(L147,'00 - Lists'!$L$2:$L$11,0))/100000),"")</f>
        <v/>
      </c>
      <c r="BS147" s="36" t="str">
        <f aca="false">IF(O147="","",IF(O147&gt;=20,"Yes","No"))</f>
        <v/>
      </c>
      <c r="BT147" s="36" t="str">
        <f aca="false">IF(O147="","",IF(O147&gt;=30,"Yes","No"))</f>
        <v/>
      </c>
      <c r="BU147" s="36" t="str">
        <f aca="false">IF(O147="","",IF(O147&gt;=75,"Yes","No"))</f>
        <v/>
      </c>
      <c r="BV147" s="36" t="str">
        <f aca="false">IF(O147="","",IF(O147&gt;=100,"Yes","No"))</f>
        <v/>
      </c>
      <c r="BW147" s="36" t="str">
        <f aca="false">IF(O147="","",IF(O147&gt;=150,"Yes","No"))</f>
        <v/>
      </c>
      <c r="BX147" s="36" t="str">
        <f aca="false">IF(O147="","",IF(O147&gt;=200,"Yes","No"))</f>
        <v/>
      </c>
      <c r="BY147" s="36" t="str">
        <f aca="false">IF(Q147="","",IF(Q147&gt;=150000,"Yes","No"))</f>
        <v/>
      </c>
      <c r="BZ147" s="36" t="str">
        <f aca="false">IF(Q147="","",IF(Q147&gt;=200000,"Yes","No"))</f>
        <v/>
      </c>
      <c r="CA147" s="36" t="str">
        <f aca="false">IF(Q147="","",IF(Q147&gt;=250000,"Yes","No"))</f>
        <v/>
      </c>
      <c r="CB147" s="36" t="str">
        <f aca="false">IF(Q147="","",IF(Q147&gt;=300000,"Yes","No"))</f>
        <v/>
      </c>
      <c r="CC147" s="37"/>
      <c r="CD147" s="36" t="str">
        <f aca="true">IF(B147="","",IF(TODAY()-B147&lt;=7,"🟢 0-7d",IF(TODAY()-B147&lt;=30,"🟡 8-30d",IF(TODAY()-B147&lt;=60,"🟠 31-60d","🔴 60d+"))))</f>
        <v/>
      </c>
      <c r="CE147" s="36" t="str">
        <f aca="false">IF(G147="","",IF(G147&lt;&gt;"USA","N/A - Not USA Role",IF(J147="Yes",IF(OR(F147="Intern",F147="New Grad"),"🟡 Possible","🟢 Strong"),IF(J147="No","🔴 Difficult","⚪ Unknown"))))</f>
        <v/>
      </c>
      <c r="CF147" s="37"/>
      <c r="CG147" s="37"/>
      <c r="CH147" s="38"/>
      <c r="CI147" s="38"/>
      <c r="CJ147" s="38"/>
      <c r="CK147" s="38"/>
    </row>
    <row r="148" customFormat="false" ht="15" hidden="false" customHeight="true" outlineLevel="0" collapsed="false">
      <c r="A148" s="26" t="str">
        <f aca="false">IF($C148="","",ROW()-3)</f>
        <v/>
      </c>
      <c r="B148" s="27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9"/>
      <c r="N148" s="29"/>
      <c r="O148" s="30" t="str">
        <f aca="false">IFERROR(IF(M148="","",M148*INDEX('00 - Lists'!$M$2:$M$11,MATCH(L148,'00 - Lists'!$L$2:$L$11,0))/100000),"")</f>
        <v/>
      </c>
      <c r="P148" s="30" t="str">
        <f aca="false">IFERROR(IF(N148="","",N148*INDEX('00 - Lists'!$M$2:$M$11,MATCH(L148,'00 - Lists'!$L$2:$L$11,0))/100000),"")</f>
        <v/>
      </c>
      <c r="Q148" s="31" t="str">
        <f aca="false">IFERROR(IF(M148="","",M148*INDEX('00 - Lists'!$N$2:$N$11,MATCH(L148,'00 - Lists'!$L$2:$L$11,0))),"")</f>
        <v/>
      </c>
      <c r="R148" s="31" t="str">
        <f aca="false">IFERROR(IF(N148="","",N148*INDEX('00 - Lists'!$N$2:$N$11,MATCH(L148,'00 - Lists'!$L$2:$L$11,0))),"")</f>
        <v/>
      </c>
      <c r="S148" s="32" t="str">
        <f aca="false">IF(O148="","",IF(O148&gt;=50,"Yes","No"))</f>
        <v/>
      </c>
      <c r="T148" s="32" t="str">
        <f aca="false">IF(Q148="","",IF(Q148&gt;=100000,"Yes","No"))</f>
        <v/>
      </c>
      <c r="U148" s="28"/>
      <c r="V148" s="28"/>
      <c r="W148" s="28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J148" s="34" t="str">
        <f aca="false">IF(OR($BD148&lt;&gt;"",$BF148&lt;&gt;"",$BH148&lt;&gt;""),"Yes","No")</f>
        <v>No</v>
      </c>
      <c r="BK148" s="35" t="str">
        <f aca="false">IFERROR(IF(BD148="","",BD148*INDEX('00 - Lists'!$M$2:$M$11,MATCH(L148,'00 - Lists'!$L$2:$L$11,0))/100000),"")</f>
        <v/>
      </c>
      <c r="BL148" s="35" t="str">
        <f aca="false">IFERROR(IF(BE148="","",BE148*INDEX('00 - Lists'!$M$2:$M$11,MATCH(L148,'00 - Lists'!$L$2:$L$11,0))/100000),"")</f>
        <v/>
      </c>
      <c r="BM148" s="35" t="str">
        <f aca="false">IFERROR(IF(BF148="","",BF148*INDEX('00 - Lists'!$M$2:$M$11,MATCH(L148,'00 - Lists'!$L$2:$L$11,0))/100000),"")</f>
        <v/>
      </c>
      <c r="BN148" s="35" t="str">
        <f aca="false">IFERROR(IF(BG148="","",BG148*INDEX('00 - Lists'!$M$2:$M$11,MATCH(L148,'00 - Lists'!$L$2:$L$11,0))/100000),"")</f>
        <v/>
      </c>
      <c r="BO148" s="35" t="str">
        <f aca="false">IFERROR(IF(BH148="","",BH148*INDEX('00 - Lists'!$M$2:$M$11,MATCH(L148,'00 - Lists'!$L$2:$L$11,0))/100000),"")</f>
        <v/>
      </c>
      <c r="BP148" s="35" t="str">
        <f aca="false">IFERROR(IF(BI148="","",BI148*INDEX('00 - Lists'!$M$2:$M$11,MATCH(L148,'00 - Lists'!$L$2:$L$11,0))/100000),"")</f>
        <v/>
      </c>
      <c r="BS148" s="36" t="str">
        <f aca="false">IF(O148="","",IF(O148&gt;=20,"Yes","No"))</f>
        <v/>
      </c>
      <c r="BT148" s="36" t="str">
        <f aca="false">IF(O148="","",IF(O148&gt;=30,"Yes","No"))</f>
        <v/>
      </c>
      <c r="BU148" s="36" t="str">
        <f aca="false">IF(O148="","",IF(O148&gt;=75,"Yes","No"))</f>
        <v/>
      </c>
      <c r="BV148" s="36" t="str">
        <f aca="false">IF(O148="","",IF(O148&gt;=100,"Yes","No"))</f>
        <v/>
      </c>
      <c r="BW148" s="36" t="str">
        <f aca="false">IF(O148="","",IF(O148&gt;=150,"Yes","No"))</f>
        <v/>
      </c>
      <c r="BX148" s="36" t="str">
        <f aca="false">IF(O148="","",IF(O148&gt;=200,"Yes","No"))</f>
        <v/>
      </c>
      <c r="BY148" s="36" t="str">
        <f aca="false">IF(Q148="","",IF(Q148&gt;=150000,"Yes","No"))</f>
        <v/>
      </c>
      <c r="BZ148" s="36" t="str">
        <f aca="false">IF(Q148="","",IF(Q148&gt;=200000,"Yes","No"))</f>
        <v/>
      </c>
      <c r="CA148" s="36" t="str">
        <f aca="false">IF(Q148="","",IF(Q148&gt;=250000,"Yes","No"))</f>
        <v/>
      </c>
      <c r="CB148" s="36" t="str">
        <f aca="false">IF(Q148="","",IF(Q148&gt;=300000,"Yes","No"))</f>
        <v/>
      </c>
      <c r="CC148" s="37"/>
      <c r="CD148" s="36" t="str">
        <f aca="true">IF(B148="","",IF(TODAY()-B148&lt;=7,"🟢 0-7d",IF(TODAY()-B148&lt;=30,"🟡 8-30d",IF(TODAY()-B148&lt;=60,"🟠 31-60d","🔴 60d+"))))</f>
        <v/>
      </c>
      <c r="CE148" s="36" t="str">
        <f aca="false">IF(G148="","",IF(G148&lt;&gt;"USA","N/A - Not USA Role",IF(J148="Yes",IF(OR(F148="Intern",F148="New Grad"),"🟡 Possible","🟢 Strong"),IF(J148="No","🔴 Difficult","⚪ Unknown"))))</f>
        <v/>
      </c>
      <c r="CF148" s="37"/>
      <c r="CG148" s="37"/>
      <c r="CH148" s="38"/>
      <c r="CI148" s="38"/>
      <c r="CJ148" s="38"/>
      <c r="CK148" s="38"/>
    </row>
    <row r="149" customFormat="false" ht="15" hidden="false" customHeight="true" outlineLevel="0" collapsed="false">
      <c r="A149" s="26" t="str">
        <f aca="false">IF($C149="","",ROW()-3)</f>
        <v/>
      </c>
      <c r="B149" s="27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9"/>
      <c r="N149" s="29"/>
      <c r="O149" s="30" t="str">
        <f aca="false">IFERROR(IF(M149="","",M149*INDEX('00 - Lists'!$M$2:$M$11,MATCH(L149,'00 - Lists'!$L$2:$L$11,0))/100000),"")</f>
        <v/>
      </c>
      <c r="P149" s="30" t="str">
        <f aca="false">IFERROR(IF(N149="","",N149*INDEX('00 - Lists'!$M$2:$M$11,MATCH(L149,'00 - Lists'!$L$2:$L$11,0))/100000),"")</f>
        <v/>
      </c>
      <c r="Q149" s="31" t="str">
        <f aca="false">IFERROR(IF(M149="","",M149*INDEX('00 - Lists'!$N$2:$N$11,MATCH(L149,'00 - Lists'!$L$2:$L$11,0))),"")</f>
        <v/>
      </c>
      <c r="R149" s="31" t="str">
        <f aca="false">IFERROR(IF(N149="","",N149*INDEX('00 - Lists'!$N$2:$N$11,MATCH(L149,'00 - Lists'!$L$2:$L$11,0))),"")</f>
        <v/>
      </c>
      <c r="S149" s="32" t="str">
        <f aca="false">IF(O149="","",IF(O149&gt;=50,"Yes","No"))</f>
        <v/>
      </c>
      <c r="T149" s="32" t="str">
        <f aca="false">IF(Q149="","",IF(Q149&gt;=100000,"Yes","No"))</f>
        <v/>
      </c>
      <c r="U149" s="28"/>
      <c r="V149" s="28"/>
      <c r="W149" s="28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J149" s="34" t="str">
        <f aca="false">IF(OR($BD149&lt;&gt;"",$BF149&lt;&gt;"",$BH149&lt;&gt;""),"Yes","No")</f>
        <v>No</v>
      </c>
      <c r="BK149" s="35" t="str">
        <f aca="false">IFERROR(IF(BD149="","",BD149*INDEX('00 - Lists'!$M$2:$M$11,MATCH(L149,'00 - Lists'!$L$2:$L$11,0))/100000),"")</f>
        <v/>
      </c>
      <c r="BL149" s="35" t="str">
        <f aca="false">IFERROR(IF(BE149="","",BE149*INDEX('00 - Lists'!$M$2:$M$11,MATCH(L149,'00 - Lists'!$L$2:$L$11,0))/100000),"")</f>
        <v/>
      </c>
      <c r="BM149" s="35" t="str">
        <f aca="false">IFERROR(IF(BF149="","",BF149*INDEX('00 - Lists'!$M$2:$M$11,MATCH(L149,'00 - Lists'!$L$2:$L$11,0))/100000),"")</f>
        <v/>
      </c>
      <c r="BN149" s="35" t="str">
        <f aca="false">IFERROR(IF(BG149="","",BG149*INDEX('00 - Lists'!$M$2:$M$11,MATCH(L149,'00 - Lists'!$L$2:$L$11,0))/100000),"")</f>
        <v/>
      </c>
      <c r="BO149" s="35" t="str">
        <f aca="false">IFERROR(IF(BH149="","",BH149*INDEX('00 - Lists'!$M$2:$M$11,MATCH(L149,'00 - Lists'!$L$2:$L$11,0))/100000),"")</f>
        <v/>
      </c>
      <c r="BP149" s="35" t="str">
        <f aca="false">IFERROR(IF(BI149="","",BI149*INDEX('00 - Lists'!$M$2:$M$11,MATCH(L149,'00 - Lists'!$L$2:$L$11,0))/100000),"")</f>
        <v/>
      </c>
      <c r="BS149" s="36" t="str">
        <f aca="false">IF(O149="","",IF(O149&gt;=20,"Yes","No"))</f>
        <v/>
      </c>
      <c r="BT149" s="36" t="str">
        <f aca="false">IF(O149="","",IF(O149&gt;=30,"Yes","No"))</f>
        <v/>
      </c>
      <c r="BU149" s="36" t="str">
        <f aca="false">IF(O149="","",IF(O149&gt;=75,"Yes","No"))</f>
        <v/>
      </c>
      <c r="BV149" s="36" t="str">
        <f aca="false">IF(O149="","",IF(O149&gt;=100,"Yes","No"))</f>
        <v/>
      </c>
      <c r="BW149" s="36" t="str">
        <f aca="false">IF(O149="","",IF(O149&gt;=150,"Yes","No"))</f>
        <v/>
      </c>
      <c r="BX149" s="36" t="str">
        <f aca="false">IF(O149="","",IF(O149&gt;=200,"Yes","No"))</f>
        <v/>
      </c>
      <c r="BY149" s="36" t="str">
        <f aca="false">IF(Q149="","",IF(Q149&gt;=150000,"Yes","No"))</f>
        <v/>
      </c>
      <c r="BZ149" s="36" t="str">
        <f aca="false">IF(Q149="","",IF(Q149&gt;=200000,"Yes","No"))</f>
        <v/>
      </c>
      <c r="CA149" s="36" t="str">
        <f aca="false">IF(Q149="","",IF(Q149&gt;=250000,"Yes","No"))</f>
        <v/>
      </c>
      <c r="CB149" s="36" t="str">
        <f aca="false">IF(Q149="","",IF(Q149&gt;=300000,"Yes","No"))</f>
        <v/>
      </c>
      <c r="CC149" s="37"/>
      <c r="CD149" s="36" t="str">
        <f aca="true">IF(B149="","",IF(TODAY()-B149&lt;=7,"🟢 0-7d",IF(TODAY()-B149&lt;=30,"🟡 8-30d",IF(TODAY()-B149&lt;=60,"🟠 31-60d","🔴 60d+"))))</f>
        <v/>
      </c>
      <c r="CE149" s="36" t="str">
        <f aca="false">IF(G149="","",IF(G149&lt;&gt;"USA","N/A - Not USA Role",IF(J149="Yes",IF(OR(F149="Intern",F149="New Grad"),"🟡 Possible","🟢 Strong"),IF(J149="No","🔴 Difficult","⚪ Unknown"))))</f>
        <v/>
      </c>
      <c r="CF149" s="37"/>
      <c r="CG149" s="37"/>
      <c r="CH149" s="38"/>
      <c r="CI149" s="38"/>
      <c r="CJ149" s="38"/>
      <c r="CK149" s="38"/>
    </row>
    <row r="150" customFormat="false" ht="15" hidden="false" customHeight="true" outlineLevel="0" collapsed="false">
      <c r="A150" s="26" t="str">
        <f aca="false">IF($C150="","",ROW()-3)</f>
        <v/>
      </c>
      <c r="B150" s="27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9"/>
      <c r="N150" s="29"/>
      <c r="O150" s="30" t="str">
        <f aca="false">IFERROR(IF(M150="","",M150*INDEX('00 - Lists'!$M$2:$M$11,MATCH(L150,'00 - Lists'!$L$2:$L$11,0))/100000),"")</f>
        <v/>
      </c>
      <c r="P150" s="30" t="str">
        <f aca="false">IFERROR(IF(N150="","",N150*INDEX('00 - Lists'!$M$2:$M$11,MATCH(L150,'00 - Lists'!$L$2:$L$11,0))/100000),"")</f>
        <v/>
      </c>
      <c r="Q150" s="31" t="str">
        <f aca="false">IFERROR(IF(M150="","",M150*INDEX('00 - Lists'!$N$2:$N$11,MATCH(L150,'00 - Lists'!$L$2:$L$11,0))),"")</f>
        <v/>
      </c>
      <c r="R150" s="31" t="str">
        <f aca="false">IFERROR(IF(N150="","",N150*INDEX('00 - Lists'!$N$2:$N$11,MATCH(L150,'00 - Lists'!$L$2:$L$11,0))),"")</f>
        <v/>
      </c>
      <c r="S150" s="32" t="str">
        <f aca="false">IF(O150="","",IF(O150&gt;=50,"Yes","No"))</f>
        <v/>
      </c>
      <c r="T150" s="32" t="str">
        <f aca="false">IF(Q150="","",IF(Q150&gt;=100000,"Yes","No"))</f>
        <v/>
      </c>
      <c r="U150" s="28"/>
      <c r="V150" s="28"/>
      <c r="W150" s="28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J150" s="34" t="str">
        <f aca="false">IF(OR($BD150&lt;&gt;"",$BF150&lt;&gt;"",$BH150&lt;&gt;""),"Yes","No")</f>
        <v>No</v>
      </c>
      <c r="BK150" s="35" t="str">
        <f aca="false">IFERROR(IF(BD150="","",BD150*INDEX('00 - Lists'!$M$2:$M$11,MATCH(L150,'00 - Lists'!$L$2:$L$11,0))/100000),"")</f>
        <v/>
      </c>
      <c r="BL150" s="35" t="str">
        <f aca="false">IFERROR(IF(BE150="","",BE150*INDEX('00 - Lists'!$M$2:$M$11,MATCH(L150,'00 - Lists'!$L$2:$L$11,0))/100000),"")</f>
        <v/>
      </c>
      <c r="BM150" s="35" t="str">
        <f aca="false">IFERROR(IF(BF150="","",BF150*INDEX('00 - Lists'!$M$2:$M$11,MATCH(L150,'00 - Lists'!$L$2:$L$11,0))/100000),"")</f>
        <v/>
      </c>
      <c r="BN150" s="35" t="str">
        <f aca="false">IFERROR(IF(BG150="","",BG150*INDEX('00 - Lists'!$M$2:$M$11,MATCH(L150,'00 - Lists'!$L$2:$L$11,0))/100000),"")</f>
        <v/>
      </c>
      <c r="BO150" s="35" t="str">
        <f aca="false">IFERROR(IF(BH150="","",BH150*INDEX('00 - Lists'!$M$2:$M$11,MATCH(L150,'00 - Lists'!$L$2:$L$11,0))/100000),"")</f>
        <v/>
      </c>
      <c r="BP150" s="35" t="str">
        <f aca="false">IFERROR(IF(BI150="","",BI150*INDEX('00 - Lists'!$M$2:$M$11,MATCH(L150,'00 - Lists'!$L$2:$L$11,0))/100000),"")</f>
        <v/>
      </c>
      <c r="BS150" s="36" t="str">
        <f aca="false">IF(O150="","",IF(O150&gt;=20,"Yes","No"))</f>
        <v/>
      </c>
      <c r="BT150" s="36" t="str">
        <f aca="false">IF(O150="","",IF(O150&gt;=30,"Yes","No"))</f>
        <v/>
      </c>
      <c r="BU150" s="36" t="str">
        <f aca="false">IF(O150="","",IF(O150&gt;=75,"Yes","No"))</f>
        <v/>
      </c>
      <c r="BV150" s="36" t="str">
        <f aca="false">IF(O150="","",IF(O150&gt;=100,"Yes","No"))</f>
        <v/>
      </c>
      <c r="BW150" s="36" t="str">
        <f aca="false">IF(O150="","",IF(O150&gt;=150,"Yes","No"))</f>
        <v/>
      </c>
      <c r="BX150" s="36" t="str">
        <f aca="false">IF(O150="","",IF(O150&gt;=200,"Yes","No"))</f>
        <v/>
      </c>
      <c r="BY150" s="36" t="str">
        <f aca="false">IF(Q150="","",IF(Q150&gt;=150000,"Yes","No"))</f>
        <v/>
      </c>
      <c r="BZ150" s="36" t="str">
        <f aca="false">IF(Q150="","",IF(Q150&gt;=200000,"Yes","No"))</f>
        <v/>
      </c>
      <c r="CA150" s="36" t="str">
        <f aca="false">IF(Q150="","",IF(Q150&gt;=250000,"Yes","No"))</f>
        <v/>
      </c>
      <c r="CB150" s="36" t="str">
        <f aca="false">IF(Q150="","",IF(Q150&gt;=300000,"Yes","No"))</f>
        <v/>
      </c>
      <c r="CC150" s="37"/>
      <c r="CD150" s="36" t="str">
        <f aca="true">IF(B150="","",IF(TODAY()-B150&lt;=7,"🟢 0-7d",IF(TODAY()-B150&lt;=30,"🟡 8-30d",IF(TODAY()-B150&lt;=60,"🟠 31-60d","🔴 60d+"))))</f>
        <v/>
      </c>
      <c r="CE150" s="36" t="str">
        <f aca="false">IF(G150="","",IF(G150&lt;&gt;"USA","N/A - Not USA Role",IF(J150="Yes",IF(OR(F150="Intern",F150="New Grad"),"🟡 Possible","🟢 Strong"),IF(J150="No","🔴 Difficult","⚪ Unknown"))))</f>
        <v/>
      </c>
      <c r="CF150" s="37"/>
      <c r="CG150" s="37"/>
      <c r="CH150" s="38"/>
      <c r="CI150" s="38"/>
      <c r="CJ150" s="38"/>
      <c r="CK150" s="38"/>
    </row>
    <row r="151" customFormat="false" ht="15" hidden="false" customHeight="true" outlineLevel="0" collapsed="false">
      <c r="A151" s="26" t="str">
        <f aca="false">IF($C151="","",ROW()-3)</f>
        <v/>
      </c>
      <c r="B151" s="27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9"/>
      <c r="N151" s="29"/>
      <c r="O151" s="30" t="str">
        <f aca="false">IFERROR(IF(M151="","",M151*INDEX('00 - Lists'!$M$2:$M$11,MATCH(L151,'00 - Lists'!$L$2:$L$11,0))/100000),"")</f>
        <v/>
      </c>
      <c r="P151" s="30" t="str">
        <f aca="false">IFERROR(IF(N151="","",N151*INDEX('00 - Lists'!$M$2:$M$11,MATCH(L151,'00 - Lists'!$L$2:$L$11,0))/100000),"")</f>
        <v/>
      </c>
      <c r="Q151" s="31" t="str">
        <f aca="false">IFERROR(IF(M151="","",M151*INDEX('00 - Lists'!$N$2:$N$11,MATCH(L151,'00 - Lists'!$L$2:$L$11,0))),"")</f>
        <v/>
      </c>
      <c r="R151" s="31" t="str">
        <f aca="false">IFERROR(IF(N151="","",N151*INDEX('00 - Lists'!$N$2:$N$11,MATCH(L151,'00 - Lists'!$L$2:$L$11,0))),"")</f>
        <v/>
      </c>
      <c r="S151" s="32" t="str">
        <f aca="false">IF(O151="","",IF(O151&gt;=50,"Yes","No"))</f>
        <v/>
      </c>
      <c r="T151" s="32" t="str">
        <f aca="false">IF(Q151="","",IF(Q151&gt;=100000,"Yes","No"))</f>
        <v/>
      </c>
      <c r="U151" s="28"/>
      <c r="V151" s="28"/>
      <c r="W151" s="28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J151" s="34" t="str">
        <f aca="false">IF(OR($BD151&lt;&gt;"",$BF151&lt;&gt;"",$BH151&lt;&gt;""),"Yes","No")</f>
        <v>No</v>
      </c>
      <c r="BK151" s="35" t="str">
        <f aca="false">IFERROR(IF(BD151="","",BD151*INDEX('00 - Lists'!$M$2:$M$11,MATCH(L151,'00 - Lists'!$L$2:$L$11,0))/100000),"")</f>
        <v/>
      </c>
      <c r="BL151" s="35" t="str">
        <f aca="false">IFERROR(IF(BE151="","",BE151*INDEX('00 - Lists'!$M$2:$M$11,MATCH(L151,'00 - Lists'!$L$2:$L$11,0))/100000),"")</f>
        <v/>
      </c>
      <c r="BM151" s="35" t="str">
        <f aca="false">IFERROR(IF(BF151="","",BF151*INDEX('00 - Lists'!$M$2:$M$11,MATCH(L151,'00 - Lists'!$L$2:$L$11,0))/100000),"")</f>
        <v/>
      </c>
      <c r="BN151" s="35" t="str">
        <f aca="false">IFERROR(IF(BG151="","",BG151*INDEX('00 - Lists'!$M$2:$M$11,MATCH(L151,'00 - Lists'!$L$2:$L$11,0))/100000),"")</f>
        <v/>
      </c>
      <c r="BO151" s="35" t="str">
        <f aca="false">IFERROR(IF(BH151="","",BH151*INDEX('00 - Lists'!$M$2:$M$11,MATCH(L151,'00 - Lists'!$L$2:$L$11,0))/100000),"")</f>
        <v/>
      </c>
      <c r="BP151" s="35" t="str">
        <f aca="false">IFERROR(IF(BI151="","",BI151*INDEX('00 - Lists'!$M$2:$M$11,MATCH(L151,'00 - Lists'!$L$2:$L$11,0))/100000),"")</f>
        <v/>
      </c>
      <c r="BS151" s="36" t="str">
        <f aca="false">IF(O151="","",IF(O151&gt;=20,"Yes","No"))</f>
        <v/>
      </c>
      <c r="BT151" s="36" t="str">
        <f aca="false">IF(O151="","",IF(O151&gt;=30,"Yes","No"))</f>
        <v/>
      </c>
      <c r="BU151" s="36" t="str">
        <f aca="false">IF(O151="","",IF(O151&gt;=75,"Yes","No"))</f>
        <v/>
      </c>
      <c r="BV151" s="36" t="str">
        <f aca="false">IF(O151="","",IF(O151&gt;=100,"Yes","No"))</f>
        <v/>
      </c>
      <c r="BW151" s="36" t="str">
        <f aca="false">IF(O151="","",IF(O151&gt;=150,"Yes","No"))</f>
        <v/>
      </c>
      <c r="BX151" s="36" t="str">
        <f aca="false">IF(O151="","",IF(O151&gt;=200,"Yes","No"))</f>
        <v/>
      </c>
      <c r="BY151" s="36" t="str">
        <f aca="false">IF(Q151="","",IF(Q151&gt;=150000,"Yes","No"))</f>
        <v/>
      </c>
      <c r="BZ151" s="36" t="str">
        <f aca="false">IF(Q151="","",IF(Q151&gt;=200000,"Yes","No"))</f>
        <v/>
      </c>
      <c r="CA151" s="36" t="str">
        <f aca="false">IF(Q151="","",IF(Q151&gt;=250000,"Yes","No"))</f>
        <v/>
      </c>
      <c r="CB151" s="36" t="str">
        <f aca="false">IF(Q151="","",IF(Q151&gt;=300000,"Yes","No"))</f>
        <v/>
      </c>
      <c r="CC151" s="37"/>
      <c r="CD151" s="36" t="str">
        <f aca="true">IF(B151="","",IF(TODAY()-B151&lt;=7,"🟢 0-7d",IF(TODAY()-B151&lt;=30,"🟡 8-30d",IF(TODAY()-B151&lt;=60,"🟠 31-60d","🔴 60d+"))))</f>
        <v/>
      </c>
      <c r="CE151" s="36" t="str">
        <f aca="false">IF(G151="","",IF(G151&lt;&gt;"USA","N/A - Not USA Role",IF(J151="Yes",IF(OR(F151="Intern",F151="New Grad"),"🟡 Possible","🟢 Strong"),IF(J151="No","🔴 Difficult","⚪ Unknown"))))</f>
        <v/>
      </c>
      <c r="CF151" s="37"/>
      <c r="CG151" s="37"/>
      <c r="CH151" s="38"/>
      <c r="CI151" s="38"/>
      <c r="CJ151" s="38"/>
      <c r="CK151" s="38"/>
    </row>
    <row r="152" customFormat="false" ht="15" hidden="false" customHeight="true" outlineLevel="0" collapsed="false">
      <c r="A152" s="26" t="str">
        <f aca="false">IF($C152="","",ROW()-3)</f>
        <v/>
      </c>
      <c r="B152" s="27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9"/>
      <c r="N152" s="29"/>
      <c r="O152" s="30" t="str">
        <f aca="false">IFERROR(IF(M152="","",M152*INDEX('00 - Lists'!$M$2:$M$11,MATCH(L152,'00 - Lists'!$L$2:$L$11,0))/100000),"")</f>
        <v/>
      </c>
      <c r="P152" s="30" t="str">
        <f aca="false">IFERROR(IF(N152="","",N152*INDEX('00 - Lists'!$M$2:$M$11,MATCH(L152,'00 - Lists'!$L$2:$L$11,0))/100000),"")</f>
        <v/>
      </c>
      <c r="Q152" s="31" t="str">
        <f aca="false">IFERROR(IF(M152="","",M152*INDEX('00 - Lists'!$N$2:$N$11,MATCH(L152,'00 - Lists'!$L$2:$L$11,0))),"")</f>
        <v/>
      </c>
      <c r="R152" s="31" t="str">
        <f aca="false">IFERROR(IF(N152="","",N152*INDEX('00 - Lists'!$N$2:$N$11,MATCH(L152,'00 - Lists'!$L$2:$L$11,0))),"")</f>
        <v/>
      </c>
      <c r="S152" s="32" t="str">
        <f aca="false">IF(O152="","",IF(O152&gt;=50,"Yes","No"))</f>
        <v/>
      </c>
      <c r="T152" s="32" t="str">
        <f aca="false">IF(Q152="","",IF(Q152&gt;=100000,"Yes","No"))</f>
        <v/>
      </c>
      <c r="U152" s="28"/>
      <c r="V152" s="28"/>
      <c r="W152" s="28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J152" s="34" t="str">
        <f aca="false">IF(OR($BD152&lt;&gt;"",$BF152&lt;&gt;"",$BH152&lt;&gt;""),"Yes","No")</f>
        <v>No</v>
      </c>
      <c r="BK152" s="35" t="str">
        <f aca="false">IFERROR(IF(BD152="","",BD152*INDEX('00 - Lists'!$M$2:$M$11,MATCH(L152,'00 - Lists'!$L$2:$L$11,0))/100000),"")</f>
        <v/>
      </c>
      <c r="BL152" s="35" t="str">
        <f aca="false">IFERROR(IF(BE152="","",BE152*INDEX('00 - Lists'!$M$2:$M$11,MATCH(L152,'00 - Lists'!$L$2:$L$11,0))/100000),"")</f>
        <v/>
      </c>
      <c r="BM152" s="35" t="str">
        <f aca="false">IFERROR(IF(BF152="","",BF152*INDEX('00 - Lists'!$M$2:$M$11,MATCH(L152,'00 - Lists'!$L$2:$L$11,0))/100000),"")</f>
        <v/>
      </c>
      <c r="BN152" s="35" t="str">
        <f aca="false">IFERROR(IF(BG152="","",BG152*INDEX('00 - Lists'!$M$2:$M$11,MATCH(L152,'00 - Lists'!$L$2:$L$11,0))/100000),"")</f>
        <v/>
      </c>
      <c r="BO152" s="35" t="str">
        <f aca="false">IFERROR(IF(BH152="","",BH152*INDEX('00 - Lists'!$M$2:$M$11,MATCH(L152,'00 - Lists'!$L$2:$L$11,0))/100000),"")</f>
        <v/>
      </c>
      <c r="BP152" s="35" t="str">
        <f aca="false">IFERROR(IF(BI152="","",BI152*INDEX('00 - Lists'!$M$2:$M$11,MATCH(L152,'00 - Lists'!$L$2:$L$11,0))/100000),"")</f>
        <v/>
      </c>
      <c r="BS152" s="36" t="str">
        <f aca="false">IF(O152="","",IF(O152&gt;=20,"Yes","No"))</f>
        <v/>
      </c>
      <c r="BT152" s="36" t="str">
        <f aca="false">IF(O152="","",IF(O152&gt;=30,"Yes","No"))</f>
        <v/>
      </c>
      <c r="BU152" s="36" t="str">
        <f aca="false">IF(O152="","",IF(O152&gt;=75,"Yes","No"))</f>
        <v/>
      </c>
      <c r="BV152" s="36" t="str">
        <f aca="false">IF(O152="","",IF(O152&gt;=100,"Yes","No"))</f>
        <v/>
      </c>
      <c r="BW152" s="36" t="str">
        <f aca="false">IF(O152="","",IF(O152&gt;=150,"Yes","No"))</f>
        <v/>
      </c>
      <c r="BX152" s="36" t="str">
        <f aca="false">IF(O152="","",IF(O152&gt;=200,"Yes","No"))</f>
        <v/>
      </c>
      <c r="BY152" s="36" t="str">
        <f aca="false">IF(Q152="","",IF(Q152&gt;=150000,"Yes","No"))</f>
        <v/>
      </c>
      <c r="BZ152" s="36" t="str">
        <f aca="false">IF(Q152="","",IF(Q152&gt;=200000,"Yes","No"))</f>
        <v/>
      </c>
      <c r="CA152" s="36" t="str">
        <f aca="false">IF(Q152="","",IF(Q152&gt;=250000,"Yes","No"))</f>
        <v/>
      </c>
      <c r="CB152" s="36" t="str">
        <f aca="false">IF(Q152="","",IF(Q152&gt;=300000,"Yes","No"))</f>
        <v/>
      </c>
      <c r="CC152" s="37"/>
      <c r="CD152" s="36" t="str">
        <f aca="true">IF(B152="","",IF(TODAY()-B152&lt;=7,"🟢 0-7d",IF(TODAY()-B152&lt;=30,"🟡 8-30d",IF(TODAY()-B152&lt;=60,"🟠 31-60d","🔴 60d+"))))</f>
        <v/>
      </c>
      <c r="CE152" s="36" t="str">
        <f aca="false">IF(G152="","",IF(G152&lt;&gt;"USA","N/A - Not USA Role",IF(J152="Yes",IF(OR(F152="Intern",F152="New Grad"),"🟡 Possible","🟢 Strong"),IF(J152="No","🔴 Difficult","⚪ Unknown"))))</f>
        <v/>
      </c>
      <c r="CF152" s="37"/>
      <c r="CG152" s="37"/>
      <c r="CH152" s="38"/>
      <c r="CI152" s="38"/>
      <c r="CJ152" s="38"/>
      <c r="CK152" s="38"/>
    </row>
    <row r="153" customFormat="false" ht="15" hidden="false" customHeight="true" outlineLevel="0" collapsed="false">
      <c r="A153" s="26" t="str">
        <f aca="false">IF($C153="","",ROW()-3)</f>
        <v/>
      </c>
      <c r="B153" s="27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9"/>
      <c r="N153" s="29"/>
      <c r="O153" s="30" t="str">
        <f aca="false">IFERROR(IF(M153="","",M153*INDEX('00 - Lists'!$M$2:$M$11,MATCH(L153,'00 - Lists'!$L$2:$L$11,0))/100000),"")</f>
        <v/>
      </c>
      <c r="P153" s="30" t="str">
        <f aca="false">IFERROR(IF(N153="","",N153*INDEX('00 - Lists'!$M$2:$M$11,MATCH(L153,'00 - Lists'!$L$2:$L$11,0))/100000),"")</f>
        <v/>
      </c>
      <c r="Q153" s="31" t="str">
        <f aca="false">IFERROR(IF(M153="","",M153*INDEX('00 - Lists'!$N$2:$N$11,MATCH(L153,'00 - Lists'!$L$2:$L$11,0))),"")</f>
        <v/>
      </c>
      <c r="R153" s="31" t="str">
        <f aca="false">IFERROR(IF(N153="","",N153*INDEX('00 - Lists'!$N$2:$N$11,MATCH(L153,'00 - Lists'!$L$2:$L$11,0))),"")</f>
        <v/>
      </c>
      <c r="S153" s="32" t="str">
        <f aca="false">IF(O153="","",IF(O153&gt;=50,"Yes","No"))</f>
        <v/>
      </c>
      <c r="T153" s="32" t="str">
        <f aca="false">IF(Q153="","",IF(Q153&gt;=100000,"Yes","No"))</f>
        <v/>
      </c>
      <c r="U153" s="28"/>
      <c r="V153" s="28"/>
      <c r="W153" s="28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J153" s="34" t="str">
        <f aca="false">IF(OR($BD153&lt;&gt;"",$BF153&lt;&gt;"",$BH153&lt;&gt;""),"Yes","No")</f>
        <v>No</v>
      </c>
      <c r="BK153" s="35" t="str">
        <f aca="false">IFERROR(IF(BD153="","",BD153*INDEX('00 - Lists'!$M$2:$M$11,MATCH(L153,'00 - Lists'!$L$2:$L$11,0))/100000),"")</f>
        <v/>
      </c>
      <c r="BL153" s="35" t="str">
        <f aca="false">IFERROR(IF(BE153="","",BE153*INDEX('00 - Lists'!$M$2:$M$11,MATCH(L153,'00 - Lists'!$L$2:$L$11,0))/100000),"")</f>
        <v/>
      </c>
      <c r="BM153" s="35" t="str">
        <f aca="false">IFERROR(IF(BF153="","",BF153*INDEX('00 - Lists'!$M$2:$M$11,MATCH(L153,'00 - Lists'!$L$2:$L$11,0))/100000),"")</f>
        <v/>
      </c>
      <c r="BN153" s="35" t="str">
        <f aca="false">IFERROR(IF(BG153="","",BG153*INDEX('00 - Lists'!$M$2:$M$11,MATCH(L153,'00 - Lists'!$L$2:$L$11,0))/100000),"")</f>
        <v/>
      </c>
      <c r="BO153" s="35" t="str">
        <f aca="false">IFERROR(IF(BH153="","",BH153*INDEX('00 - Lists'!$M$2:$M$11,MATCH(L153,'00 - Lists'!$L$2:$L$11,0))/100000),"")</f>
        <v/>
      </c>
      <c r="BP153" s="35" t="str">
        <f aca="false">IFERROR(IF(BI153="","",BI153*INDEX('00 - Lists'!$M$2:$M$11,MATCH(L153,'00 - Lists'!$L$2:$L$11,0))/100000),"")</f>
        <v/>
      </c>
      <c r="BS153" s="36" t="str">
        <f aca="false">IF(O153="","",IF(O153&gt;=20,"Yes","No"))</f>
        <v/>
      </c>
      <c r="BT153" s="36" t="str">
        <f aca="false">IF(O153="","",IF(O153&gt;=30,"Yes","No"))</f>
        <v/>
      </c>
      <c r="BU153" s="36" t="str">
        <f aca="false">IF(O153="","",IF(O153&gt;=75,"Yes","No"))</f>
        <v/>
      </c>
      <c r="BV153" s="36" t="str">
        <f aca="false">IF(O153="","",IF(O153&gt;=100,"Yes","No"))</f>
        <v/>
      </c>
      <c r="BW153" s="36" t="str">
        <f aca="false">IF(O153="","",IF(O153&gt;=150,"Yes","No"))</f>
        <v/>
      </c>
      <c r="BX153" s="36" t="str">
        <f aca="false">IF(O153="","",IF(O153&gt;=200,"Yes","No"))</f>
        <v/>
      </c>
      <c r="BY153" s="36" t="str">
        <f aca="false">IF(Q153="","",IF(Q153&gt;=150000,"Yes","No"))</f>
        <v/>
      </c>
      <c r="BZ153" s="36" t="str">
        <f aca="false">IF(Q153="","",IF(Q153&gt;=200000,"Yes","No"))</f>
        <v/>
      </c>
      <c r="CA153" s="36" t="str">
        <f aca="false">IF(Q153="","",IF(Q153&gt;=250000,"Yes","No"))</f>
        <v/>
      </c>
      <c r="CB153" s="36" t="str">
        <f aca="false">IF(Q153="","",IF(Q153&gt;=300000,"Yes","No"))</f>
        <v/>
      </c>
      <c r="CC153" s="37"/>
      <c r="CD153" s="36" t="str">
        <f aca="true">IF(B153="","",IF(TODAY()-B153&lt;=7,"🟢 0-7d",IF(TODAY()-B153&lt;=30,"🟡 8-30d",IF(TODAY()-B153&lt;=60,"🟠 31-60d","🔴 60d+"))))</f>
        <v/>
      </c>
      <c r="CE153" s="36" t="str">
        <f aca="false">IF(G153="","",IF(G153&lt;&gt;"USA","N/A - Not USA Role",IF(J153="Yes",IF(OR(F153="Intern",F153="New Grad"),"🟡 Possible","🟢 Strong"),IF(J153="No","🔴 Difficult","⚪ Unknown"))))</f>
        <v/>
      </c>
      <c r="CF153" s="37"/>
      <c r="CG153" s="37"/>
      <c r="CH153" s="38"/>
      <c r="CI153" s="38"/>
      <c r="CJ153" s="38"/>
      <c r="CK153" s="38"/>
    </row>
    <row r="154" customFormat="false" ht="15" hidden="false" customHeight="true" outlineLevel="0" collapsed="false">
      <c r="A154" s="26" t="str">
        <f aca="false">IF($C154="","",ROW()-3)</f>
        <v/>
      </c>
      <c r="B154" s="27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9"/>
      <c r="N154" s="29"/>
      <c r="O154" s="30" t="str">
        <f aca="false">IFERROR(IF(M154="","",M154*INDEX('00 - Lists'!$M$2:$M$11,MATCH(L154,'00 - Lists'!$L$2:$L$11,0))/100000),"")</f>
        <v/>
      </c>
      <c r="P154" s="30" t="str">
        <f aca="false">IFERROR(IF(N154="","",N154*INDEX('00 - Lists'!$M$2:$M$11,MATCH(L154,'00 - Lists'!$L$2:$L$11,0))/100000),"")</f>
        <v/>
      </c>
      <c r="Q154" s="31" t="str">
        <f aca="false">IFERROR(IF(M154="","",M154*INDEX('00 - Lists'!$N$2:$N$11,MATCH(L154,'00 - Lists'!$L$2:$L$11,0))),"")</f>
        <v/>
      </c>
      <c r="R154" s="31" t="str">
        <f aca="false">IFERROR(IF(N154="","",N154*INDEX('00 - Lists'!$N$2:$N$11,MATCH(L154,'00 - Lists'!$L$2:$L$11,0))),"")</f>
        <v/>
      </c>
      <c r="S154" s="32" t="str">
        <f aca="false">IF(O154="","",IF(O154&gt;=50,"Yes","No"))</f>
        <v/>
      </c>
      <c r="T154" s="32" t="str">
        <f aca="false">IF(Q154="","",IF(Q154&gt;=100000,"Yes","No"))</f>
        <v/>
      </c>
      <c r="U154" s="28"/>
      <c r="V154" s="28"/>
      <c r="W154" s="28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J154" s="34" t="str">
        <f aca="false">IF(OR($BD154&lt;&gt;"",$BF154&lt;&gt;"",$BH154&lt;&gt;""),"Yes","No")</f>
        <v>No</v>
      </c>
      <c r="BK154" s="35" t="str">
        <f aca="false">IFERROR(IF(BD154="","",BD154*INDEX('00 - Lists'!$M$2:$M$11,MATCH(L154,'00 - Lists'!$L$2:$L$11,0))/100000),"")</f>
        <v/>
      </c>
      <c r="BL154" s="35" t="str">
        <f aca="false">IFERROR(IF(BE154="","",BE154*INDEX('00 - Lists'!$M$2:$M$11,MATCH(L154,'00 - Lists'!$L$2:$L$11,0))/100000),"")</f>
        <v/>
      </c>
      <c r="BM154" s="35" t="str">
        <f aca="false">IFERROR(IF(BF154="","",BF154*INDEX('00 - Lists'!$M$2:$M$11,MATCH(L154,'00 - Lists'!$L$2:$L$11,0))/100000),"")</f>
        <v/>
      </c>
      <c r="BN154" s="35" t="str">
        <f aca="false">IFERROR(IF(BG154="","",BG154*INDEX('00 - Lists'!$M$2:$M$11,MATCH(L154,'00 - Lists'!$L$2:$L$11,0))/100000),"")</f>
        <v/>
      </c>
      <c r="BO154" s="35" t="str">
        <f aca="false">IFERROR(IF(BH154="","",BH154*INDEX('00 - Lists'!$M$2:$M$11,MATCH(L154,'00 - Lists'!$L$2:$L$11,0))/100000),"")</f>
        <v/>
      </c>
      <c r="BP154" s="35" t="str">
        <f aca="false">IFERROR(IF(BI154="","",BI154*INDEX('00 - Lists'!$M$2:$M$11,MATCH(L154,'00 - Lists'!$L$2:$L$11,0))/100000),"")</f>
        <v/>
      </c>
      <c r="BS154" s="36" t="str">
        <f aca="false">IF(O154="","",IF(O154&gt;=20,"Yes","No"))</f>
        <v/>
      </c>
      <c r="BT154" s="36" t="str">
        <f aca="false">IF(O154="","",IF(O154&gt;=30,"Yes","No"))</f>
        <v/>
      </c>
      <c r="BU154" s="36" t="str">
        <f aca="false">IF(O154="","",IF(O154&gt;=75,"Yes","No"))</f>
        <v/>
      </c>
      <c r="BV154" s="36" t="str">
        <f aca="false">IF(O154="","",IF(O154&gt;=100,"Yes","No"))</f>
        <v/>
      </c>
      <c r="BW154" s="36" t="str">
        <f aca="false">IF(O154="","",IF(O154&gt;=150,"Yes","No"))</f>
        <v/>
      </c>
      <c r="BX154" s="36" t="str">
        <f aca="false">IF(O154="","",IF(O154&gt;=200,"Yes","No"))</f>
        <v/>
      </c>
      <c r="BY154" s="36" t="str">
        <f aca="false">IF(Q154="","",IF(Q154&gt;=150000,"Yes","No"))</f>
        <v/>
      </c>
      <c r="BZ154" s="36" t="str">
        <f aca="false">IF(Q154="","",IF(Q154&gt;=200000,"Yes","No"))</f>
        <v/>
      </c>
      <c r="CA154" s="36" t="str">
        <f aca="false">IF(Q154="","",IF(Q154&gt;=250000,"Yes","No"))</f>
        <v/>
      </c>
      <c r="CB154" s="36" t="str">
        <f aca="false">IF(Q154="","",IF(Q154&gt;=300000,"Yes","No"))</f>
        <v/>
      </c>
      <c r="CC154" s="37"/>
      <c r="CD154" s="36" t="str">
        <f aca="true">IF(B154="","",IF(TODAY()-B154&lt;=7,"🟢 0-7d",IF(TODAY()-B154&lt;=30,"🟡 8-30d",IF(TODAY()-B154&lt;=60,"🟠 31-60d","🔴 60d+"))))</f>
        <v/>
      </c>
      <c r="CE154" s="36" t="str">
        <f aca="false">IF(G154="","",IF(G154&lt;&gt;"USA","N/A - Not USA Role",IF(J154="Yes",IF(OR(F154="Intern",F154="New Grad"),"🟡 Possible","🟢 Strong"),IF(J154="No","🔴 Difficult","⚪ Unknown"))))</f>
        <v/>
      </c>
      <c r="CF154" s="37"/>
      <c r="CG154" s="37"/>
      <c r="CH154" s="38"/>
      <c r="CI154" s="38"/>
      <c r="CJ154" s="38"/>
      <c r="CK154" s="38"/>
    </row>
    <row r="155" customFormat="false" ht="15" hidden="false" customHeight="true" outlineLevel="0" collapsed="false">
      <c r="A155" s="26" t="str">
        <f aca="false">IF($C155="","",ROW()-3)</f>
        <v/>
      </c>
      <c r="B155" s="27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9"/>
      <c r="N155" s="29"/>
      <c r="O155" s="30" t="str">
        <f aca="false">IFERROR(IF(M155="","",M155*INDEX('00 - Lists'!$M$2:$M$11,MATCH(L155,'00 - Lists'!$L$2:$L$11,0))/100000),"")</f>
        <v/>
      </c>
      <c r="P155" s="30" t="str">
        <f aca="false">IFERROR(IF(N155="","",N155*INDEX('00 - Lists'!$M$2:$M$11,MATCH(L155,'00 - Lists'!$L$2:$L$11,0))/100000),"")</f>
        <v/>
      </c>
      <c r="Q155" s="31" t="str">
        <f aca="false">IFERROR(IF(M155="","",M155*INDEX('00 - Lists'!$N$2:$N$11,MATCH(L155,'00 - Lists'!$L$2:$L$11,0))),"")</f>
        <v/>
      </c>
      <c r="R155" s="31" t="str">
        <f aca="false">IFERROR(IF(N155="","",N155*INDEX('00 - Lists'!$N$2:$N$11,MATCH(L155,'00 - Lists'!$L$2:$L$11,0))),"")</f>
        <v/>
      </c>
      <c r="S155" s="32" t="str">
        <f aca="false">IF(O155="","",IF(O155&gt;=50,"Yes","No"))</f>
        <v/>
      </c>
      <c r="T155" s="32" t="str">
        <f aca="false">IF(Q155="","",IF(Q155&gt;=100000,"Yes","No"))</f>
        <v/>
      </c>
      <c r="U155" s="28"/>
      <c r="V155" s="28"/>
      <c r="W155" s="28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J155" s="34" t="str">
        <f aca="false">IF(OR($BD155&lt;&gt;"",$BF155&lt;&gt;"",$BH155&lt;&gt;""),"Yes","No")</f>
        <v>No</v>
      </c>
      <c r="BK155" s="35" t="str">
        <f aca="false">IFERROR(IF(BD155="","",BD155*INDEX('00 - Lists'!$M$2:$M$11,MATCH(L155,'00 - Lists'!$L$2:$L$11,0))/100000),"")</f>
        <v/>
      </c>
      <c r="BL155" s="35" t="str">
        <f aca="false">IFERROR(IF(BE155="","",BE155*INDEX('00 - Lists'!$M$2:$M$11,MATCH(L155,'00 - Lists'!$L$2:$L$11,0))/100000),"")</f>
        <v/>
      </c>
      <c r="BM155" s="35" t="str">
        <f aca="false">IFERROR(IF(BF155="","",BF155*INDEX('00 - Lists'!$M$2:$M$11,MATCH(L155,'00 - Lists'!$L$2:$L$11,0))/100000),"")</f>
        <v/>
      </c>
      <c r="BN155" s="35" t="str">
        <f aca="false">IFERROR(IF(BG155="","",BG155*INDEX('00 - Lists'!$M$2:$M$11,MATCH(L155,'00 - Lists'!$L$2:$L$11,0))/100000),"")</f>
        <v/>
      </c>
      <c r="BO155" s="35" t="str">
        <f aca="false">IFERROR(IF(BH155="","",BH155*INDEX('00 - Lists'!$M$2:$M$11,MATCH(L155,'00 - Lists'!$L$2:$L$11,0))/100000),"")</f>
        <v/>
      </c>
      <c r="BP155" s="35" t="str">
        <f aca="false">IFERROR(IF(BI155="","",BI155*INDEX('00 - Lists'!$M$2:$M$11,MATCH(L155,'00 - Lists'!$L$2:$L$11,0))/100000),"")</f>
        <v/>
      </c>
      <c r="BS155" s="36" t="str">
        <f aca="false">IF(O155="","",IF(O155&gt;=20,"Yes","No"))</f>
        <v/>
      </c>
      <c r="BT155" s="36" t="str">
        <f aca="false">IF(O155="","",IF(O155&gt;=30,"Yes","No"))</f>
        <v/>
      </c>
      <c r="BU155" s="36" t="str">
        <f aca="false">IF(O155="","",IF(O155&gt;=75,"Yes","No"))</f>
        <v/>
      </c>
      <c r="BV155" s="36" t="str">
        <f aca="false">IF(O155="","",IF(O155&gt;=100,"Yes","No"))</f>
        <v/>
      </c>
      <c r="BW155" s="36" t="str">
        <f aca="false">IF(O155="","",IF(O155&gt;=150,"Yes","No"))</f>
        <v/>
      </c>
      <c r="BX155" s="36" t="str">
        <f aca="false">IF(O155="","",IF(O155&gt;=200,"Yes","No"))</f>
        <v/>
      </c>
      <c r="BY155" s="36" t="str">
        <f aca="false">IF(Q155="","",IF(Q155&gt;=150000,"Yes","No"))</f>
        <v/>
      </c>
      <c r="BZ155" s="36" t="str">
        <f aca="false">IF(Q155="","",IF(Q155&gt;=200000,"Yes","No"))</f>
        <v/>
      </c>
      <c r="CA155" s="36" t="str">
        <f aca="false">IF(Q155="","",IF(Q155&gt;=250000,"Yes","No"))</f>
        <v/>
      </c>
      <c r="CB155" s="36" t="str">
        <f aca="false">IF(Q155="","",IF(Q155&gt;=300000,"Yes","No"))</f>
        <v/>
      </c>
      <c r="CC155" s="37"/>
      <c r="CD155" s="36" t="str">
        <f aca="true">IF(B155="","",IF(TODAY()-B155&lt;=7,"🟢 0-7d",IF(TODAY()-B155&lt;=30,"🟡 8-30d",IF(TODAY()-B155&lt;=60,"🟠 31-60d","🔴 60d+"))))</f>
        <v/>
      </c>
      <c r="CE155" s="36" t="str">
        <f aca="false">IF(G155="","",IF(G155&lt;&gt;"USA","N/A - Not USA Role",IF(J155="Yes",IF(OR(F155="Intern",F155="New Grad"),"🟡 Possible","🟢 Strong"),IF(J155="No","🔴 Difficult","⚪ Unknown"))))</f>
        <v/>
      </c>
      <c r="CF155" s="37"/>
      <c r="CG155" s="37"/>
      <c r="CH155" s="38"/>
      <c r="CI155" s="38"/>
      <c r="CJ155" s="38"/>
      <c r="CK155" s="38"/>
    </row>
    <row r="156" customFormat="false" ht="15" hidden="false" customHeight="true" outlineLevel="0" collapsed="false">
      <c r="A156" s="26" t="str">
        <f aca="false">IF($C156="","",ROW()-3)</f>
        <v/>
      </c>
      <c r="B156" s="27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9"/>
      <c r="N156" s="29"/>
      <c r="O156" s="30" t="str">
        <f aca="false">IFERROR(IF(M156="","",M156*INDEX('00 - Lists'!$M$2:$M$11,MATCH(L156,'00 - Lists'!$L$2:$L$11,0))/100000),"")</f>
        <v/>
      </c>
      <c r="P156" s="30" t="str">
        <f aca="false">IFERROR(IF(N156="","",N156*INDEX('00 - Lists'!$M$2:$M$11,MATCH(L156,'00 - Lists'!$L$2:$L$11,0))/100000),"")</f>
        <v/>
      </c>
      <c r="Q156" s="31" t="str">
        <f aca="false">IFERROR(IF(M156="","",M156*INDEX('00 - Lists'!$N$2:$N$11,MATCH(L156,'00 - Lists'!$L$2:$L$11,0))),"")</f>
        <v/>
      </c>
      <c r="R156" s="31" t="str">
        <f aca="false">IFERROR(IF(N156="","",N156*INDEX('00 - Lists'!$N$2:$N$11,MATCH(L156,'00 - Lists'!$L$2:$L$11,0))),"")</f>
        <v/>
      </c>
      <c r="S156" s="32" t="str">
        <f aca="false">IF(O156="","",IF(O156&gt;=50,"Yes","No"))</f>
        <v/>
      </c>
      <c r="T156" s="32" t="str">
        <f aca="false">IF(Q156="","",IF(Q156&gt;=100000,"Yes","No"))</f>
        <v/>
      </c>
      <c r="U156" s="28"/>
      <c r="V156" s="28"/>
      <c r="W156" s="28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J156" s="34" t="str">
        <f aca="false">IF(OR($BD156&lt;&gt;"",$BF156&lt;&gt;"",$BH156&lt;&gt;""),"Yes","No")</f>
        <v>No</v>
      </c>
      <c r="BK156" s="35" t="str">
        <f aca="false">IFERROR(IF(BD156="","",BD156*INDEX('00 - Lists'!$M$2:$M$11,MATCH(L156,'00 - Lists'!$L$2:$L$11,0))/100000),"")</f>
        <v/>
      </c>
      <c r="BL156" s="35" t="str">
        <f aca="false">IFERROR(IF(BE156="","",BE156*INDEX('00 - Lists'!$M$2:$M$11,MATCH(L156,'00 - Lists'!$L$2:$L$11,0))/100000),"")</f>
        <v/>
      </c>
      <c r="BM156" s="35" t="str">
        <f aca="false">IFERROR(IF(BF156="","",BF156*INDEX('00 - Lists'!$M$2:$M$11,MATCH(L156,'00 - Lists'!$L$2:$L$11,0))/100000),"")</f>
        <v/>
      </c>
      <c r="BN156" s="35" t="str">
        <f aca="false">IFERROR(IF(BG156="","",BG156*INDEX('00 - Lists'!$M$2:$M$11,MATCH(L156,'00 - Lists'!$L$2:$L$11,0))/100000),"")</f>
        <v/>
      </c>
      <c r="BO156" s="35" t="str">
        <f aca="false">IFERROR(IF(BH156="","",BH156*INDEX('00 - Lists'!$M$2:$M$11,MATCH(L156,'00 - Lists'!$L$2:$L$11,0))/100000),"")</f>
        <v/>
      </c>
      <c r="BP156" s="35" t="str">
        <f aca="false">IFERROR(IF(BI156="","",BI156*INDEX('00 - Lists'!$M$2:$M$11,MATCH(L156,'00 - Lists'!$L$2:$L$11,0))/100000),"")</f>
        <v/>
      </c>
      <c r="BS156" s="36" t="str">
        <f aca="false">IF(O156="","",IF(O156&gt;=20,"Yes","No"))</f>
        <v/>
      </c>
      <c r="BT156" s="36" t="str">
        <f aca="false">IF(O156="","",IF(O156&gt;=30,"Yes","No"))</f>
        <v/>
      </c>
      <c r="BU156" s="36" t="str">
        <f aca="false">IF(O156="","",IF(O156&gt;=75,"Yes","No"))</f>
        <v/>
      </c>
      <c r="BV156" s="36" t="str">
        <f aca="false">IF(O156="","",IF(O156&gt;=100,"Yes","No"))</f>
        <v/>
      </c>
      <c r="BW156" s="36" t="str">
        <f aca="false">IF(O156="","",IF(O156&gt;=150,"Yes","No"))</f>
        <v/>
      </c>
      <c r="BX156" s="36" t="str">
        <f aca="false">IF(O156="","",IF(O156&gt;=200,"Yes","No"))</f>
        <v/>
      </c>
      <c r="BY156" s="36" t="str">
        <f aca="false">IF(Q156="","",IF(Q156&gt;=150000,"Yes","No"))</f>
        <v/>
      </c>
      <c r="BZ156" s="36" t="str">
        <f aca="false">IF(Q156="","",IF(Q156&gt;=200000,"Yes","No"))</f>
        <v/>
      </c>
      <c r="CA156" s="36" t="str">
        <f aca="false">IF(Q156="","",IF(Q156&gt;=250000,"Yes","No"))</f>
        <v/>
      </c>
      <c r="CB156" s="36" t="str">
        <f aca="false">IF(Q156="","",IF(Q156&gt;=300000,"Yes","No"))</f>
        <v/>
      </c>
      <c r="CC156" s="37"/>
      <c r="CD156" s="36" t="str">
        <f aca="true">IF(B156="","",IF(TODAY()-B156&lt;=7,"🟢 0-7d",IF(TODAY()-B156&lt;=30,"🟡 8-30d",IF(TODAY()-B156&lt;=60,"🟠 31-60d","🔴 60d+"))))</f>
        <v/>
      </c>
      <c r="CE156" s="36" t="str">
        <f aca="false">IF(G156="","",IF(G156&lt;&gt;"USA","N/A - Not USA Role",IF(J156="Yes",IF(OR(F156="Intern",F156="New Grad"),"🟡 Possible","🟢 Strong"),IF(J156="No","🔴 Difficult","⚪ Unknown"))))</f>
        <v/>
      </c>
      <c r="CF156" s="37"/>
      <c r="CG156" s="37"/>
      <c r="CH156" s="38"/>
      <c r="CI156" s="38"/>
      <c r="CJ156" s="38"/>
      <c r="CK156" s="38"/>
    </row>
    <row r="157" customFormat="false" ht="15" hidden="false" customHeight="true" outlineLevel="0" collapsed="false">
      <c r="A157" s="26" t="str">
        <f aca="false">IF($C157="","",ROW()-3)</f>
        <v/>
      </c>
      <c r="B157" s="27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9"/>
      <c r="N157" s="29"/>
      <c r="O157" s="30" t="str">
        <f aca="false">IFERROR(IF(M157="","",M157*INDEX('00 - Lists'!$M$2:$M$11,MATCH(L157,'00 - Lists'!$L$2:$L$11,0))/100000),"")</f>
        <v/>
      </c>
      <c r="P157" s="30" t="str">
        <f aca="false">IFERROR(IF(N157="","",N157*INDEX('00 - Lists'!$M$2:$M$11,MATCH(L157,'00 - Lists'!$L$2:$L$11,0))/100000),"")</f>
        <v/>
      </c>
      <c r="Q157" s="31" t="str">
        <f aca="false">IFERROR(IF(M157="","",M157*INDEX('00 - Lists'!$N$2:$N$11,MATCH(L157,'00 - Lists'!$L$2:$L$11,0))),"")</f>
        <v/>
      </c>
      <c r="R157" s="31" t="str">
        <f aca="false">IFERROR(IF(N157="","",N157*INDEX('00 - Lists'!$N$2:$N$11,MATCH(L157,'00 - Lists'!$L$2:$L$11,0))),"")</f>
        <v/>
      </c>
      <c r="S157" s="32" t="str">
        <f aca="false">IF(O157="","",IF(O157&gt;=50,"Yes","No"))</f>
        <v/>
      </c>
      <c r="T157" s="32" t="str">
        <f aca="false">IF(Q157="","",IF(Q157&gt;=100000,"Yes","No"))</f>
        <v/>
      </c>
      <c r="U157" s="28"/>
      <c r="V157" s="28"/>
      <c r="W157" s="28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J157" s="34" t="str">
        <f aca="false">IF(OR($BD157&lt;&gt;"",$BF157&lt;&gt;"",$BH157&lt;&gt;""),"Yes","No")</f>
        <v>No</v>
      </c>
      <c r="BK157" s="35" t="str">
        <f aca="false">IFERROR(IF(BD157="","",BD157*INDEX('00 - Lists'!$M$2:$M$11,MATCH(L157,'00 - Lists'!$L$2:$L$11,0))/100000),"")</f>
        <v/>
      </c>
      <c r="BL157" s="35" t="str">
        <f aca="false">IFERROR(IF(BE157="","",BE157*INDEX('00 - Lists'!$M$2:$M$11,MATCH(L157,'00 - Lists'!$L$2:$L$11,0))/100000),"")</f>
        <v/>
      </c>
      <c r="BM157" s="35" t="str">
        <f aca="false">IFERROR(IF(BF157="","",BF157*INDEX('00 - Lists'!$M$2:$M$11,MATCH(L157,'00 - Lists'!$L$2:$L$11,0))/100000),"")</f>
        <v/>
      </c>
      <c r="BN157" s="35" t="str">
        <f aca="false">IFERROR(IF(BG157="","",BG157*INDEX('00 - Lists'!$M$2:$M$11,MATCH(L157,'00 - Lists'!$L$2:$L$11,0))/100000),"")</f>
        <v/>
      </c>
      <c r="BO157" s="35" t="str">
        <f aca="false">IFERROR(IF(BH157="","",BH157*INDEX('00 - Lists'!$M$2:$M$11,MATCH(L157,'00 - Lists'!$L$2:$L$11,0))/100000),"")</f>
        <v/>
      </c>
      <c r="BP157" s="35" t="str">
        <f aca="false">IFERROR(IF(BI157="","",BI157*INDEX('00 - Lists'!$M$2:$M$11,MATCH(L157,'00 - Lists'!$L$2:$L$11,0))/100000),"")</f>
        <v/>
      </c>
      <c r="BS157" s="36" t="str">
        <f aca="false">IF(O157="","",IF(O157&gt;=20,"Yes","No"))</f>
        <v/>
      </c>
      <c r="BT157" s="36" t="str">
        <f aca="false">IF(O157="","",IF(O157&gt;=30,"Yes","No"))</f>
        <v/>
      </c>
      <c r="BU157" s="36" t="str">
        <f aca="false">IF(O157="","",IF(O157&gt;=75,"Yes","No"))</f>
        <v/>
      </c>
      <c r="BV157" s="36" t="str">
        <f aca="false">IF(O157="","",IF(O157&gt;=100,"Yes","No"))</f>
        <v/>
      </c>
      <c r="BW157" s="36" t="str">
        <f aca="false">IF(O157="","",IF(O157&gt;=150,"Yes","No"))</f>
        <v/>
      </c>
      <c r="BX157" s="36" t="str">
        <f aca="false">IF(O157="","",IF(O157&gt;=200,"Yes","No"))</f>
        <v/>
      </c>
      <c r="BY157" s="36" t="str">
        <f aca="false">IF(Q157="","",IF(Q157&gt;=150000,"Yes","No"))</f>
        <v/>
      </c>
      <c r="BZ157" s="36" t="str">
        <f aca="false">IF(Q157="","",IF(Q157&gt;=200000,"Yes","No"))</f>
        <v/>
      </c>
      <c r="CA157" s="36" t="str">
        <f aca="false">IF(Q157="","",IF(Q157&gt;=250000,"Yes","No"))</f>
        <v/>
      </c>
      <c r="CB157" s="36" t="str">
        <f aca="false">IF(Q157="","",IF(Q157&gt;=300000,"Yes","No"))</f>
        <v/>
      </c>
      <c r="CC157" s="37"/>
      <c r="CD157" s="36" t="str">
        <f aca="true">IF(B157="","",IF(TODAY()-B157&lt;=7,"🟢 0-7d",IF(TODAY()-B157&lt;=30,"🟡 8-30d",IF(TODAY()-B157&lt;=60,"🟠 31-60d","🔴 60d+"))))</f>
        <v/>
      </c>
      <c r="CE157" s="36" t="str">
        <f aca="false">IF(G157="","",IF(G157&lt;&gt;"USA","N/A - Not USA Role",IF(J157="Yes",IF(OR(F157="Intern",F157="New Grad"),"🟡 Possible","🟢 Strong"),IF(J157="No","🔴 Difficult","⚪ Unknown"))))</f>
        <v/>
      </c>
      <c r="CF157" s="37"/>
      <c r="CG157" s="37"/>
      <c r="CH157" s="38"/>
      <c r="CI157" s="38"/>
      <c r="CJ157" s="38"/>
      <c r="CK157" s="38"/>
    </row>
    <row r="158" customFormat="false" ht="15" hidden="false" customHeight="true" outlineLevel="0" collapsed="false">
      <c r="A158" s="26" t="str">
        <f aca="false">IF($C158="","",ROW()-3)</f>
        <v/>
      </c>
      <c r="B158" s="27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9"/>
      <c r="N158" s="29"/>
      <c r="O158" s="30" t="str">
        <f aca="false">IFERROR(IF(M158="","",M158*INDEX('00 - Lists'!$M$2:$M$11,MATCH(L158,'00 - Lists'!$L$2:$L$11,0))/100000),"")</f>
        <v/>
      </c>
      <c r="P158" s="30" t="str">
        <f aca="false">IFERROR(IF(N158="","",N158*INDEX('00 - Lists'!$M$2:$M$11,MATCH(L158,'00 - Lists'!$L$2:$L$11,0))/100000),"")</f>
        <v/>
      </c>
      <c r="Q158" s="31" t="str">
        <f aca="false">IFERROR(IF(M158="","",M158*INDEX('00 - Lists'!$N$2:$N$11,MATCH(L158,'00 - Lists'!$L$2:$L$11,0))),"")</f>
        <v/>
      </c>
      <c r="R158" s="31" t="str">
        <f aca="false">IFERROR(IF(N158="","",N158*INDEX('00 - Lists'!$N$2:$N$11,MATCH(L158,'00 - Lists'!$L$2:$L$11,0))),"")</f>
        <v/>
      </c>
      <c r="S158" s="32" t="str">
        <f aca="false">IF(O158="","",IF(O158&gt;=50,"Yes","No"))</f>
        <v/>
      </c>
      <c r="T158" s="32" t="str">
        <f aca="false">IF(Q158="","",IF(Q158&gt;=100000,"Yes","No"))</f>
        <v/>
      </c>
      <c r="U158" s="28"/>
      <c r="V158" s="28"/>
      <c r="W158" s="28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J158" s="34" t="str">
        <f aca="false">IF(OR($BD158&lt;&gt;"",$BF158&lt;&gt;"",$BH158&lt;&gt;""),"Yes","No")</f>
        <v>No</v>
      </c>
      <c r="BK158" s="35" t="str">
        <f aca="false">IFERROR(IF(BD158="","",BD158*INDEX('00 - Lists'!$M$2:$M$11,MATCH(L158,'00 - Lists'!$L$2:$L$11,0))/100000),"")</f>
        <v/>
      </c>
      <c r="BL158" s="35" t="str">
        <f aca="false">IFERROR(IF(BE158="","",BE158*INDEX('00 - Lists'!$M$2:$M$11,MATCH(L158,'00 - Lists'!$L$2:$L$11,0))/100000),"")</f>
        <v/>
      </c>
      <c r="BM158" s="35" t="str">
        <f aca="false">IFERROR(IF(BF158="","",BF158*INDEX('00 - Lists'!$M$2:$M$11,MATCH(L158,'00 - Lists'!$L$2:$L$11,0))/100000),"")</f>
        <v/>
      </c>
      <c r="BN158" s="35" t="str">
        <f aca="false">IFERROR(IF(BG158="","",BG158*INDEX('00 - Lists'!$M$2:$M$11,MATCH(L158,'00 - Lists'!$L$2:$L$11,0))/100000),"")</f>
        <v/>
      </c>
      <c r="BO158" s="35" t="str">
        <f aca="false">IFERROR(IF(BH158="","",BH158*INDEX('00 - Lists'!$M$2:$M$11,MATCH(L158,'00 - Lists'!$L$2:$L$11,0))/100000),"")</f>
        <v/>
      </c>
      <c r="BP158" s="35" t="str">
        <f aca="false">IFERROR(IF(BI158="","",BI158*INDEX('00 - Lists'!$M$2:$M$11,MATCH(L158,'00 - Lists'!$L$2:$L$11,0))/100000),"")</f>
        <v/>
      </c>
      <c r="BS158" s="36" t="str">
        <f aca="false">IF(O158="","",IF(O158&gt;=20,"Yes","No"))</f>
        <v/>
      </c>
      <c r="BT158" s="36" t="str">
        <f aca="false">IF(O158="","",IF(O158&gt;=30,"Yes","No"))</f>
        <v/>
      </c>
      <c r="BU158" s="36" t="str">
        <f aca="false">IF(O158="","",IF(O158&gt;=75,"Yes","No"))</f>
        <v/>
      </c>
      <c r="BV158" s="36" t="str">
        <f aca="false">IF(O158="","",IF(O158&gt;=100,"Yes","No"))</f>
        <v/>
      </c>
      <c r="BW158" s="36" t="str">
        <f aca="false">IF(O158="","",IF(O158&gt;=150,"Yes","No"))</f>
        <v/>
      </c>
      <c r="BX158" s="36" t="str">
        <f aca="false">IF(O158="","",IF(O158&gt;=200,"Yes","No"))</f>
        <v/>
      </c>
      <c r="BY158" s="36" t="str">
        <f aca="false">IF(Q158="","",IF(Q158&gt;=150000,"Yes","No"))</f>
        <v/>
      </c>
      <c r="BZ158" s="36" t="str">
        <f aca="false">IF(Q158="","",IF(Q158&gt;=200000,"Yes","No"))</f>
        <v/>
      </c>
      <c r="CA158" s="36" t="str">
        <f aca="false">IF(Q158="","",IF(Q158&gt;=250000,"Yes","No"))</f>
        <v/>
      </c>
      <c r="CB158" s="36" t="str">
        <f aca="false">IF(Q158="","",IF(Q158&gt;=300000,"Yes","No"))</f>
        <v/>
      </c>
      <c r="CC158" s="37"/>
      <c r="CD158" s="36" t="str">
        <f aca="true">IF(B158="","",IF(TODAY()-B158&lt;=7,"🟢 0-7d",IF(TODAY()-B158&lt;=30,"🟡 8-30d",IF(TODAY()-B158&lt;=60,"🟠 31-60d","🔴 60d+"))))</f>
        <v/>
      </c>
      <c r="CE158" s="36" t="str">
        <f aca="false">IF(G158="","",IF(G158&lt;&gt;"USA","N/A - Not USA Role",IF(J158="Yes",IF(OR(F158="Intern",F158="New Grad"),"🟡 Possible","🟢 Strong"),IF(J158="No","🔴 Difficult","⚪ Unknown"))))</f>
        <v/>
      </c>
      <c r="CF158" s="37"/>
      <c r="CG158" s="37"/>
      <c r="CH158" s="38"/>
      <c r="CI158" s="38"/>
      <c r="CJ158" s="38"/>
      <c r="CK158" s="38"/>
    </row>
    <row r="159" customFormat="false" ht="15" hidden="false" customHeight="true" outlineLevel="0" collapsed="false">
      <c r="A159" s="26" t="str">
        <f aca="false">IF($C159="","",ROW()-3)</f>
        <v/>
      </c>
      <c r="B159" s="27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9"/>
      <c r="N159" s="29"/>
      <c r="O159" s="30" t="str">
        <f aca="false">IFERROR(IF(M159="","",M159*INDEX('00 - Lists'!$M$2:$M$11,MATCH(L159,'00 - Lists'!$L$2:$L$11,0))/100000),"")</f>
        <v/>
      </c>
      <c r="P159" s="30" t="str">
        <f aca="false">IFERROR(IF(N159="","",N159*INDEX('00 - Lists'!$M$2:$M$11,MATCH(L159,'00 - Lists'!$L$2:$L$11,0))/100000),"")</f>
        <v/>
      </c>
      <c r="Q159" s="31" t="str">
        <f aca="false">IFERROR(IF(M159="","",M159*INDEX('00 - Lists'!$N$2:$N$11,MATCH(L159,'00 - Lists'!$L$2:$L$11,0))),"")</f>
        <v/>
      </c>
      <c r="R159" s="31" t="str">
        <f aca="false">IFERROR(IF(N159="","",N159*INDEX('00 - Lists'!$N$2:$N$11,MATCH(L159,'00 - Lists'!$L$2:$L$11,0))),"")</f>
        <v/>
      </c>
      <c r="S159" s="32" t="str">
        <f aca="false">IF(O159="","",IF(O159&gt;=50,"Yes","No"))</f>
        <v/>
      </c>
      <c r="T159" s="32" t="str">
        <f aca="false">IF(Q159="","",IF(Q159&gt;=100000,"Yes","No"))</f>
        <v/>
      </c>
      <c r="U159" s="28"/>
      <c r="V159" s="28"/>
      <c r="W159" s="28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J159" s="34" t="str">
        <f aca="false">IF(OR($BD159&lt;&gt;"",$BF159&lt;&gt;"",$BH159&lt;&gt;""),"Yes","No")</f>
        <v>No</v>
      </c>
      <c r="BK159" s="35" t="str">
        <f aca="false">IFERROR(IF(BD159="","",BD159*INDEX('00 - Lists'!$M$2:$M$11,MATCH(L159,'00 - Lists'!$L$2:$L$11,0))/100000),"")</f>
        <v/>
      </c>
      <c r="BL159" s="35" t="str">
        <f aca="false">IFERROR(IF(BE159="","",BE159*INDEX('00 - Lists'!$M$2:$M$11,MATCH(L159,'00 - Lists'!$L$2:$L$11,0))/100000),"")</f>
        <v/>
      </c>
      <c r="BM159" s="35" t="str">
        <f aca="false">IFERROR(IF(BF159="","",BF159*INDEX('00 - Lists'!$M$2:$M$11,MATCH(L159,'00 - Lists'!$L$2:$L$11,0))/100000),"")</f>
        <v/>
      </c>
      <c r="BN159" s="35" t="str">
        <f aca="false">IFERROR(IF(BG159="","",BG159*INDEX('00 - Lists'!$M$2:$M$11,MATCH(L159,'00 - Lists'!$L$2:$L$11,0))/100000),"")</f>
        <v/>
      </c>
      <c r="BO159" s="35" t="str">
        <f aca="false">IFERROR(IF(BH159="","",BH159*INDEX('00 - Lists'!$M$2:$M$11,MATCH(L159,'00 - Lists'!$L$2:$L$11,0))/100000),"")</f>
        <v/>
      </c>
      <c r="BP159" s="35" t="str">
        <f aca="false">IFERROR(IF(BI159="","",BI159*INDEX('00 - Lists'!$M$2:$M$11,MATCH(L159,'00 - Lists'!$L$2:$L$11,0))/100000),"")</f>
        <v/>
      </c>
      <c r="BS159" s="36" t="str">
        <f aca="false">IF(O159="","",IF(O159&gt;=20,"Yes","No"))</f>
        <v/>
      </c>
      <c r="BT159" s="36" t="str">
        <f aca="false">IF(O159="","",IF(O159&gt;=30,"Yes","No"))</f>
        <v/>
      </c>
      <c r="BU159" s="36" t="str">
        <f aca="false">IF(O159="","",IF(O159&gt;=75,"Yes","No"))</f>
        <v/>
      </c>
      <c r="BV159" s="36" t="str">
        <f aca="false">IF(O159="","",IF(O159&gt;=100,"Yes","No"))</f>
        <v/>
      </c>
      <c r="BW159" s="36" t="str">
        <f aca="false">IF(O159="","",IF(O159&gt;=150,"Yes","No"))</f>
        <v/>
      </c>
      <c r="BX159" s="36" t="str">
        <f aca="false">IF(O159="","",IF(O159&gt;=200,"Yes","No"))</f>
        <v/>
      </c>
      <c r="BY159" s="36" t="str">
        <f aca="false">IF(Q159="","",IF(Q159&gt;=150000,"Yes","No"))</f>
        <v/>
      </c>
      <c r="BZ159" s="36" t="str">
        <f aca="false">IF(Q159="","",IF(Q159&gt;=200000,"Yes","No"))</f>
        <v/>
      </c>
      <c r="CA159" s="36" t="str">
        <f aca="false">IF(Q159="","",IF(Q159&gt;=250000,"Yes","No"))</f>
        <v/>
      </c>
      <c r="CB159" s="36" t="str">
        <f aca="false">IF(Q159="","",IF(Q159&gt;=300000,"Yes","No"))</f>
        <v/>
      </c>
      <c r="CC159" s="37"/>
      <c r="CD159" s="36" t="str">
        <f aca="true">IF(B159="","",IF(TODAY()-B159&lt;=7,"🟢 0-7d",IF(TODAY()-B159&lt;=30,"🟡 8-30d",IF(TODAY()-B159&lt;=60,"🟠 31-60d","🔴 60d+"))))</f>
        <v/>
      </c>
      <c r="CE159" s="36" t="str">
        <f aca="false">IF(G159="","",IF(G159&lt;&gt;"USA","N/A - Not USA Role",IF(J159="Yes",IF(OR(F159="Intern",F159="New Grad"),"🟡 Possible","🟢 Strong"),IF(J159="No","🔴 Difficult","⚪ Unknown"))))</f>
        <v/>
      </c>
      <c r="CF159" s="37"/>
      <c r="CG159" s="37"/>
      <c r="CH159" s="38"/>
      <c r="CI159" s="38"/>
      <c r="CJ159" s="38"/>
      <c r="CK159" s="38"/>
    </row>
    <row r="160" customFormat="false" ht="15" hidden="false" customHeight="true" outlineLevel="0" collapsed="false">
      <c r="A160" s="26" t="str">
        <f aca="false">IF($C160="","",ROW()-3)</f>
        <v/>
      </c>
      <c r="B160" s="27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9"/>
      <c r="N160" s="29"/>
      <c r="O160" s="30" t="str">
        <f aca="false">IFERROR(IF(M160="","",M160*INDEX('00 - Lists'!$M$2:$M$11,MATCH(L160,'00 - Lists'!$L$2:$L$11,0))/100000),"")</f>
        <v/>
      </c>
      <c r="P160" s="30" t="str">
        <f aca="false">IFERROR(IF(N160="","",N160*INDEX('00 - Lists'!$M$2:$M$11,MATCH(L160,'00 - Lists'!$L$2:$L$11,0))/100000),"")</f>
        <v/>
      </c>
      <c r="Q160" s="31" t="str">
        <f aca="false">IFERROR(IF(M160="","",M160*INDEX('00 - Lists'!$N$2:$N$11,MATCH(L160,'00 - Lists'!$L$2:$L$11,0))),"")</f>
        <v/>
      </c>
      <c r="R160" s="31" t="str">
        <f aca="false">IFERROR(IF(N160="","",N160*INDEX('00 - Lists'!$N$2:$N$11,MATCH(L160,'00 - Lists'!$L$2:$L$11,0))),"")</f>
        <v/>
      </c>
      <c r="S160" s="32" t="str">
        <f aca="false">IF(O160="","",IF(O160&gt;=50,"Yes","No"))</f>
        <v/>
      </c>
      <c r="T160" s="32" t="str">
        <f aca="false">IF(Q160="","",IF(Q160&gt;=100000,"Yes","No"))</f>
        <v/>
      </c>
      <c r="U160" s="28"/>
      <c r="V160" s="28"/>
      <c r="W160" s="28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J160" s="34" t="str">
        <f aca="false">IF(OR($BD160&lt;&gt;"",$BF160&lt;&gt;"",$BH160&lt;&gt;""),"Yes","No")</f>
        <v>No</v>
      </c>
      <c r="BK160" s="35" t="str">
        <f aca="false">IFERROR(IF(BD160="","",BD160*INDEX('00 - Lists'!$M$2:$M$11,MATCH(L160,'00 - Lists'!$L$2:$L$11,0))/100000),"")</f>
        <v/>
      </c>
      <c r="BL160" s="35" t="str">
        <f aca="false">IFERROR(IF(BE160="","",BE160*INDEX('00 - Lists'!$M$2:$M$11,MATCH(L160,'00 - Lists'!$L$2:$L$11,0))/100000),"")</f>
        <v/>
      </c>
      <c r="BM160" s="35" t="str">
        <f aca="false">IFERROR(IF(BF160="","",BF160*INDEX('00 - Lists'!$M$2:$M$11,MATCH(L160,'00 - Lists'!$L$2:$L$11,0))/100000),"")</f>
        <v/>
      </c>
      <c r="BN160" s="35" t="str">
        <f aca="false">IFERROR(IF(BG160="","",BG160*INDEX('00 - Lists'!$M$2:$M$11,MATCH(L160,'00 - Lists'!$L$2:$L$11,0))/100000),"")</f>
        <v/>
      </c>
      <c r="BO160" s="35" t="str">
        <f aca="false">IFERROR(IF(BH160="","",BH160*INDEX('00 - Lists'!$M$2:$M$11,MATCH(L160,'00 - Lists'!$L$2:$L$11,0))/100000),"")</f>
        <v/>
      </c>
      <c r="BP160" s="35" t="str">
        <f aca="false">IFERROR(IF(BI160="","",BI160*INDEX('00 - Lists'!$M$2:$M$11,MATCH(L160,'00 - Lists'!$L$2:$L$11,0))/100000),"")</f>
        <v/>
      </c>
      <c r="BS160" s="36" t="str">
        <f aca="false">IF(O160="","",IF(O160&gt;=20,"Yes","No"))</f>
        <v/>
      </c>
      <c r="BT160" s="36" t="str">
        <f aca="false">IF(O160="","",IF(O160&gt;=30,"Yes","No"))</f>
        <v/>
      </c>
      <c r="BU160" s="36" t="str">
        <f aca="false">IF(O160="","",IF(O160&gt;=75,"Yes","No"))</f>
        <v/>
      </c>
      <c r="BV160" s="36" t="str">
        <f aca="false">IF(O160="","",IF(O160&gt;=100,"Yes","No"))</f>
        <v/>
      </c>
      <c r="BW160" s="36" t="str">
        <f aca="false">IF(O160="","",IF(O160&gt;=150,"Yes","No"))</f>
        <v/>
      </c>
      <c r="BX160" s="36" t="str">
        <f aca="false">IF(O160="","",IF(O160&gt;=200,"Yes","No"))</f>
        <v/>
      </c>
      <c r="BY160" s="36" t="str">
        <f aca="false">IF(Q160="","",IF(Q160&gt;=150000,"Yes","No"))</f>
        <v/>
      </c>
      <c r="BZ160" s="36" t="str">
        <f aca="false">IF(Q160="","",IF(Q160&gt;=200000,"Yes","No"))</f>
        <v/>
      </c>
      <c r="CA160" s="36" t="str">
        <f aca="false">IF(Q160="","",IF(Q160&gt;=250000,"Yes","No"))</f>
        <v/>
      </c>
      <c r="CB160" s="36" t="str">
        <f aca="false">IF(Q160="","",IF(Q160&gt;=300000,"Yes","No"))</f>
        <v/>
      </c>
      <c r="CC160" s="37"/>
      <c r="CD160" s="36" t="str">
        <f aca="true">IF(B160="","",IF(TODAY()-B160&lt;=7,"🟢 0-7d",IF(TODAY()-B160&lt;=30,"🟡 8-30d",IF(TODAY()-B160&lt;=60,"🟠 31-60d","🔴 60d+"))))</f>
        <v/>
      </c>
      <c r="CE160" s="36" t="str">
        <f aca="false">IF(G160="","",IF(G160&lt;&gt;"USA","N/A - Not USA Role",IF(J160="Yes",IF(OR(F160="Intern",F160="New Grad"),"🟡 Possible","🟢 Strong"),IF(J160="No","🔴 Difficult","⚪ Unknown"))))</f>
        <v/>
      </c>
      <c r="CF160" s="37"/>
      <c r="CG160" s="37"/>
      <c r="CH160" s="38"/>
      <c r="CI160" s="38"/>
      <c r="CJ160" s="38"/>
      <c r="CK160" s="38"/>
    </row>
    <row r="161" customFormat="false" ht="15" hidden="false" customHeight="true" outlineLevel="0" collapsed="false">
      <c r="A161" s="26" t="str">
        <f aca="false">IF($C161="","",ROW()-3)</f>
        <v/>
      </c>
      <c r="B161" s="27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9"/>
      <c r="N161" s="29"/>
      <c r="O161" s="30" t="str">
        <f aca="false">IFERROR(IF(M161="","",M161*INDEX('00 - Lists'!$M$2:$M$11,MATCH(L161,'00 - Lists'!$L$2:$L$11,0))/100000),"")</f>
        <v/>
      </c>
      <c r="P161" s="30" t="str">
        <f aca="false">IFERROR(IF(N161="","",N161*INDEX('00 - Lists'!$M$2:$M$11,MATCH(L161,'00 - Lists'!$L$2:$L$11,0))/100000),"")</f>
        <v/>
      </c>
      <c r="Q161" s="31" t="str">
        <f aca="false">IFERROR(IF(M161="","",M161*INDEX('00 - Lists'!$N$2:$N$11,MATCH(L161,'00 - Lists'!$L$2:$L$11,0))),"")</f>
        <v/>
      </c>
      <c r="R161" s="31" t="str">
        <f aca="false">IFERROR(IF(N161="","",N161*INDEX('00 - Lists'!$N$2:$N$11,MATCH(L161,'00 - Lists'!$L$2:$L$11,0))),"")</f>
        <v/>
      </c>
      <c r="S161" s="32" t="str">
        <f aca="false">IF(O161="","",IF(O161&gt;=50,"Yes","No"))</f>
        <v/>
      </c>
      <c r="T161" s="32" t="str">
        <f aca="false">IF(Q161="","",IF(Q161&gt;=100000,"Yes","No"))</f>
        <v/>
      </c>
      <c r="U161" s="28"/>
      <c r="V161" s="28"/>
      <c r="W161" s="28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J161" s="34" t="str">
        <f aca="false">IF(OR($BD161&lt;&gt;"",$BF161&lt;&gt;"",$BH161&lt;&gt;""),"Yes","No")</f>
        <v>No</v>
      </c>
      <c r="BK161" s="35" t="str">
        <f aca="false">IFERROR(IF(BD161="","",BD161*INDEX('00 - Lists'!$M$2:$M$11,MATCH(L161,'00 - Lists'!$L$2:$L$11,0))/100000),"")</f>
        <v/>
      </c>
      <c r="BL161" s="35" t="str">
        <f aca="false">IFERROR(IF(BE161="","",BE161*INDEX('00 - Lists'!$M$2:$M$11,MATCH(L161,'00 - Lists'!$L$2:$L$11,0))/100000),"")</f>
        <v/>
      </c>
      <c r="BM161" s="35" t="str">
        <f aca="false">IFERROR(IF(BF161="","",BF161*INDEX('00 - Lists'!$M$2:$M$11,MATCH(L161,'00 - Lists'!$L$2:$L$11,0))/100000),"")</f>
        <v/>
      </c>
      <c r="BN161" s="35" t="str">
        <f aca="false">IFERROR(IF(BG161="","",BG161*INDEX('00 - Lists'!$M$2:$M$11,MATCH(L161,'00 - Lists'!$L$2:$L$11,0))/100000),"")</f>
        <v/>
      </c>
      <c r="BO161" s="35" t="str">
        <f aca="false">IFERROR(IF(BH161="","",BH161*INDEX('00 - Lists'!$M$2:$M$11,MATCH(L161,'00 - Lists'!$L$2:$L$11,0))/100000),"")</f>
        <v/>
      </c>
      <c r="BP161" s="35" t="str">
        <f aca="false">IFERROR(IF(BI161="","",BI161*INDEX('00 - Lists'!$M$2:$M$11,MATCH(L161,'00 - Lists'!$L$2:$L$11,0))/100000),"")</f>
        <v/>
      </c>
      <c r="BS161" s="36" t="str">
        <f aca="false">IF(O161="","",IF(O161&gt;=20,"Yes","No"))</f>
        <v/>
      </c>
      <c r="BT161" s="36" t="str">
        <f aca="false">IF(O161="","",IF(O161&gt;=30,"Yes","No"))</f>
        <v/>
      </c>
      <c r="BU161" s="36" t="str">
        <f aca="false">IF(O161="","",IF(O161&gt;=75,"Yes","No"))</f>
        <v/>
      </c>
      <c r="BV161" s="36" t="str">
        <f aca="false">IF(O161="","",IF(O161&gt;=100,"Yes","No"))</f>
        <v/>
      </c>
      <c r="BW161" s="36" t="str">
        <f aca="false">IF(O161="","",IF(O161&gt;=150,"Yes","No"))</f>
        <v/>
      </c>
      <c r="BX161" s="36" t="str">
        <f aca="false">IF(O161="","",IF(O161&gt;=200,"Yes","No"))</f>
        <v/>
      </c>
      <c r="BY161" s="36" t="str">
        <f aca="false">IF(Q161="","",IF(Q161&gt;=150000,"Yes","No"))</f>
        <v/>
      </c>
      <c r="BZ161" s="36" t="str">
        <f aca="false">IF(Q161="","",IF(Q161&gt;=200000,"Yes","No"))</f>
        <v/>
      </c>
      <c r="CA161" s="36" t="str">
        <f aca="false">IF(Q161="","",IF(Q161&gt;=250000,"Yes","No"))</f>
        <v/>
      </c>
      <c r="CB161" s="36" t="str">
        <f aca="false">IF(Q161="","",IF(Q161&gt;=300000,"Yes","No"))</f>
        <v/>
      </c>
      <c r="CC161" s="37"/>
      <c r="CD161" s="36" t="str">
        <f aca="true">IF(B161="","",IF(TODAY()-B161&lt;=7,"🟢 0-7d",IF(TODAY()-B161&lt;=30,"🟡 8-30d",IF(TODAY()-B161&lt;=60,"🟠 31-60d","🔴 60d+"))))</f>
        <v/>
      </c>
      <c r="CE161" s="36" t="str">
        <f aca="false">IF(G161="","",IF(G161&lt;&gt;"USA","N/A - Not USA Role",IF(J161="Yes",IF(OR(F161="Intern",F161="New Grad"),"🟡 Possible","🟢 Strong"),IF(J161="No","🔴 Difficult","⚪ Unknown"))))</f>
        <v/>
      </c>
      <c r="CF161" s="37"/>
      <c r="CG161" s="37"/>
      <c r="CH161" s="38"/>
      <c r="CI161" s="38"/>
      <c r="CJ161" s="38"/>
      <c r="CK161" s="38"/>
    </row>
    <row r="162" customFormat="false" ht="15" hidden="false" customHeight="true" outlineLevel="0" collapsed="false">
      <c r="A162" s="26" t="str">
        <f aca="false">IF($C162="","",ROW()-3)</f>
        <v/>
      </c>
      <c r="B162" s="27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9"/>
      <c r="N162" s="29"/>
      <c r="O162" s="30" t="str">
        <f aca="false">IFERROR(IF(M162="","",M162*INDEX('00 - Lists'!$M$2:$M$11,MATCH(L162,'00 - Lists'!$L$2:$L$11,0))/100000),"")</f>
        <v/>
      </c>
      <c r="P162" s="30" t="str">
        <f aca="false">IFERROR(IF(N162="","",N162*INDEX('00 - Lists'!$M$2:$M$11,MATCH(L162,'00 - Lists'!$L$2:$L$11,0))/100000),"")</f>
        <v/>
      </c>
      <c r="Q162" s="31" t="str">
        <f aca="false">IFERROR(IF(M162="","",M162*INDEX('00 - Lists'!$N$2:$N$11,MATCH(L162,'00 - Lists'!$L$2:$L$11,0))),"")</f>
        <v/>
      </c>
      <c r="R162" s="31" t="str">
        <f aca="false">IFERROR(IF(N162="","",N162*INDEX('00 - Lists'!$N$2:$N$11,MATCH(L162,'00 - Lists'!$L$2:$L$11,0))),"")</f>
        <v/>
      </c>
      <c r="S162" s="32" t="str">
        <f aca="false">IF(O162="","",IF(O162&gt;=50,"Yes","No"))</f>
        <v/>
      </c>
      <c r="T162" s="32" t="str">
        <f aca="false">IF(Q162="","",IF(Q162&gt;=100000,"Yes","No"))</f>
        <v/>
      </c>
      <c r="U162" s="28"/>
      <c r="V162" s="28"/>
      <c r="W162" s="28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J162" s="34" t="str">
        <f aca="false">IF(OR($BD162&lt;&gt;"",$BF162&lt;&gt;"",$BH162&lt;&gt;""),"Yes","No")</f>
        <v>No</v>
      </c>
      <c r="BK162" s="35" t="str">
        <f aca="false">IFERROR(IF(BD162="","",BD162*INDEX('00 - Lists'!$M$2:$M$11,MATCH(L162,'00 - Lists'!$L$2:$L$11,0))/100000),"")</f>
        <v/>
      </c>
      <c r="BL162" s="35" t="str">
        <f aca="false">IFERROR(IF(BE162="","",BE162*INDEX('00 - Lists'!$M$2:$M$11,MATCH(L162,'00 - Lists'!$L$2:$L$11,0))/100000),"")</f>
        <v/>
      </c>
      <c r="BM162" s="35" t="str">
        <f aca="false">IFERROR(IF(BF162="","",BF162*INDEX('00 - Lists'!$M$2:$M$11,MATCH(L162,'00 - Lists'!$L$2:$L$11,0))/100000),"")</f>
        <v/>
      </c>
      <c r="BN162" s="35" t="str">
        <f aca="false">IFERROR(IF(BG162="","",BG162*INDEX('00 - Lists'!$M$2:$M$11,MATCH(L162,'00 - Lists'!$L$2:$L$11,0))/100000),"")</f>
        <v/>
      </c>
      <c r="BO162" s="35" t="str">
        <f aca="false">IFERROR(IF(BH162="","",BH162*INDEX('00 - Lists'!$M$2:$M$11,MATCH(L162,'00 - Lists'!$L$2:$L$11,0))/100000),"")</f>
        <v/>
      </c>
      <c r="BP162" s="35" t="str">
        <f aca="false">IFERROR(IF(BI162="","",BI162*INDEX('00 - Lists'!$M$2:$M$11,MATCH(L162,'00 - Lists'!$L$2:$L$11,0))/100000),"")</f>
        <v/>
      </c>
      <c r="BS162" s="36" t="str">
        <f aca="false">IF(O162="","",IF(O162&gt;=20,"Yes","No"))</f>
        <v/>
      </c>
      <c r="BT162" s="36" t="str">
        <f aca="false">IF(O162="","",IF(O162&gt;=30,"Yes","No"))</f>
        <v/>
      </c>
      <c r="BU162" s="36" t="str">
        <f aca="false">IF(O162="","",IF(O162&gt;=75,"Yes","No"))</f>
        <v/>
      </c>
      <c r="BV162" s="36" t="str">
        <f aca="false">IF(O162="","",IF(O162&gt;=100,"Yes","No"))</f>
        <v/>
      </c>
      <c r="BW162" s="36" t="str">
        <f aca="false">IF(O162="","",IF(O162&gt;=150,"Yes","No"))</f>
        <v/>
      </c>
      <c r="BX162" s="36" t="str">
        <f aca="false">IF(O162="","",IF(O162&gt;=200,"Yes","No"))</f>
        <v/>
      </c>
      <c r="BY162" s="36" t="str">
        <f aca="false">IF(Q162="","",IF(Q162&gt;=150000,"Yes","No"))</f>
        <v/>
      </c>
      <c r="BZ162" s="36" t="str">
        <f aca="false">IF(Q162="","",IF(Q162&gt;=200000,"Yes","No"))</f>
        <v/>
      </c>
      <c r="CA162" s="36" t="str">
        <f aca="false">IF(Q162="","",IF(Q162&gt;=250000,"Yes","No"))</f>
        <v/>
      </c>
      <c r="CB162" s="36" t="str">
        <f aca="false">IF(Q162="","",IF(Q162&gt;=300000,"Yes","No"))</f>
        <v/>
      </c>
      <c r="CC162" s="37"/>
      <c r="CD162" s="36" t="str">
        <f aca="true">IF(B162="","",IF(TODAY()-B162&lt;=7,"🟢 0-7d",IF(TODAY()-B162&lt;=30,"🟡 8-30d",IF(TODAY()-B162&lt;=60,"🟠 31-60d","🔴 60d+"))))</f>
        <v/>
      </c>
      <c r="CE162" s="36" t="str">
        <f aca="false">IF(G162="","",IF(G162&lt;&gt;"USA","N/A - Not USA Role",IF(J162="Yes",IF(OR(F162="Intern",F162="New Grad"),"🟡 Possible","🟢 Strong"),IF(J162="No","🔴 Difficult","⚪ Unknown"))))</f>
        <v/>
      </c>
      <c r="CF162" s="37"/>
      <c r="CG162" s="37"/>
      <c r="CH162" s="38"/>
      <c r="CI162" s="38"/>
      <c r="CJ162" s="38"/>
      <c r="CK162" s="38"/>
    </row>
    <row r="163" customFormat="false" ht="15" hidden="false" customHeight="true" outlineLevel="0" collapsed="false">
      <c r="A163" s="26" t="str">
        <f aca="false">IF($C163="","",ROW()-3)</f>
        <v/>
      </c>
      <c r="B163" s="27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9"/>
      <c r="N163" s="29"/>
      <c r="O163" s="30" t="str">
        <f aca="false">IFERROR(IF(M163="","",M163*INDEX('00 - Lists'!$M$2:$M$11,MATCH(L163,'00 - Lists'!$L$2:$L$11,0))/100000),"")</f>
        <v/>
      </c>
      <c r="P163" s="30" t="str">
        <f aca="false">IFERROR(IF(N163="","",N163*INDEX('00 - Lists'!$M$2:$M$11,MATCH(L163,'00 - Lists'!$L$2:$L$11,0))/100000),"")</f>
        <v/>
      </c>
      <c r="Q163" s="31" t="str">
        <f aca="false">IFERROR(IF(M163="","",M163*INDEX('00 - Lists'!$N$2:$N$11,MATCH(L163,'00 - Lists'!$L$2:$L$11,0))),"")</f>
        <v/>
      </c>
      <c r="R163" s="31" t="str">
        <f aca="false">IFERROR(IF(N163="","",N163*INDEX('00 - Lists'!$N$2:$N$11,MATCH(L163,'00 - Lists'!$L$2:$L$11,0))),"")</f>
        <v/>
      </c>
      <c r="S163" s="32" t="str">
        <f aca="false">IF(O163="","",IF(O163&gt;=50,"Yes","No"))</f>
        <v/>
      </c>
      <c r="T163" s="32" t="str">
        <f aca="false">IF(Q163="","",IF(Q163&gt;=100000,"Yes","No"))</f>
        <v/>
      </c>
      <c r="U163" s="28"/>
      <c r="V163" s="28"/>
      <c r="W163" s="28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J163" s="34" t="str">
        <f aca="false">IF(OR($BD163&lt;&gt;"",$BF163&lt;&gt;"",$BH163&lt;&gt;""),"Yes","No")</f>
        <v>No</v>
      </c>
      <c r="BK163" s="35" t="str">
        <f aca="false">IFERROR(IF(BD163="","",BD163*INDEX('00 - Lists'!$M$2:$M$11,MATCH(L163,'00 - Lists'!$L$2:$L$11,0))/100000),"")</f>
        <v/>
      </c>
      <c r="BL163" s="35" t="str">
        <f aca="false">IFERROR(IF(BE163="","",BE163*INDEX('00 - Lists'!$M$2:$M$11,MATCH(L163,'00 - Lists'!$L$2:$L$11,0))/100000),"")</f>
        <v/>
      </c>
      <c r="BM163" s="35" t="str">
        <f aca="false">IFERROR(IF(BF163="","",BF163*INDEX('00 - Lists'!$M$2:$M$11,MATCH(L163,'00 - Lists'!$L$2:$L$11,0))/100000),"")</f>
        <v/>
      </c>
      <c r="BN163" s="35" t="str">
        <f aca="false">IFERROR(IF(BG163="","",BG163*INDEX('00 - Lists'!$M$2:$M$11,MATCH(L163,'00 - Lists'!$L$2:$L$11,0))/100000),"")</f>
        <v/>
      </c>
      <c r="BO163" s="35" t="str">
        <f aca="false">IFERROR(IF(BH163="","",BH163*INDEX('00 - Lists'!$M$2:$M$11,MATCH(L163,'00 - Lists'!$L$2:$L$11,0))/100000),"")</f>
        <v/>
      </c>
      <c r="BP163" s="35" t="str">
        <f aca="false">IFERROR(IF(BI163="","",BI163*INDEX('00 - Lists'!$M$2:$M$11,MATCH(L163,'00 - Lists'!$L$2:$L$11,0))/100000),"")</f>
        <v/>
      </c>
      <c r="BS163" s="36" t="str">
        <f aca="false">IF(O163="","",IF(O163&gt;=20,"Yes","No"))</f>
        <v/>
      </c>
      <c r="BT163" s="36" t="str">
        <f aca="false">IF(O163="","",IF(O163&gt;=30,"Yes","No"))</f>
        <v/>
      </c>
      <c r="BU163" s="36" t="str">
        <f aca="false">IF(O163="","",IF(O163&gt;=75,"Yes","No"))</f>
        <v/>
      </c>
      <c r="BV163" s="36" t="str">
        <f aca="false">IF(O163="","",IF(O163&gt;=100,"Yes","No"))</f>
        <v/>
      </c>
      <c r="BW163" s="36" t="str">
        <f aca="false">IF(O163="","",IF(O163&gt;=150,"Yes","No"))</f>
        <v/>
      </c>
      <c r="BX163" s="36" t="str">
        <f aca="false">IF(O163="","",IF(O163&gt;=200,"Yes","No"))</f>
        <v/>
      </c>
      <c r="BY163" s="36" t="str">
        <f aca="false">IF(Q163="","",IF(Q163&gt;=150000,"Yes","No"))</f>
        <v/>
      </c>
      <c r="BZ163" s="36" t="str">
        <f aca="false">IF(Q163="","",IF(Q163&gt;=200000,"Yes","No"))</f>
        <v/>
      </c>
      <c r="CA163" s="36" t="str">
        <f aca="false">IF(Q163="","",IF(Q163&gt;=250000,"Yes","No"))</f>
        <v/>
      </c>
      <c r="CB163" s="36" t="str">
        <f aca="false">IF(Q163="","",IF(Q163&gt;=300000,"Yes","No"))</f>
        <v/>
      </c>
      <c r="CC163" s="37"/>
      <c r="CD163" s="36" t="str">
        <f aca="true">IF(B163="","",IF(TODAY()-B163&lt;=7,"🟢 0-7d",IF(TODAY()-B163&lt;=30,"🟡 8-30d",IF(TODAY()-B163&lt;=60,"🟠 31-60d","🔴 60d+"))))</f>
        <v/>
      </c>
      <c r="CE163" s="36" t="str">
        <f aca="false">IF(G163="","",IF(G163&lt;&gt;"USA","N/A - Not USA Role",IF(J163="Yes",IF(OR(F163="Intern",F163="New Grad"),"🟡 Possible","🟢 Strong"),IF(J163="No","🔴 Difficult","⚪ Unknown"))))</f>
        <v/>
      </c>
      <c r="CF163" s="37"/>
      <c r="CG163" s="37"/>
      <c r="CH163" s="38"/>
      <c r="CI163" s="38"/>
      <c r="CJ163" s="38"/>
      <c r="CK163" s="38"/>
    </row>
    <row r="164" customFormat="false" ht="15" hidden="false" customHeight="true" outlineLevel="0" collapsed="false">
      <c r="A164" s="26" t="str">
        <f aca="false">IF($C164="","",ROW()-3)</f>
        <v/>
      </c>
      <c r="B164" s="27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9"/>
      <c r="N164" s="29"/>
      <c r="O164" s="30" t="str">
        <f aca="false">IFERROR(IF(M164="","",M164*INDEX('00 - Lists'!$M$2:$M$11,MATCH(L164,'00 - Lists'!$L$2:$L$11,0))/100000),"")</f>
        <v/>
      </c>
      <c r="P164" s="30" t="str">
        <f aca="false">IFERROR(IF(N164="","",N164*INDEX('00 - Lists'!$M$2:$M$11,MATCH(L164,'00 - Lists'!$L$2:$L$11,0))/100000),"")</f>
        <v/>
      </c>
      <c r="Q164" s="31" t="str">
        <f aca="false">IFERROR(IF(M164="","",M164*INDEX('00 - Lists'!$N$2:$N$11,MATCH(L164,'00 - Lists'!$L$2:$L$11,0))),"")</f>
        <v/>
      </c>
      <c r="R164" s="31" t="str">
        <f aca="false">IFERROR(IF(N164="","",N164*INDEX('00 - Lists'!$N$2:$N$11,MATCH(L164,'00 - Lists'!$L$2:$L$11,0))),"")</f>
        <v/>
      </c>
      <c r="S164" s="32" t="str">
        <f aca="false">IF(O164="","",IF(O164&gt;=50,"Yes","No"))</f>
        <v/>
      </c>
      <c r="T164" s="32" t="str">
        <f aca="false">IF(Q164="","",IF(Q164&gt;=100000,"Yes","No"))</f>
        <v/>
      </c>
      <c r="U164" s="28"/>
      <c r="V164" s="28"/>
      <c r="W164" s="28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J164" s="34" t="str">
        <f aca="false">IF(OR($BD164&lt;&gt;"",$BF164&lt;&gt;"",$BH164&lt;&gt;""),"Yes","No")</f>
        <v>No</v>
      </c>
      <c r="BK164" s="35" t="str">
        <f aca="false">IFERROR(IF(BD164="","",BD164*INDEX('00 - Lists'!$M$2:$M$11,MATCH(L164,'00 - Lists'!$L$2:$L$11,0))/100000),"")</f>
        <v/>
      </c>
      <c r="BL164" s="35" t="str">
        <f aca="false">IFERROR(IF(BE164="","",BE164*INDEX('00 - Lists'!$M$2:$M$11,MATCH(L164,'00 - Lists'!$L$2:$L$11,0))/100000),"")</f>
        <v/>
      </c>
      <c r="BM164" s="35" t="str">
        <f aca="false">IFERROR(IF(BF164="","",BF164*INDEX('00 - Lists'!$M$2:$M$11,MATCH(L164,'00 - Lists'!$L$2:$L$11,0))/100000),"")</f>
        <v/>
      </c>
      <c r="BN164" s="35" t="str">
        <f aca="false">IFERROR(IF(BG164="","",BG164*INDEX('00 - Lists'!$M$2:$M$11,MATCH(L164,'00 - Lists'!$L$2:$L$11,0))/100000),"")</f>
        <v/>
      </c>
      <c r="BO164" s="35" t="str">
        <f aca="false">IFERROR(IF(BH164="","",BH164*INDEX('00 - Lists'!$M$2:$M$11,MATCH(L164,'00 - Lists'!$L$2:$L$11,0))/100000),"")</f>
        <v/>
      </c>
      <c r="BP164" s="35" t="str">
        <f aca="false">IFERROR(IF(BI164="","",BI164*INDEX('00 - Lists'!$M$2:$M$11,MATCH(L164,'00 - Lists'!$L$2:$L$11,0))/100000),"")</f>
        <v/>
      </c>
      <c r="BS164" s="36" t="str">
        <f aca="false">IF(O164="","",IF(O164&gt;=20,"Yes","No"))</f>
        <v/>
      </c>
      <c r="BT164" s="36" t="str">
        <f aca="false">IF(O164="","",IF(O164&gt;=30,"Yes","No"))</f>
        <v/>
      </c>
      <c r="BU164" s="36" t="str">
        <f aca="false">IF(O164="","",IF(O164&gt;=75,"Yes","No"))</f>
        <v/>
      </c>
      <c r="BV164" s="36" t="str">
        <f aca="false">IF(O164="","",IF(O164&gt;=100,"Yes","No"))</f>
        <v/>
      </c>
      <c r="BW164" s="36" t="str">
        <f aca="false">IF(O164="","",IF(O164&gt;=150,"Yes","No"))</f>
        <v/>
      </c>
      <c r="BX164" s="36" t="str">
        <f aca="false">IF(O164="","",IF(O164&gt;=200,"Yes","No"))</f>
        <v/>
      </c>
      <c r="BY164" s="36" t="str">
        <f aca="false">IF(Q164="","",IF(Q164&gt;=150000,"Yes","No"))</f>
        <v/>
      </c>
      <c r="BZ164" s="36" t="str">
        <f aca="false">IF(Q164="","",IF(Q164&gt;=200000,"Yes","No"))</f>
        <v/>
      </c>
      <c r="CA164" s="36" t="str">
        <f aca="false">IF(Q164="","",IF(Q164&gt;=250000,"Yes","No"))</f>
        <v/>
      </c>
      <c r="CB164" s="36" t="str">
        <f aca="false">IF(Q164="","",IF(Q164&gt;=300000,"Yes","No"))</f>
        <v/>
      </c>
      <c r="CC164" s="37"/>
      <c r="CD164" s="36" t="str">
        <f aca="true">IF(B164="","",IF(TODAY()-B164&lt;=7,"🟢 0-7d",IF(TODAY()-B164&lt;=30,"🟡 8-30d",IF(TODAY()-B164&lt;=60,"🟠 31-60d","🔴 60d+"))))</f>
        <v/>
      </c>
      <c r="CE164" s="36" t="str">
        <f aca="false">IF(G164="","",IF(G164&lt;&gt;"USA","N/A - Not USA Role",IF(J164="Yes",IF(OR(F164="Intern",F164="New Grad"),"🟡 Possible","🟢 Strong"),IF(J164="No","🔴 Difficult","⚪ Unknown"))))</f>
        <v/>
      </c>
      <c r="CF164" s="37"/>
      <c r="CG164" s="37"/>
      <c r="CH164" s="38"/>
      <c r="CI164" s="38"/>
      <c r="CJ164" s="38"/>
      <c r="CK164" s="38"/>
    </row>
    <row r="165" customFormat="false" ht="15" hidden="false" customHeight="true" outlineLevel="0" collapsed="false">
      <c r="A165" s="26" t="str">
        <f aca="false">IF($C165="","",ROW()-3)</f>
        <v/>
      </c>
      <c r="B165" s="27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9"/>
      <c r="N165" s="29"/>
      <c r="O165" s="30" t="str">
        <f aca="false">IFERROR(IF(M165="","",M165*INDEX('00 - Lists'!$M$2:$M$11,MATCH(L165,'00 - Lists'!$L$2:$L$11,0))/100000),"")</f>
        <v/>
      </c>
      <c r="P165" s="30" t="str">
        <f aca="false">IFERROR(IF(N165="","",N165*INDEX('00 - Lists'!$M$2:$M$11,MATCH(L165,'00 - Lists'!$L$2:$L$11,0))/100000),"")</f>
        <v/>
      </c>
      <c r="Q165" s="31" t="str">
        <f aca="false">IFERROR(IF(M165="","",M165*INDEX('00 - Lists'!$N$2:$N$11,MATCH(L165,'00 - Lists'!$L$2:$L$11,0))),"")</f>
        <v/>
      </c>
      <c r="R165" s="31" t="str">
        <f aca="false">IFERROR(IF(N165="","",N165*INDEX('00 - Lists'!$N$2:$N$11,MATCH(L165,'00 - Lists'!$L$2:$L$11,0))),"")</f>
        <v/>
      </c>
      <c r="S165" s="32" t="str">
        <f aca="false">IF(O165="","",IF(O165&gt;=50,"Yes","No"))</f>
        <v/>
      </c>
      <c r="T165" s="32" t="str">
        <f aca="false">IF(Q165="","",IF(Q165&gt;=100000,"Yes","No"))</f>
        <v/>
      </c>
      <c r="U165" s="28"/>
      <c r="V165" s="28"/>
      <c r="W165" s="28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J165" s="34" t="str">
        <f aca="false">IF(OR($BD165&lt;&gt;"",$BF165&lt;&gt;"",$BH165&lt;&gt;""),"Yes","No")</f>
        <v>No</v>
      </c>
      <c r="BK165" s="35" t="str">
        <f aca="false">IFERROR(IF(BD165="","",BD165*INDEX('00 - Lists'!$M$2:$M$11,MATCH(L165,'00 - Lists'!$L$2:$L$11,0))/100000),"")</f>
        <v/>
      </c>
      <c r="BL165" s="35" t="str">
        <f aca="false">IFERROR(IF(BE165="","",BE165*INDEX('00 - Lists'!$M$2:$M$11,MATCH(L165,'00 - Lists'!$L$2:$L$11,0))/100000),"")</f>
        <v/>
      </c>
      <c r="BM165" s="35" t="str">
        <f aca="false">IFERROR(IF(BF165="","",BF165*INDEX('00 - Lists'!$M$2:$M$11,MATCH(L165,'00 - Lists'!$L$2:$L$11,0))/100000),"")</f>
        <v/>
      </c>
      <c r="BN165" s="35" t="str">
        <f aca="false">IFERROR(IF(BG165="","",BG165*INDEX('00 - Lists'!$M$2:$M$11,MATCH(L165,'00 - Lists'!$L$2:$L$11,0))/100000),"")</f>
        <v/>
      </c>
      <c r="BO165" s="35" t="str">
        <f aca="false">IFERROR(IF(BH165="","",BH165*INDEX('00 - Lists'!$M$2:$M$11,MATCH(L165,'00 - Lists'!$L$2:$L$11,0))/100000),"")</f>
        <v/>
      </c>
      <c r="BP165" s="35" t="str">
        <f aca="false">IFERROR(IF(BI165="","",BI165*INDEX('00 - Lists'!$M$2:$M$11,MATCH(L165,'00 - Lists'!$L$2:$L$11,0))/100000),"")</f>
        <v/>
      </c>
      <c r="BS165" s="36" t="str">
        <f aca="false">IF(O165="","",IF(O165&gt;=20,"Yes","No"))</f>
        <v/>
      </c>
      <c r="BT165" s="36" t="str">
        <f aca="false">IF(O165="","",IF(O165&gt;=30,"Yes","No"))</f>
        <v/>
      </c>
      <c r="BU165" s="36" t="str">
        <f aca="false">IF(O165="","",IF(O165&gt;=75,"Yes","No"))</f>
        <v/>
      </c>
      <c r="BV165" s="36" t="str">
        <f aca="false">IF(O165="","",IF(O165&gt;=100,"Yes","No"))</f>
        <v/>
      </c>
      <c r="BW165" s="36" t="str">
        <f aca="false">IF(O165="","",IF(O165&gt;=150,"Yes","No"))</f>
        <v/>
      </c>
      <c r="BX165" s="36" t="str">
        <f aca="false">IF(O165="","",IF(O165&gt;=200,"Yes","No"))</f>
        <v/>
      </c>
      <c r="BY165" s="36" t="str">
        <f aca="false">IF(Q165="","",IF(Q165&gt;=150000,"Yes","No"))</f>
        <v/>
      </c>
      <c r="BZ165" s="36" t="str">
        <f aca="false">IF(Q165="","",IF(Q165&gt;=200000,"Yes","No"))</f>
        <v/>
      </c>
      <c r="CA165" s="36" t="str">
        <f aca="false">IF(Q165="","",IF(Q165&gt;=250000,"Yes","No"))</f>
        <v/>
      </c>
      <c r="CB165" s="36" t="str">
        <f aca="false">IF(Q165="","",IF(Q165&gt;=300000,"Yes","No"))</f>
        <v/>
      </c>
      <c r="CC165" s="37"/>
      <c r="CD165" s="36" t="str">
        <f aca="true">IF(B165="","",IF(TODAY()-B165&lt;=7,"🟢 0-7d",IF(TODAY()-B165&lt;=30,"🟡 8-30d",IF(TODAY()-B165&lt;=60,"🟠 31-60d","🔴 60d+"))))</f>
        <v/>
      </c>
      <c r="CE165" s="36" t="str">
        <f aca="false">IF(G165="","",IF(G165&lt;&gt;"USA","N/A - Not USA Role",IF(J165="Yes",IF(OR(F165="Intern",F165="New Grad"),"🟡 Possible","🟢 Strong"),IF(J165="No","🔴 Difficult","⚪ Unknown"))))</f>
        <v/>
      </c>
      <c r="CF165" s="37"/>
      <c r="CG165" s="37"/>
      <c r="CH165" s="38"/>
      <c r="CI165" s="38"/>
      <c r="CJ165" s="38"/>
      <c r="CK165" s="38"/>
    </row>
    <row r="166" customFormat="false" ht="15" hidden="false" customHeight="true" outlineLevel="0" collapsed="false">
      <c r="A166" s="26" t="str">
        <f aca="false">IF($C166="","",ROW()-3)</f>
        <v/>
      </c>
      <c r="B166" s="27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9"/>
      <c r="N166" s="29"/>
      <c r="O166" s="30" t="str">
        <f aca="false">IFERROR(IF(M166="","",M166*INDEX('00 - Lists'!$M$2:$M$11,MATCH(L166,'00 - Lists'!$L$2:$L$11,0))/100000),"")</f>
        <v/>
      </c>
      <c r="P166" s="30" t="str">
        <f aca="false">IFERROR(IF(N166="","",N166*INDEX('00 - Lists'!$M$2:$M$11,MATCH(L166,'00 - Lists'!$L$2:$L$11,0))/100000),"")</f>
        <v/>
      </c>
      <c r="Q166" s="31" t="str">
        <f aca="false">IFERROR(IF(M166="","",M166*INDEX('00 - Lists'!$N$2:$N$11,MATCH(L166,'00 - Lists'!$L$2:$L$11,0))),"")</f>
        <v/>
      </c>
      <c r="R166" s="31" t="str">
        <f aca="false">IFERROR(IF(N166="","",N166*INDEX('00 - Lists'!$N$2:$N$11,MATCH(L166,'00 - Lists'!$L$2:$L$11,0))),"")</f>
        <v/>
      </c>
      <c r="S166" s="32" t="str">
        <f aca="false">IF(O166="","",IF(O166&gt;=50,"Yes","No"))</f>
        <v/>
      </c>
      <c r="T166" s="32" t="str">
        <f aca="false">IF(Q166="","",IF(Q166&gt;=100000,"Yes","No"))</f>
        <v/>
      </c>
      <c r="U166" s="28"/>
      <c r="V166" s="28"/>
      <c r="W166" s="28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J166" s="34" t="str">
        <f aca="false">IF(OR($BD166&lt;&gt;"",$BF166&lt;&gt;"",$BH166&lt;&gt;""),"Yes","No")</f>
        <v>No</v>
      </c>
      <c r="BK166" s="35" t="str">
        <f aca="false">IFERROR(IF(BD166="","",BD166*INDEX('00 - Lists'!$M$2:$M$11,MATCH(L166,'00 - Lists'!$L$2:$L$11,0))/100000),"")</f>
        <v/>
      </c>
      <c r="BL166" s="35" t="str">
        <f aca="false">IFERROR(IF(BE166="","",BE166*INDEX('00 - Lists'!$M$2:$M$11,MATCH(L166,'00 - Lists'!$L$2:$L$11,0))/100000),"")</f>
        <v/>
      </c>
      <c r="BM166" s="35" t="str">
        <f aca="false">IFERROR(IF(BF166="","",BF166*INDEX('00 - Lists'!$M$2:$M$11,MATCH(L166,'00 - Lists'!$L$2:$L$11,0))/100000),"")</f>
        <v/>
      </c>
      <c r="BN166" s="35" t="str">
        <f aca="false">IFERROR(IF(BG166="","",BG166*INDEX('00 - Lists'!$M$2:$M$11,MATCH(L166,'00 - Lists'!$L$2:$L$11,0))/100000),"")</f>
        <v/>
      </c>
      <c r="BO166" s="35" t="str">
        <f aca="false">IFERROR(IF(BH166="","",BH166*INDEX('00 - Lists'!$M$2:$M$11,MATCH(L166,'00 - Lists'!$L$2:$L$11,0))/100000),"")</f>
        <v/>
      </c>
      <c r="BP166" s="35" t="str">
        <f aca="false">IFERROR(IF(BI166="","",BI166*INDEX('00 - Lists'!$M$2:$M$11,MATCH(L166,'00 - Lists'!$L$2:$L$11,0))/100000),"")</f>
        <v/>
      </c>
      <c r="BS166" s="36" t="str">
        <f aca="false">IF(O166="","",IF(O166&gt;=20,"Yes","No"))</f>
        <v/>
      </c>
      <c r="BT166" s="36" t="str">
        <f aca="false">IF(O166="","",IF(O166&gt;=30,"Yes","No"))</f>
        <v/>
      </c>
      <c r="BU166" s="36" t="str">
        <f aca="false">IF(O166="","",IF(O166&gt;=75,"Yes","No"))</f>
        <v/>
      </c>
      <c r="BV166" s="36" t="str">
        <f aca="false">IF(O166="","",IF(O166&gt;=100,"Yes","No"))</f>
        <v/>
      </c>
      <c r="BW166" s="36" t="str">
        <f aca="false">IF(O166="","",IF(O166&gt;=150,"Yes","No"))</f>
        <v/>
      </c>
      <c r="BX166" s="36" t="str">
        <f aca="false">IF(O166="","",IF(O166&gt;=200,"Yes","No"))</f>
        <v/>
      </c>
      <c r="BY166" s="36" t="str">
        <f aca="false">IF(Q166="","",IF(Q166&gt;=150000,"Yes","No"))</f>
        <v/>
      </c>
      <c r="BZ166" s="36" t="str">
        <f aca="false">IF(Q166="","",IF(Q166&gt;=200000,"Yes","No"))</f>
        <v/>
      </c>
      <c r="CA166" s="36" t="str">
        <f aca="false">IF(Q166="","",IF(Q166&gt;=250000,"Yes","No"))</f>
        <v/>
      </c>
      <c r="CB166" s="36" t="str">
        <f aca="false">IF(Q166="","",IF(Q166&gt;=300000,"Yes","No"))</f>
        <v/>
      </c>
      <c r="CC166" s="37"/>
      <c r="CD166" s="36" t="str">
        <f aca="true">IF(B166="","",IF(TODAY()-B166&lt;=7,"🟢 0-7d",IF(TODAY()-B166&lt;=30,"🟡 8-30d",IF(TODAY()-B166&lt;=60,"🟠 31-60d","🔴 60d+"))))</f>
        <v/>
      </c>
      <c r="CE166" s="36" t="str">
        <f aca="false">IF(G166="","",IF(G166&lt;&gt;"USA","N/A - Not USA Role",IF(J166="Yes",IF(OR(F166="Intern",F166="New Grad"),"🟡 Possible","🟢 Strong"),IF(J166="No","🔴 Difficult","⚪ Unknown"))))</f>
        <v/>
      </c>
      <c r="CF166" s="37"/>
      <c r="CG166" s="37"/>
      <c r="CH166" s="38"/>
      <c r="CI166" s="38"/>
      <c r="CJ166" s="38"/>
      <c r="CK166" s="38"/>
    </row>
    <row r="167" customFormat="false" ht="15" hidden="false" customHeight="true" outlineLevel="0" collapsed="false">
      <c r="A167" s="26" t="str">
        <f aca="false">IF($C167="","",ROW()-3)</f>
        <v/>
      </c>
      <c r="B167" s="27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9"/>
      <c r="N167" s="29"/>
      <c r="O167" s="30" t="str">
        <f aca="false">IFERROR(IF(M167="","",M167*INDEX('00 - Lists'!$M$2:$M$11,MATCH(L167,'00 - Lists'!$L$2:$L$11,0))/100000),"")</f>
        <v/>
      </c>
      <c r="P167" s="30" t="str">
        <f aca="false">IFERROR(IF(N167="","",N167*INDEX('00 - Lists'!$M$2:$M$11,MATCH(L167,'00 - Lists'!$L$2:$L$11,0))/100000),"")</f>
        <v/>
      </c>
      <c r="Q167" s="31" t="str">
        <f aca="false">IFERROR(IF(M167="","",M167*INDEX('00 - Lists'!$N$2:$N$11,MATCH(L167,'00 - Lists'!$L$2:$L$11,0))),"")</f>
        <v/>
      </c>
      <c r="R167" s="31" t="str">
        <f aca="false">IFERROR(IF(N167="","",N167*INDEX('00 - Lists'!$N$2:$N$11,MATCH(L167,'00 - Lists'!$L$2:$L$11,0))),"")</f>
        <v/>
      </c>
      <c r="S167" s="32" t="str">
        <f aca="false">IF(O167="","",IF(O167&gt;=50,"Yes","No"))</f>
        <v/>
      </c>
      <c r="T167" s="32" t="str">
        <f aca="false">IF(Q167="","",IF(Q167&gt;=100000,"Yes","No"))</f>
        <v/>
      </c>
      <c r="U167" s="28"/>
      <c r="V167" s="28"/>
      <c r="W167" s="28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J167" s="34" t="str">
        <f aca="false">IF(OR($BD167&lt;&gt;"",$BF167&lt;&gt;"",$BH167&lt;&gt;""),"Yes","No")</f>
        <v>No</v>
      </c>
      <c r="BK167" s="35" t="str">
        <f aca="false">IFERROR(IF(BD167="","",BD167*INDEX('00 - Lists'!$M$2:$M$11,MATCH(L167,'00 - Lists'!$L$2:$L$11,0))/100000),"")</f>
        <v/>
      </c>
      <c r="BL167" s="35" t="str">
        <f aca="false">IFERROR(IF(BE167="","",BE167*INDEX('00 - Lists'!$M$2:$M$11,MATCH(L167,'00 - Lists'!$L$2:$L$11,0))/100000),"")</f>
        <v/>
      </c>
      <c r="BM167" s="35" t="str">
        <f aca="false">IFERROR(IF(BF167="","",BF167*INDEX('00 - Lists'!$M$2:$M$11,MATCH(L167,'00 - Lists'!$L$2:$L$11,0))/100000),"")</f>
        <v/>
      </c>
      <c r="BN167" s="35" t="str">
        <f aca="false">IFERROR(IF(BG167="","",BG167*INDEX('00 - Lists'!$M$2:$M$11,MATCH(L167,'00 - Lists'!$L$2:$L$11,0))/100000),"")</f>
        <v/>
      </c>
      <c r="BO167" s="35" t="str">
        <f aca="false">IFERROR(IF(BH167="","",BH167*INDEX('00 - Lists'!$M$2:$M$11,MATCH(L167,'00 - Lists'!$L$2:$L$11,0))/100000),"")</f>
        <v/>
      </c>
      <c r="BP167" s="35" t="str">
        <f aca="false">IFERROR(IF(BI167="","",BI167*INDEX('00 - Lists'!$M$2:$M$11,MATCH(L167,'00 - Lists'!$L$2:$L$11,0))/100000),"")</f>
        <v/>
      </c>
      <c r="BS167" s="36" t="str">
        <f aca="false">IF(O167="","",IF(O167&gt;=20,"Yes","No"))</f>
        <v/>
      </c>
      <c r="BT167" s="36" t="str">
        <f aca="false">IF(O167="","",IF(O167&gt;=30,"Yes","No"))</f>
        <v/>
      </c>
      <c r="BU167" s="36" t="str">
        <f aca="false">IF(O167="","",IF(O167&gt;=75,"Yes","No"))</f>
        <v/>
      </c>
      <c r="BV167" s="36" t="str">
        <f aca="false">IF(O167="","",IF(O167&gt;=100,"Yes","No"))</f>
        <v/>
      </c>
      <c r="BW167" s="36" t="str">
        <f aca="false">IF(O167="","",IF(O167&gt;=150,"Yes","No"))</f>
        <v/>
      </c>
      <c r="BX167" s="36" t="str">
        <f aca="false">IF(O167="","",IF(O167&gt;=200,"Yes","No"))</f>
        <v/>
      </c>
      <c r="BY167" s="36" t="str">
        <f aca="false">IF(Q167="","",IF(Q167&gt;=150000,"Yes","No"))</f>
        <v/>
      </c>
      <c r="BZ167" s="36" t="str">
        <f aca="false">IF(Q167="","",IF(Q167&gt;=200000,"Yes","No"))</f>
        <v/>
      </c>
      <c r="CA167" s="36" t="str">
        <f aca="false">IF(Q167="","",IF(Q167&gt;=250000,"Yes","No"))</f>
        <v/>
      </c>
      <c r="CB167" s="36" t="str">
        <f aca="false">IF(Q167="","",IF(Q167&gt;=300000,"Yes","No"))</f>
        <v/>
      </c>
      <c r="CC167" s="37"/>
      <c r="CD167" s="36" t="str">
        <f aca="true">IF(B167="","",IF(TODAY()-B167&lt;=7,"🟢 0-7d",IF(TODAY()-B167&lt;=30,"🟡 8-30d",IF(TODAY()-B167&lt;=60,"🟠 31-60d","🔴 60d+"))))</f>
        <v/>
      </c>
      <c r="CE167" s="36" t="str">
        <f aca="false">IF(G167="","",IF(G167&lt;&gt;"USA","N/A - Not USA Role",IF(J167="Yes",IF(OR(F167="Intern",F167="New Grad"),"🟡 Possible","🟢 Strong"),IF(J167="No","🔴 Difficult","⚪ Unknown"))))</f>
        <v/>
      </c>
      <c r="CF167" s="37"/>
      <c r="CG167" s="37"/>
      <c r="CH167" s="38"/>
      <c r="CI167" s="38"/>
      <c r="CJ167" s="38"/>
      <c r="CK167" s="38"/>
    </row>
    <row r="168" customFormat="false" ht="15" hidden="false" customHeight="true" outlineLevel="0" collapsed="false">
      <c r="A168" s="26" t="str">
        <f aca="false">IF($C168="","",ROW()-3)</f>
        <v/>
      </c>
      <c r="B168" s="27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9"/>
      <c r="N168" s="29"/>
      <c r="O168" s="30" t="str">
        <f aca="false">IFERROR(IF(M168="","",M168*INDEX('00 - Lists'!$M$2:$M$11,MATCH(L168,'00 - Lists'!$L$2:$L$11,0))/100000),"")</f>
        <v/>
      </c>
      <c r="P168" s="30" t="str">
        <f aca="false">IFERROR(IF(N168="","",N168*INDEX('00 - Lists'!$M$2:$M$11,MATCH(L168,'00 - Lists'!$L$2:$L$11,0))/100000),"")</f>
        <v/>
      </c>
      <c r="Q168" s="31" t="str">
        <f aca="false">IFERROR(IF(M168="","",M168*INDEX('00 - Lists'!$N$2:$N$11,MATCH(L168,'00 - Lists'!$L$2:$L$11,0))),"")</f>
        <v/>
      </c>
      <c r="R168" s="31" t="str">
        <f aca="false">IFERROR(IF(N168="","",N168*INDEX('00 - Lists'!$N$2:$N$11,MATCH(L168,'00 - Lists'!$L$2:$L$11,0))),"")</f>
        <v/>
      </c>
      <c r="S168" s="32" t="str">
        <f aca="false">IF(O168="","",IF(O168&gt;=50,"Yes","No"))</f>
        <v/>
      </c>
      <c r="T168" s="32" t="str">
        <f aca="false">IF(Q168="","",IF(Q168&gt;=100000,"Yes","No"))</f>
        <v/>
      </c>
      <c r="U168" s="28"/>
      <c r="V168" s="28"/>
      <c r="W168" s="28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J168" s="34" t="str">
        <f aca="false">IF(OR($BD168&lt;&gt;"",$BF168&lt;&gt;"",$BH168&lt;&gt;""),"Yes","No")</f>
        <v>No</v>
      </c>
      <c r="BK168" s="35" t="str">
        <f aca="false">IFERROR(IF(BD168="","",BD168*INDEX('00 - Lists'!$M$2:$M$11,MATCH(L168,'00 - Lists'!$L$2:$L$11,0))/100000),"")</f>
        <v/>
      </c>
      <c r="BL168" s="35" t="str">
        <f aca="false">IFERROR(IF(BE168="","",BE168*INDEX('00 - Lists'!$M$2:$M$11,MATCH(L168,'00 - Lists'!$L$2:$L$11,0))/100000),"")</f>
        <v/>
      </c>
      <c r="BM168" s="35" t="str">
        <f aca="false">IFERROR(IF(BF168="","",BF168*INDEX('00 - Lists'!$M$2:$M$11,MATCH(L168,'00 - Lists'!$L$2:$L$11,0))/100000),"")</f>
        <v/>
      </c>
      <c r="BN168" s="35" t="str">
        <f aca="false">IFERROR(IF(BG168="","",BG168*INDEX('00 - Lists'!$M$2:$M$11,MATCH(L168,'00 - Lists'!$L$2:$L$11,0))/100000),"")</f>
        <v/>
      </c>
      <c r="BO168" s="35" t="str">
        <f aca="false">IFERROR(IF(BH168="","",BH168*INDEX('00 - Lists'!$M$2:$M$11,MATCH(L168,'00 - Lists'!$L$2:$L$11,0))/100000),"")</f>
        <v/>
      </c>
      <c r="BP168" s="35" t="str">
        <f aca="false">IFERROR(IF(BI168="","",BI168*INDEX('00 - Lists'!$M$2:$M$11,MATCH(L168,'00 - Lists'!$L$2:$L$11,0))/100000),"")</f>
        <v/>
      </c>
      <c r="BS168" s="36" t="str">
        <f aca="false">IF(O168="","",IF(O168&gt;=20,"Yes","No"))</f>
        <v/>
      </c>
      <c r="BT168" s="36" t="str">
        <f aca="false">IF(O168="","",IF(O168&gt;=30,"Yes","No"))</f>
        <v/>
      </c>
      <c r="BU168" s="36" t="str">
        <f aca="false">IF(O168="","",IF(O168&gt;=75,"Yes","No"))</f>
        <v/>
      </c>
      <c r="BV168" s="36" t="str">
        <f aca="false">IF(O168="","",IF(O168&gt;=100,"Yes","No"))</f>
        <v/>
      </c>
      <c r="BW168" s="36" t="str">
        <f aca="false">IF(O168="","",IF(O168&gt;=150,"Yes","No"))</f>
        <v/>
      </c>
      <c r="BX168" s="36" t="str">
        <f aca="false">IF(O168="","",IF(O168&gt;=200,"Yes","No"))</f>
        <v/>
      </c>
      <c r="BY168" s="36" t="str">
        <f aca="false">IF(Q168="","",IF(Q168&gt;=150000,"Yes","No"))</f>
        <v/>
      </c>
      <c r="BZ168" s="36" t="str">
        <f aca="false">IF(Q168="","",IF(Q168&gt;=200000,"Yes","No"))</f>
        <v/>
      </c>
      <c r="CA168" s="36" t="str">
        <f aca="false">IF(Q168="","",IF(Q168&gt;=250000,"Yes","No"))</f>
        <v/>
      </c>
      <c r="CB168" s="36" t="str">
        <f aca="false">IF(Q168="","",IF(Q168&gt;=300000,"Yes","No"))</f>
        <v/>
      </c>
      <c r="CC168" s="37"/>
      <c r="CD168" s="36" t="str">
        <f aca="true">IF(B168="","",IF(TODAY()-B168&lt;=7,"🟢 0-7d",IF(TODAY()-B168&lt;=30,"🟡 8-30d",IF(TODAY()-B168&lt;=60,"🟠 31-60d","🔴 60d+"))))</f>
        <v/>
      </c>
      <c r="CE168" s="36" t="str">
        <f aca="false">IF(G168="","",IF(G168&lt;&gt;"USA","N/A - Not USA Role",IF(J168="Yes",IF(OR(F168="Intern",F168="New Grad"),"🟡 Possible","🟢 Strong"),IF(J168="No","🔴 Difficult","⚪ Unknown"))))</f>
        <v/>
      </c>
      <c r="CF168" s="37"/>
      <c r="CG168" s="37"/>
      <c r="CH168" s="38"/>
      <c r="CI168" s="38"/>
      <c r="CJ168" s="38"/>
      <c r="CK168" s="38"/>
    </row>
    <row r="169" customFormat="false" ht="15" hidden="false" customHeight="true" outlineLevel="0" collapsed="false">
      <c r="A169" s="26" t="str">
        <f aca="false">IF($C169="","",ROW()-3)</f>
        <v/>
      </c>
      <c r="B169" s="27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9"/>
      <c r="N169" s="29"/>
      <c r="O169" s="30" t="str">
        <f aca="false">IFERROR(IF(M169="","",M169*INDEX('00 - Lists'!$M$2:$M$11,MATCH(L169,'00 - Lists'!$L$2:$L$11,0))/100000),"")</f>
        <v/>
      </c>
      <c r="P169" s="30" t="str">
        <f aca="false">IFERROR(IF(N169="","",N169*INDEX('00 - Lists'!$M$2:$M$11,MATCH(L169,'00 - Lists'!$L$2:$L$11,0))/100000),"")</f>
        <v/>
      </c>
      <c r="Q169" s="31" t="str">
        <f aca="false">IFERROR(IF(M169="","",M169*INDEX('00 - Lists'!$N$2:$N$11,MATCH(L169,'00 - Lists'!$L$2:$L$11,0))),"")</f>
        <v/>
      </c>
      <c r="R169" s="31" t="str">
        <f aca="false">IFERROR(IF(N169="","",N169*INDEX('00 - Lists'!$N$2:$N$11,MATCH(L169,'00 - Lists'!$L$2:$L$11,0))),"")</f>
        <v/>
      </c>
      <c r="S169" s="32" t="str">
        <f aca="false">IF(O169="","",IF(O169&gt;=50,"Yes","No"))</f>
        <v/>
      </c>
      <c r="T169" s="32" t="str">
        <f aca="false">IF(Q169="","",IF(Q169&gt;=100000,"Yes","No"))</f>
        <v/>
      </c>
      <c r="U169" s="28"/>
      <c r="V169" s="28"/>
      <c r="W169" s="28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J169" s="34" t="str">
        <f aca="false">IF(OR($BD169&lt;&gt;"",$BF169&lt;&gt;"",$BH169&lt;&gt;""),"Yes","No")</f>
        <v>No</v>
      </c>
      <c r="BK169" s="35" t="str">
        <f aca="false">IFERROR(IF(BD169="","",BD169*INDEX('00 - Lists'!$M$2:$M$11,MATCH(L169,'00 - Lists'!$L$2:$L$11,0))/100000),"")</f>
        <v/>
      </c>
      <c r="BL169" s="35" t="str">
        <f aca="false">IFERROR(IF(BE169="","",BE169*INDEX('00 - Lists'!$M$2:$M$11,MATCH(L169,'00 - Lists'!$L$2:$L$11,0))/100000),"")</f>
        <v/>
      </c>
      <c r="BM169" s="35" t="str">
        <f aca="false">IFERROR(IF(BF169="","",BF169*INDEX('00 - Lists'!$M$2:$M$11,MATCH(L169,'00 - Lists'!$L$2:$L$11,0))/100000),"")</f>
        <v/>
      </c>
      <c r="BN169" s="35" t="str">
        <f aca="false">IFERROR(IF(BG169="","",BG169*INDEX('00 - Lists'!$M$2:$M$11,MATCH(L169,'00 - Lists'!$L$2:$L$11,0))/100000),"")</f>
        <v/>
      </c>
      <c r="BO169" s="35" t="str">
        <f aca="false">IFERROR(IF(BH169="","",BH169*INDEX('00 - Lists'!$M$2:$M$11,MATCH(L169,'00 - Lists'!$L$2:$L$11,0))/100000),"")</f>
        <v/>
      </c>
      <c r="BP169" s="35" t="str">
        <f aca="false">IFERROR(IF(BI169="","",BI169*INDEX('00 - Lists'!$M$2:$M$11,MATCH(L169,'00 - Lists'!$L$2:$L$11,0))/100000),"")</f>
        <v/>
      </c>
      <c r="BS169" s="36" t="str">
        <f aca="false">IF(O169="","",IF(O169&gt;=20,"Yes","No"))</f>
        <v/>
      </c>
      <c r="BT169" s="36" t="str">
        <f aca="false">IF(O169="","",IF(O169&gt;=30,"Yes","No"))</f>
        <v/>
      </c>
      <c r="BU169" s="36" t="str">
        <f aca="false">IF(O169="","",IF(O169&gt;=75,"Yes","No"))</f>
        <v/>
      </c>
      <c r="BV169" s="36" t="str">
        <f aca="false">IF(O169="","",IF(O169&gt;=100,"Yes","No"))</f>
        <v/>
      </c>
      <c r="BW169" s="36" t="str">
        <f aca="false">IF(O169="","",IF(O169&gt;=150,"Yes","No"))</f>
        <v/>
      </c>
      <c r="BX169" s="36" t="str">
        <f aca="false">IF(O169="","",IF(O169&gt;=200,"Yes","No"))</f>
        <v/>
      </c>
      <c r="BY169" s="36" t="str">
        <f aca="false">IF(Q169="","",IF(Q169&gt;=150000,"Yes","No"))</f>
        <v/>
      </c>
      <c r="BZ169" s="36" t="str">
        <f aca="false">IF(Q169="","",IF(Q169&gt;=200000,"Yes","No"))</f>
        <v/>
      </c>
      <c r="CA169" s="36" t="str">
        <f aca="false">IF(Q169="","",IF(Q169&gt;=250000,"Yes","No"))</f>
        <v/>
      </c>
      <c r="CB169" s="36" t="str">
        <f aca="false">IF(Q169="","",IF(Q169&gt;=300000,"Yes","No"))</f>
        <v/>
      </c>
      <c r="CC169" s="37"/>
      <c r="CD169" s="36" t="str">
        <f aca="true">IF(B169="","",IF(TODAY()-B169&lt;=7,"🟢 0-7d",IF(TODAY()-B169&lt;=30,"🟡 8-30d",IF(TODAY()-B169&lt;=60,"🟠 31-60d","🔴 60d+"))))</f>
        <v/>
      </c>
      <c r="CE169" s="36" t="str">
        <f aca="false">IF(G169="","",IF(G169&lt;&gt;"USA","N/A - Not USA Role",IF(J169="Yes",IF(OR(F169="Intern",F169="New Grad"),"🟡 Possible","🟢 Strong"),IF(J169="No","🔴 Difficult","⚪ Unknown"))))</f>
        <v/>
      </c>
      <c r="CF169" s="37"/>
      <c r="CG169" s="37"/>
      <c r="CH169" s="38"/>
      <c r="CI169" s="38"/>
      <c r="CJ169" s="38"/>
      <c r="CK169" s="38"/>
    </row>
    <row r="170" customFormat="false" ht="15" hidden="false" customHeight="true" outlineLevel="0" collapsed="false">
      <c r="A170" s="26" t="str">
        <f aca="false">IF($C170="","",ROW()-3)</f>
        <v/>
      </c>
      <c r="B170" s="27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9"/>
      <c r="N170" s="29"/>
      <c r="O170" s="30" t="str">
        <f aca="false">IFERROR(IF(M170="","",M170*INDEX('00 - Lists'!$M$2:$M$11,MATCH(L170,'00 - Lists'!$L$2:$L$11,0))/100000),"")</f>
        <v/>
      </c>
      <c r="P170" s="30" t="str">
        <f aca="false">IFERROR(IF(N170="","",N170*INDEX('00 - Lists'!$M$2:$M$11,MATCH(L170,'00 - Lists'!$L$2:$L$11,0))/100000),"")</f>
        <v/>
      </c>
      <c r="Q170" s="31" t="str">
        <f aca="false">IFERROR(IF(M170="","",M170*INDEX('00 - Lists'!$N$2:$N$11,MATCH(L170,'00 - Lists'!$L$2:$L$11,0))),"")</f>
        <v/>
      </c>
      <c r="R170" s="31" t="str">
        <f aca="false">IFERROR(IF(N170="","",N170*INDEX('00 - Lists'!$N$2:$N$11,MATCH(L170,'00 - Lists'!$L$2:$L$11,0))),"")</f>
        <v/>
      </c>
      <c r="S170" s="32" t="str">
        <f aca="false">IF(O170="","",IF(O170&gt;=50,"Yes","No"))</f>
        <v/>
      </c>
      <c r="T170" s="32" t="str">
        <f aca="false">IF(Q170="","",IF(Q170&gt;=100000,"Yes","No"))</f>
        <v/>
      </c>
      <c r="U170" s="28"/>
      <c r="V170" s="28"/>
      <c r="W170" s="28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J170" s="34" t="str">
        <f aca="false">IF(OR($BD170&lt;&gt;"",$BF170&lt;&gt;"",$BH170&lt;&gt;""),"Yes","No")</f>
        <v>No</v>
      </c>
      <c r="BK170" s="35" t="str">
        <f aca="false">IFERROR(IF(BD170="","",BD170*INDEX('00 - Lists'!$M$2:$M$11,MATCH(L170,'00 - Lists'!$L$2:$L$11,0))/100000),"")</f>
        <v/>
      </c>
      <c r="BL170" s="35" t="str">
        <f aca="false">IFERROR(IF(BE170="","",BE170*INDEX('00 - Lists'!$M$2:$M$11,MATCH(L170,'00 - Lists'!$L$2:$L$11,0))/100000),"")</f>
        <v/>
      </c>
      <c r="BM170" s="35" t="str">
        <f aca="false">IFERROR(IF(BF170="","",BF170*INDEX('00 - Lists'!$M$2:$M$11,MATCH(L170,'00 - Lists'!$L$2:$L$11,0))/100000),"")</f>
        <v/>
      </c>
      <c r="BN170" s="35" t="str">
        <f aca="false">IFERROR(IF(BG170="","",BG170*INDEX('00 - Lists'!$M$2:$M$11,MATCH(L170,'00 - Lists'!$L$2:$L$11,0))/100000),"")</f>
        <v/>
      </c>
      <c r="BO170" s="35" t="str">
        <f aca="false">IFERROR(IF(BH170="","",BH170*INDEX('00 - Lists'!$M$2:$M$11,MATCH(L170,'00 - Lists'!$L$2:$L$11,0))/100000),"")</f>
        <v/>
      </c>
      <c r="BP170" s="35" t="str">
        <f aca="false">IFERROR(IF(BI170="","",BI170*INDEX('00 - Lists'!$M$2:$M$11,MATCH(L170,'00 - Lists'!$L$2:$L$11,0))/100000),"")</f>
        <v/>
      </c>
      <c r="BS170" s="36" t="str">
        <f aca="false">IF(O170="","",IF(O170&gt;=20,"Yes","No"))</f>
        <v/>
      </c>
      <c r="BT170" s="36" t="str">
        <f aca="false">IF(O170="","",IF(O170&gt;=30,"Yes","No"))</f>
        <v/>
      </c>
      <c r="BU170" s="36" t="str">
        <f aca="false">IF(O170="","",IF(O170&gt;=75,"Yes","No"))</f>
        <v/>
      </c>
      <c r="BV170" s="36" t="str">
        <f aca="false">IF(O170="","",IF(O170&gt;=100,"Yes","No"))</f>
        <v/>
      </c>
      <c r="BW170" s="36" t="str">
        <f aca="false">IF(O170="","",IF(O170&gt;=150,"Yes","No"))</f>
        <v/>
      </c>
      <c r="BX170" s="36" t="str">
        <f aca="false">IF(O170="","",IF(O170&gt;=200,"Yes","No"))</f>
        <v/>
      </c>
      <c r="BY170" s="36" t="str">
        <f aca="false">IF(Q170="","",IF(Q170&gt;=150000,"Yes","No"))</f>
        <v/>
      </c>
      <c r="BZ170" s="36" t="str">
        <f aca="false">IF(Q170="","",IF(Q170&gt;=200000,"Yes","No"))</f>
        <v/>
      </c>
      <c r="CA170" s="36" t="str">
        <f aca="false">IF(Q170="","",IF(Q170&gt;=250000,"Yes","No"))</f>
        <v/>
      </c>
      <c r="CB170" s="36" t="str">
        <f aca="false">IF(Q170="","",IF(Q170&gt;=300000,"Yes","No"))</f>
        <v/>
      </c>
      <c r="CC170" s="37"/>
      <c r="CD170" s="36" t="str">
        <f aca="true">IF(B170="","",IF(TODAY()-B170&lt;=7,"🟢 0-7d",IF(TODAY()-B170&lt;=30,"🟡 8-30d",IF(TODAY()-B170&lt;=60,"🟠 31-60d","🔴 60d+"))))</f>
        <v/>
      </c>
      <c r="CE170" s="36" t="str">
        <f aca="false">IF(G170="","",IF(G170&lt;&gt;"USA","N/A - Not USA Role",IF(J170="Yes",IF(OR(F170="Intern",F170="New Grad"),"🟡 Possible","🟢 Strong"),IF(J170="No","🔴 Difficult","⚪ Unknown"))))</f>
        <v/>
      </c>
      <c r="CF170" s="37"/>
      <c r="CG170" s="37"/>
      <c r="CH170" s="38"/>
      <c r="CI170" s="38"/>
      <c r="CJ170" s="38"/>
      <c r="CK170" s="38"/>
    </row>
    <row r="171" customFormat="false" ht="15" hidden="false" customHeight="true" outlineLevel="0" collapsed="false">
      <c r="A171" s="26" t="str">
        <f aca="false">IF($C171="","",ROW()-3)</f>
        <v/>
      </c>
      <c r="B171" s="27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9"/>
      <c r="N171" s="29"/>
      <c r="O171" s="30" t="str">
        <f aca="false">IFERROR(IF(M171="","",M171*INDEX('00 - Lists'!$M$2:$M$11,MATCH(L171,'00 - Lists'!$L$2:$L$11,0))/100000),"")</f>
        <v/>
      </c>
      <c r="P171" s="30" t="str">
        <f aca="false">IFERROR(IF(N171="","",N171*INDEX('00 - Lists'!$M$2:$M$11,MATCH(L171,'00 - Lists'!$L$2:$L$11,0))/100000),"")</f>
        <v/>
      </c>
      <c r="Q171" s="31" t="str">
        <f aca="false">IFERROR(IF(M171="","",M171*INDEX('00 - Lists'!$N$2:$N$11,MATCH(L171,'00 - Lists'!$L$2:$L$11,0))),"")</f>
        <v/>
      </c>
      <c r="R171" s="31" t="str">
        <f aca="false">IFERROR(IF(N171="","",N171*INDEX('00 - Lists'!$N$2:$N$11,MATCH(L171,'00 - Lists'!$L$2:$L$11,0))),"")</f>
        <v/>
      </c>
      <c r="S171" s="32" t="str">
        <f aca="false">IF(O171="","",IF(O171&gt;=50,"Yes","No"))</f>
        <v/>
      </c>
      <c r="T171" s="32" t="str">
        <f aca="false">IF(Q171="","",IF(Q171&gt;=100000,"Yes","No"))</f>
        <v/>
      </c>
      <c r="U171" s="28"/>
      <c r="V171" s="28"/>
      <c r="W171" s="28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J171" s="34" t="str">
        <f aca="false">IF(OR($BD171&lt;&gt;"",$BF171&lt;&gt;"",$BH171&lt;&gt;""),"Yes","No")</f>
        <v>No</v>
      </c>
      <c r="BK171" s="35" t="str">
        <f aca="false">IFERROR(IF(BD171="","",BD171*INDEX('00 - Lists'!$M$2:$M$11,MATCH(L171,'00 - Lists'!$L$2:$L$11,0))/100000),"")</f>
        <v/>
      </c>
      <c r="BL171" s="35" t="str">
        <f aca="false">IFERROR(IF(BE171="","",BE171*INDEX('00 - Lists'!$M$2:$M$11,MATCH(L171,'00 - Lists'!$L$2:$L$11,0))/100000),"")</f>
        <v/>
      </c>
      <c r="BM171" s="35" t="str">
        <f aca="false">IFERROR(IF(BF171="","",BF171*INDEX('00 - Lists'!$M$2:$M$11,MATCH(L171,'00 - Lists'!$L$2:$L$11,0))/100000),"")</f>
        <v/>
      </c>
      <c r="BN171" s="35" t="str">
        <f aca="false">IFERROR(IF(BG171="","",BG171*INDEX('00 - Lists'!$M$2:$M$11,MATCH(L171,'00 - Lists'!$L$2:$L$11,0))/100000),"")</f>
        <v/>
      </c>
      <c r="BO171" s="35" t="str">
        <f aca="false">IFERROR(IF(BH171="","",BH171*INDEX('00 - Lists'!$M$2:$M$11,MATCH(L171,'00 - Lists'!$L$2:$L$11,0))/100000),"")</f>
        <v/>
      </c>
      <c r="BP171" s="35" t="str">
        <f aca="false">IFERROR(IF(BI171="","",BI171*INDEX('00 - Lists'!$M$2:$M$11,MATCH(L171,'00 - Lists'!$L$2:$L$11,0))/100000),"")</f>
        <v/>
      </c>
      <c r="BS171" s="36" t="str">
        <f aca="false">IF(O171="","",IF(O171&gt;=20,"Yes","No"))</f>
        <v/>
      </c>
      <c r="BT171" s="36" t="str">
        <f aca="false">IF(O171="","",IF(O171&gt;=30,"Yes","No"))</f>
        <v/>
      </c>
      <c r="BU171" s="36" t="str">
        <f aca="false">IF(O171="","",IF(O171&gt;=75,"Yes","No"))</f>
        <v/>
      </c>
      <c r="BV171" s="36" t="str">
        <f aca="false">IF(O171="","",IF(O171&gt;=100,"Yes","No"))</f>
        <v/>
      </c>
      <c r="BW171" s="36" t="str">
        <f aca="false">IF(O171="","",IF(O171&gt;=150,"Yes","No"))</f>
        <v/>
      </c>
      <c r="BX171" s="36" t="str">
        <f aca="false">IF(O171="","",IF(O171&gt;=200,"Yes","No"))</f>
        <v/>
      </c>
      <c r="BY171" s="36" t="str">
        <f aca="false">IF(Q171="","",IF(Q171&gt;=150000,"Yes","No"))</f>
        <v/>
      </c>
      <c r="BZ171" s="36" t="str">
        <f aca="false">IF(Q171="","",IF(Q171&gt;=200000,"Yes","No"))</f>
        <v/>
      </c>
      <c r="CA171" s="36" t="str">
        <f aca="false">IF(Q171="","",IF(Q171&gt;=250000,"Yes","No"))</f>
        <v/>
      </c>
      <c r="CB171" s="36" t="str">
        <f aca="false">IF(Q171="","",IF(Q171&gt;=300000,"Yes","No"))</f>
        <v/>
      </c>
      <c r="CC171" s="37"/>
      <c r="CD171" s="36" t="str">
        <f aca="true">IF(B171="","",IF(TODAY()-B171&lt;=7,"🟢 0-7d",IF(TODAY()-B171&lt;=30,"🟡 8-30d",IF(TODAY()-B171&lt;=60,"🟠 31-60d","🔴 60d+"))))</f>
        <v/>
      </c>
      <c r="CE171" s="36" t="str">
        <f aca="false">IF(G171="","",IF(G171&lt;&gt;"USA","N/A - Not USA Role",IF(J171="Yes",IF(OR(F171="Intern",F171="New Grad"),"🟡 Possible","🟢 Strong"),IF(J171="No","🔴 Difficult","⚪ Unknown"))))</f>
        <v/>
      </c>
      <c r="CF171" s="37"/>
      <c r="CG171" s="37"/>
      <c r="CH171" s="38"/>
      <c r="CI171" s="38"/>
      <c r="CJ171" s="38"/>
      <c r="CK171" s="38"/>
    </row>
    <row r="172" customFormat="false" ht="15" hidden="false" customHeight="true" outlineLevel="0" collapsed="false">
      <c r="A172" s="26" t="str">
        <f aca="false">IF($C172="","",ROW()-3)</f>
        <v/>
      </c>
      <c r="B172" s="27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9"/>
      <c r="N172" s="29"/>
      <c r="O172" s="30" t="str">
        <f aca="false">IFERROR(IF(M172="","",M172*INDEX('00 - Lists'!$M$2:$M$11,MATCH(L172,'00 - Lists'!$L$2:$L$11,0))/100000),"")</f>
        <v/>
      </c>
      <c r="P172" s="30" t="str">
        <f aca="false">IFERROR(IF(N172="","",N172*INDEX('00 - Lists'!$M$2:$M$11,MATCH(L172,'00 - Lists'!$L$2:$L$11,0))/100000),"")</f>
        <v/>
      </c>
      <c r="Q172" s="31" t="str">
        <f aca="false">IFERROR(IF(M172="","",M172*INDEX('00 - Lists'!$N$2:$N$11,MATCH(L172,'00 - Lists'!$L$2:$L$11,0))),"")</f>
        <v/>
      </c>
      <c r="R172" s="31" t="str">
        <f aca="false">IFERROR(IF(N172="","",N172*INDEX('00 - Lists'!$N$2:$N$11,MATCH(L172,'00 - Lists'!$L$2:$L$11,0))),"")</f>
        <v/>
      </c>
      <c r="S172" s="32" t="str">
        <f aca="false">IF(O172="","",IF(O172&gt;=50,"Yes","No"))</f>
        <v/>
      </c>
      <c r="T172" s="32" t="str">
        <f aca="false">IF(Q172="","",IF(Q172&gt;=100000,"Yes","No"))</f>
        <v/>
      </c>
      <c r="U172" s="28"/>
      <c r="V172" s="28"/>
      <c r="W172" s="28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J172" s="34" t="str">
        <f aca="false">IF(OR($BD172&lt;&gt;"",$BF172&lt;&gt;"",$BH172&lt;&gt;""),"Yes","No")</f>
        <v>No</v>
      </c>
      <c r="BK172" s="35" t="str">
        <f aca="false">IFERROR(IF(BD172="","",BD172*INDEX('00 - Lists'!$M$2:$M$11,MATCH(L172,'00 - Lists'!$L$2:$L$11,0))/100000),"")</f>
        <v/>
      </c>
      <c r="BL172" s="35" t="str">
        <f aca="false">IFERROR(IF(BE172="","",BE172*INDEX('00 - Lists'!$M$2:$M$11,MATCH(L172,'00 - Lists'!$L$2:$L$11,0))/100000),"")</f>
        <v/>
      </c>
      <c r="BM172" s="35" t="str">
        <f aca="false">IFERROR(IF(BF172="","",BF172*INDEX('00 - Lists'!$M$2:$M$11,MATCH(L172,'00 - Lists'!$L$2:$L$11,0))/100000),"")</f>
        <v/>
      </c>
      <c r="BN172" s="35" t="str">
        <f aca="false">IFERROR(IF(BG172="","",BG172*INDEX('00 - Lists'!$M$2:$M$11,MATCH(L172,'00 - Lists'!$L$2:$L$11,0))/100000),"")</f>
        <v/>
      </c>
      <c r="BO172" s="35" t="str">
        <f aca="false">IFERROR(IF(BH172="","",BH172*INDEX('00 - Lists'!$M$2:$M$11,MATCH(L172,'00 - Lists'!$L$2:$L$11,0))/100000),"")</f>
        <v/>
      </c>
      <c r="BP172" s="35" t="str">
        <f aca="false">IFERROR(IF(BI172="","",BI172*INDEX('00 - Lists'!$M$2:$M$11,MATCH(L172,'00 - Lists'!$L$2:$L$11,0))/100000),"")</f>
        <v/>
      </c>
      <c r="BS172" s="36" t="str">
        <f aca="false">IF(O172="","",IF(O172&gt;=20,"Yes","No"))</f>
        <v/>
      </c>
      <c r="BT172" s="36" t="str">
        <f aca="false">IF(O172="","",IF(O172&gt;=30,"Yes","No"))</f>
        <v/>
      </c>
      <c r="BU172" s="36" t="str">
        <f aca="false">IF(O172="","",IF(O172&gt;=75,"Yes","No"))</f>
        <v/>
      </c>
      <c r="BV172" s="36" t="str">
        <f aca="false">IF(O172="","",IF(O172&gt;=100,"Yes","No"))</f>
        <v/>
      </c>
      <c r="BW172" s="36" t="str">
        <f aca="false">IF(O172="","",IF(O172&gt;=150,"Yes","No"))</f>
        <v/>
      </c>
      <c r="BX172" s="36" t="str">
        <f aca="false">IF(O172="","",IF(O172&gt;=200,"Yes","No"))</f>
        <v/>
      </c>
      <c r="BY172" s="36" t="str">
        <f aca="false">IF(Q172="","",IF(Q172&gt;=150000,"Yes","No"))</f>
        <v/>
      </c>
      <c r="BZ172" s="36" t="str">
        <f aca="false">IF(Q172="","",IF(Q172&gt;=200000,"Yes","No"))</f>
        <v/>
      </c>
      <c r="CA172" s="36" t="str">
        <f aca="false">IF(Q172="","",IF(Q172&gt;=250000,"Yes","No"))</f>
        <v/>
      </c>
      <c r="CB172" s="36" t="str">
        <f aca="false">IF(Q172="","",IF(Q172&gt;=300000,"Yes","No"))</f>
        <v/>
      </c>
      <c r="CC172" s="37"/>
      <c r="CD172" s="36" t="str">
        <f aca="true">IF(B172="","",IF(TODAY()-B172&lt;=7,"🟢 0-7d",IF(TODAY()-B172&lt;=30,"🟡 8-30d",IF(TODAY()-B172&lt;=60,"🟠 31-60d","🔴 60d+"))))</f>
        <v/>
      </c>
      <c r="CE172" s="36" t="str">
        <f aca="false">IF(G172="","",IF(G172&lt;&gt;"USA","N/A - Not USA Role",IF(J172="Yes",IF(OR(F172="Intern",F172="New Grad"),"🟡 Possible","🟢 Strong"),IF(J172="No","🔴 Difficult","⚪ Unknown"))))</f>
        <v/>
      </c>
      <c r="CF172" s="37"/>
      <c r="CG172" s="37"/>
      <c r="CH172" s="38"/>
      <c r="CI172" s="38"/>
      <c r="CJ172" s="38"/>
      <c r="CK172" s="38"/>
    </row>
    <row r="173" customFormat="false" ht="15" hidden="false" customHeight="true" outlineLevel="0" collapsed="false">
      <c r="A173" s="26" t="str">
        <f aca="false">IF($C173="","",ROW()-3)</f>
        <v/>
      </c>
      <c r="B173" s="27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9"/>
      <c r="N173" s="29"/>
      <c r="O173" s="30" t="str">
        <f aca="false">IFERROR(IF(M173="","",M173*INDEX('00 - Lists'!$M$2:$M$11,MATCH(L173,'00 - Lists'!$L$2:$L$11,0))/100000),"")</f>
        <v/>
      </c>
      <c r="P173" s="30" t="str">
        <f aca="false">IFERROR(IF(N173="","",N173*INDEX('00 - Lists'!$M$2:$M$11,MATCH(L173,'00 - Lists'!$L$2:$L$11,0))/100000),"")</f>
        <v/>
      </c>
      <c r="Q173" s="31" t="str">
        <f aca="false">IFERROR(IF(M173="","",M173*INDEX('00 - Lists'!$N$2:$N$11,MATCH(L173,'00 - Lists'!$L$2:$L$11,0))),"")</f>
        <v/>
      </c>
      <c r="R173" s="31" t="str">
        <f aca="false">IFERROR(IF(N173="","",N173*INDEX('00 - Lists'!$N$2:$N$11,MATCH(L173,'00 - Lists'!$L$2:$L$11,0))),"")</f>
        <v/>
      </c>
      <c r="S173" s="32" t="str">
        <f aca="false">IF(O173="","",IF(O173&gt;=50,"Yes","No"))</f>
        <v/>
      </c>
      <c r="T173" s="32" t="str">
        <f aca="false">IF(Q173="","",IF(Q173&gt;=100000,"Yes","No"))</f>
        <v/>
      </c>
      <c r="U173" s="28"/>
      <c r="V173" s="28"/>
      <c r="W173" s="28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J173" s="34" t="str">
        <f aca="false">IF(OR($BD173&lt;&gt;"",$BF173&lt;&gt;"",$BH173&lt;&gt;""),"Yes","No")</f>
        <v>No</v>
      </c>
      <c r="BK173" s="35" t="str">
        <f aca="false">IFERROR(IF(BD173="","",BD173*INDEX('00 - Lists'!$M$2:$M$11,MATCH(L173,'00 - Lists'!$L$2:$L$11,0))/100000),"")</f>
        <v/>
      </c>
      <c r="BL173" s="35" t="str">
        <f aca="false">IFERROR(IF(BE173="","",BE173*INDEX('00 - Lists'!$M$2:$M$11,MATCH(L173,'00 - Lists'!$L$2:$L$11,0))/100000),"")</f>
        <v/>
      </c>
      <c r="BM173" s="35" t="str">
        <f aca="false">IFERROR(IF(BF173="","",BF173*INDEX('00 - Lists'!$M$2:$M$11,MATCH(L173,'00 - Lists'!$L$2:$L$11,0))/100000),"")</f>
        <v/>
      </c>
      <c r="BN173" s="35" t="str">
        <f aca="false">IFERROR(IF(BG173="","",BG173*INDEX('00 - Lists'!$M$2:$M$11,MATCH(L173,'00 - Lists'!$L$2:$L$11,0))/100000),"")</f>
        <v/>
      </c>
      <c r="BO173" s="35" t="str">
        <f aca="false">IFERROR(IF(BH173="","",BH173*INDEX('00 - Lists'!$M$2:$M$11,MATCH(L173,'00 - Lists'!$L$2:$L$11,0))/100000),"")</f>
        <v/>
      </c>
      <c r="BP173" s="35" t="str">
        <f aca="false">IFERROR(IF(BI173="","",BI173*INDEX('00 - Lists'!$M$2:$M$11,MATCH(L173,'00 - Lists'!$L$2:$L$11,0))/100000),"")</f>
        <v/>
      </c>
      <c r="BS173" s="36" t="str">
        <f aca="false">IF(O173="","",IF(O173&gt;=20,"Yes","No"))</f>
        <v/>
      </c>
      <c r="BT173" s="36" t="str">
        <f aca="false">IF(O173="","",IF(O173&gt;=30,"Yes","No"))</f>
        <v/>
      </c>
      <c r="BU173" s="36" t="str">
        <f aca="false">IF(O173="","",IF(O173&gt;=75,"Yes","No"))</f>
        <v/>
      </c>
      <c r="BV173" s="36" t="str">
        <f aca="false">IF(O173="","",IF(O173&gt;=100,"Yes","No"))</f>
        <v/>
      </c>
      <c r="BW173" s="36" t="str">
        <f aca="false">IF(O173="","",IF(O173&gt;=150,"Yes","No"))</f>
        <v/>
      </c>
      <c r="BX173" s="36" t="str">
        <f aca="false">IF(O173="","",IF(O173&gt;=200,"Yes","No"))</f>
        <v/>
      </c>
      <c r="BY173" s="36" t="str">
        <f aca="false">IF(Q173="","",IF(Q173&gt;=150000,"Yes","No"))</f>
        <v/>
      </c>
      <c r="BZ173" s="36" t="str">
        <f aca="false">IF(Q173="","",IF(Q173&gt;=200000,"Yes","No"))</f>
        <v/>
      </c>
      <c r="CA173" s="36" t="str">
        <f aca="false">IF(Q173="","",IF(Q173&gt;=250000,"Yes","No"))</f>
        <v/>
      </c>
      <c r="CB173" s="36" t="str">
        <f aca="false">IF(Q173="","",IF(Q173&gt;=300000,"Yes","No"))</f>
        <v/>
      </c>
      <c r="CC173" s="37"/>
      <c r="CD173" s="36" t="str">
        <f aca="true">IF(B173="","",IF(TODAY()-B173&lt;=7,"🟢 0-7d",IF(TODAY()-B173&lt;=30,"🟡 8-30d",IF(TODAY()-B173&lt;=60,"🟠 31-60d","🔴 60d+"))))</f>
        <v/>
      </c>
      <c r="CE173" s="36" t="str">
        <f aca="false">IF(G173="","",IF(G173&lt;&gt;"USA","N/A - Not USA Role",IF(J173="Yes",IF(OR(F173="Intern",F173="New Grad"),"🟡 Possible","🟢 Strong"),IF(J173="No","🔴 Difficult","⚪ Unknown"))))</f>
        <v/>
      </c>
      <c r="CF173" s="37"/>
      <c r="CG173" s="37"/>
      <c r="CH173" s="38"/>
      <c r="CI173" s="38"/>
      <c r="CJ173" s="38"/>
      <c r="CK173" s="38"/>
    </row>
    <row r="174" customFormat="false" ht="15" hidden="false" customHeight="true" outlineLevel="0" collapsed="false">
      <c r="A174" s="26" t="str">
        <f aca="false">IF($C174="","",ROW()-3)</f>
        <v/>
      </c>
      <c r="B174" s="27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9"/>
      <c r="N174" s="29"/>
      <c r="O174" s="30" t="str">
        <f aca="false">IFERROR(IF(M174="","",M174*INDEX('00 - Lists'!$M$2:$M$11,MATCH(L174,'00 - Lists'!$L$2:$L$11,0))/100000),"")</f>
        <v/>
      </c>
      <c r="P174" s="30" t="str">
        <f aca="false">IFERROR(IF(N174="","",N174*INDEX('00 - Lists'!$M$2:$M$11,MATCH(L174,'00 - Lists'!$L$2:$L$11,0))/100000),"")</f>
        <v/>
      </c>
      <c r="Q174" s="31" t="str">
        <f aca="false">IFERROR(IF(M174="","",M174*INDEX('00 - Lists'!$N$2:$N$11,MATCH(L174,'00 - Lists'!$L$2:$L$11,0))),"")</f>
        <v/>
      </c>
      <c r="R174" s="31" t="str">
        <f aca="false">IFERROR(IF(N174="","",N174*INDEX('00 - Lists'!$N$2:$N$11,MATCH(L174,'00 - Lists'!$L$2:$L$11,0))),"")</f>
        <v/>
      </c>
      <c r="S174" s="32" t="str">
        <f aca="false">IF(O174="","",IF(O174&gt;=50,"Yes","No"))</f>
        <v/>
      </c>
      <c r="T174" s="32" t="str">
        <f aca="false">IF(Q174="","",IF(Q174&gt;=100000,"Yes","No"))</f>
        <v/>
      </c>
      <c r="U174" s="28"/>
      <c r="V174" s="28"/>
      <c r="W174" s="28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J174" s="34" t="str">
        <f aca="false">IF(OR($BD174&lt;&gt;"",$BF174&lt;&gt;"",$BH174&lt;&gt;""),"Yes","No")</f>
        <v>No</v>
      </c>
      <c r="BK174" s="35" t="str">
        <f aca="false">IFERROR(IF(BD174="","",BD174*INDEX('00 - Lists'!$M$2:$M$11,MATCH(L174,'00 - Lists'!$L$2:$L$11,0))/100000),"")</f>
        <v/>
      </c>
      <c r="BL174" s="35" t="str">
        <f aca="false">IFERROR(IF(BE174="","",BE174*INDEX('00 - Lists'!$M$2:$M$11,MATCH(L174,'00 - Lists'!$L$2:$L$11,0))/100000),"")</f>
        <v/>
      </c>
      <c r="BM174" s="35" t="str">
        <f aca="false">IFERROR(IF(BF174="","",BF174*INDEX('00 - Lists'!$M$2:$M$11,MATCH(L174,'00 - Lists'!$L$2:$L$11,0))/100000),"")</f>
        <v/>
      </c>
      <c r="BN174" s="35" t="str">
        <f aca="false">IFERROR(IF(BG174="","",BG174*INDEX('00 - Lists'!$M$2:$M$11,MATCH(L174,'00 - Lists'!$L$2:$L$11,0))/100000),"")</f>
        <v/>
      </c>
      <c r="BO174" s="35" t="str">
        <f aca="false">IFERROR(IF(BH174="","",BH174*INDEX('00 - Lists'!$M$2:$M$11,MATCH(L174,'00 - Lists'!$L$2:$L$11,0))/100000),"")</f>
        <v/>
      </c>
      <c r="BP174" s="35" t="str">
        <f aca="false">IFERROR(IF(BI174="","",BI174*INDEX('00 - Lists'!$M$2:$M$11,MATCH(L174,'00 - Lists'!$L$2:$L$11,0))/100000),"")</f>
        <v/>
      </c>
      <c r="BS174" s="36" t="str">
        <f aca="false">IF(O174="","",IF(O174&gt;=20,"Yes","No"))</f>
        <v/>
      </c>
      <c r="BT174" s="36" t="str">
        <f aca="false">IF(O174="","",IF(O174&gt;=30,"Yes","No"))</f>
        <v/>
      </c>
      <c r="BU174" s="36" t="str">
        <f aca="false">IF(O174="","",IF(O174&gt;=75,"Yes","No"))</f>
        <v/>
      </c>
      <c r="BV174" s="36" t="str">
        <f aca="false">IF(O174="","",IF(O174&gt;=100,"Yes","No"))</f>
        <v/>
      </c>
      <c r="BW174" s="36" t="str">
        <f aca="false">IF(O174="","",IF(O174&gt;=150,"Yes","No"))</f>
        <v/>
      </c>
      <c r="BX174" s="36" t="str">
        <f aca="false">IF(O174="","",IF(O174&gt;=200,"Yes","No"))</f>
        <v/>
      </c>
      <c r="BY174" s="36" t="str">
        <f aca="false">IF(Q174="","",IF(Q174&gt;=150000,"Yes","No"))</f>
        <v/>
      </c>
      <c r="BZ174" s="36" t="str">
        <f aca="false">IF(Q174="","",IF(Q174&gt;=200000,"Yes","No"))</f>
        <v/>
      </c>
      <c r="CA174" s="36" t="str">
        <f aca="false">IF(Q174="","",IF(Q174&gt;=250000,"Yes","No"))</f>
        <v/>
      </c>
      <c r="CB174" s="36" t="str">
        <f aca="false">IF(Q174="","",IF(Q174&gt;=300000,"Yes","No"))</f>
        <v/>
      </c>
      <c r="CC174" s="37"/>
      <c r="CD174" s="36" t="str">
        <f aca="true">IF(B174="","",IF(TODAY()-B174&lt;=7,"🟢 0-7d",IF(TODAY()-B174&lt;=30,"🟡 8-30d",IF(TODAY()-B174&lt;=60,"🟠 31-60d","🔴 60d+"))))</f>
        <v/>
      </c>
      <c r="CE174" s="36" t="str">
        <f aca="false">IF(G174="","",IF(G174&lt;&gt;"USA","N/A - Not USA Role",IF(J174="Yes",IF(OR(F174="Intern",F174="New Grad"),"🟡 Possible","🟢 Strong"),IF(J174="No","🔴 Difficult","⚪ Unknown"))))</f>
        <v/>
      </c>
      <c r="CF174" s="37"/>
      <c r="CG174" s="37"/>
      <c r="CH174" s="38"/>
      <c r="CI174" s="38"/>
      <c r="CJ174" s="38"/>
      <c r="CK174" s="38"/>
    </row>
    <row r="175" customFormat="false" ht="15" hidden="false" customHeight="true" outlineLevel="0" collapsed="false">
      <c r="A175" s="26" t="str">
        <f aca="false">IF($C175="","",ROW()-3)</f>
        <v/>
      </c>
      <c r="B175" s="27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9"/>
      <c r="N175" s="29"/>
      <c r="O175" s="30" t="str">
        <f aca="false">IFERROR(IF(M175="","",M175*INDEX('00 - Lists'!$M$2:$M$11,MATCH(L175,'00 - Lists'!$L$2:$L$11,0))/100000),"")</f>
        <v/>
      </c>
      <c r="P175" s="30" t="str">
        <f aca="false">IFERROR(IF(N175="","",N175*INDEX('00 - Lists'!$M$2:$M$11,MATCH(L175,'00 - Lists'!$L$2:$L$11,0))/100000),"")</f>
        <v/>
      </c>
      <c r="Q175" s="31" t="str">
        <f aca="false">IFERROR(IF(M175="","",M175*INDEX('00 - Lists'!$N$2:$N$11,MATCH(L175,'00 - Lists'!$L$2:$L$11,0))),"")</f>
        <v/>
      </c>
      <c r="R175" s="31" t="str">
        <f aca="false">IFERROR(IF(N175="","",N175*INDEX('00 - Lists'!$N$2:$N$11,MATCH(L175,'00 - Lists'!$L$2:$L$11,0))),"")</f>
        <v/>
      </c>
      <c r="S175" s="32" t="str">
        <f aca="false">IF(O175="","",IF(O175&gt;=50,"Yes","No"))</f>
        <v/>
      </c>
      <c r="T175" s="32" t="str">
        <f aca="false">IF(Q175="","",IF(Q175&gt;=100000,"Yes","No"))</f>
        <v/>
      </c>
      <c r="U175" s="28"/>
      <c r="V175" s="28"/>
      <c r="W175" s="28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J175" s="34" t="str">
        <f aca="false">IF(OR($BD175&lt;&gt;"",$BF175&lt;&gt;"",$BH175&lt;&gt;""),"Yes","No")</f>
        <v>No</v>
      </c>
      <c r="BK175" s="35" t="str">
        <f aca="false">IFERROR(IF(BD175="","",BD175*INDEX('00 - Lists'!$M$2:$M$11,MATCH(L175,'00 - Lists'!$L$2:$L$11,0))/100000),"")</f>
        <v/>
      </c>
      <c r="BL175" s="35" t="str">
        <f aca="false">IFERROR(IF(BE175="","",BE175*INDEX('00 - Lists'!$M$2:$M$11,MATCH(L175,'00 - Lists'!$L$2:$L$11,0))/100000),"")</f>
        <v/>
      </c>
      <c r="BM175" s="35" t="str">
        <f aca="false">IFERROR(IF(BF175="","",BF175*INDEX('00 - Lists'!$M$2:$M$11,MATCH(L175,'00 - Lists'!$L$2:$L$11,0))/100000),"")</f>
        <v/>
      </c>
      <c r="BN175" s="35" t="str">
        <f aca="false">IFERROR(IF(BG175="","",BG175*INDEX('00 - Lists'!$M$2:$M$11,MATCH(L175,'00 - Lists'!$L$2:$L$11,0))/100000),"")</f>
        <v/>
      </c>
      <c r="BO175" s="35" t="str">
        <f aca="false">IFERROR(IF(BH175="","",BH175*INDEX('00 - Lists'!$M$2:$M$11,MATCH(L175,'00 - Lists'!$L$2:$L$11,0))/100000),"")</f>
        <v/>
      </c>
      <c r="BP175" s="35" t="str">
        <f aca="false">IFERROR(IF(BI175="","",BI175*INDEX('00 - Lists'!$M$2:$M$11,MATCH(L175,'00 - Lists'!$L$2:$L$11,0))/100000),"")</f>
        <v/>
      </c>
      <c r="BS175" s="36" t="str">
        <f aca="false">IF(O175="","",IF(O175&gt;=20,"Yes","No"))</f>
        <v/>
      </c>
      <c r="BT175" s="36" t="str">
        <f aca="false">IF(O175="","",IF(O175&gt;=30,"Yes","No"))</f>
        <v/>
      </c>
      <c r="BU175" s="36" t="str">
        <f aca="false">IF(O175="","",IF(O175&gt;=75,"Yes","No"))</f>
        <v/>
      </c>
      <c r="BV175" s="36" t="str">
        <f aca="false">IF(O175="","",IF(O175&gt;=100,"Yes","No"))</f>
        <v/>
      </c>
      <c r="BW175" s="36" t="str">
        <f aca="false">IF(O175="","",IF(O175&gt;=150,"Yes","No"))</f>
        <v/>
      </c>
      <c r="BX175" s="36" t="str">
        <f aca="false">IF(O175="","",IF(O175&gt;=200,"Yes","No"))</f>
        <v/>
      </c>
      <c r="BY175" s="36" t="str">
        <f aca="false">IF(Q175="","",IF(Q175&gt;=150000,"Yes","No"))</f>
        <v/>
      </c>
      <c r="BZ175" s="36" t="str">
        <f aca="false">IF(Q175="","",IF(Q175&gt;=200000,"Yes","No"))</f>
        <v/>
      </c>
      <c r="CA175" s="36" t="str">
        <f aca="false">IF(Q175="","",IF(Q175&gt;=250000,"Yes","No"))</f>
        <v/>
      </c>
      <c r="CB175" s="36" t="str">
        <f aca="false">IF(Q175="","",IF(Q175&gt;=300000,"Yes","No"))</f>
        <v/>
      </c>
      <c r="CC175" s="37"/>
      <c r="CD175" s="36" t="str">
        <f aca="true">IF(B175="","",IF(TODAY()-B175&lt;=7,"🟢 0-7d",IF(TODAY()-B175&lt;=30,"🟡 8-30d",IF(TODAY()-B175&lt;=60,"🟠 31-60d","🔴 60d+"))))</f>
        <v/>
      </c>
      <c r="CE175" s="36" t="str">
        <f aca="false">IF(G175="","",IF(G175&lt;&gt;"USA","N/A - Not USA Role",IF(J175="Yes",IF(OR(F175="Intern",F175="New Grad"),"🟡 Possible","🟢 Strong"),IF(J175="No","🔴 Difficult","⚪ Unknown"))))</f>
        <v/>
      </c>
      <c r="CF175" s="37"/>
      <c r="CG175" s="37"/>
      <c r="CH175" s="38"/>
      <c r="CI175" s="38"/>
      <c r="CJ175" s="38"/>
      <c r="CK175" s="38"/>
    </row>
    <row r="176" customFormat="false" ht="15" hidden="false" customHeight="true" outlineLevel="0" collapsed="false">
      <c r="A176" s="26" t="str">
        <f aca="false">IF($C176="","",ROW()-3)</f>
        <v/>
      </c>
      <c r="B176" s="27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9"/>
      <c r="N176" s="29"/>
      <c r="O176" s="30" t="str">
        <f aca="false">IFERROR(IF(M176="","",M176*INDEX('00 - Lists'!$M$2:$M$11,MATCH(L176,'00 - Lists'!$L$2:$L$11,0))/100000),"")</f>
        <v/>
      </c>
      <c r="P176" s="30" t="str">
        <f aca="false">IFERROR(IF(N176="","",N176*INDEX('00 - Lists'!$M$2:$M$11,MATCH(L176,'00 - Lists'!$L$2:$L$11,0))/100000),"")</f>
        <v/>
      </c>
      <c r="Q176" s="31" t="str">
        <f aca="false">IFERROR(IF(M176="","",M176*INDEX('00 - Lists'!$N$2:$N$11,MATCH(L176,'00 - Lists'!$L$2:$L$11,0))),"")</f>
        <v/>
      </c>
      <c r="R176" s="31" t="str">
        <f aca="false">IFERROR(IF(N176="","",N176*INDEX('00 - Lists'!$N$2:$N$11,MATCH(L176,'00 - Lists'!$L$2:$L$11,0))),"")</f>
        <v/>
      </c>
      <c r="S176" s="32" t="str">
        <f aca="false">IF(O176="","",IF(O176&gt;=50,"Yes","No"))</f>
        <v/>
      </c>
      <c r="T176" s="32" t="str">
        <f aca="false">IF(Q176="","",IF(Q176&gt;=100000,"Yes","No"))</f>
        <v/>
      </c>
      <c r="U176" s="28"/>
      <c r="V176" s="28"/>
      <c r="W176" s="28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J176" s="34" t="str">
        <f aca="false">IF(OR($BD176&lt;&gt;"",$BF176&lt;&gt;"",$BH176&lt;&gt;""),"Yes","No")</f>
        <v>No</v>
      </c>
      <c r="BK176" s="35" t="str">
        <f aca="false">IFERROR(IF(BD176="","",BD176*INDEX('00 - Lists'!$M$2:$M$11,MATCH(L176,'00 - Lists'!$L$2:$L$11,0))/100000),"")</f>
        <v/>
      </c>
      <c r="BL176" s="35" t="str">
        <f aca="false">IFERROR(IF(BE176="","",BE176*INDEX('00 - Lists'!$M$2:$M$11,MATCH(L176,'00 - Lists'!$L$2:$L$11,0))/100000),"")</f>
        <v/>
      </c>
      <c r="BM176" s="35" t="str">
        <f aca="false">IFERROR(IF(BF176="","",BF176*INDEX('00 - Lists'!$M$2:$M$11,MATCH(L176,'00 - Lists'!$L$2:$L$11,0))/100000),"")</f>
        <v/>
      </c>
      <c r="BN176" s="35" t="str">
        <f aca="false">IFERROR(IF(BG176="","",BG176*INDEX('00 - Lists'!$M$2:$M$11,MATCH(L176,'00 - Lists'!$L$2:$L$11,0))/100000),"")</f>
        <v/>
      </c>
      <c r="BO176" s="35" t="str">
        <f aca="false">IFERROR(IF(BH176="","",BH176*INDEX('00 - Lists'!$M$2:$M$11,MATCH(L176,'00 - Lists'!$L$2:$L$11,0))/100000),"")</f>
        <v/>
      </c>
      <c r="BP176" s="35" t="str">
        <f aca="false">IFERROR(IF(BI176="","",BI176*INDEX('00 - Lists'!$M$2:$M$11,MATCH(L176,'00 - Lists'!$L$2:$L$11,0))/100000),"")</f>
        <v/>
      </c>
      <c r="BS176" s="36" t="str">
        <f aca="false">IF(O176="","",IF(O176&gt;=20,"Yes","No"))</f>
        <v/>
      </c>
      <c r="BT176" s="36" t="str">
        <f aca="false">IF(O176="","",IF(O176&gt;=30,"Yes","No"))</f>
        <v/>
      </c>
      <c r="BU176" s="36" t="str">
        <f aca="false">IF(O176="","",IF(O176&gt;=75,"Yes","No"))</f>
        <v/>
      </c>
      <c r="BV176" s="36" t="str">
        <f aca="false">IF(O176="","",IF(O176&gt;=100,"Yes","No"))</f>
        <v/>
      </c>
      <c r="BW176" s="36" t="str">
        <f aca="false">IF(O176="","",IF(O176&gt;=150,"Yes","No"))</f>
        <v/>
      </c>
      <c r="BX176" s="36" t="str">
        <f aca="false">IF(O176="","",IF(O176&gt;=200,"Yes","No"))</f>
        <v/>
      </c>
      <c r="BY176" s="36" t="str">
        <f aca="false">IF(Q176="","",IF(Q176&gt;=150000,"Yes","No"))</f>
        <v/>
      </c>
      <c r="BZ176" s="36" t="str">
        <f aca="false">IF(Q176="","",IF(Q176&gt;=200000,"Yes","No"))</f>
        <v/>
      </c>
      <c r="CA176" s="36" t="str">
        <f aca="false">IF(Q176="","",IF(Q176&gt;=250000,"Yes","No"))</f>
        <v/>
      </c>
      <c r="CB176" s="36" t="str">
        <f aca="false">IF(Q176="","",IF(Q176&gt;=300000,"Yes","No"))</f>
        <v/>
      </c>
      <c r="CC176" s="37"/>
      <c r="CD176" s="36" t="str">
        <f aca="true">IF(B176="","",IF(TODAY()-B176&lt;=7,"🟢 0-7d",IF(TODAY()-B176&lt;=30,"🟡 8-30d",IF(TODAY()-B176&lt;=60,"🟠 31-60d","🔴 60d+"))))</f>
        <v/>
      </c>
      <c r="CE176" s="36" t="str">
        <f aca="false">IF(G176="","",IF(G176&lt;&gt;"USA","N/A - Not USA Role",IF(J176="Yes",IF(OR(F176="Intern",F176="New Grad"),"🟡 Possible","🟢 Strong"),IF(J176="No","🔴 Difficult","⚪ Unknown"))))</f>
        <v/>
      </c>
      <c r="CF176" s="37"/>
      <c r="CG176" s="37"/>
      <c r="CH176" s="38"/>
      <c r="CI176" s="38"/>
      <c r="CJ176" s="38"/>
      <c r="CK176" s="38"/>
    </row>
    <row r="177" customFormat="false" ht="15" hidden="false" customHeight="true" outlineLevel="0" collapsed="false">
      <c r="A177" s="26" t="str">
        <f aca="false">IF($C177="","",ROW()-3)</f>
        <v/>
      </c>
      <c r="B177" s="27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9"/>
      <c r="N177" s="29"/>
      <c r="O177" s="30" t="str">
        <f aca="false">IFERROR(IF(M177="","",M177*INDEX('00 - Lists'!$M$2:$M$11,MATCH(L177,'00 - Lists'!$L$2:$L$11,0))/100000),"")</f>
        <v/>
      </c>
      <c r="P177" s="30" t="str">
        <f aca="false">IFERROR(IF(N177="","",N177*INDEX('00 - Lists'!$M$2:$M$11,MATCH(L177,'00 - Lists'!$L$2:$L$11,0))/100000),"")</f>
        <v/>
      </c>
      <c r="Q177" s="31" t="str">
        <f aca="false">IFERROR(IF(M177="","",M177*INDEX('00 - Lists'!$N$2:$N$11,MATCH(L177,'00 - Lists'!$L$2:$L$11,0))),"")</f>
        <v/>
      </c>
      <c r="R177" s="31" t="str">
        <f aca="false">IFERROR(IF(N177="","",N177*INDEX('00 - Lists'!$N$2:$N$11,MATCH(L177,'00 - Lists'!$L$2:$L$11,0))),"")</f>
        <v/>
      </c>
      <c r="S177" s="32" t="str">
        <f aca="false">IF(O177="","",IF(O177&gt;=50,"Yes","No"))</f>
        <v/>
      </c>
      <c r="T177" s="32" t="str">
        <f aca="false">IF(Q177="","",IF(Q177&gt;=100000,"Yes","No"))</f>
        <v/>
      </c>
      <c r="U177" s="28"/>
      <c r="V177" s="28"/>
      <c r="W177" s="28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J177" s="34" t="str">
        <f aca="false">IF(OR($BD177&lt;&gt;"",$BF177&lt;&gt;"",$BH177&lt;&gt;""),"Yes","No")</f>
        <v>No</v>
      </c>
      <c r="BK177" s="35" t="str">
        <f aca="false">IFERROR(IF(BD177="","",BD177*INDEX('00 - Lists'!$M$2:$M$11,MATCH(L177,'00 - Lists'!$L$2:$L$11,0))/100000),"")</f>
        <v/>
      </c>
      <c r="BL177" s="35" t="str">
        <f aca="false">IFERROR(IF(BE177="","",BE177*INDEX('00 - Lists'!$M$2:$M$11,MATCH(L177,'00 - Lists'!$L$2:$L$11,0))/100000),"")</f>
        <v/>
      </c>
      <c r="BM177" s="35" t="str">
        <f aca="false">IFERROR(IF(BF177="","",BF177*INDEX('00 - Lists'!$M$2:$M$11,MATCH(L177,'00 - Lists'!$L$2:$L$11,0))/100000),"")</f>
        <v/>
      </c>
      <c r="BN177" s="35" t="str">
        <f aca="false">IFERROR(IF(BG177="","",BG177*INDEX('00 - Lists'!$M$2:$M$11,MATCH(L177,'00 - Lists'!$L$2:$L$11,0))/100000),"")</f>
        <v/>
      </c>
      <c r="BO177" s="35" t="str">
        <f aca="false">IFERROR(IF(BH177="","",BH177*INDEX('00 - Lists'!$M$2:$M$11,MATCH(L177,'00 - Lists'!$L$2:$L$11,0))/100000),"")</f>
        <v/>
      </c>
      <c r="BP177" s="35" t="str">
        <f aca="false">IFERROR(IF(BI177="","",BI177*INDEX('00 - Lists'!$M$2:$M$11,MATCH(L177,'00 - Lists'!$L$2:$L$11,0))/100000),"")</f>
        <v/>
      </c>
      <c r="BS177" s="36" t="str">
        <f aca="false">IF(O177="","",IF(O177&gt;=20,"Yes","No"))</f>
        <v/>
      </c>
      <c r="BT177" s="36" t="str">
        <f aca="false">IF(O177="","",IF(O177&gt;=30,"Yes","No"))</f>
        <v/>
      </c>
      <c r="BU177" s="36" t="str">
        <f aca="false">IF(O177="","",IF(O177&gt;=75,"Yes","No"))</f>
        <v/>
      </c>
      <c r="BV177" s="36" t="str">
        <f aca="false">IF(O177="","",IF(O177&gt;=100,"Yes","No"))</f>
        <v/>
      </c>
      <c r="BW177" s="36" t="str">
        <f aca="false">IF(O177="","",IF(O177&gt;=150,"Yes","No"))</f>
        <v/>
      </c>
      <c r="BX177" s="36" t="str">
        <f aca="false">IF(O177="","",IF(O177&gt;=200,"Yes","No"))</f>
        <v/>
      </c>
      <c r="BY177" s="36" t="str">
        <f aca="false">IF(Q177="","",IF(Q177&gt;=150000,"Yes","No"))</f>
        <v/>
      </c>
      <c r="BZ177" s="36" t="str">
        <f aca="false">IF(Q177="","",IF(Q177&gt;=200000,"Yes","No"))</f>
        <v/>
      </c>
      <c r="CA177" s="36" t="str">
        <f aca="false">IF(Q177="","",IF(Q177&gt;=250000,"Yes","No"))</f>
        <v/>
      </c>
      <c r="CB177" s="36" t="str">
        <f aca="false">IF(Q177="","",IF(Q177&gt;=300000,"Yes","No"))</f>
        <v/>
      </c>
      <c r="CC177" s="37"/>
      <c r="CD177" s="36" t="str">
        <f aca="true">IF(B177="","",IF(TODAY()-B177&lt;=7,"🟢 0-7d",IF(TODAY()-B177&lt;=30,"🟡 8-30d",IF(TODAY()-B177&lt;=60,"🟠 31-60d","🔴 60d+"))))</f>
        <v/>
      </c>
      <c r="CE177" s="36" t="str">
        <f aca="false">IF(G177="","",IF(G177&lt;&gt;"USA","N/A - Not USA Role",IF(J177="Yes",IF(OR(F177="Intern",F177="New Grad"),"🟡 Possible","🟢 Strong"),IF(J177="No","🔴 Difficult","⚪ Unknown"))))</f>
        <v/>
      </c>
      <c r="CF177" s="37"/>
      <c r="CG177" s="37"/>
      <c r="CH177" s="38"/>
      <c r="CI177" s="38"/>
      <c r="CJ177" s="38"/>
      <c r="CK177" s="38"/>
    </row>
    <row r="178" customFormat="false" ht="15" hidden="false" customHeight="true" outlineLevel="0" collapsed="false">
      <c r="A178" s="26" t="str">
        <f aca="false">IF($C178="","",ROW()-3)</f>
        <v/>
      </c>
      <c r="B178" s="27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9"/>
      <c r="N178" s="29"/>
      <c r="O178" s="30" t="str">
        <f aca="false">IFERROR(IF(M178="","",M178*INDEX('00 - Lists'!$M$2:$M$11,MATCH(L178,'00 - Lists'!$L$2:$L$11,0))/100000),"")</f>
        <v/>
      </c>
      <c r="P178" s="30" t="str">
        <f aca="false">IFERROR(IF(N178="","",N178*INDEX('00 - Lists'!$M$2:$M$11,MATCH(L178,'00 - Lists'!$L$2:$L$11,0))/100000),"")</f>
        <v/>
      </c>
      <c r="Q178" s="31" t="str">
        <f aca="false">IFERROR(IF(M178="","",M178*INDEX('00 - Lists'!$N$2:$N$11,MATCH(L178,'00 - Lists'!$L$2:$L$11,0))),"")</f>
        <v/>
      </c>
      <c r="R178" s="31" t="str">
        <f aca="false">IFERROR(IF(N178="","",N178*INDEX('00 - Lists'!$N$2:$N$11,MATCH(L178,'00 - Lists'!$L$2:$L$11,0))),"")</f>
        <v/>
      </c>
      <c r="S178" s="32" t="str">
        <f aca="false">IF(O178="","",IF(O178&gt;=50,"Yes","No"))</f>
        <v/>
      </c>
      <c r="T178" s="32" t="str">
        <f aca="false">IF(Q178="","",IF(Q178&gt;=100000,"Yes","No"))</f>
        <v/>
      </c>
      <c r="U178" s="28"/>
      <c r="V178" s="28"/>
      <c r="W178" s="28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J178" s="34" t="str">
        <f aca="false">IF(OR($BD178&lt;&gt;"",$BF178&lt;&gt;"",$BH178&lt;&gt;""),"Yes","No")</f>
        <v>No</v>
      </c>
      <c r="BK178" s="35" t="str">
        <f aca="false">IFERROR(IF(BD178="","",BD178*INDEX('00 - Lists'!$M$2:$M$11,MATCH(L178,'00 - Lists'!$L$2:$L$11,0))/100000),"")</f>
        <v/>
      </c>
      <c r="BL178" s="35" t="str">
        <f aca="false">IFERROR(IF(BE178="","",BE178*INDEX('00 - Lists'!$M$2:$M$11,MATCH(L178,'00 - Lists'!$L$2:$L$11,0))/100000),"")</f>
        <v/>
      </c>
      <c r="BM178" s="35" t="str">
        <f aca="false">IFERROR(IF(BF178="","",BF178*INDEX('00 - Lists'!$M$2:$M$11,MATCH(L178,'00 - Lists'!$L$2:$L$11,0))/100000),"")</f>
        <v/>
      </c>
      <c r="BN178" s="35" t="str">
        <f aca="false">IFERROR(IF(BG178="","",BG178*INDEX('00 - Lists'!$M$2:$M$11,MATCH(L178,'00 - Lists'!$L$2:$L$11,0))/100000),"")</f>
        <v/>
      </c>
      <c r="BO178" s="35" t="str">
        <f aca="false">IFERROR(IF(BH178="","",BH178*INDEX('00 - Lists'!$M$2:$M$11,MATCH(L178,'00 - Lists'!$L$2:$L$11,0))/100000),"")</f>
        <v/>
      </c>
      <c r="BP178" s="35" t="str">
        <f aca="false">IFERROR(IF(BI178="","",BI178*INDEX('00 - Lists'!$M$2:$M$11,MATCH(L178,'00 - Lists'!$L$2:$L$11,0))/100000),"")</f>
        <v/>
      </c>
      <c r="BS178" s="36" t="str">
        <f aca="false">IF(O178="","",IF(O178&gt;=20,"Yes","No"))</f>
        <v/>
      </c>
      <c r="BT178" s="36" t="str">
        <f aca="false">IF(O178="","",IF(O178&gt;=30,"Yes","No"))</f>
        <v/>
      </c>
      <c r="BU178" s="36" t="str">
        <f aca="false">IF(O178="","",IF(O178&gt;=75,"Yes","No"))</f>
        <v/>
      </c>
      <c r="BV178" s="36" t="str">
        <f aca="false">IF(O178="","",IF(O178&gt;=100,"Yes","No"))</f>
        <v/>
      </c>
      <c r="BW178" s="36" t="str">
        <f aca="false">IF(O178="","",IF(O178&gt;=150,"Yes","No"))</f>
        <v/>
      </c>
      <c r="BX178" s="36" t="str">
        <f aca="false">IF(O178="","",IF(O178&gt;=200,"Yes","No"))</f>
        <v/>
      </c>
      <c r="BY178" s="36" t="str">
        <f aca="false">IF(Q178="","",IF(Q178&gt;=150000,"Yes","No"))</f>
        <v/>
      </c>
      <c r="BZ178" s="36" t="str">
        <f aca="false">IF(Q178="","",IF(Q178&gt;=200000,"Yes","No"))</f>
        <v/>
      </c>
      <c r="CA178" s="36" t="str">
        <f aca="false">IF(Q178="","",IF(Q178&gt;=250000,"Yes","No"))</f>
        <v/>
      </c>
      <c r="CB178" s="36" t="str">
        <f aca="false">IF(Q178="","",IF(Q178&gt;=300000,"Yes","No"))</f>
        <v/>
      </c>
      <c r="CC178" s="37"/>
      <c r="CD178" s="36" t="str">
        <f aca="true">IF(B178="","",IF(TODAY()-B178&lt;=7,"🟢 0-7d",IF(TODAY()-B178&lt;=30,"🟡 8-30d",IF(TODAY()-B178&lt;=60,"🟠 31-60d","🔴 60d+"))))</f>
        <v/>
      </c>
      <c r="CE178" s="36" t="str">
        <f aca="false">IF(G178="","",IF(G178&lt;&gt;"USA","N/A - Not USA Role",IF(J178="Yes",IF(OR(F178="Intern",F178="New Grad"),"🟡 Possible","🟢 Strong"),IF(J178="No","🔴 Difficult","⚪ Unknown"))))</f>
        <v/>
      </c>
      <c r="CF178" s="37"/>
      <c r="CG178" s="37"/>
      <c r="CH178" s="38"/>
      <c r="CI178" s="38"/>
      <c r="CJ178" s="38"/>
      <c r="CK178" s="38"/>
    </row>
    <row r="179" customFormat="false" ht="15" hidden="false" customHeight="true" outlineLevel="0" collapsed="false">
      <c r="A179" s="26" t="str">
        <f aca="false">IF($C179="","",ROW()-3)</f>
        <v/>
      </c>
      <c r="B179" s="27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9"/>
      <c r="N179" s="29"/>
      <c r="O179" s="30" t="str">
        <f aca="false">IFERROR(IF(M179="","",M179*INDEX('00 - Lists'!$M$2:$M$11,MATCH(L179,'00 - Lists'!$L$2:$L$11,0))/100000),"")</f>
        <v/>
      </c>
      <c r="P179" s="30" t="str">
        <f aca="false">IFERROR(IF(N179="","",N179*INDEX('00 - Lists'!$M$2:$M$11,MATCH(L179,'00 - Lists'!$L$2:$L$11,0))/100000),"")</f>
        <v/>
      </c>
      <c r="Q179" s="31" t="str">
        <f aca="false">IFERROR(IF(M179="","",M179*INDEX('00 - Lists'!$N$2:$N$11,MATCH(L179,'00 - Lists'!$L$2:$L$11,0))),"")</f>
        <v/>
      </c>
      <c r="R179" s="31" t="str">
        <f aca="false">IFERROR(IF(N179="","",N179*INDEX('00 - Lists'!$N$2:$N$11,MATCH(L179,'00 - Lists'!$L$2:$L$11,0))),"")</f>
        <v/>
      </c>
      <c r="S179" s="32" t="str">
        <f aca="false">IF(O179="","",IF(O179&gt;=50,"Yes","No"))</f>
        <v/>
      </c>
      <c r="T179" s="32" t="str">
        <f aca="false">IF(Q179="","",IF(Q179&gt;=100000,"Yes","No"))</f>
        <v/>
      </c>
      <c r="U179" s="28"/>
      <c r="V179" s="28"/>
      <c r="W179" s="28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J179" s="34" t="str">
        <f aca="false">IF(OR($BD179&lt;&gt;"",$BF179&lt;&gt;"",$BH179&lt;&gt;""),"Yes","No")</f>
        <v>No</v>
      </c>
      <c r="BK179" s="35" t="str">
        <f aca="false">IFERROR(IF(BD179="","",BD179*INDEX('00 - Lists'!$M$2:$M$11,MATCH(L179,'00 - Lists'!$L$2:$L$11,0))/100000),"")</f>
        <v/>
      </c>
      <c r="BL179" s="35" t="str">
        <f aca="false">IFERROR(IF(BE179="","",BE179*INDEX('00 - Lists'!$M$2:$M$11,MATCH(L179,'00 - Lists'!$L$2:$L$11,0))/100000),"")</f>
        <v/>
      </c>
      <c r="BM179" s="35" t="str">
        <f aca="false">IFERROR(IF(BF179="","",BF179*INDEX('00 - Lists'!$M$2:$M$11,MATCH(L179,'00 - Lists'!$L$2:$L$11,0))/100000),"")</f>
        <v/>
      </c>
      <c r="BN179" s="35" t="str">
        <f aca="false">IFERROR(IF(BG179="","",BG179*INDEX('00 - Lists'!$M$2:$M$11,MATCH(L179,'00 - Lists'!$L$2:$L$11,0))/100000),"")</f>
        <v/>
      </c>
      <c r="BO179" s="35" t="str">
        <f aca="false">IFERROR(IF(BH179="","",BH179*INDEX('00 - Lists'!$M$2:$M$11,MATCH(L179,'00 - Lists'!$L$2:$L$11,0))/100000),"")</f>
        <v/>
      </c>
      <c r="BP179" s="35" t="str">
        <f aca="false">IFERROR(IF(BI179="","",BI179*INDEX('00 - Lists'!$M$2:$M$11,MATCH(L179,'00 - Lists'!$L$2:$L$11,0))/100000),"")</f>
        <v/>
      </c>
      <c r="BS179" s="36" t="str">
        <f aca="false">IF(O179="","",IF(O179&gt;=20,"Yes","No"))</f>
        <v/>
      </c>
      <c r="BT179" s="36" t="str">
        <f aca="false">IF(O179="","",IF(O179&gt;=30,"Yes","No"))</f>
        <v/>
      </c>
      <c r="BU179" s="36" t="str">
        <f aca="false">IF(O179="","",IF(O179&gt;=75,"Yes","No"))</f>
        <v/>
      </c>
      <c r="BV179" s="36" t="str">
        <f aca="false">IF(O179="","",IF(O179&gt;=100,"Yes","No"))</f>
        <v/>
      </c>
      <c r="BW179" s="36" t="str">
        <f aca="false">IF(O179="","",IF(O179&gt;=150,"Yes","No"))</f>
        <v/>
      </c>
      <c r="BX179" s="36" t="str">
        <f aca="false">IF(O179="","",IF(O179&gt;=200,"Yes","No"))</f>
        <v/>
      </c>
      <c r="BY179" s="36" t="str">
        <f aca="false">IF(Q179="","",IF(Q179&gt;=150000,"Yes","No"))</f>
        <v/>
      </c>
      <c r="BZ179" s="36" t="str">
        <f aca="false">IF(Q179="","",IF(Q179&gt;=200000,"Yes","No"))</f>
        <v/>
      </c>
      <c r="CA179" s="36" t="str">
        <f aca="false">IF(Q179="","",IF(Q179&gt;=250000,"Yes","No"))</f>
        <v/>
      </c>
      <c r="CB179" s="36" t="str">
        <f aca="false">IF(Q179="","",IF(Q179&gt;=300000,"Yes","No"))</f>
        <v/>
      </c>
      <c r="CC179" s="37"/>
      <c r="CD179" s="36" t="str">
        <f aca="true">IF(B179="","",IF(TODAY()-B179&lt;=7,"🟢 0-7d",IF(TODAY()-B179&lt;=30,"🟡 8-30d",IF(TODAY()-B179&lt;=60,"🟠 31-60d","🔴 60d+"))))</f>
        <v/>
      </c>
      <c r="CE179" s="36" t="str">
        <f aca="false">IF(G179="","",IF(G179&lt;&gt;"USA","N/A - Not USA Role",IF(J179="Yes",IF(OR(F179="Intern",F179="New Grad"),"🟡 Possible","🟢 Strong"),IF(J179="No","🔴 Difficult","⚪ Unknown"))))</f>
        <v/>
      </c>
      <c r="CF179" s="37"/>
      <c r="CG179" s="37"/>
      <c r="CH179" s="38"/>
      <c r="CI179" s="38"/>
      <c r="CJ179" s="38"/>
      <c r="CK179" s="38"/>
    </row>
    <row r="180" customFormat="false" ht="15" hidden="false" customHeight="true" outlineLevel="0" collapsed="false">
      <c r="A180" s="26" t="str">
        <f aca="false">IF($C180="","",ROW()-3)</f>
        <v/>
      </c>
      <c r="B180" s="27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9"/>
      <c r="N180" s="29"/>
      <c r="O180" s="30" t="str">
        <f aca="false">IFERROR(IF(M180="","",M180*INDEX('00 - Lists'!$M$2:$M$11,MATCH(L180,'00 - Lists'!$L$2:$L$11,0))/100000),"")</f>
        <v/>
      </c>
      <c r="P180" s="30" t="str">
        <f aca="false">IFERROR(IF(N180="","",N180*INDEX('00 - Lists'!$M$2:$M$11,MATCH(L180,'00 - Lists'!$L$2:$L$11,0))/100000),"")</f>
        <v/>
      </c>
      <c r="Q180" s="31" t="str">
        <f aca="false">IFERROR(IF(M180="","",M180*INDEX('00 - Lists'!$N$2:$N$11,MATCH(L180,'00 - Lists'!$L$2:$L$11,0))),"")</f>
        <v/>
      </c>
      <c r="R180" s="31" t="str">
        <f aca="false">IFERROR(IF(N180="","",N180*INDEX('00 - Lists'!$N$2:$N$11,MATCH(L180,'00 - Lists'!$L$2:$L$11,0))),"")</f>
        <v/>
      </c>
      <c r="S180" s="32" t="str">
        <f aca="false">IF(O180="","",IF(O180&gt;=50,"Yes","No"))</f>
        <v/>
      </c>
      <c r="T180" s="32" t="str">
        <f aca="false">IF(Q180="","",IF(Q180&gt;=100000,"Yes","No"))</f>
        <v/>
      </c>
      <c r="U180" s="28"/>
      <c r="V180" s="28"/>
      <c r="W180" s="28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J180" s="34" t="str">
        <f aca="false">IF(OR($BD180&lt;&gt;"",$BF180&lt;&gt;"",$BH180&lt;&gt;""),"Yes","No")</f>
        <v>No</v>
      </c>
      <c r="BK180" s="35" t="str">
        <f aca="false">IFERROR(IF(BD180="","",BD180*INDEX('00 - Lists'!$M$2:$M$11,MATCH(L180,'00 - Lists'!$L$2:$L$11,0))/100000),"")</f>
        <v/>
      </c>
      <c r="BL180" s="35" t="str">
        <f aca="false">IFERROR(IF(BE180="","",BE180*INDEX('00 - Lists'!$M$2:$M$11,MATCH(L180,'00 - Lists'!$L$2:$L$11,0))/100000),"")</f>
        <v/>
      </c>
      <c r="BM180" s="35" t="str">
        <f aca="false">IFERROR(IF(BF180="","",BF180*INDEX('00 - Lists'!$M$2:$M$11,MATCH(L180,'00 - Lists'!$L$2:$L$11,0))/100000),"")</f>
        <v/>
      </c>
      <c r="BN180" s="35" t="str">
        <f aca="false">IFERROR(IF(BG180="","",BG180*INDEX('00 - Lists'!$M$2:$M$11,MATCH(L180,'00 - Lists'!$L$2:$L$11,0))/100000),"")</f>
        <v/>
      </c>
      <c r="BO180" s="35" t="str">
        <f aca="false">IFERROR(IF(BH180="","",BH180*INDEX('00 - Lists'!$M$2:$M$11,MATCH(L180,'00 - Lists'!$L$2:$L$11,0))/100000),"")</f>
        <v/>
      </c>
      <c r="BP180" s="35" t="str">
        <f aca="false">IFERROR(IF(BI180="","",BI180*INDEX('00 - Lists'!$M$2:$M$11,MATCH(L180,'00 - Lists'!$L$2:$L$11,0))/100000),"")</f>
        <v/>
      </c>
      <c r="BS180" s="36" t="str">
        <f aca="false">IF(O180="","",IF(O180&gt;=20,"Yes","No"))</f>
        <v/>
      </c>
      <c r="BT180" s="36" t="str">
        <f aca="false">IF(O180="","",IF(O180&gt;=30,"Yes","No"))</f>
        <v/>
      </c>
      <c r="BU180" s="36" t="str">
        <f aca="false">IF(O180="","",IF(O180&gt;=75,"Yes","No"))</f>
        <v/>
      </c>
      <c r="BV180" s="36" t="str">
        <f aca="false">IF(O180="","",IF(O180&gt;=100,"Yes","No"))</f>
        <v/>
      </c>
      <c r="BW180" s="36" t="str">
        <f aca="false">IF(O180="","",IF(O180&gt;=150,"Yes","No"))</f>
        <v/>
      </c>
      <c r="BX180" s="36" t="str">
        <f aca="false">IF(O180="","",IF(O180&gt;=200,"Yes","No"))</f>
        <v/>
      </c>
      <c r="BY180" s="36" t="str">
        <f aca="false">IF(Q180="","",IF(Q180&gt;=150000,"Yes","No"))</f>
        <v/>
      </c>
      <c r="BZ180" s="36" t="str">
        <f aca="false">IF(Q180="","",IF(Q180&gt;=200000,"Yes","No"))</f>
        <v/>
      </c>
      <c r="CA180" s="36" t="str">
        <f aca="false">IF(Q180="","",IF(Q180&gt;=250000,"Yes","No"))</f>
        <v/>
      </c>
      <c r="CB180" s="36" t="str">
        <f aca="false">IF(Q180="","",IF(Q180&gt;=300000,"Yes","No"))</f>
        <v/>
      </c>
      <c r="CC180" s="37"/>
      <c r="CD180" s="36" t="str">
        <f aca="true">IF(B180="","",IF(TODAY()-B180&lt;=7,"🟢 0-7d",IF(TODAY()-B180&lt;=30,"🟡 8-30d",IF(TODAY()-B180&lt;=60,"🟠 31-60d","🔴 60d+"))))</f>
        <v/>
      </c>
      <c r="CE180" s="36" t="str">
        <f aca="false">IF(G180="","",IF(G180&lt;&gt;"USA","N/A - Not USA Role",IF(J180="Yes",IF(OR(F180="Intern",F180="New Grad"),"🟡 Possible","🟢 Strong"),IF(J180="No","🔴 Difficult","⚪ Unknown"))))</f>
        <v/>
      </c>
      <c r="CF180" s="37"/>
      <c r="CG180" s="37"/>
      <c r="CH180" s="38"/>
      <c r="CI180" s="38"/>
      <c r="CJ180" s="38"/>
      <c r="CK180" s="38"/>
    </row>
    <row r="181" customFormat="false" ht="15" hidden="false" customHeight="true" outlineLevel="0" collapsed="false">
      <c r="A181" s="26" t="str">
        <f aca="false">IF($C181="","",ROW()-3)</f>
        <v/>
      </c>
      <c r="B181" s="27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9"/>
      <c r="N181" s="29"/>
      <c r="O181" s="30" t="str">
        <f aca="false">IFERROR(IF(M181="","",M181*INDEX('00 - Lists'!$M$2:$M$11,MATCH(L181,'00 - Lists'!$L$2:$L$11,0))/100000),"")</f>
        <v/>
      </c>
      <c r="P181" s="30" t="str">
        <f aca="false">IFERROR(IF(N181="","",N181*INDEX('00 - Lists'!$M$2:$M$11,MATCH(L181,'00 - Lists'!$L$2:$L$11,0))/100000),"")</f>
        <v/>
      </c>
      <c r="Q181" s="31" t="str">
        <f aca="false">IFERROR(IF(M181="","",M181*INDEX('00 - Lists'!$N$2:$N$11,MATCH(L181,'00 - Lists'!$L$2:$L$11,0))),"")</f>
        <v/>
      </c>
      <c r="R181" s="31" t="str">
        <f aca="false">IFERROR(IF(N181="","",N181*INDEX('00 - Lists'!$N$2:$N$11,MATCH(L181,'00 - Lists'!$L$2:$L$11,0))),"")</f>
        <v/>
      </c>
      <c r="S181" s="32" t="str">
        <f aca="false">IF(O181="","",IF(O181&gt;=50,"Yes","No"))</f>
        <v/>
      </c>
      <c r="T181" s="32" t="str">
        <f aca="false">IF(Q181="","",IF(Q181&gt;=100000,"Yes","No"))</f>
        <v/>
      </c>
      <c r="U181" s="28"/>
      <c r="V181" s="28"/>
      <c r="W181" s="28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J181" s="34" t="str">
        <f aca="false">IF(OR($BD181&lt;&gt;"",$BF181&lt;&gt;"",$BH181&lt;&gt;""),"Yes","No")</f>
        <v>No</v>
      </c>
      <c r="BK181" s="35" t="str">
        <f aca="false">IFERROR(IF(BD181="","",BD181*INDEX('00 - Lists'!$M$2:$M$11,MATCH(L181,'00 - Lists'!$L$2:$L$11,0))/100000),"")</f>
        <v/>
      </c>
      <c r="BL181" s="35" t="str">
        <f aca="false">IFERROR(IF(BE181="","",BE181*INDEX('00 - Lists'!$M$2:$M$11,MATCH(L181,'00 - Lists'!$L$2:$L$11,0))/100000),"")</f>
        <v/>
      </c>
      <c r="BM181" s="35" t="str">
        <f aca="false">IFERROR(IF(BF181="","",BF181*INDEX('00 - Lists'!$M$2:$M$11,MATCH(L181,'00 - Lists'!$L$2:$L$11,0))/100000),"")</f>
        <v/>
      </c>
      <c r="BN181" s="35" t="str">
        <f aca="false">IFERROR(IF(BG181="","",BG181*INDEX('00 - Lists'!$M$2:$M$11,MATCH(L181,'00 - Lists'!$L$2:$L$11,0))/100000),"")</f>
        <v/>
      </c>
      <c r="BO181" s="35" t="str">
        <f aca="false">IFERROR(IF(BH181="","",BH181*INDEX('00 - Lists'!$M$2:$M$11,MATCH(L181,'00 - Lists'!$L$2:$L$11,0))/100000),"")</f>
        <v/>
      </c>
      <c r="BP181" s="35" t="str">
        <f aca="false">IFERROR(IF(BI181="","",BI181*INDEX('00 - Lists'!$M$2:$M$11,MATCH(L181,'00 - Lists'!$L$2:$L$11,0))/100000),"")</f>
        <v/>
      </c>
      <c r="BS181" s="36" t="str">
        <f aca="false">IF(O181="","",IF(O181&gt;=20,"Yes","No"))</f>
        <v/>
      </c>
      <c r="BT181" s="36" t="str">
        <f aca="false">IF(O181="","",IF(O181&gt;=30,"Yes","No"))</f>
        <v/>
      </c>
      <c r="BU181" s="36" t="str">
        <f aca="false">IF(O181="","",IF(O181&gt;=75,"Yes","No"))</f>
        <v/>
      </c>
      <c r="BV181" s="36" t="str">
        <f aca="false">IF(O181="","",IF(O181&gt;=100,"Yes","No"))</f>
        <v/>
      </c>
      <c r="BW181" s="36" t="str">
        <f aca="false">IF(O181="","",IF(O181&gt;=150,"Yes","No"))</f>
        <v/>
      </c>
      <c r="BX181" s="36" t="str">
        <f aca="false">IF(O181="","",IF(O181&gt;=200,"Yes","No"))</f>
        <v/>
      </c>
      <c r="BY181" s="36" t="str">
        <f aca="false">IF(Q181="","",IF(Q181&gt;=150000,"Yes","No"))</f>
        <v/>
      </c>
      <c r="BZ181" s="36" t="str">
        <f aca="false">IF(Q181="","",IF(Q181&gt;=200000,"Yes","No"))</f>
        <v/>
      </c>
      <c r="CA181" s="36" t="str">
        <f aca="false">IF(Q181="","",IF(Q181&gt;=250000,"Yes","No"))</f>
        <v/>
      </c>
      <c r="CB181" s="36" t="str">
        <f aca="false">IF(Q181="","",IF(Q181&gt;=300000,"Yes","No"))</f>
        <v/>
      </c>
      <c r="CC181" s="37"/>
      <c r="CD181" s="36" t="str">
        <f aca="true">IF(B181="","",IF(TODAY()-B181&lt;=7,"🟢 0-7d",IF(TODAY()-B181&lt;=30,"🟡 8-30d",IF(TODAY()-B181&lt;=60,"🟠 31-60d","🔴 60d+"))))</f>
        <v/>
      </c>
      <c r="CE181" s="36" t="str">
        <f aca="false">IF(G181="","",IF(G181&lt;&gt;"USA","N/A - Not USA Role",IF(J181="Yes",IF(OR(F181="Intern",F181="New Grad"),"🟡 Possible","🟢 Strong"),IF(J181="No","🔴 Difficult","⚪ Unknown"))))</f>
        <v/>
      </c>
      <c r="CF181" s="37"/>
      <c r="CG181" s="37"/>
      <c r="CH181" s="38"/>
      <c r="CI181" s="38"/>
      <c r="CJ181" s="38"/>
      <c r="CK181" s="38"/>
    </row>
    <row r="182" customFormat="false" ht="15" hidden="false" customHeight="true" outlineLevel="0" collapsed="false">
      <c r="A182" s="26" t="str">
        <f aca="false">IF($C182="","",ROW()-3)</f>
        <v/>
      </c>
      <c r="B182" s="27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9"/>
      <c r="N182" s="29"/>
      <c r="O182" s="30" t="str">
        <f aca="false">IFERROR(IF(M182="","",M182*INDEX('00 - Lists'!$M$2:$M$11,MATCH(L182,'00 - Lists'!$L$2:$L$11,0))/100000),"")</f>
        <v/>
      </c>
      <c r="P182" s="30" t="str">
        <f aca="false">IFERROR(IF(N182="","",N182*INDEX('00 - Lists'!$M$2:$M$11,MATCH(L182,'00 - Lists'!$L$2:$L$11,0))/100000),"")</f>
        <v/>
      </c>
      <c r="Q182" s="31" t="str">
        <f aca="false">IFERROR(IF(M182="","",M182*INDEX('00 - Lists'!$N$2:$N$11,MATCH(L182,'00 - Lists'!$L$2:$L$11,0))),"")</f>
        <v/>
      </c>
      <c r="R182" s="31" t="str">
        <f aca="false">IFERROR(IF(N182="","",N182*INDEX('00 - Lists'!$N$2:$N$11,MATCH(L182,'00 - Lists'!$L$2:$L$11,0))),"")</f>
        <v/>
      </c>
      <c r="S182" s="32" t="str">
        <f aca="false">IF(O182="","",IF(O182&gt;=50,"Yes","No"))</f>
        <v/>
      </c>
      <c r="T182" s="32" t="str">
        <f aca="false">IF(Q182="","",IF(Q182&gt;=100000,"Yes","No"))</f>
        <v/>
      </c>
      <c r="U182" s="28"/>
      <c r="V182" s="28"/>
      <c r="W182" s="28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J182" s="34" t="str">
        <f aca="false">IF(OR($BD182&lt;&gt;"",$BF182&lt;&gt;"",$BH182&lt;&gt;""),"Yes","No")</f>
        <v>No</v>
      </c>
      <c r="BK182" s="35" t="str">
        <f aca="false">IFERROR(IF(BD182="","",BD182*INDEX('00 - Lists'!$M$2:$M$11,MATCH(L182,'00 - Lists'!$L$2:$L$11,0))/100000),"")</f>
        <v/>
      </c>
      <c r="BL182" s="35" t="str">
        <f aca="false">IFERROR(IF(BE182="","",BE182*INDEX('00 - Lists'!$M$2:$M$11,MATCH(L182,'00 - Lists'!$L$2:$L$11,0))/100000),"")</f>
        <v/>
      </c>
      <c r="BM182" s="35" t="str">
        <f aca="false">IFERROR(IF(BF182="","",BF182*INDEX('00 - Lists'!$M$2:$M$11,MATCH(L182,'00 - Lists'!$L$2:$L$11,0))/100000),"")</f>
        <v/>
      </c>
      <c r="BN182" s="35" t="str">
        <f aca="false">IFERROR(IF(BG182="","",BG182*INDEX('00 - Lists'!$M$2:$M$11,MATCH(L182,'00 - Lists'!$L$2:$L$11,0))/100000),"")</f>
        <v/>
      </c>
      <c r="BO182" s="35" t="str">
        <f aca="false">IFERROR(IF(BH182="","",BH182*INDEX('00 - Lists'!$M$2:$M$11,MATCH(L182,'00 - Lists'!$L$2:$L$11,0))/100000),"")</f>
        <v/>
      </c>
      <c r="BP182" s="35" t="str">
        <f aca="false">IFERROR(IF(BI182="","",BI182*INDEX('00 - Lists'!$M$2:$M$11,MATCH(L182,'00 - Lists'!$L$2:$L$11,0))/100000),"")</f>
        <v/>
      </c>
      <c r="BS182" s="36" t="str">
        <f aca="false">IF(O182="","",IF(O182&gt;=20,"Yes","No"))</f>
        <v/>
      </c>
      <c r="BT182" s="36" t="str">
        <f aca="false">IF(O182="","",IF(O182&gt;=30,"Yes","No"))</f>
        <v/>
      </c>
      <c r="BU182" s="36" t="str">
        <f aca="false">IF(O182="","",IF(O182&gt;=75,"Yes","No"))</f>
        <v/>
      </c>
      <c r="BV182" s="36" t="str">
        <f aca="false">IF(O182="","",IF(O182&gt;=100,"Yes","No"))</f>
        <v/>
      </c>
      <c r="BW182" s="36" t="str">
        <f aca="false">IF(O182="","",IF(O182&gt;=150,"Yes","No"))</f>
        <v/>
      </c>
      <c r="BX182" s="36" t="str">
        <f aca="false">IF(O182="","",IF(O182&gt;=200,"Yes","No"))</f>
        <v/>
      </c>
      <c r="BY182" s="36" t="str">
        <f aca="false">IF(Q182="","",IF(Q182&gt;=150000,"Yes","No"))</f>
        <v/>
      </c>
      <c r="BZ182" s="36" t="str">
        <f aca="false">IF(Q182="","",IF(Q182&gt;=200000,"Yes","No"))</f>
        <v/>
      </c>
      <c r="CA182" s="36" t="str">
        <f aca="false">IF(Q182="","",IF(Q182&gt;=250000,"Yes","No"))</f>
        <v/>
      </c>
      <c r="CB182" s="36" t="str">
        <f aca="false">IF(Q182="","",IF(Q182&gt;=300000,"Yes","No"))</f>
        <v/>
      </c>
      <c r="CC182" s="37"/>
      <c r="CD182" s="36" t="str">
        <f aca="true">IF(B182="","",IF(TODAY()-B182&lt;=7,"🟢 0-7d",IF(TODAY()-B182&lt;=30,"🟡 8-30d",IF(TODAY()-B182&lt;=60,"🟠 31-60d","🔴 60d+"))))</f>
        <v/>
      </c>
      <c r="CE182" s="36" t="str">
        <f aca="false">IF(G182="","",IF(G182&lt;&gt;"USA","N/A - Not USA Role",IF(J182="Yes",IF(OR(F182="Intern",F182="New Grad"),"🟡 Possible","🟢 Strong"),IF(J182="No","🔴 Difficult","⚪ Unknown"))))</f>
        <v/>
      </c>
      <c r="CF182" s="37"/>
      <c r="CG182" s="37"/>
      <c r="CH182" s="38"/>
      <c r="CI182" s="38"/>
      <c r="CJ182" s="38"/>
      <c r="CK182" s="38"/>
    </row>
    <row r="183" customFormat="false" ht="15" hidden="false" customHeight="true" outlineLevel="0" collapsed="false">
      <c r="A183" s="26" t="str">
        <f aca="false">IF($C183="","",ROW()-3)</f>
        <v/>
      </c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9"/>
      <c r="N183" s="29"/>
      <c r="O183" s="30" t="str">
        <f aca="false">IFERROR(IF(M183="","",M183*INDEX('00 - Lists'!$M$2:$M$11,MATCH(L183,'00 - Lists'!$L$2:$L$11,0))/100000),"")</f>
        <v/>
      </c>
      <c r="P183" s="30" t="str">
        <f aca="false">IFERROR(IF(N183="","",N183*INDEX('00 - Lists'!$M$2:$M$11,MATCH(L183,'00 - Lists'!$L$2:$L$11,0))/100000),"")</f>
        <v/>
      </c>
      <c r="Q183" s="31" t="str">
        <f aca="false">IFERROR(IF(M183="","",M183*INDEX('00 - Lists'!$N$2:$N$11,MATCH(L183,'00 - Lists'!$L$2:$L$11,0))),"")</f>
        <v/>
      </c>
      <c r="R183" s="31" t="str">
        <f aca="false">IFERROR(IF(N183="","",N183*INDEX('00 - Lists'!$N$2:$N$11,MATCH(L183,'00 - Lists'!$L$2:$L$11,0))),"")</f>
        <v/>
      </c>
      <c r="S183" s="32" t="str">
        <f aca="false">IF(O183="","",IF(O183&gt;=50,"Yes","No"))</f>
        <v/>
      </c>
      <c r="T183" s="32" t="str">
        <f aca="false">IF(Q183="","",IF(Q183&gt;=100000,"Yes","No"))</f>
        <v/>
      </c>
      <c r="U183" s="28"/>
      <c r="V183" s="28"/>
      <c r="W183" s="28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J183" s="34" t="str">
        <f aca="false">IF(OR($BD183&lt;&gt;"",$BF183&lt;&gt;"",$BH183&lt;&gt;""),"Yes","No")</f>
        <v>No</v>
      </c>
      <c r="BK183" s="35" t="str">
        <f aca="false">IFERROR(IF(BD183="","",BD183*INDEX('00 - Lists'!$M$2:$M$11,MATCH(L183,'00 - Lists'!$L$2:$L$11,0))/100000),"")</f>
        <v/>
      </c>
      <c r="BL183" s="35" t="str">
        <f aca="false">IFERROR(IF(BE183="","",BE183*INDEX('00 - Lists'!$M$2:$M$11,MATCH(L183,'00 - Lists'!$L$2:$L$11,0))/100000),"")</f>
        <v/>
      </c>
      <c r="BM183" s="35" t="str">
        <f aca="false">IFERROR(IF(BF183="","",BF183*INDEX('00 - Lists'!$M$2:$M$11,MATCH(L183,'00 - Lists'!$L$2:$L$11,0))/100000),"")</f>
        <v/>
      </c>
      <c r="BN183" s="35" t="str">
        <f aca="false">IFERROR(IF(BG183="","",BG183*INDEX('00 - Lists'!$M$2:$M$11,MATCH(L183,'00 - Lists'!$L$2:$L$11,0))/100000),"")</f>
        <v/>
      </c>
      <c r="BO183" s="35" t="str">
        <f aca="false">IFERROR(IF(BH183="","",BH183*INDEX('00 - Lists'!$M$2:$M$11,MATCH(L183,'00 - Lists'!$L$2:$L$11,0))/100000),"")</f>
        <v/>
      </c>
      <c r="BP183" s="35" t="str">
        <f aca="false">IFERROR(IF(BI183="","",BI183*INDEX('00 - Lists'!$M$2:$M$11,MATCH(L183,'00 - Lists'!$L$2:$L$11,0))/100000),"")</f>
        <v/>
      </c>
      <c r="BS183" s="36" t="str">
        <f aca="false">IF(O183="","",IF(O183&gt;=20,"Yes","No"))</f>
        <v/>
      </c>
      <c r="BT183" s="36" t="str">
        <f aca="false">IF(O183="","",IF(O183&gt;=30,"Yes","No"))</f>
        <v/>
      </c>
      <c r="BU183" s="36" t="str">
        <f aca="false">IF(O183="","",IF(O183&gt;=75,"Yes","No"))</f>
        <v/>
      </c>
      <c r="BV183" s="36" t="str">
        <f aca="false">IF(O183="","",IF(O183&gt;=100,"Yes","No"))</f>
        <v/>
      </c>
      <c r="BW183" s="36" t="str">
        <f aca="false">IF(O183="","",IF(O183&gt;=150,"Yes","No"))</f>
        <v/>
      </c>
      <c r="BX183" s="36" t="str">
        <f aca="false">IF(O183="","",IF(O183&gt;=200,"Yes","No"))</f>
        <v/>
      </c>
      <c r="BY183" s="36" t="str">
        <f aca="false">IF(Q183="","",IF(Q183&gt;=150000,"Yes","No"))</f>
        <v/>
      </c>
      <c r="BZ183" s="36" t="str">
        <f aca="false">IF(Q183="","",IF(Q183&gt;=200000,"Yes","No"))</f>
        <v/>
      </c>
      <c r="CA183" s="36" t="str">
        <f aca="false">IF(Q183="","",IF(Q183&gt;=250000,"Yes","No"))</f>
        <v/>
      </c>
      <c r="CB183" s="36" t="str">
        <f aca="false">IF(Q183="","",IF(Q183&gt;=300000,"Yes","No"))</f>
        <v/>
      </c>
      <c r="CC183" s="37"/>
      <c r="CD183" s="36" t="str">
        <f aca="true">IF(B183="","",IF(TODAY()-B183&lt;=7,"🟢 0-7d",IF(TODAY()-B183&lt;=30,"🟡 8-30d",IF(TODAY()-B183&lt;=60,"🟠 31-60d","🔴 60d+"))))</f>
        <v/>
      </c>
      <c r="CE183" s="36" t="str">
        <f aca="false">IF(G183="","",IF(G183&lt;&gt;"USA","N/A - Not USA Role",IF(J183="Yes",IF(OR(F183="Intern",F183="New Grad"),"🟡 Possible","🟢 Strong"),IF(J183="No","🔴 Difficult","⚪ Unknown"))))</f>
        <v/>
      </c>
      <c r="CF183" s="37"/>
      <c r="CG183" s="37"/>
      <c r="CH183" s="38"/>
      <c r="CI183" s="38"/>
      <c r="CJ183" s="38"/>
      <c r="CK183" s="38"/>
    </row>
    <row r="184" customFormat="false" ht="15" hidden="false" customHeight="true" outlineLevel="0" collapsed="false">
      <c r="A184" s="26" t="str">
        <f aca="false">IF($C184="","",ROW()-3)</f>
        <v/>
      </c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9"/>
      <c r="N184" s="29"/>
      <c r="O184" s="30" t="str">
        <f aca="false">IFERROR(IF(M184="","",M184*INDEX('00 - Lists'!$M$2:$M$11,MATCH(L184,'00 - Lists'!$L$2:$L$11,0))/100000),"")</f>
        <v/>
      </c>
      <c r="P184" s="30" t="str">
        <f aca="false">IFERROR(IF(N184="","",N184*INDEX('00 - Lists'!$M$2:$M$11,MATCH(L184,'00 - Lists'!$L$2:$L$11,0))/100000),"")</f>
        <v/>
      </c>
      <c r="Q184" s="31" t="str">
        <f aca="false">IFERROR(IF(M184="","",M184*INDEX('00 - Lists'!$N$2:$N$11,MATCH(L184,'00 - Lists'!$L$2:$L$11,0))),"")</f>
        <v/>
      </c>
      <c r="R184" s="31" t="str">
        <f aca="false">IFERROR(IF(N184="","",N184*INDEX('00 - Lists'!$N$2:$N$11,MATCH(L184,'00 - Lists'!$L$2:$L$11,0))),"")</f>
        <v/>
      </c>
      <c r="S184" s="32" t="str">
        <f aca="false">IF(O184="","",IF(O184&gt;=50,"Yes","No"))</f>
        <v/>
      </c>
      <c r="T184" s="32" t="str">
        <f aca="false">IF(Q184="","",IF(Q184&gt;=100000,"Yes","No"))</f>
        <v/>
      </c>
      <c r="U184" s="28"/>
      <c r="V184" s="28"/>
      <c r="W184" s="28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J184" s="34" t="str">
        <f aca="false">IF(OR($BD184&lt;&gt;"",$BF184&lt;&gt;"",$BH184&lt;&gt;""),"Yes","No")</f>
        <v>No</v>
      </c>
      <c r="BK184" s="35" t="str">
        <f aca="false">IFERROR(IF(BD184="","",BD184*INDEX('00 - Lists'!$M$2:$M$11,MATCH(L184,'00 - Lists'!$L$2:$L$11,0))/100000),"")</f>
        <v/>
      </c>
      <c r="BL184" s="35" t="str">
        <f aca="false">IFERROR(IF(BE184="","",BE184*INDEX('00 - Lists'!$M$2:$M$11,MATCH(L184,'00 - Lists'!$L$2:$L$11,0))/100000),"")</f>
        <v/>
      </c>
      <c r="BM184" s="35" t="str">
        <f aca="false">IFERROR(IF(BF184="","",BF184*INDEX('00 - Lists'!$M$2:$M$11,MATCH(L184,'00 - Lists'!$L$2:$L$11,0))/100000),"")</f>
        <v/>
      </c>
      <c r="BN184" s="35" t="str">
        <f aca="false">IFERROR(IF(BG184="","",BG184*INDEX('00 - Lists'!$M$2:$M$11,MATCH(L184,'00 - Lists'!$L$2:$L$11,0))/100000),"")</f>
        <v/>
      </c>
      <c r="BO184" s="35" t="str">
        <f aca="false">IFERROR(IF(BH184="","",BH184*INDEX('00 - Lists'!$M$2:$M$11,MATCH(L184,'00 - Lists'!$L$2:$L$11,0))/100000),"")</f>
        <v/>
      </c>
      <c r="BP184" s="35" t="str">
        <f aca="false">IFERROR(IF(BI184="","",BI184*INDEX('00 - Lists'!$M$2:$M$11,MATCH(L184,'00 - Lists'!$L$2:$L$11,0))/100000),"")</f>
        <v/>
      </c>
      <c r="BS184" s="36" t="str">
        <f aca="false">IF(O184="","",IF(O184&gt;=20,"Yes","No"))</f>
        <v/>
      </c>
      <c r="BT184" s="36" t="str">
        <f aca="false">IF(O184="","",IF(O184&gt;=30,"Yes","No"))</f>
        <v/>
      </c>
      <c r="BU184" s="36" t="str">
        <f aca="false">IF(O184="","",IF(O184&gt;=75,"Yes","No"))</f>
        <v/>
      </c>
      <c r="BV184" s="36" t="str">
        <f aca="false">IF(O184="","",IF(O184&gt;=100,"Yes","No"))</f>
        <v/>
      </c>
      <c r="BW184" s="36" t="str">
        <f aca="false">IF(O184="","",IF(O184&gt;=150,"Yes","No"))</f>
        <v/>
      </c>
      <c r="BX184" s="36" t="str">
        <f aca="false">IF(O184="","",IF(O184&gt;=200,"Yes","No"))</f>
        <v/>
      </c>
      <c r="BY184" s="36" t="str">
        <f aca="false">IF(Q184="","",IF(Q184&gt;=150000,"Yes","No"))</f>
        <v/>
      </c>
      <c r="BZ184" s="36" t="str">
        <f aca="false">IF(Q184="","",IF(Q184&gt;=200000,"Yes","No"))</f>
        <v/>
      </c>
      <c r="CA184" s="36" t="str">
        <f aca="false">IF(Q184="","",IF(Q184&gt;=250000,"Yes","No"))</f>
        <v/>
      </c>
      <c r="CB184" s="36" t="str">
        <f aca="false">IF(Q184="","",IF(Q184&gt;=300000,"Yes","No"))</f>
        <v/>
      </c>
      <c r="CC184" s="37"/>
      <c r="CD184" s="36" t="str">
        <f aca="true">IF(B184="","",IF(TODAY()-B184&lt;=7,"🟢 0-7d",IF(TODAY()-B184&lt;=30,"🟡 8-30d",IF(TODAY()-B184&lt;=60,"🟠 31-60d","🔴 60d+"))))</f>
        <v/>
      </c>
      <c r="CE184" s="36" t="str">
        <f aca="false">IF(G184="","",IF(G184&lt;&gt;"USA","N/A - Not USA Role",IF(J184="Yes",IF(OR(F184="Intern",F184="New Grad"),"🟡 Possible","🟢 Strong"),IF(J184="No","🔴 Difficult","⚪ Unknown"))))</f>
        <v/>
      </c>
      <c r="CF184" s="37"/>
      <c r="CG184" s="37"/>
      <c r="CH184" s="38"/>
      <c r="CI184" s="38"/>
      <c r="CJ184" s="38"/>
      <c r="CK184" s="38"/>
    </row>
    <row r="185" customFormat="false" ht="15" hidden="false" customHeight="true" outlineLevel="0" collapsed="false">
      <c r="A185" s="26" t="str">
        <f aca="false">IF($C185="","",ROW()-3)</f>
        <v/>
      </c>
      <c r="B185" s="27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9"/>
      <c r="N185" s="29"/>
      <c r="O185" s="30" t="str">
        <f aca="false">IFERROR(IF(M185="","",M185*INDEX('00 - Lists'!$M$2:$M$11,MATCH(L185,'00 - Lists'!$L$2:$L$11,0))/100000),"")</f>
        <v/>
      </c>
      <c r="P185" s="30" t="str">
        <f aca="false">IFERROR(IF(N185="","",N185*INDEX('00 - Lists'!$M$2:$M$11,MATCH(L185,'00 - Lists'!$L$2:$L$11,0))/100000),"")</f>
        <v/>
      </c>
      <c r="Q185" s="31" t="str">
        <f aca="false">IFERROR(IF(M185="","",M185*INDEX('00 - Lists'!$N$2:$N$11,MATCH(L185,'00 - Lists'!$L$2:$L$11,0))),"")</f>
        <v/>
      </c>
      <c r="R185" s="31" t="str">
        <f aca="false">IFERROR(IF(N185="","",N185*INDEX('00 - Lists'!$N$2:$N$11,MATCH(L185,'00 - Lists'!$L$2:$L$11,0))),"")</f>
        <v/>
      </c>
      <c r="S185" s="32" t="str">
        <f aca="false">IF(O185="","",IF(O185&gt;=50,"Yes","No"))</f>
        <v/>
      </c>
      <c r="T185" s="32" t="str">
        <f aca="false">IF(Q185="","",IF(Q185&gt;=100000,"Yes","No"))</f>
        <v/>
      </c>
      <c r="U185" s="28"/>
      <c r="V185" s="28"/>
      <c r="W185" s="28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J185" s="34" t="str">
        <f aca="false">IF(OR($BD185&lt;&gt;"",$BF185&lt;&gt;"",$BH185&lt;&gt;""),"Yes","No")</f>
        <v>No</v>
      </c>
      <c r="BK185" s="35" t="str">
        <f aca="false">IFERROR(IF(BD185="","",BD185*INDEX('00 - Lists'!$M$2:$M$11,MATCH(L185,'00 - Lists'!$L$2:$L$11,0))/100000),"")</f>
        <v/>
      </c>
      <c r="BL185" s="35" t="str">
        <f aca="false">IFERROR(IF(BE185="","",BE185*INDEX('00 - Lists'!$M$2:$M$11,MATCH(L185,'00 - Lists'!$L$2:$L$11,0))/100000),"")</f>
        <v/>
      </c>
      <c r="BM185" s="35" t="str">
        <f aca="false">IFERROR(IF(BF185="","",BF185*INDEX('00 - Lists'!$M$2:$M$11,MATCH(L185,'00 - Lists'!$L$2:$L$11,0))/100000),"")</f>
        <v/>
      </c>
      <c r="BN185" s="35" t="str">
        <f aca="false">IFERROR(IF(BG185="","",BG185*INDEX('00 - Lists'!$M$2:$M$11,MATCH(L185,'00 - Lists'!$L$2:$L$11,0))/100000),"")</f>
        <v/>
      </c>
      <c r="BO185" s="35" t="str">
        <f aca="false">IFERROR(IF(BH185="","",BH185*INDEX('00 - Lists'!$M$2:$M$11,MATCH(L185,'00 - Lists'!$L$2:$L$11,0))/100000),"")</f>
        <v/>
      </c>
      <c r="BP185" s="35" t="str">
        <f aca="false">IFERROR(IF(BI185="","",BI185*INDEX('00 - Lists'!$M$2:$M$11,MATCH(L185,'00 - Lists'!$L$2:$L$11,0))/100000),"")</f>
        <v/>
      </c>
      <c r="BS185" s="36" t="str">
        <f aca="false">IF(O185="","",IF(O185&gt;=20,"Yes","No"))</f>
        <v/>
      </c>
      <c r="BT185" s="36" t="str">
        <f aca="false">IF(O185="","",IF(O185&gt;=30,"Yes","No"))</f>
        <v/>
      </c>
      <c r="BU185" s="36" t="str">
        <f aca="false">IF(O185="","",IF(O185&gt;=75,"Yes","No"))</f>
        <v/>
      </c>
      <c r="BV185" s="36" t="str">
        <f aca="false">IF(O185="","",IF(O185&gt;=100,"Yes","No"))</f>
        <v/>
      </c>
      <c r="BW185" s="36" t="str">
        <f aca="false">IF(O185="","",IF(O185&gt;=150,"Yes","No"))</f>
        <v/>
      </c>
      <c r="BX185" s="36" t="str">
        <f aca="false">IF(O185="","",IF(O185&gt;=200,"Yes","No"))</f>
        <v/>
      </c>
      <c r="BY185" s="36" t="str">
        <f aca="false">IF(Q185="","",IF(Q185&gt;=150000,"Yes","No"))</f>
        <v/>
      </c>
      <c r="BZ185" s="36" t="str">
        <f aca="false">IF(Q185="","",IF(Q185&gt;=200000,"Yes","No"))</f>
        <v/>
      </c>
      <c r="CA185" s="36" t="str">
        <f aca="false">IF(Q185="","",IF(Q185&gt;=250000,"Yes","No"))</f>
        <v/>
      </c>
      <c r="CB185" s="36" t="str">
        <f aca="false">IF(Q185="","",IF(Q185&gt;=300000,"Yes","No"))</f>
        <v/>
      </c>
      <c r="CC185" s="37"/>
      <c r="CD185" s="36" t="str">
        <f aca="true">IF(B185="","",IF(TODAY()-B185&lt;=7,"🟢 0-7d",IF(TODAY()-B185&lt;=30,"🟡 8-30d",IF(TODAY()-B185&lt;=60,"🟠 31-60d","🔴 60d+"))))</f>
        <v/>
      </c>
      <c r="CE185" s="36" t="str">
        <f aca="false">IF(G185="","",IF(G185&lt;&gt;"USA","N/A - Not USA Role",IF(J185="Yes",IF(OR(F185="Intern",F185="New Grad"),"🟡 Possible","🟢 Strong"),IF(J185="No","🔴 Difficult","⚪ Unknown"))))</f>
        <v/>
      </c>
      <c r="CF185" s="37"/>
      <c r="CG185" s="37"/>
      <c r="CH185" s="38"/>
      <c r="CI185" s="38"/>
      <c r="CJ185" s="38"/>
      <c r="CK185" s="38"/>
    </row>
    <row r="186" customFormat="false" ht="15" hidden="false" customHeight="true" outlineLevel="0" collapsed="false">
      <c r="A186" s="26" t="str">
        <f aca="false">IF($C186="","",ROW()-3)</f>
        <v/>
      </c>
      <c r="B186" s="27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9"/>
      <c r="N186" s="29"/>
      <c r="O186" s="30" t="str">
        <f aca="false">IFERROR(IF(M186="","",M186*INDEX('00 - Lists'!$M$2:$M$11,MATCH(L186,'00 - Lists'!$L$2:$L$11,0))/100000),"")</f>
        <v/>
      </c>
      <c r="P186" s="30" t="str">
        <f aca="false">IFERROR(IF(N186="","",N186*INDEX('00 - Lists'!$M$2:$M$11,MATCH(L186,'00 - Lists'!$L$2:$L$11,0))/100000),"")</f>
        <v/>
      </c>
      <c r="Q186" s="31" t="str">
        <f aca="false">IFERROR(IF(M186="","",M186*INDEX('00 - Lists'!$N$2:$N$11,MATCH(L186,'00 - Lists'!$L$2:$L$11,0))),"")</f>
        <v/>
      </c>
      <c r="R186" s="31" t="str">
        <f aca="false">IFERROR(IF(N186="","",N186*INDEX('00 - Lists'!$N$2:$N$11,MATCH(L186,'00 - Lists'!$L$2:$L$11,0))),"")</f>
        <v/>
      </c>
      <c r="S186" s="32" t="str">
        <f aca="false">IF(O186="","",IF(O186&gt;=50,"Yes","No"))</f>
        <v/>
      </c>
      <c r="T186" s="32" t="str">
        <f aca="false">IF(Q186="","",IF(Q186&gt;=100000,"Yes","No"))</f>
        <v/>
      </c>
      <c r="U186" s="28"/>
      <c r="V186" s="28"/>
      <c r="W186" s="28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J186" s="34" t="str">
        <f aca="false">IF(OR($BD186&lt;&gt;"",$BF186&lt;&gt;"",$BH186&lt;&gt;""),"Yes","No")</f>
        <v>No</v>
      </c>
      <c r="BK186" s="35" t="str">
        <f aca="false">IFERROR(IF(BD186="","",BD186*INDEX('00 - Lists'!$M$2:$M$11,MATCH(L186,'00 - Lists'!$L$2:$L$11,0))/100000),"")</f>
        <v/>
      </c>
      <c r="BL186" s="35" t="str">
        <f aca="false">IFERROR(IF(BE186="","",BE186*INDEX('00 - Lists'!$M$2:$M$11,MATCH(L186,'00 - Lists'!$L$2:$L$11,0))/100000),"")</f>
        <v/>
      </c>
      <c r="BM186" s="35" t="str">
        <f aca="false">IFERROR(IF(BF186="","",BF186*INDEX('00 - Lists'!$M$2:$M$11,MATCH(L186,'00 - Lists'!$L$2:$L$11,0))/100000),"")</f>
        <v/>
      </c>
      <c r="BN186" s="35" t="str">
        <f aca="false">IFERROR(IF(BG186="","",BG186*INDEX('00 - Lists'!$M$2:$M$11,MATCH(L186,'00 - Lists'!$L$2:$L$11,0))/100000),"")</f>
        <v/>
      </c>
      <c r="BO186" s="35" t="str">
        <f aca="false">IFERROR(IF(BH186="","",BH186*INDEX('00 - Lists'!$M$2:$M$11,MATCH(L186,'00 - Lists'!$L$2:$L$11,0))/100000),"")</f>
        <v/>
      </c>
      <c r="BP186" s="35" t="str">
        <f aca="false">IFERROR(IF(BI186="","",BI186*INDEX('00 - Lists'!$M$2:$M$11,MATCH(L186,'00 - Lists'!$L$2:$L$11,0))/100000),"")</f>
        <v/>
      </c>
      <c r="BS186" s="36" t="str">
        <f aca="false">IF(O186="","",IF(O186&gt;=20,"Yes","No"))</f>
        <v/>
      </c>
      <c r="BT186" s="36" t="str">
        <f aca="false">IF(O186="","",IF(O186&gt;=30,"Yes","No"))</f>
        <v/>
      </c>
      <c r="BU186" s="36" t="str">
        <f aca="false">IF(O186="","",IF(O186&gt;=75,"Yes","No"))</f>
        <v/>
      </c>
      <c r="BV186" s="36" t="str">
        <f aca="false">IF(O186="","",IF(O186&gt;=100,"Yes","No"))</f>
        <v/>
      </c>
      <c r="BW186" s="36" t="str">
        <f aca="false">IF(O186="","",IF(O186&gt;=150,"Yes","No"))</f>
        <v/>
      </c>
      <c r="BX186" s="36" t="str">
        <f aca="false">IF(O186="","",IF(O186&gt;=200,"Yes","No"))</f>
        <v/>
      </c>
      <c r="BY186" s="36" t="str">
        <f aca="false">IF(Q186="","",IF(Q186&gt;=150000,"Yes","No"))</f>
        <v/>
      </c>
      <c r="BZ186" s="36" t="str">
        <f aca="false">IF(Q186="","",IF(Q186&gt;=200000,"Yes","No"))</f>
        <v/>
      </c>
      <c r="CA186" s="36" t="str">
        <f aca="false">IF(Q186="","",IF(Q186&gt;=250000,"Yes","No"))</f>
        <v/>
      </c>
      <c r="CB186" s="36" t="str">
        <f aca="false">IF(Q186="","",IF(Q186&gt;=300000,"Yes","No"))</f>
        <v/>
      </c>
      <c r="CC186" s="37"/>
      <c r="CD186" s="36" t="str">
        <f aca="true">IF(B186="","",IF(TODAY()-B186&lt;=7,"🟢 0-7d",IF(TODAY()-B186&lt;=30,"🟡 8-30d",IF(TODAY()-B186&lt;=60,"🟠 31-60d","🔴 60d+"))))</f>
        <v/>
      </c>
      <c r="CE186" s="36" t="str">
        <f aca="false">IF(G186="","",IF(G186&lt;&gt;"USA","N/A - Not USA Role",IF(J186="Yes",IF(OR(F186="Intern",F186="New Grad"),"🟡 Possible","🟢 Strong"),IF(J186="No","🔴 Difficult","⚪ Unknown"))))</f>
        <v/>
      </c>
      <c r="CF186" s="37"/>
      <c r="CG186" s="37"/>
      <c r="CH186" s="38"/>
      <c r="CI186" s="38"/>
      <c r="CJ186" s="38"/>
      <c r="CK186" s="38"/>
    </row>
    <row r="187" customFormat="false" ht="15" hidden="false" customHeight="true" outlineLevel="0" collapsed="false">
      <c r="A187" s="26" t="str">
        <f aca="false">IF($C187="","",ROW()-3)</f>
        <v/>
      </c>
      <c r="B187" s="27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9"/>
      <c r="N187" s="29"/>
      <c r="O187" s="30" t="str">
        <f aca="false">IFERROR(IF(M187="","",M187*INDEX('00 - Lists'!$M$2:$M$11,MATCH(L187,'00 - Lists'!$L$2:$L$11,0))/100000),"")</f>
        <v/>
      </c>
      <c r="P187" s="30" t="str">
        <f aca="false">IFERROR(IF(N187="","",N187*INDEX('00 - Lists'!$M$2:$M$11,MATCH(L187,'00 - Lists'!$L$2:$L$11,0))/100000),"")</f>
        <v/>
      </c>
      <c r="Q187" s="31" t="str">
        <f aca="false">IFERROR(IF(M187="","",M187*INDEX('00 - Lists'!$N$2:$N$11,MATCH(L187,'00 - Lists'!$L$2:$L$11,0))),"")</f>
        <v/>
      </c>
      <c r="R187" s="31" t="str">
        <f aca="false">IFERROR(IF(N187="","",N187*INDEX('00 - Lists'!$N$2:$N$11,MATCH(L187,'00 - Lists'!$L$2:$L$11,0))),"")</f>
        <v/>
      </c>
      <c r="S187" s="32" t="str">
        <f aca="false">IF(O187="","",IF(O187&gt;=50,"Yes","No"))</f>
        <v/>
      </c>
      <c r="T187" s="32" t="str">
        <f aca="false">IF(Q187="","",IF(Q187&gt;=100000,"Yes","No"))</f>
        <v/>
      </c>
      <c r="U187" s="28"/>
      <c r="V187" s="28"/>
      <c r="W187" s="28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J187" s="34" t="str">
        <f aca="false">IF(OR($BD187&lt;&gt;"",$BF187&lt;&gt;"",$BH187&lt;&gt;""),"Yes","No")</f>
        <v>No</v>
      </c>
      <c r="BK187" s="35" t="str">
        <f aca="false">IFERROR(IF(BD187="","",BD187*INDEX('00 - Lists'!$M$2:$M$11,MATCH(L187,'00 - Lists'!$L$2:$L$11,0))/100000),"")</f>
        <v/>
      </c>
      <c r="BL187" s="35" t="str">
        <f aca="false">IFERROR(IF(BE187="","",BE187*INDEX('00 - Lists'!$M$2:$M$11,MATCH(L187,'00 - Lists'!$L$2:$L$11,0))/100000),"")</f>
        <v/>
      </c>
      <c r="BM187" s="35" t="str">
        <f aca="false">IFERROR(IF(BF187="","",BF187*INDEX('00 - Lists'!$M$2:$M$11,MATCH(L187,'00 - Lists'!$L$2:$L$11,0))/100000),"")</f>
        <v/>
      </c>
      <c r="BN187" s="35" t="str">
        <f aca="false">IFERROR(IF(BG187="","",BG187*INDEX('00 - Lists'!$M$2:$M$11,MATCH(L187,'00 - Lists'!$L$2:$L$11,0))/100000),"")</f>
        <v/>
      </c>
      <c r="BO187" s="35" t="str">
        <f aca="false">IFERROR(IF(BH187="","",BH187*INDEX('00 - Lists'!$M$2:$M$11,MATCH(L187,'00 - Lists'!$L$2:$L$11,0))/100000),"")</f>
        <v/>
      </c>
      <c r="BP187" s="35" t="str">
        <f aca="false">IFERROR(IF(BI187="","",BI187*INDEX('00 - Lists'!$M$2:$M$11,MATCH(L187,'00 - Lists'!$L$2:$L$11,0))/100000),"")</f>
        <v/>
      </c>
      <c r="BS187" s="36" t="str">
        <f aca="false">IF(O187="","",IF(O187&gt;=20,"Yes","No"))</f>
        <v/>
      </c>
      <c r="BT187" s="36" t="str">
        <f aca="false">IF(O187="","",IF(O187&gt;=30,"Yes","No"))</f>
        <v/>
      </c>
      <c r="BU187" s="36" t="str">
        <f aca="false">IF(O187="","",IF(O187&gt;=75,"Yes","No"))</f>
        <v/>
      </c>
      <c r="BV187" s="36" t="str">
        <f aca="false">IF(O187="","",IF(O187&gt;=100,"Yes","No"))</f>
        <v/>
      </c>
      <c r="BW187" s="36" t="str">
        <f aca="false">IF(O187="","",IF(O187&gt;=150,"Yes","No"))</f>
        <v/>
      </c>
      <c r="BX187" s="36" t="str">
        <f aca="false">IF(O187="","",IF(O187&gt;=200,"Yes","No"))</f>
        <v/>
      </c>
      <c r="BY187" s="36" t="str">
        <f aca="false">IF(Q187="","",IF(Q187&gt;=150000,"Yes","No"))</f>
        <v/>
      </c>
      <c r="BZ187" s="36" t="str">
        <f aca="false">IF(Q187="","",IF(Q187&gt;=200000,"Yes","No"))</f>
        <v/>
      </c>
      <c r="CA187" s="36" t="str">
        <f aca="false">IF(Q187="","",IF(Q187&gt;=250000,"Yes","No"))</f>
        <v/>
      </c>
      <c r="CB187" s="36" t="str">
        <f aca="false">IF(Q187="","",IF(Q187&gt;=300000,"Yes","No"))</f>
        <v/>
      </c>
      <c r="CC187" s="37"/>
      <c r="CD187" s="36" t="str">
        <f aca="true">IF(B187="","",IF(TODAY()-B187&lt;=7,"🟢 0-7d",IF(TODAY()-B187&lt;=30,"🟡 8-30d",IF(TODAY()-B187&lt;=60,"🟠 31-60d","🔴 60d+"))))</f>
        <v/>
      </c>
      <c r="CE187" s="36" t="str">
        <f aca="false">IF(G187="","",IF(G187&lt;&gt;"USA","N/A - Not USA Role",IF(J187="Yes",IF(OR(F187="Intern",F187="New Grad"),"🟡 Possible","🟢 Strong"),IF(J187="No","🔴 Difficult","⚪ Unknown"))))</f>
        <v/>
      </c>
      <c r="CF187" s="37"/>
      <c r="CG187" s="37"/>
      <c r="CH187" s="38"/>
      <c r="CI187" s="38"/>
      <c r="CJ187" s="38"/>
      <c r="CK187" s="38"/>
    </row>
    <row r="188" customFormat="false" ht="15" hidden="false" customHeight="true" outlineLevel="0" collapsed="false">
      <c r="A188" s="26" t="str">
        <f aca="false">IF($C188="","",ROW()-3)</f>
        <v/>
      </c>
      <c r="B188" s="27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9"/>
      <c r="N188" s="29"/>
      <c r="O188" s="30" t="str">
        <f aca="false">IFERROR(IF(M188="","",M188*INDEX('00 - Lists'!$M$2:$M$11,MATCH(L188,'00 - Lists'!$L$2:$L$11,0))/100000),"")</f>
        <v/>
      </c>
      <c r="P188" s="30" t="str">
        <f aca="false">IFERROR(IF(N188="","",N188*INDEX('00 - Lists'!$M$2:$M$11,MATCH(L188,'00 - Lists'!$L$2:$L$11,0))/100000),"")</f>
        <v/>
      </c>
      <c r="Q188" s="31" t="str">
        <f aca="false">IFERROR(IF(M188="","",M188*INDEX('00 - Lists'!$N$2:$N$11,MATCH(L188,'00 - Lists'!$L$2:$L$11,0))),"")</f>
        <v/>
      </c>
      <c r="R188" s="31" t="str">
        <f aca="false">IFERROR(IF(N188="","",N188*INDEX('00 - Lists'!$N$2:$N$11,MATCH(L188,'00 - Lists'!$L$2:$L$11,0))),"")</f>
        <v/>
      </c>
      <c r="S188" s="32" t="str">
        <f aca="false">IF(O188="","",IF(O188&gt;=50,"Yes","No"))</f>
        <v/>
      </c>
      <c r="T188" s="32" t="str">
        <f aca="false">IF(Q188="","",IF(Q188&gt;=100000,"Yes","No"))</f>
        <v/>
      </c>
      <c r="U188" s="28"/>
      <c r="V188" s="28"/>
      <c r="W188" s="28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J188" s="34" t="str">
        <f aca="false">IF(OR($BD188&lt;&gt;"",$BF188&lt;&gt;"",$BH188&lt;&gt;""),"Yes","No")</f>
        <v>No</v>
      </c>
      <c r="BK188" s="35" t="str">
        <f aca="false">IFERROR(IF(BD188="","",BD188*INDEX('00 - Lists'!$M$2:$M$11,MATCH(L188,'00 - Lists'!$L$2:$L$11,0))/100000),"")</f>
        <v/>
      </c>
      <c r="BL188" s="35" t="str">
        <f aca="false">IFERROR(IF(BE188="","",BE188*INDEX('00 - Lists'!$M$2:$M$11,MATCH(L188,'00 - Lists'!$L$2:$L$11,0))/100000),"")</f>
        <v/>
      </c>
      <c r="BM188" s="35" t="str">
        <f aca="false">IFERROR(IF(BF188="","",BF188*INDEX('00 - Lists'!$M$2:$M$11,MATCH(L188,'00 - Lists'!$L$2:$L$11,0))/100000),"")</f>
        <v/>
      </c>
      <c r="BN188" s="35" t="str">
        <f aca="false">IFERROR(IF(BG188="","",BG188*INDEX('00 - Lists'!$M$2:$M$11,MATCH(L188,'00 - Lists'!$L$2:$L$11,0))/100000),"")</f>
        <v/>
      </c>
      <c r="BO188" s="35" t="str">
        <f aca="false">IFERROR(IF(BH188="","",BH188*INDEX('00 - Lists'!$M$2:$M$11,MATCH(L188,'00 - Lists'!$L$2:$L$11,0))/100000),"")</f>
        <v/>
      </c>
      <c r="BP188" s="35" t="str">
        <f aca="false">IFERROR(IF(BI188="","",BI188*INDEX('00 - Lists'!$M$2:$M$11,MATCH(L188,'00 - Lists'!$L$2:$L$11,0))/100000),"")</f>
        <v/>
      </c>
      <c r="BS188" s="36" t="str">
        <f aca="false">IF(O188="","",IF(O188&gt;=20,"Yes","No"))</f>
        <v/>
      </c>
      <c r="BT188" s="36" t="str">
        <f aca="false">IF(O188="","",IF(O188&gt;=30,"Yes","No"))</f>
        <v/>
      </c>
      <c r="BU188" s="36" t="str">
        <f aca="false">IF(O188="","",IF(O188&gt;=75,"Yes","No"))</f>
        <v/>
      </c>
      <c r="BV188" s="36" t="str">
        <f aca="false">IF(O188="","",IF(O188&gt;=100,"Yes","No"))</f>
        <v/>
      </c>
      <c r="BW188" s="36" t="str">
        <f aca="false">IF(O188="","",IF(O188&gt;=150,"Yes","No"))</f>
        <v/>
      </c>
      <c r="BX188" s="36" t="str">
        <f aca="false">IF(O188="","",IF(O188&gt;=200,"Yes","No"))</f>
        <v/>
      </c>
      <c r="BY188" s="36" t="str">
        <f aca="false">IF(Q188="","",IF(Q188&gt;=150000,"Yes","No"))</f>
        <v/>
      </c>
      <c r="BZ188" s="36" t="str">
        <f aca="false">IF(Q188="","",IF(Q188&gt;=200000,"Yes","No"))</f>
        <v/>
      </c>
      <c r="CA188" s="36" t="str">
        <f aca="false">IF(Q188="","",IF(Q188&gt;=250000,"Yes","No"))</f>
        <v/>
      </c>
      <c r="CB188" s="36" t="str">
        <f aca="false">IF(Q188="","",IF(Q188&gt;=300000,"Yes","No"))</f>
        <v/>
      </c>
      <c r="CC188" s="37"/>
      <c r="CD188" s="36" t="str">
        <f aca="true">IF(B188="","",IF(TODAY()-B188&lt;=7,"🟢 0-7d",IF(TODAY()-B188&lt;=30,"🟡 8-30d",IF(TODAY()-B188&lt;=60,"🟠 31-60d","🔴 60d+"))))</f>
        <v/>
      </c>
      <c r="CE188" s="36" t="str">
        <f aca="false">IF(G188="","",IF(G188&lt;&gt;"USA","N/A - Not USA Role",IF(J188="Yes",IF(OR(F188="Intern",F188="New Grad"),"🟡 Possible","🟢 Strong"),IF(J188="No","🔴 Difficult","⚪ Unknown"))))</f>
        <v/>
      </c>
      <c r="CF188" s="37"/>
      <c r="CG188" s="37"/>
      <c r="CH188" s="38"/>
      <c r="CI188" s="38"/>
      <c r="CJ188" s="38"/>
      <c r="CK188" s="38"/>
    </row>
    <row r="189" customFormat="false" ht="15" hidden="false" customHeight="true" outlineLevel="0" collapsed="false">
      <c r="A189" s="26" t="str">
        <f aca="false">IF($C189="","",ROW()-3)</f>
        <v/>
      </c>
      <c r="B189" s="27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9"/>
      <c r="N189" s="29"/>
      <c r="O189" s="30" t="str">
        <f aca="false">IFERROR(IF(M189="","",M189*INDEX('00 - Lists'!$M$2:$M$11,MATCH(L189,'00 - Lists'!$L$2:$L$11,0))/100000),"")</f>
        <v/>
      </c>
      <c r="P189" s="30" t="str">
        <f aca="false">IFERROR(IF(N189="","",N189*INDEX('00 - Lists'!$M$2:$M$11,MATCH(L189,'00 - Lists'!$L$2:$L$11,0))/100000),"")</f>
        <v/>
      </c>
      <c r="Q189" s="31" t="str">
        <f aca="false">IFERROR(IF(M189="","",M189*INDEX('00 - Lists'!$N$2:$N$11,MATCH(L189,'00 - Lists'!$L$2:$L$11,0))),"")</f>
        <v/>
      </c>
      <c r="R189" s="31" t="str">
        <f aca="false">IFERROR(IF(N189="","",N189*INDEX('00 - Lists'!$N$2:$N$11,MATCH(L189,'00 - Lists'!$L$2:$L$11,0))),"")</f>
        <v/>
      </c>
      <c r="S189" s="32" t="str">
        <f aca="false">IF(O189="","",IF(O189&gt;=50,"Yes","No"))</f>
        <v/>
      </c>
      <c r="T189" s="32" t="str">
        <f aca="false">IF(Q189="","",IF(Q189&gt;=100000,"Yes","No"))</f>
        <v/>
      </c>
      <c r="U189" s="28"/>
      <c r="V189" s="28"/>
      <c r="W189" s="28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J189" s="34" t="str">
        <f aca="false">IF(OR($BD189&lt;&gt;"",$BF189&lt;&gt;"",$BH189&lt;&gt;""),"Yes","No")</f>
        <v>No</v>
      </c>
      <c r="BK189" s="35" t="str">
        <f aca="false">IFERROR(IF(BD189="","",BD189*INDEX('00 - Lists'!$M$2:$M$11,MATCH(L189,'00 - Lists'!$L$2:$L$11,0))/100000),"")</f>
        <v/>
      </c>
      <c r="BL189" s="35" t="str">
        <f aca="false">IFERROR(IF(BE189="","",BE189*INDEX('00 - Lists'!$M$2:$M$11,MATCH(L189,'00 - Lists'!$L$2:$L$11,0))/100000),"")</f>
        <v/>
      </c>
      <c r="BM189" s="35" t="str">
        <f aca="false">IFERROR(IF(BF189="","",BF189*INDEX('00 - Lists'!$M$2:$M$11,MATCH(L189,'00 - Lists'!$L$2:$L$11,0))/100000),"")</f>
        <v/>
      </c>
      <c r="BN189" s="35" t="str">
        <f aca="false">IFERROR(IF(BG189="","",BG189*INDEX('00 - Lists'!$M$2:$M$11,MATCH(L189,'00 - Lists'!$L$2:$L$11,0))/100000),"")</f>
        <v/>
      </c>
      <c r="BO189" s="35" t="str">
        <f aca="false">IFERROR(IF(BH189="","",BH189*INDEX('00 - Lists'!$M$2:$M$11,MATCH(L189,'00 - Lists'!$L$2:$L$11,0))/100000),"")</f>
        <v/>
      </c>
      <c r="BP189" s="35" t="str">
        <f aca="false">IFERROR(IF(BI189="","",BI189*INDEX('00 - Lists'!$M$2:$M$11,MATCH(L189,'00 - Lists'!$L$2:$L$11,0))/100000),"")</f>
        <v/>
      </c>
      <c r="BS189" s="36" t="str">
        <f aca="false">IF(O189="","",IF(O189&gt;=20,"Yes","No"))</f>
        <v/>
      </c>
      <c r="BT189" s="36" t="str">
        <f aca="false">IF(O189="","",IF(O189&gt;=30,"Yes","No"))</f>
        <v/>
      </c>
      <c r="BU189" s="36" t="str">
        <f aca="false">IF(O189="","",IF(O189&gt;=75,"Yes","No"))</f>
        <v/>
      </c>
      <c r="BV189" s="36" t="str">
        <f aca="false">IF(O189="","",IF(O189&gt;=100,"Yes","No"))</f>
        <v/>
      </c>
      <c r="BW189" s="36" t="str">
        <f aca="false">IF(O189="","",IF(O189&gt;=150,"Yes","No"))</f>
        <v/>
      </c>
      <c r="BX189" s="36" t="str">
        <f aca="false">IF(O189="","",IF(O189&gt;=200,"Yes","No"))</f>
        <v/>
      </c>
      <c r="BY189" s="36" t="str">
        <f aca="false">IF(Q189="","",IF(Q189&gt;=150000,"Yes","No"))</f>
        <v/>
      </c>
      <c r="BZ189" s="36" t="str">
        <f aca="false">IF(Q189="","",IF(Q189&gt;=200000,"Yes","No"))</f>
        <v/>
      </c>
      <c r="CA189" s="36" t="str">
        <f aca="false">IF(Q189="","",IF(Q189&gt;=250000,"Yes","No"))</f>
        <v/>
      </c>
      <c r="CB189" s="36" t="str">
        <f aca="false">IF(Q189="","",IF(Q189&gt;=300000,"Yes","No"))</f>
        <v/>
      </c>
      <c r="CC189" s="37"/>
      <c r="CD189" s="36" t="str">
        <f aca="true">IF(B189="","",IF(TODAY()-B189&lt;=7,"🟢 0-7d",IF(TODAY()-B189&lt;=30,"🟡 8-30d",IF(TODAY()-B189&lt;=60,"🟠 31-60d","🔴 60d+"))))</f>
        <v/>
      </c>
      <c r="CE189" s="36" t="str">
        <f aca="false">IF(G189="","",IF(G189&lt;&gt;"USA","N/A - Not USA Role",IF(J189="Yes",IF(OR(F189="Intern",F189="New Grad"),"🟡 Possible","🟢 Strong"),IF(J189="No","🔴 Difficult","⚪ Unknown"))))</f>
        <v/>
      </c>
      <c r="CF189" s="37"/>
      <c r="CG189" s="37"/>
      <c r="CH189" s="38"/>
      <c r="CI189" s="38"/>
      <c r="CJ189" s="38"/>
      <c r="CK189" s="38"/>
    </row>
    <row r="190" customFormat="false" ht="15" hidden="false" customHeight="true" outlineLevel="0" collapsed="false">
      <c r="A190" s="26" t="str">
        <f aca="false">IF($C190="","",ROW()-3)</f>
        <v/>
      </c>
      <c r="B190" s="27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9"/>
      <c r="N190" s="29"/>
      <c r="O190" s="30" t="str">
        <f aca="false">IFERROR(IF(M190="","",M190*INDEX('00 - Lists'!$M$2:$M$11,MATCH(L190,'00 - Lists'!$L$2:$L$11,0))/100000),"")</f>
        <v/>
      </c>
      <c r="P190" s="30" t="str">
        <f aca="false">IFERROR(IF(N190="","",N190*INDEX('00 - Lists'!$M$2:$M$11,MATCH(L190,'00 - Lists'!$L$2:$L$11,0))/100000),"")</f>
        <v/>
      </c>
      <c r="Q190" s="31" t="str">
        <f aca="false">IFERROR(IF(M190="","",M190*INDEX('00 - Lists'!$N$2:$N$11,MATCH(L190,'00 - Lists'!$L$2:$L$11,0))),"")</f>
        <v/>
      </c>
      <c r="R190" s="31" t="str">
        <f aca="false">IFERROR(IF(N190="","",N190*INDEX('00 - Lists'!$N$2:$N$11,MATCH(L190,'00 - Lists'!$L$2:$L$11,0))),"")</f>
        <v/>
      </c>
      <c r="S190" s="32" t="str">
        <f aca="false">IF(O190="","",IF(O190&gt;=50,"Yes","No"))</f>
        <v/>
      </c>
      <c r="T190" s="32" t="str">
        <f aca="false">IF(Q190="","",IF(Q190&gt;=100000,"Yes","No"))</f>
        <v/>
      </c>
      <c r="U190" s="28"/>
      <c r="V190" s="28"/>
      <c r="W190" s="28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J190" s="34" t="str">
        <f aca="false">IF(OR($BD190&lt;&gt;"",$BF190&lt;&gt;"",$BH190&lt;&gt;""),"Yes","No")</f>
        <v>No</v>
      </c>
      <c r="BK190" s="35" t="str">
        <f aca="false">IFERROR(IF(BD190="","",BD190*INDEX('00 - Lists'!$M$2:$M$11,MATCH(L190,'00 - Lists'!$L$2:$L$11,0))/100000),"")</f>
        <v/>
      </c>
      <c r="BL190" s="35" t="str">
        <f aca="false">IFERROR(IF(BE190="","",BE190*INDEX('00 - Lists'!$M$2:$M$11,MATCH(L190,'00 - Lists'!$L$2:$L$11,0))/100000),"")</f>
        <v/>
      </c>
      <c r="BM190" s="35" t="str">
        <f aca="false">IFERROR(IF(BF190="","",BF190*INDEX('00 - Lists'!$M$2:$M$11,MATCH(L190,'00 - Lists'!$L$2:$L$11,0))/100000),"")</f>
        <v/>
      </c>
      <c r="BN190" s="35" t="str">
        <f aca="false">IFERROR(IF(BG190="","",BG190*INDEX('00 - Lists'!$M$2:$M$11,MATCH(L190,'00 - Lists'!$L$2:$L$11,0))/100000),"")</f>
        <v/>
      </c>
      <c r="BO190" s="35" t="str">
        <f aca="false">IFERROR(IF(BH190="","",BH190*INDEX('00 - Lists'!$M$2:$M$11,MATCH(L190,'00 - Lists'!$L$2:$L$11,0))/100000),"")</f>
        <v/>
      </c>
      <c r="BP190" s="35" t="str">
        <f aca="false">IFERROR(IF(BI190="","",BI190*INDEX('00 - Lists'!$M$2:$M$11,MATCH(L190,'00 - Lists'!$L$2:$L$11,0))/100000),"")</f>
        <v/>
      </c>
      <c r="BS190" s="36" t="str">
        <f aca="false">IF(O190="","",IF(O190&gt;=20,"Yes","No"))</f>
        <v/>
      </c>
      <c r="BT190" s="36" t="str">
        <f aca="false">IF(O190="","",IF(O190&gt;=30,"Yes","No"))</f>
        <v/>
      </c>
      <c r="BU190" s="36" t="str">
        <f aca="false">IF(O190="","",IF(O190&gt;=75,"Yes","No"))</f>
        <v/>
      </c>
      <c r="BV190" s="36" t="str">
        <f aca="false">IF(O190="","",IF(O190&gt;=100,"Yes","No"))</f>
        <v/>
      </c>
      <c r="BW190" s="36" t="str">
        <f aca="false">IF(O190="","",IF(O190&gt;=150,"Yes","No"))</f>
        <v/>
      </c>
      <c r="BX190" s="36" t="str">
        <f aca="false">IF(O190="","",IF(O190&gt;=200,"Yes","No"))</f>
        <v/>
      </c>
      <c r="BY190" s="36" t="str">
        <f aca="false">IF(Q190="","",IF(Q190&gt;=150000,"Yes","No"))</f>
        <v/>
      </c>
      <c r="BZ190" s="36" t="str">
        <f aca="false">IF(Q190="","",IF(Q190&gt;=200000,"Yes","No"))</f>
        <v/>
      </c>
      <c r="CA190" s="36" t="str">
        <f aca="false">IF(Q190="","",IF(Q190&gt;=250000,"Yes","No"))</f>
        <v/>
      </c>
      <c r="CB190" s="36" t="str">
        <f aca="false">IF(Q190="","",IF(Q190&gt;=300000,"Yes","No"))</f>
        <v/>
      </c>
      <c r="CC190" s="37"/>
      <c r="CD190" s="36" t="str">
        <f aca="true">IF(B190="","",IF(TODAY()-B190&lt;=7,"🟢 0-7d",IF(TODAY()-B190&lt;=30,"🟡 8-30d",IF(TODAY()-B190&lt;=60,"🟠 31-60d","🔴 60d+"))))</f>
        <v/>
      </c>
      <c r="CE190" s="36" t="str">
        <f aca="false">IF(G190="","",IF(G190&lt;&gt;"USA","N/A - Not USA Role",IF(J190="Yes",IF(OR(F190="Intern",F190="New Grad"),"🟡 Possible","🟢 Strong"),IF(J190="No","🔴 Difficult","⚪ Unknown"))))</f>
        <v/>
      </c>
      <c r="CF190" s="37"/>
      <c r="CG190" s="37"/>
      <c r="CH190" s="38"/>
      <c r="CI190" s="38"/>
      <c r="CJ190" s="38"/>
      <c r="CK190" s="38"/>
    </row>
    <row r="191" customFormat="false" ht="15" hidden="false" customHeight="true" outlineLevel="0" collapsed="false">
      <c r="A191" s="26" t="str">
        <f aca="false">IF($C191="","",ROW()-3)</f>
        <v/>
      </c>
      <c r="B191" s="27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9"/>
      <c r="N191" s="29"/>
      <c r="O191" s="30" t="str">
        <f aca="false">IFERROR(IF(M191="","",M191*INDEX('00 - Lists'!$M$2:$M$11,MATCH(L191,'00 - Lists'!$L$2:$L$11,0))/100000),"")</f>
        <v/>
      </c>
      <c r="P191" s="30" t="str">
        <f aca="false">IFERROR(IF(N191="","",N191*INDEX('00 - Lists'!$M$2:$M$11,MATCH(L191,'00 - Lists'!$L$2:$L$11,0))/100000),"")</f>
        <v/>
      </c>
      <c r="Q191" s="31" t="str">
        <f aca="false">IFERROR(IF(M191="","",M191*INDEX('00 - Lists'!$N$2:$N$11,MATCH(L191,'00 - Lists'!$L$2:$L$11,0))),"")</f>
        <v/>
      </c>
      <c r="R191" s="31" t="str">
        <f aca="false">IFERROR(IF(N191="","",N191*INDEX('00 - Lists'!$N$2:$N$11,MATCH(L191,'00 - Lists'!$L$2:$L$11,0))),"")</f>
        <v/>
      </c>
      <c r="S191" s="32" t="str">
        <f aca="false">IF(O191="","",IF(O191&gt;=50,"Yes","No"))</f>
        <v/>
      </c>
      <c r="T191" s="32" t="str">
        <f aca="false">IF(Q191="","",IF(Q191&gt;=100000,"Yes","No"))</f>
        <v/>
      </c>
      <c r="U191" s="28"/>
      <c r="V191" s="28"/>
      <c r="W191" s="28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J191" s="34" t="str">
        <f aca="false">IF(OR($BD191&lt;&gt;"",$BF191&lt;&gt;"",$BH191&lt;&gt;""),"Yes","No")</f>
        <v>No</v>
      </c>
      <c r="BK191" s="35" t="str">
        <f aca="false">IFERROR(IF(BD191="","",BD191*INDEX('00 - Lists'!$M$2:$M$11,MATCH(L191,'00 - Lists'!$L$2:$L$11,0))/100000),"")</f>
        <v/>
      </c>
      <c r="BL191" s="35" t="str">
        <f aca="false">IFERROR(IF(BE191="","",BE191*INDEX('00 - Lists'!$M$2:$M$11,MATCH(L191,'00 - Lists'!$L$2:$L$11,0))/100000),"")</f>
        <v/>
      </c>
      <c r="BM191" s="35" t="str">
        <f aca="false">IFERROR(IF(BF191="","",BF191*INDEX('00 - Lists'!$M$2:$M$11,MATCH(L191,'00 - Lists'!$L$2:$L$11,0))/100000),"")</f>
        <v/>
      </c>
      <c r="BN191" s="35" t="str">
        <f aca="false">IFERROR(IF(BG191="","",BG191*INDEX('00 - Lists'!$M$2:$M$11,MATCH(L191,'00 - Lists'!$L$2:$L$11,0))/100000),"")</f>
        <v/>
      </c>
      <c r="BO191" s="35" t="str">
        <f aca="false">IFERROR(IF(BH191="","",BH191*INDEX('00 - Lists'!$M$2:$M$11,MATCH(L191,'00 - Lists'!$L$2:$L$11,0))/100000),"")</f>
        <v/>
      </c>
      <c r="BP191" s="35" t="str">
        <f aca="false">IFERROR(IF(BI191="","",BI191*INDEX('00 - Lists'!$M$2:$M$11,MATCH(L191,'00 - Lists'!$L$2:$L$11,0))/100000),"")</f>
        <v/>
      </c>
      <c r="BS191" s="36" t="str">
        <f aca="false">IF(O191="","",IF(O191&gt;=20,"Yes","No"))</f>
        <v/>
      </c>
      <c r="BT191" s="36" t="str">
        <f aca="false">IF(O191="","",IF(O191&gt;=30,"Yes","No"))</f>
        <v/>
      </c>
      <c r="BU191" s="36" t="str">
        <f aca="false">IF(O191="","",IF(O191&gt;=75,"Yes","No"))</f>
        <v/>
      </c>
      <c r="BV191" s="36" t="str">
        <f aca="false">IF(O191="","",IF(O191&gt;=100,"Yes","No"))</f>
        <v/>
      </c>
      <c r="BW191" s="36" t="str">
        <f aca="false">IF(O191="","",IF(O191&gt;=150,"Yes","No"))</f>
        <v/>
      </c>
      <c r="BX191" s="36" t="str">
        <f aca="false">IF(O191="","",IF(O191&gt;=200,"Yes","No"))</f>
        <v/>
      </c>
      <c r="BY191" s="36" t="str">
        <f aca="false">IF(Q191="","",IF(Q191&gt;=150000,"Yes","No"))</f>
        <v/>
      </c>
      <c r="BZ191" s="36" t="str">
        <f aca="false">IF(Q191="","",IF(Q191&gt;=200000,"Yes","No"))</f>
        <v/>
      </c>
      <c r="CA191" s="36" t="str">
        <f aca="false">IF(Q191="","",IF(Q191&gt;=250000,"Yes","No"))</f>
        <v/>
      </c>
      <c r="CB191" s="36" t="str">
        <f aca="false">IF(Q191="","",IF(Q191&gt;=300000,"Yes","No"))</f>
        <v/>
      </c>
      <c r="CC191" s="37"/>
      <c r="CD191" s="36" t="str">
        <f aca="true">IF(B191="","",IF(TODAY()-B191&lt;=7,"🟢 0-7d",IF(TODAY()-B191&lt;=30,"🟡 8-30d",IF(TODAY()-B191&lt;=60,"🟠 31-60d","🔴 60d+"))))</f>
        <v/>
      </c>
      <c r="CE191" s="36" t="str">
        <f aca="false">IF(G191="","",IF(G191&lt;&gt;"USA","N/A - Not USA Role",IF(J191="Yes",IF(OR(F191="Intern",F191="New Grad"),"🟡 Possible","🟢 Strong"),IF(J191="No","🔴 Difficult","⚪ Unknown"))))</f>
        <v/>
      </c>
      <c r="CF191" s="37"/>
      <c r="CG191" s="37"/>
      <c r="CH191" s="38"/>
      <c r="CI191" s="38"/>
      <c r="CJ191" s="38"/>
      <c r="CK191" s="38"/>
    </row>
    <row r="192" customFormat="false" ht="15" hidden="false" customHeight="true" outlineLevel="0" collapsed="false">
      <c r="A192" s="26" t="str">
        <f aca="false">IF($C192="","",ROW()-3)</f>
        <v/>
      </c>
      <c r="B192" s="27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9"/>
      <c r="N192" s="29"/>
      <c r="O192" s="30" t="str">
        <f aca="false">IFERROR(IF(M192="","",M192*INDEX('00 - Lists'!$M$2:$M$11,MATCH(L192,'00 - Lists'!$L$2:$L$11,0))/100000),"")</f>
        <v/>
      </c>
      <c r="P192" s="30" t="str">
        <f aca="false">IFERROR(IF(N192="","",N192*INDEX('00 - Lists'!$M$2:$M$11,MATCH(L192,'00 - Lists'!$L$2:$L$11,0))/100000),"")</f>
        <v/>
      </c>
      <c r="Q192" s="31" t="str">
        <f aca="false">IFERROR(IF(M192="","",M192*INDEX('00 - Lists'!$N$2:$N$11,MATCH(L192,'00 - Lists'!$L$2:$L$11,0))),"")</f>
        <v/>
      </c>
      <c r="R192" s="31" t="str">
        <f aca="false">IFERROR(IF(N192="","",N192*INDEX('00 - Lists'!$N$2:$N$11,MATCH(L192,'00 - Lists'!$L$2:$L$11,0))),"")</f>
        <v/>
      </c>
      <c r="S192" s="32" t="str">
        <f aca="false">IF(O192="","",IF(O192&gt;=50,"Yes","No"))</f>
        <v/>
      </c>
      <c r="T192" s="32" t="str">
        <f aca="false">IF(Q192="","",IF(Q192&gt;=100000,"Yes","No"))</f>
        <v/>
      </c>
      <c r="U192" s="28"/>
      <c r="V192" s="28"/>
      <c r="W192" s="28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J192" s="34" t="str">
        <f aca="false">IF(OR($BD192&lt;&gt;"",$BF192&lt;&gt;"",$BH192&lt;&gt;""),"Yes","No")</f>
        <v>No</v>
      </c>
      <c r="BK192" s="35" t="str">
        <f aca="false">IFERROR(IF(BD192="","",BD192*INDEX('00 - Lists'!$M$2:$M$11,MATCH(L192,'00 - Lists'!$L$2:$L$11,0))/100000),"")</f>
        <v/>
      </c>
      <c r="BL192" s="35" t="str">
        <f aca="false">IFERROR(IF(BE192="","",BE192*INDEX('00 - Lists'!$M$2:$M$11,MATCH(L192,'00 - Lists'!$L$2:$L$11,0))/100000),"")</f>
        <v/>
      </c>
      <c r="BM192" s="35" t="str">
        <f aca="false">IFERROR(IF(BF192="","",BF192*INDEX('00 - Lists'!$M$2:$M$11,MATCH(L192,'00 - Lists'!$L$2:$L$11,0))/100000),"")</f>
        <v/>
      </c>
      <c r="BN192" s="35" t="str">
        <f aca="false">IFERROR(IF(BG192="","",BG192*INDEX('00 - Lists'!$M$2:$M$11,MATCH(L192,'00 - Lists'!$L$2:$L$11,0))/100000),"")</f>
        <v/>
      </c>
      <c r="BO192" s="35" t="str">
        <f aca="false">IFERROR(IF(BH192="","",BH192*INDEX('00 - Lists'!$M$2:$M$11,MATCH(L192,'00 - Lists'!$L$2:$L$11,0))/100000),"")</f>
        <v/>
      </c>
      <c r="BP192" s="35" t="str">
        <f aca="false">IFERROR(IF(BI192="","",BI192*INDEX('00 - Lists'!$M$2:$M$11,MATCH(L192,'00 - Lists'!$L$2:$L$11,0))/100000),"")</f>
        <v/>
      </c>
      <c r="BS192" s="36" t="str">
        <f aca="false">IF(O192="","",IF(O192&gt;=20,"Yes","No"))</f>
        <v/>
      </c>
      <c r="BT192" s="36" t="str">
        <f aca="false">IF(O192="","",IF(O192&gt;=30,"Yes","No"))</f>
        <v/>
      </c>
      <c r="BU192" s="36" t="str">
        <f aca="false">IF(O192="","",IF(O192&gt;=75,"Yes","No"))</f>
        <v/>
      </c>
      <c r="BV192" s="36" t="str">
        <f aca="false">IF(O192="","",IF(O192&gt;=100,"Yes","No"))</f>
        <v/>
      </c>
      <c r="BW192" s="36" t="str">
        <f aca="false">IF(O192="","",IF(O192&gt;=150,"Yes","No"))</f>
        <v/>
      </c>
      <c r="BX192" s="36" t="str">
        <f aca="false">IF(O192="","",IF(O192&gt;=200,"Yes","No"))</f>
        <v/>
      </c>
      <c r="BY192" s="36" t="str">
        <f aca="false">IF(Q192="","",IF(Q192&gt;=150000,"Yes","No"))</f>
        <v/>
      </c>
      <c r="BZ192" s="36" t="str">
        <f aca="false">IF(Q192="","",IF(Q192&gt;=200000,"Yes","No"))</f>
        <v/>
      </c>
      <c r="CA192" s="36" t="str">
        <f aca="false">IF(Q192="","",IF(Q192&gt;=250000,"Yes","No"))</f>
        <v/>
      </c>
      <c r="CB192" s="36" t="str">
        <f aca="false">IF(Q192="","",IF(Q192&gt;=300000,"Yes","No"))</f>
        <v/>
      </c>
      <c r="CC192" s="37"/>
      <c r="CD192" s="36" t="str">
        <f aca="true">IF(B192="","",IF(TODAY()-B192&lt;=7,"🟢 0-7d",IF(TODAY()-B192&lt;=30,"🟡 8-30d",IF(TODAY()-B192&lt;=60,"🟠 31-60d","🔴 60d+"))))</f>
        <v/>
      </c>
      <c r="CE192" s="36" t="str">
        <f aca="false">IF(G192="","",IF(G192&lt;&gt;"USA","N/A - Not USA Role",IF(J192="Yes",IF(OR(F192="Intern",F192="New Grad"),"🟡 Possible","🟢 Strong"),IF(J192="No","🔴 Difficult","⚪ Unknown"))))</f>
        <v/>
      </c>
      <c r="CF192" s="37"/>
      <c r="CG192" s="37"/>
      <c r="CH192" s="38"/>
      <c r="CI192" s="38"/>
      <c r="CJ192" s="38"/>
      <c r="CK192" s="38"/>
    </row>
    <row r="193" customFormat="false" ht="15" hidden="false" customHeight="true" outlineLevel="0" collapsed="false">
      <c r="A193" s="26" t="str">
        <f aca="false">IF($C193="","",ROW()-3)</f>
        <v/>
      </c>
      <c r="B193" s="27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9"/>
      <c r="N193" s="29"/>
      <c r="O193" s="30" t="str">
        <f aca="false">IFERROR(IF(M193="","",M193*INDEX('00 - Lists'!$M$2:$M$11,MATCH(L193,'00 - Lists'!$L$2:$L$11,0))/100000),"")</f>
        <v/>
      </c>
      <c r="P193" s="30" t="str">
        <f aca="false">IFERROR(IF(N193="","",N193*INDEX('00 - Lists'!$M$2:$M$11,MATCH(L193,'00 - Lists'!$L$2:$L$11,0))/100000),"")</f>
        <v/>
      </c>
      <c r="Q193" s="31" t="str">
        <f aca="false">IFERROR(IF(M193="","",M193*INDEX('00 - Lists'!$N$2:$N$11,MATCH(L193,'00 - Lists'!$L$2:$L$11,0))),"")</f>
        <v/>
      </c>
      <c r="R193" s="31" t="str">
        <f aca="false">IFERROR(IF(N193="","",N193*INDEX('00 - Lists'!$N$2:$N$11,MATCH(L193,'00 - Lists'!$L$2:$L$11,0))),"")</f>
        <v/>
      </c>
      <c r="S193" s="32" t="str">
        <f aca="false">IF(O193="","",IF(O193&gt;=50,"Yes","No"))</f>
        <v/>
      </c>
      <c r="T193" s="32" t="str">
        <f aca="false">IF(Q193="","",IF(Q193&gt;=100000,"Yes","No"))</f>
        <v/>
      </c>
      <c r="U193" s="28"/>
      <c r="V193" s="28"/>
      <c r="W193" s="28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J193" s="34" t="str">
        <f aca="false">IF(OR($BD193&lt;&gt;"",$BF193&lt;&gt;"",$BH193&lt;&gt;""),"Yes","No")</f>
        <v>No</v>
      </c>
      <c r="BK193" s="35" t="str">
        <f aca="false">IFERROR(IF(BD193="","",BD193*INDEX('00 - Lists'!$M$2:$M$11,MATCH(L193,'00 - Lists'!$L$2:$L$11,0))/100000),"")</f>
        <v/>
      </c>
      <c r="BL193" s="35" t="str">
        <f aca="false">IFERROR(IF(BE193="","",BE193*INDEX('00 - Lists'!$M$2:$M$11,MATCH(L193,'00 - Lists'!$L$2:$L$11,0))/100000),"")</f>
        <v/>
      </c>
      <c r="BM193" s="35" t="str">
        <f aca="false">IFERROR(IF(BF193="","",BF193*INDEX('00 - Lists'!$M$2:$M$11,MATCH(L193,'00 - Lists'!$L$2:$L$11,0))/100000),"")</f>
        <v/>
      </c>
      <c r="BN193" s="35" t="str">
        <f aca="false">IFERROR(IF(BG193="","",BG193*INDEX('00 - Lists'!$M$2:$M$11,MATCH(L193,'00 - Lists'!$L$2:$L$11,0))/100000),"")</f>
        <v/>
      </c>
      <c r="BO193" s="35" t="str">
        <f aca="false">IFERROR(IF(BH193="","",BH193*INDEX('00 - Lists'!$M$2:$M$11,MATCH(L193,'00 - Lists'!$L$2:$L$11,0))/100000),"")</f>
        <v/>
      </c>
      <c r="BP193" s="35" t="str">
        <f aca="false">IFERROR(IF(BI193="","",BI193*INDEX('00 - Lists'!$M$2:$M$11,MATCH(L193,'00 - Lists'!$L$2:$L$11,0))/100000),"")</f>
        <v/>
      </c>
      <c r="BS193" s="36" t="str">
        <f aca="false">IF(O193="","",IF(O193&gt;=20,"Yes","No"))</f>
        <v/>
      </c>
      <c r="BT193" s="36" t="str">
        <f aca="false">IF(O193="","",IF(O193&gt;=30,"Yes","No"))</f>
        <v/>
      </c>
      <c r="BU193" s="36" t="str">
        <f aca="false">IF(O193="","",IF(O193&gt;=75,"Yes","No"))</f>
        <v/>
      </c>
      <c r="BV193" s="36" t="str">
        <f aca="false">IF(O193="","",IF(O193&gt;=100,"Yes","No"))</f>
        <v/>
      </c>
      <c r="BW193" s="36" t="str">
        <f aca="false">IF(O193="","",IF(O193&gt;=150,"Yes","No"))</f>
        <v/>
      </c>
      <c r="BX193" s="36" t="str">
        <f aca="false">IF(O193="","",IF(O193&gt;=200,"Yes","No"))</f>
        <v/>
      </c>
      <c r="BY193" s="36" t="str">
        <f aca="false">IF(Q193="","",IF(Q193&gt;=150000,"Yes","No"))</f>
        <v/>
      </c>
      <c r="BZ193" s="36" t="str">
        <f aca="false">IF(Q193="","",IF(Q193&gt;=200000,"Yes","No"))</f>
        <v/>
      </c>
      <c r="CA193" s="36" t="str">
        <f aca="false">IF(Q193="","",IF(Q193&gt;=250000,"Yes","No"))</f>
        <v/>
      </c>
      <c r="CB193" s="36" t="str">
        <f aca="false">IF(Q193="","",IF(Q193&gt;=300000,"Yes","No"))</f>
        <v/>
      </c>
      <c r="CC193" s="37"/>
      <c r="CD193" s="36" t="str">
        <f aca="true">IF(B193="","",IF(TODAY()-B193&lt;=7,"🟢 0-7d",IF(TODAY()-B193&lt;=30,"🟡 8-30d",IF(TODAY()-B193&lt;=60,"🟠 31-60d","🔴 60d+"))))</f>
        <v/>
      </c>
      <c r="CE193" s="36" t="str">
        <f aca="false">IF(G193="","",IF(G193&lt;&gt;"USA","N/A - Not USA Role",IF(J193="Yes",IF(OR(F193="Intern",F193="New Grad"),"🟡 Possible","🟢 Strong"),IF(J193="No","🔴 Difficult","⚪ Unknown"))))</f>
        <v/>
      </c>
      <c r="CF193" s="37"/>
      <c r="CG193" s="37"/>
      <c r="CH193" s="38"/>
      <c r="CI193" s="38"/>
      <c r="CJ193" s="38"/>
      <c r="CK193" s="38"/>
    </row>
    <row r="194" customFormat="false" ht="15" hidden="false" customHeight="true" outlineLevel="0" collapsed="false">
      <c r="A194" s="26" t="str">
        <f aca="false">IF($C194="","",ROW()-3)</f>
        <v/>
      </c>
      <c r="B194" s="27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9"/>
      <c r="N194" s="29"/>
      <c r="O194" s="30" t="str">
        <f aca="false">IFERROR(IF(M194="","",M194*INDEX('00 - Lists'!$M$2:$M$11,MATCH(L194,'00 - Lists'!$L$2:$L$11,0))/100000),"")</f>
        <v/>
      </c>
      <c r="P194" s="30" t="str">
        <f aca="false">IFERROR(IF(N194="","",N194*INDEX('00 - Lists'!$M$2:$M$11,MATCH(L194,'00 - Lists'!$L$2:$L$11,0))/100000),"")</f>
        <v/>
      </c>
      <c r="Q194" s="31" t="str">
        <f aca="false">IFERROR(IF(M194="","",M194*INDEX('00 - Lists'!$N$2:$N$11,MATCH(L194,'00 - Lists'!$L$2:$L$11,0))),"")</f>
        <v/>
      </c>
      <c r="R194" s="31" t="str">
        <f aca="false">IFERROR(IF(N194="","",N194*INDEX('00 - Lists'!$N$2:$N$11,MATCH(L194,'00 - Lists'!$L$2:$L$11,0))),"")</f>
        <v/>
      </c>
      <c r="S194" s="32" t="str">
        <f aca="false">IF(O194="","",IF(O194&gt;=50,"Yes","No"))</f>
        <v/>
      </c>
      <c r="T194" s="32" t="str">
        <f aca="false">IF(Q194="","",IF(Q194&gt;=100000,"Yes","No"))</f>
        <v/>
      </c>
      <c r="U194" s="28"/>
      <c r="V194" s="28"/>
      <c r="W194" s="28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J194" s="34" t="str">
        <f aca="false">IF(OR($BD194&lt;&gt;"",$BF194&lt;&gt;"",$BH194&lt;&gt;""),"Yes","No")</f>
        <v>No</v>
      </c>
      <c r="BK194" s="35" t="str">
        <f aca="false">IFERROR(IF(BD194="","",BD194*INDEX('00 - Lists'!$M$2:$M$11,MATCH(L194,'00 - Lists'!$L$2:$L$11,0))/100000),"")</f>
        <v/>
      </c>
      <c r="BL194" s="35" t="str">
        <f aca="false">IFERROR(IF(BE194="","",BE194*INDEX('00 - Lists'!$M$2:$M$11,MATCH(L194,'00 - Lists'!$L$2:$L$11,0))/100000),"")</f>
        <v/>
      </c>
      <c r="BM194" s="35" t="str">
        <f aca="false">IFERROR(IF(BF194="","",BF194*INDEX('00 - Lists'!$M$2:$M$11,MATCH(L194,'00 - Lists'!$L$2:$L$11,0))/100000),"")</f>
        <v/>
      </c>
      <c r="BN194" s="35" t="str">
        <f aca="false">IFERROR(IF(BG194="","",BG194*INDEX('00 - Lists'!$M$2:$M$11,MATCH(L194,'00 - Lists'!$L$2:$L$11,0))/100000),"")</f>
        <v/>
      </c>
      <c r="BO194" s="35" t="str">
        <f aca="false">IFERROR(IF(BH194="","",BH194*INDEX('00 - Lists'!$M$2:$M$11,MATCH(L194,'00 - Lists'!$L$2:$L$11,0))/100000),"")</f>
        <v/>
      </c>
      <c r="BP194" s="35" t="str">
        <f aca="false">IFERROR(IF(BI194="","",BI194*INDEX('00 - Lists'!$M$2:$M$11,MATCH(L194,'00 - Lists'!$L$2:$L$11,0))/100000),"")</f>
        <v/>
      </c>
      <c r="BS194" s="36" t="str">
        <f aca="false">IF(O194="","",IF(O194&gt;=20,"Yes","No"))</f>
        <v/>
      </c>
      <c r="BT194" s="36" t="str">
        <f aca="false">IF(O194="","",IF(O194&gt;=30,"Yes","No"))</f>
        <v/>
      </c>
      <c r="BU194" s="36" t="str">
        <f aca="false">IF(O194="","",IF(O194&gt;=75,"Yes","No"))</f>
        <v/>
      </c>
      <c r="BV194" s="36" t="str">
        <f aca="false">IF(O194="","",IF(O194&gt;=100,"Yes","No"))</f>
        <v/>
      </c>
      <c r="BW194" s="36" t="str">
        <f aca="false">IF(O194="","",IF(O194&gt;=150,"Yes","No"))</f>
        <v/>
      </c>
      <c r="BX194" s="36" t="str">
        <f aca="false">IF(O194="","",IF(O194&gt;=200,"Yes","No"))</f>
        <v/>
      </c>
      <c r="BY194" s="36" t="str">
        <f aca="false">IF(Q194="","",IF(Q194&gt;=150000,"Yes","No"))</f>
        <v/>
      </c>
      <c r="BZ194" s="36" t="str">
        <f aca="false">IF(Q194="","",IF(Q194&gt;=200000,"Yes","No"))</f>
        <v/>
      </c>
      <c r="CA194" s="36" t="str">
        <f aca="false">IF(Q194="","",IF(Q194&gt;=250000,"Yes","No"))</f>
        <v/>
      </c>
      <c r="CB194" s="36" t="str">
        <f aca="false">IF(Q194="","",IF(Q194&gt;=300000,"Yes","No"))</f>
        <v/>
      </c>
      <c r="CC194" s="37"/>
      <c r="CD194" s="36" t="str">
        <f aca="true">IF(B194="","",IF(TODAY()-B194&lt;=7,"🟢 0-7d",IF(TODAY()-B194&lt;=30,"🟡 8-30d",IF(TODAY()-B194&lt;=60,"🟠 31-60d","🔴 60d+"))))</f>
        <v/>
      </c>
      <c r="CE194" s="36" t="str">
        <f aca="false">IF(G194="","",IF(G194&lt;&gt;"USA","N/A - Not USA Role",IF(J194="Yes",IF(OR(F194="Intern",F194="New Grad"),"🟡 Possible","🟢 Strong"),IF(J194="No","🔴 Difficult","⚪ Unknown"))))</f>
        <v/>
      </c>
      <c r="CF194" s="37"/>
      <c r="CG194" s="37"/>
      <c r="CH194" s="38"/>
      <c r="CI194" s="38"/>
      <c r="CJ194" s="38"/>
      <c r="CK194" s="38"/>
    </row>
    <row r="195" customFormat="false" ht="15" hidden="false" customHeight="true" outlineLevel="0" collapsed="false">
      <c r="A195" s="26" t="str">
        <f aca="false">IF($C195="","",ROW()-3)</f>
        <v/>
      </c>
      <c r="B195" s="27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9"/>
      <c r="N195" s="29"/>
      <c r="O195" s="30" t="str">
        <f aca="false">IFERROR(IF(M195="","",M195*INDEX('00 - Lists'!$M$2:$M$11,MATCH(L195,'00 - Lists'!$L$2:$L$11,0))/100000),"")</f>
        <v/>
      </c>
      <c r="P195" s="30" t="str">
        <f aca="false">IFERROR(IF(N195="","",N195*INDEX('00 - Lists'!$M$2:$M$11,MATCH(L195,'00 - Lists'!$L$2:$L$11,0))/100000),"")</f>
        <v/>
      </c>
      <c r="Q195" s="31" t="str">
        <f aca="false">IFERROR(IF(M195="","",M195*INDEX('00 - Lists'!$N$2:$N$11,MATCH(L195,'00 - Lists'!$L$2:$L$11,0))),"")</f>
        <v/>
      </c>
      <c r="R195" s="31" t="str">
        <f aca="false">IFERROR(IF(N195="","",N195*INDEX('00 - Lists'!$N$2:$N$11,MATCH(L195,'00 - Lists'!$L$2:$L$11,0))),"")</f>
        <v/>
      </c>
      <c r="S195" s="32" t="str">
        <f aca="false">IF(O195="","",IF(O195&gt;=50,"Yes","No"))</f>
        <v/>
      </c>
      <c r="T195" s="32" t="str">
        <f aca="false">IF(Q195="","",IF(Q195&gt;=100000,"Yes","No"))</f>
        <v/>
      </c>
      <c r="U195" s="28"/>
      <c r="V195" s="28"/>
      <c r="W195" s="28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J195" s="34" t="str">
        <f aca="false">IF(OR($BD195&lt;&gt;"",$BF195&lt;&gt;"",$BH195&lt;&gt;""),"Yes","No")</f>
        <v>No</v>
      </c>
      <c r="BK195" s="35" t="str">
        <f aca="false">IFERROR(IF(BD195="","",BD195*INDEX('00 - Lists'!$M$2:$M$11,MATCH(L195,'00 - Lists'!$L$2:$L$11,0))/100000),"")</f>
        <v/>
      </c>
      <c r="BL195" s="35" t="str">
        <f aca="false">IFERROR(IF(BE195="","",BE195*INDEX('00 - Lists'!$M$2:$M$11,MATCH(L195,'00 - Lists'!$L$2:$L$11,0))/100000),"")</f>
        <v/>
      </c>
      <c r="BM195" s="35" t="str">
        <f aca="false">IFERROR(IF(BF195="","",BF195*INDEX('00 - Lists'!$M$2:$M$11,MATCH(L195,'00 - Lists'!$L$2:$L$11,0))/100000),"")</f>
        <v/>
      </c>
      <c r="BN195" s="35" t="str">
        <f aca="false">IFERROR(IF(BG195="","",BG195*INDEX('00 - Lists'!$M$2:$M$11,MATCH(L195,'00 - Lists'!$L$2:$L$11,0))/100000),"")</f>
        <v/>
      </c>
      <c r="BO195" s="35" t="str">
        <f aca="false">IFERROR(IF(BH195="","",BH195*INDEX('00 - Lists'!$M$2:$M$11,MATCH(L195,'00 - Lists'!$L$2:$L$11,0))/100000),"")</f>
        <v/>
      </c>
      <c r="BP195" s="35" t="str">
        <f aca="false">IFERROR(IF(BI195="","",BI195*INDEX('00 - Lists'!$M$2:$M$11,MATCH(L195,'00 - Lists'!$L$2:$L$11,0))/100000),"")</f>
        <v/>
      </c>
      <c r="BS195" s="36" t="str">
        <f aca="false">IF(O195="","",IF(O195&gt;=20,"Yes","No"))</f>
        <v/>
      </c>
      <c r="BT195" s="36" t="str">
        <f aca="false">IF(O195="","",IF(O195&gt;=30,"Yes","No"))</f>
        <v/>
      </c>
      <c r="BU195" s="36" t="str">
        <f aca="false">IF(O195="","",IF(O195&gt;=75,"Yes","No"))</f>
        <v/>
      </c>
      <c r="BV195" s="36" t="str">
        <f aca="false">IF(O195="","",IF(O195&gt;=100,"Yes","No"))</f>
        <v/>
      </c>
      <c r="BW195" s="36" t="str">
        <f aca="false">IF(O195="","",IF(O195&gt;=150,"Yes","No"))</f>
        <v/>
      </c>
      <c r="BX195" s="36" t="str">
        <f aca="false">IF(O195="","",IF(O195&gt;=200,"Yes","No"))</f>
        <v/>
      </c>
      <c r="BY195" s="36" t="str">
        <f aca="false">IF(Q195="","",IF(Q195&gt;=150000,"Yes","No"))</f>
        <v/>
      </c>
      <c r="BZ195" s="36" t="str">
        <f aca="false">IF(Q195="","",IF(Q195&gt;=200000,"Yes","No"))</f>
        <v/>
      </c>
      <c r="CA195" s="36" t="str">
        <f aca="false">IF(Q195="","",IF(Q195&gt;=250000,"Yes","No"))</f>
        <v/>
      </c>
      <c r="CB195" s="36" t="str">
        <f aca="false">IF(Q195="","",IF(Q195&gt;=300000,"Yes","No"))</f>
        <v/>
      </c>
      <c r="CC195" s="37"/>
      <c r="CD195" s="36" t="str">
        <f aca="true">IF(B195="","",IF(TODAY()-B195&lt;=7,"🟢 0-7d",IF(TODAY()-B195&lt;=30,"🟡 8-30d",IF(TODAY()-B195&lt;=60,"🟠 31-60d","🔴 60d+"))))</f>
        <v/>
      </c>
      <c r="CE195" s="36" t="str">
        <f aca="false">IF(G195="","",IF(G195&lt;&gt;"USA","N/A - Not USA Role",IF(J195="Yes",IF(OR(F195="Intern",F195="New Grad"),"🟡 Possible","🟢 Strong"),IF(J195="No","🔴 Difficult","⚪ Unknown"))))</f>
        <v/>
      </c>
      <c r="CF195" s="37"/>
      <c r="CG195" s="37"/>
      <c r="CH195" s="38"/>
      <c r="CI195" s="38"/>
      <c r="CJ195" s="38"/>
      <c r="CK195" s="38"/>
    </row>
    <row r="196" customFormat="false" ht="15" hidden="false" customHeight="true" outlineLevel="0" collapsed="false">
      <c r="A196" s="26" t="str">
        <f aca="false">IF($C196="","",ROW()-3)</f>
        <v/>
      </c>
      <c r="B196" s="27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9"/>
      <c r="N196" s="29"/>
      <c r="O196" s="30" t="str">
        <f aca="false">IFERROR(IF(M196="","",M196*INDEX('00 - Lists'!$M$2:$M$11,MATCH(L196,'00 - Lists'!$L$2:$L$11,0))/100000),"")</f>
        <v/>
      </c>
      <c r="P196" s="30" t="str">
        <f aca="false">IFERROR(IF(N196="","",N196*INDEX('00 - Lists'!$M$2:$M$11,MATCH(L196,'00 - Lists'!$L$2:$L$11,0))/100000),"")</f>
        <v/>
      </c>
      <c r="Q196" s="31" t="str">
        <f aca="false">IFERROR(IF(M196="","",M196*INDEX('00 - Lists'!$N$2:$N$11,MATCH(L196,'00 - Lists'!$L$2:$L$11,0))),"")</f>
        <v/>
      </c>
      <c r="R196" s="31" t="str">
        <f aca="false">IFERROR(IF(N196="","",N196*INDEX('00 - Lists'!$N$2:$N$11,MATCH(L196,'00 - Lists'!$L$2:$L$11,0))),"")</f>
        <v/>
      </c>
      <c r="S196" s="32" t="str">
        <f aca="false">IF(O196="","",IF(O196&gt;=50,"Yes","No"))</f>
        <v/>
      </c>
      <c r="T196" s="32" t="str">
        <f aca="false">IF(Q196="","",IF(Q196&gt;=100000,"Yes","No"))</f>
        <v/>
      </c>
      <c r="U196" s="28"/>
      <c r="V196" s="28"/>
      <c r="W196" s="28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J196" s="34" t="str">
        <f aca="false">IF(OR($BD196&lt;&gt;"",$BF196&lt;&gt;"",$BH196&lt;&gt;""),"Yes","No")</f>
        <v>No</v>
      </c>
      <c r="BK196" s="35" t="str">
        <f aca="false">IFERROR(IF(BD196="","",BD196*INDEX('00 - Lists'!$M$2:$M$11,MATCH(L196,'00 - Lists'!$L$2:$L$11,0))/100000),"")</f>
        <v/>
      </c>
      <c r="BL196" s="35" t="str">
        <f aca="false">IFERROR(IF(BE196="","",BE196*INDEX('00 - Lists'!$M$2:$M$11,MATCH(L196,'00 - Lists'!$L$2:$L$11,0))/100000),"")</f>
        <v/>
      </c>
      <c r="BM196" s="35" t="str">
        <f aca="false">IFERROR(IF(BF196="","",BF196*INDEX('00 - Lists'!$M$2:$M$11,MATCH(L196,'00 - Lists'!$L$2:$L$11,0))/100000),"")</f>
        <v/>
      </c>
      <c r="BN196" s="35" t="str">
        <f aca="false">IFERROR(IF(BG196="","",BG196*INDEX('00 - Lists'!$M$2:$M$11,MATCH(L196,'00 - Lists'!$L$2:$L$11,0))/100000),"")</f>
        <v/>
      </c>
      <c r="BO196" s="35" t="str">
        <f aca="false">IFERROR(IF(BH196="","",BH196*INDEX('00 - Lists'!$M$2:$M$11,MATCH(L196,'00 - Lists'!$L$2:$L$11,0))/100000),"")</f>
        <v/>
      </c>
      <c r="BP196" s="35" t="str">
        <f aca="false">IFERROR(IF(BI196="","",BI196*INDEX('00 - Lists'!$M$2:$M$11,MATCH(L196,'00 - Lists'!$L$2:$L$11,0))/100000),"")</f>
        <v/>
      </c>
      <c r="BS196" s="36" t="str">
        <f aca="false">IF(O196="","",IF(O196&gt;=20,"Yes","No"))</f>
        <v/>
      </c>
      <c r="BT196" s="36" t="str">
        <f aca="false">IF(O196="","",IF(O196&gt;=30,"Yes","No"))</f>
        <v/>
      </c>
      <c r="BU196" s="36" t="str">
        <f aca="false">IF(O196="","",IF(O196&gt;=75,"Yes","No"))</f>
        <v/>
      </c>
      <c r="BV196" s="36" t="str">
        <f aca="false">IF(O196="","",IF(O196&gt;=100,"Yes","No"))</f>
        <v/>
      </c>
      <c r="BW196" s="36" t="str">
        <f aca="false">IF(O196="","",IF(O196&gt;=150,"Yes","No"))</f>
        <v/>
      </c>
      <c r="BX196" s="36" t="str">
        <f aca="false">IF(O196="","",IF(O196&gt;=200,"Yes","No"))</f>
        <v/>
      </c>
      <c r="BY196" s="36" t="str">
        <f aca="false">IF(Q196="","",IF(Q196&gt;=150000,"Yes","No"))</f>
        <v/>
      </c>
      <c r="BZ196" s="36" t="str">
        <f aca="false">IF(Q196="","",IF(Q196&gt;=200000,"Yes","No"))</f>
        <v/>
      </c>
      <c r="CA196" s="36" t="str">
        <f aca="false">IF(Q196="","",IF(Q196&gt;=250000,"Yes","No"))</f>
        <v/>
      </c>
      <c r="CB196" s="36" t="str">
        <f aca="false">IF(Q196="","",IF(Q196&gt;=300000,"Yes","No"))</f>
        <v/>
      </c>
      <c r="CC196" s="37"/>
      <c r="CD196" s="36" t="str">
        <f aca="true">IF(B196="","",IF(TODAY()-B196&lt;=7,"🟢 0-7d",IF(TODAY()-B196&lt;=30,"🟡 8-30d",IF(TODAY()-B196&lt;=60,"🟠 31-60d","🔴 60d+"))))</f>
        <v/>
      </c>
      <c r="CE196" s="36" t="str">
        <f aca="false">IF(G196="","",IF(G196&lt;&gt;"USA","N/A - Not USA Role",IF(J196="Yes",IF(OR(F196="Intern",F196="New Grad"),"🟡 Possible","🟢 Strong"),IF(J196="No","🔴 Difficult","⚪ Unknown"))))</f>
        <v/>
      </c>
      <c r="CF196" s="37"/>
      <c r="CG196" s="37"/>
      <c r="CH196" s="38"/>
      <c r="CI196" s="38"/>
      <c r="CJ196" s="38"/>
      <c r="CK196" s="38"/>
    </row>
    <row r="197" customFormat="false" ht="15" hidden="false" customHeight="true" outlineLevel="0" collapsed="false">
      <c r="A197" s="26" t="str">
        <f aca="false">IF($C197="","",ROW()-3)</f>
        <v/>
      </c>
      <c r="B197" s="27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9"/>
      <c r="N197" s="29"/>
      <c r="O197" s="30" t="str">
        <f aca="false">IFERROR(IF(M197="","",M197*INDEX('00 - Lists'!$M$2:$M$11,MATCH(L197,'00 - Lists'!$L$2:$L$11,0))/100000),"")</f>
        <v/>
      </c>
      <c r="P197" s="30" t="str">
        <f aca="false">IFERROR(IF(N197="","",N197*INDEX('00 - Lists'!$M$2:$M$11,MATCH(L197,'00 - Lists'!$L$2:$L$11,0))/100000),"")</f>
        <v/>
      </c>
      <c r="Q197" s="31" t="str">
        <f aca="false">IFERROR(IF(M197="","",M197*INDEX('00 - Lists'!$N$2:$N$11,MATCH(L197,'00 - Lists'!$L$2:$L$11,0))),"")</f>
        <v/>
      </c>
      <c r="R197" s="31" t="str">
        <f aca="false">IFERROR(IF(N197="","",N197*INDEX('00 - Lists'!$N$2:$N$11,MATCH(L197,'00 - Lists'!$L$2:$L$11,0))),"")</f>
        <v/>
      </c>
      <c r="S197" s="32" t="str">
        <f aca="false">IF(O197="","",IF(O197&gt;=50,"Yes","No"))</f>
        <v/>
      </c>
      <c r="T197" s="32" t="str">
        <f aca="false">IF(Q197="","",IF(Q197&gt;=100000,"Yes","No"))</f>
        <v/>
      </c>
      <c r="U197" s="28"/>
      <c r="V197" s="28"/>
      <c r="W197" s="28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J197" s="34" t="str">
        <f aca="false">IF(OR($BD197&lt;&gt;"",$BF197&lt;&gt;"",$BH197&lt;&gt;""),"Yes","No")</f>
        <v>No</v>
      </c>
      <c r="BK197" s="35" t="str">
        <f aca="false">IFERROR(IF(BD197="","",BD197*INDEX('00 - Lists'!$M$2:$M$11,MATCH(L197,'00 - Lists'!$L$2:$L$11,0))/100000),"")</f>
        <v/>
      </c>
      <c r="BL197" s="35" t="str">
        <f aca="false">IFERROR(IF(BE197="","",BE197*INDEX('00 - Lists'!$M$2:$M$11,MATCH(L197,'00 - Lists'!$L$2:$L$11,0))/100000),"")</f>
        <v/>
      </c>
      <c r="BM197" s="35" t="str">
        <f aca="false">IFERROR(IF(BF197="","",BF197*INDEX('00 - Lists'!$M$2:$M$11,MATCH(L197,'00 - Lists'!$L$2:$L$11,0))/100000),"")</f>
        <v/>
      </c>
      <c r="BN197" s="35" t="str">
        <f aca="false">IFERROR(IF(BG197="","",BG197*INDEX('00 - Lists'!$M$2:$M$11,MATCH(L197,'00 - Lists'!$L$2:$L$11,0))/100000),"")</f>
        <v/>
      </c>
      <c r="BO197" s="35" t="str">
        <f aca="false">IFERROR(IF(BH197="","",BH197*INDEX('00 - Lists'!$M$2:$M$11,MATCH(L197,'00 - Lists'!$L$2:$L$11,0))/100000),"")</f>
        <v/>
      </c>
      <c r="BP197" s="35" t="str">
        <f aca="false">IFERROR(IF(BI197="","",BI197*INDEX('00 - Lists'!$M$2:$M$11,MATCH(L197,'00 - Lists'!$L$2:$L$11,0))/100000),"")</f>
        <v/>
      </c>
      <c r="BS197" s="36" t="str">
        <f aca="false">IF(O197="","",IF(O197&gt;=20,"Yes","No"))</f>
        <v/>
      </c>
      <c r="BT197" s="36" t="str">
        <f aca="false">IF(O197="","",IF(O197&gt;=30,"Yes","No"))</f>
        <v/>
      </c>
      <c r="BU197" s="36" t="str">
        <f aca="false">IF(O197="","",IF(O197&gt;=75,"Yes","No"))</f>
        <v/>
      </c>
      <c r="BV197" s="36" t="str">
        <f aca="false">IF(O197="","",IF(O197&gt;=100,"Yes","No"))</f>
        <v/>
      </c>
      <c r="BW197" s="36" t="str">
        <f aca="false">IF(O197="","",IF(O197&gt;=150,"Yes","No"))</f>
        <v/>
      </c>
      <c r="BX197" s="36" t="str">
        <f aca="false">IF(O197="","",IF(O197&gt;=200,"Yes","No"))</f>
        <v/>
      </c>
      <c r="BY197" s="36" t="str">
        <f aca="false">IF(Q197="","",IF(Q197&gt;=150000,"Yes","No"))</f>
        <v/>
      </c>
      <c r="BZ197" s="36" t="str">
        <f aca="false">IF(Q197="","",IF(Q197&gt;=200000,"Yes","No"))</f>
        <v/>
      </c>
      <c r="CA197" s="36" t="str">
        <f aca="false">IF(Q197="","",IF(Q197&gt;=250000,"Yes","No"))</f>
        <v/>
      </c>
      <c r="CB197" s="36" t="str">
        <f aca="false">IF(Q197="","",IF(Q197&gt;=300000,"Yes","No"))</f>
        <v/>
      </c>
      <c r="CC197" s="37"/>
      <c r="CD197" s="36" t="str">
        <f aca="true">IF(B197="","",IF(TODAY()-B197&lt;=7,"🟢 0-7d",IF(TODAY()-B197&lt;=30,"🟡 8-30d",IF(TODAY()-B197&lt;=60,"🟠 31-60d","🔴 60d+"))))</f>
        <v/>
      </c>
      <c r="CE197" s="36" t="str">
        <f aca="false">IF(G197="","",IF(G197&lt;&gt;"USA","N/A - Not USA Role",IF(J197="Yes",IF(OR(F197="Intern",F197="New Grad"),"🟡 Possible","🟢 Strong"),IF(J197="No","🔴 Difficult","⚪ Unknown"))))</f>
        <v/>
      </c>
      <c r="CF197" s="37"/>
      <c r="CG197" s="37"/>
      <c r="CH197" s="38"/>
      <c r="CI197" s="38"/>
      <c r="CJ197" s="38"/>
      <c r="CK197" s="38"/>
    </row>
    <row r="198" customFormat="false" ht="15" hidden="false" customHeight="true" outlineLevel="0" collapsed="false">
      <c r="A198" s="26" t="str">
        <f aca="false">IF($C198="","",ROW()-3)</f>
        <v/>
      </c>
      <c r="B198" s="27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9"/>
      <c r="N198" s="29"/>
      <c r="O198" s="30" t="str">
        <f aca="false">IFERROR(IF(M198="","",M198*INDEX('00 - Lists'!$M$2:$M$11,MATCH(L198,'00 - Lists'!$L$2:$L$11,0))/100000),"")</f>
        <v/>
      </c>
      <c r="P198" s="30" t="str">
        <f aca="false">IFERROR(IF(N198="","",N198*INDEX('00 - Lists'!$M$2:$M$11,MATCH(L198,'00 - Lists'!$L$2:$L$11,0))/100000),"")</f>
        <v/>
      </c>
      <c r="Q198" s="31" t="str">
        <f aca="false">IFERROR(IF(M198="","",M198*INDEX('00 - Lists'!$N$2:$N$11,MATCH(L198,'00 - Lists'!$L$2:$L$11,0))),"")</f>
        <v/>
      </c>
      <c r="R198" s="31" t="str">
        <f aca="false">IFERROR(IF(N198="","",N198*INDEX('00 - Lists'!$N$2:$N$11,MATCH(L198,'00 - Lists'!$L$2:$L$11,0))),"")</f>
        <v/>
      </c>
      <c r="S198" s="32" t="str">
        <f aca="false">IF(O198="","",IF(O198&gt;=50,"Yes","No"))</f>
        <v/>
      </c>
      <c r="T198" s="32" t="str">
        <f aca="false">IF(Q198="","",IF(Q198&gt;=100000,"Yes","No"))</f>
        <v/>
      </c>
      <c r="U198" s="28"/>
      <c r="V198" s="28"/>
      <c r="W198" s="28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J198" s="34" t="str">
        <f aca="false">IF(OR($BD198&lt;&gt;"",$BF198&lt;&gt;"",$BH198&lt;&gt;""),"Yes","No")</f>
        <v>No</v>
      </c>
      <c r="BK198" s="35" t="str">
        <f aca="false">IFERROR(IF(BD198="","",BD198*INDEX('00 - Lists'!$M$2:$M$11,MATCH(L198,'00 - Lists'!$L$2:$L$11,0))/100000),"")</f>
        <v/>
      </c>
      <c r="BL198" s="35" t="str">
        <f aca="false">IFERROR(IF(BE198="","",BE198*INDEX('00 - Lists'!$M$2:$M$11,MATCH(L198,'00 - Lists'!$L$2:$L$11,0))/100000),"")</f>
        <v/>
      </c>
      <c r="BM198" s="35" t="str">
        <f aca="false">IFERROR(IF(BF198="","",BF198*INDEX('00 - Lists'!$M$2:$M$11,MATCH(L198,'00 - Lists'!$L$2:$L$11,0))/100000),"")</f>
        <v/>
      </c>
      <c r="BN198" s="35" t="str">
        <f aca="false">IFERROR(IF(BG198="","",BG198*INDEX('00 - Lists'!$M$2:$M$11,MATCH(L198,'00 - Lists'!$L$2:$L$11,0))/100000),"")</f>
        <v/>
      </c>
      <c r="BO198" s="35" t="str">
        <f aca="false">IFERROR(IF(BH198="","",BH198*INDEX('00 - Lists'!$M$2:$M$11,MATCH(L198,'00 - Lists'!$L$2:$L$11,0))/100000),"")</f>
        <v/>
      </c>
      <c r="BP198" s="35" t="str">
        <f aca="false">IFERROR(IF(BI198="","",BI198*INDEX('00 - Lists'!$M$2:$M$11,MATCH(L198,'00 - Lists'!$L$2:$L$11,0))/100000),"")</f>
        <v/>
      </c>
      <c r="BS198" s="36" t="str">
        <f aca="false">IF(O198="","",IF(O198&gt;=20,"Yes","No"))</f>
        <v/>
      </c>
      <c r="BT198" s="36" t="str">
        <f aca="false">IF(O198="","",IF(O198&gt;=30,"Yes","No"))</f>
        <v/>
      </c>
      <c r="BU198" s="36" t="str">
        <f aca="false">IF(O198="","",IF(O198&gt;=75,"Yes","No"))</f>
        <v/>
      </c>
      <c r="BV198" s="36" t="str">
        <f aca="false">IF(O198="","",IF(O198&gt;=100,"Yes","No"))</f>
        <v/>
      </c>
      <c r="BW198" s="36" t="str">
        <f aca="false">IF(O198="","",IF(O198&gt;=150,"Yes","No"))</f>
        <v/>
      </c>
      <c r="BX198" s="36" t="str">
        <f aca="false">IF(O198="","",IF(O198&gt;=200,"Yes","No"))</f>
        <v/>
      </c>
      <c r="BY198" s="36" t="str">
        <f aca="false">IF(Q198="","",IF(Q198&gt;=150000,"Yes","No"))</f>
        <v/>
      </c>
      <c r="BZ198" s="36" t="str">
        <f aca="false">IF(Q198="","",IF(Q198&gt;=200000,"Yes","No"))</f>
        <v/>
      </c>
      <c r="CA198" s="36" t="str">
        <f aca="false">IF(Q198="","",IF(Q198&gt;=250000,"Yes","No"))</f>
        <v/>
      </c>
      <c r="CB198" s="36" t="str">
        <f aca="false">IF(Q198="","",IF(Q198&gt;=300000,"Yes","No"))</f>
        <v/>
      </c>
      <c r="CC198" s="37"/>
      <c r="CD198" s="36" t="str">
        <f aca="true">IF(B198="","",IF(TODAY()-B198&lt;=7,"🟢 0-7d",IF(TODAY()-B198&lt;=30,"🟡 8-30d",IF(TODAY()-B198&lt;=60,"🟠 31-60d","🔴 60d+"))))</f>
        <v/>
      </c>
      <c r="CE198" s="36" t="str">
        <f aca="false">IF(G198="","",IF(G198&lt;&gt;"USA","N/A - Not USA Role",IF(J198="Yes",IF(OR(F198="Intern",F198="New Grad"),"🟡 Possible","🟢 Strong"),IF(J198="No","🔴 Difficult","⚪ Unknown"))))</f>
        <v/>
      </c>
      <c r="CF198" s="37"/>
      <c r="CG198" s="37"/>
      <c r="CH198" s="38"/>
      <c r="CI198" s="38"/>
      <c r="CJ198" s="38"/>
      <c r="CK198" s="38"/>
    </row>
    <row r="199" customFormat="false" ht="15" hidden="false" customHeight="true" outlineLevel="0" collapsed="false">
      <c r="A199" s="26" t="str">
        <f aca="false">IF($C199="","",ROW()-3)</f>
        <v/>
      </c>
      <c r="B199" s="27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9"/>
      <c r="N199" s="29"/>
      <c r="O199" s="30" t="str">
        <f aca="false">IFERROR(IF(M199="","",M199*INDEX('00 - Lists'!$M$2:$M$11,MATCH(L199,'00 - Lists'!$L$2:$L$11,0))/100000),"")</f>
        <v/>
      </c>
      <c r="P199" s="30" t="str">
        <f aca="false">IFERROR(IF(N199="","",N199*INDEX('00 - Lists'!$M$2:$M$11,MATCH(L199,'00 - Lists'!$L$2:$L$11,0))/100000),"")</f>
        <v/>
      </c>
      <c r="Q199" s="31" t="str">
        <f aca="false">IFERROR(IF(M199="","",M199*INDEX('00 - Lists'!$N$2:$N$11,MATCH(L199,'00 - Lists'!$L$2:$L$11,0))),"")</f>
        <v/>
      </c>
      <c r="R199" s="31" t="str">
        <f aca="false">IFERROR(IF(N199="","",N199*INDEX('00 - Lists'!$N$2:$N$11,MATCH(L199,'00 - Lists'!$L$2:$L$11,0))),"")</f>
        <v/>
      </c>
      <c r="S199" s="32" t="str">
        <f aca="false">IF(O199="","",IF(O199&gt;=50,"Yes","No"))</f>
        <v/>
      </c>
      <c r="T199" s="32" t="str">
        <f aca="false">IF(Q199="","",IF(Q199&gt;=100000,"Yes","No"))</f>
        <v/>
      </c>
      <c r="U199" s="28"/>
      <c r="V199" s="28"/>
      <c r="W199" s="28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J199" s="34" t="str">
        <f aca="false">IF(OR($BD199&lt;&gt;"",$BF199&lt;&gt;"",$BH199&lt;&gt;""),"Yes","No")</f>
        <v>No</v>
      </c>
      <c r="BK199" s="35" t="str">
        <f aca="false">IFERROR(IF(BD199="","",BD199*INDEX('00 - Lists'!$M$2:$M$11,MATCH(L199,'00 - Lists'!$L$2:$L$11,0))/100000),"")</f>
        <v/>
      </c>
      <c r="BL199" s="35" t="str">
        <f aca="false">IFERROR(IF(BE199="","",BE199*INDEX('00 - Lists'!$M$2:$M$11,MATCH(L199,'00 - Lists'!$L$2:$L$11,0))/100000),"")</f>
        <v/>
      </c>
      <c r="BM199" s="35" t="str">
        <f aca="false">IFERROR(IF(BF199="","",BF199*INDEX('00 - Lists'!$M$2:$M$11,MATCH(L199,'00 - Lists'!$L$2:$L$11,0))/100000),"")</f>
        <v/>
      </c>
      <c r="BN199" s="35" t="str">
        <f aca="false">IFERROR(IF(BG199="","",BG199*INDEX('00 - Lists'!$M$2:$M$11,MATCH(L199,'00 - Lists'!$L$2:$L$11,0))/100000),"")</f>
        <v/>
      </c>
      <c r="BO199" s="35" t="str">
        <f aca="false">IFERROR(IF(BH199="","",BH199*INDEX('00 - Lists'!$M$2:$M$11,MATCH(L199,'00 - Lists'!$L$2:$L$11,0))/100000),"")</f>
        <v/>
      </c>
      <c r="BP199" s="35" t="str">
        <f aca="false">IFERROR(IF(BI199="","",BI199*INDEX('00 - Lists'!$M$2:$M$11,MATCH(L199,'00 - Lists'!$L$2:$L$11,0))/100000),"")</f>
        <v/>
      </c>
      <c r="BS199" s="36" t="str">
        <f aca="false">IF(O199="","",IF(O199&gt;=20,"Yes","No"))</f>
        <v/>
      </c>
      <c r="BT199" s="36" t="str">
        <f aca="false">IF(O199="","",IF(O199&gt;=30,"Yes","No"))</f>
        <v/>
      </c>
      <c r="BU199" s="36" t="str">
        <f aca="false">IF(O199="","",IF(O199&gt;=75,"Yes","No"))</f>
        <v/>
      </c>
      <c r="BV199" s="36" t="str">
        <f aca="false">IF(O199="","",IF(O199&gt;=100,"Yes","No"))</f>
        <v/>
      </c>
      <c r="BW199" s="36" t="str">
        <f aca="false">IF(O199="","",IF(O199&gt;=150,"Yes","No"))</f>
        <v/>
      </c>
      <c r="BX199" s="36" t="str">
        <f aca="false">IF(O199="","",IF(O199&gt;=200,"Yes","No"))</f>
        <v/>
      </c>
      <c r="BY199" s="36" t="str">
        <f aca="false">IF(Q199="","",IF(Q199&gt;=150000,"Yes","No"))</f>
        <v/>
      </c>
      <c r="BZ199" s="36" t="str">
        <f aca="false">IF(Q199="","",IF(Q199&gt;=200000,"Yes","No"))</f>
        <v/>
      </c>
      <c r="CA199" s="36" t="str">
        <f aca="false">IF(Q199="","",IF(Q199&gt;=250000,"Yes","No"))</f>
        <v/>
      </c>
      <c r="CB199" s="36" t="str">
        <f aca="false">IF(Q199="","",IF(Q199&gt;=300000,"Yes","No"))</f>
        <v/>
      </c>
      <c r="CC199" s="37"/>
      <c r="CD199" s="36" t="str">
        <f aca="true">IF(B199="","",IF(TODAY()-B199&lt;=7,"🟢 0-7d",IF(TODAY()-B199&lt;=30,"🟡 8-30d",IF(TODAY()-B199&lt;=60,"🟠 31-60d","🔴 60d+"))))</f>
        <v/>
      </c>
      <c r="CE199" s="36" t="str">
        <f aca="false">IF(G199="","",IF(G199&lt;&gt;"USA","N/A - Not USA Role",IF(J199="Yes",IF(OR(F199="Intern",F199="New Grad"),"🟡 Possible","🟢 Strong"),IF(J199="No","🔴 Difficult","⚪ Unknown"))))</f>
        <v/>
      </c>
      <c r="CF199" s="37"/>
      <c r="CG199" s="37"/>
      <c r="CH199" s="38"/>
      <c r="CI199" s="38"/>
      <c r="CJ199" s="38"/>
      <c r="CK199" s="38"/>
    </row>
    <row r="200" customFormat="false" ht="15" hidden="false" customHeight="true" outlineLevel="0" collapsed="false">
      <c r="A200" s="26" t="str">
        <f aca="false">IF($C200="","",ROW()-3)</f>
        <v/>
      </c>
      <c r="B200" s="27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9"/>
      <c r="N200" s="29"/>
      <c r="O200" s="30" t="str">
        <f aca="false">IFERROR(IF(M200="","",M200*INDEX('00 - Lists'!$M$2:$M$11,MATCH(L200,'00 - Lists'!$L$2:$L$11,0))/100000),"")</f>
        <v/>
      </c>
      <c r="P200" s="30" t="str">
        <f aca="false">IFERROR(IF(N200="","",N200*INDEX('00 - Lists'!$M$2:$M$11,MATCH(L200,'00 - Lists'!$L$2:$L$11,0))/100000),"")</f>
        <v/>
      </c>
      <c r="Q200" s="31" t="str">
        <f aca="false">IFERROR(IF(M200="","",M200*INDEX('00 - Lists'!$N$2:$N$11,MATCH(L200,'00 - Lists'!$L$2:$L$11,0))),"")</f>
        <v/>
      </c>
      <c r="R200" s="31" t="str">
        <f aca="false">IFERROR(IF(N200="","",N200*INDEX('00 - Lists'!$N$2:$N$11,MATCH(L200,'00 - Lists'!$L$2:$L$11,0))),"")</f>
        <v/>
      </c>
      <c r="S200" s="32" t="str">
        <f aca="false">IF(O200="","",IF(O200&gt;=50,"Yes","No"))</f>
        <v/>
      </c>
      <c r="T200" s="32" t="str">
        <f aca="false">IF(Q200="","",IF(Q200&gt;=100000,"Yes","No"))</f>
        <v/>
      </c>
      <c r="U200" s="28"/>
      <c r="V200" s="28"/>
      <c r="W200" s="28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J200" s="34" t="str">
        <f aca="false">IF(OR($BD200&lt;&gt;"",$BF200&lt;&gt;"",$BH200&lt;&gt;""),"Yes","No")</f>
        <v>No</v>
      </c>
      <c r="BK200" s="35" t="str">
        <f aca="false">IFERROR(IF(BD200="","",BD200*INDEX('00 - Lists'!$M$2:$M$11,MATCH(L200,'00 - Lists'!$L$2:$L$11,0))/100000),"")</f>
        <v/>
      </c>
      <c r="BL200" s="35" t="str">
        <f aca="false">IFERROR(IF(BE200="","",BE200*INDEX('00 - Lists'!$M$2:$M$11,MATCH(L200,'00 - Lists'!$L$2:$L$11,0))/100000),"")</f>
        <v/>
      </c>
      <c r="BM200" s="35" t="str">
        <f aca="false">IFERROR(IF(BF200="","",BF200*INDEX('00 - Lists'!$M$2:$M$11,MATCH(L200,'00 - Lists'!$L$2:$L$11,0))/100000),"")</f>
        <v/>
      </c>
      <c r="BN200" s="35" t="str">
        <f aca="false">IFERROR(IF(BG200="","",BG200*INDEX('00 - Lists'!$M$2:$M$11,MATCH(L200,'00 - Lists'!$L$2:$L$11,0))/100000),"")</f>
        <v/>
      </c>
      <c r="BO200" s="35" t="str">
        <f aca="false">IFERROR(IF(BH200="","",BH200*INDEX('00 - Lists'!$M$2:$M$11,MATCH(L200,'00 - Lists'!$L$2:$L$11,0))/100000),"")</f>
        <v/>
      </c>
      <c r="BP200" s="35" t="str">
        <f aca="false">IFERROR(IF(BI200="","",BI200*INDEX('00 - Lists'!$M$2:$M$11,MATCH(L200,'00 - Lists'!$L$2:$L$11,0))/100000),"")</f>
        <v/>
      </c>
      <c r="BS200" s="36" t="str">
        <f aca="false">IF(O200="","",IF(O200&gt;=20,"Yes","No"))</f>
        <v/>
      </c>
      <c r="BT200" s="36" t="str">
        <f aca="false">IF(O200="","",IF(O200&gt;=30,"Yes","No"))</f>
        <v/>
      </c>
      <c r="BU200" s="36" t="str">
        <f aca="false">IF(O200="","",IF(O200&gt;=75,"Yes","No"))</f>
        <v/>
      </c>
      <c r="BV200" s="36" t="str">
        <f aca="false">IF(O200="","",IF(O200&gt;=100,"Yes","No"))</f>
        <v/>
      </c>
      <c r="BW200" s="36" t="str">
        <f aca="false">IF(O200="","",IF(O200&gt;=150,"Yes","No"))</f>
        <v/>
      </c>
      <c r="BX200" s="36" t="str">
        <f aca="false">IF(O200="","",IF(O200&gt;=200,"Yes","No"))</f>
        <v/>
      </c>
      <c r="BY200" s="36" t="str">
        <f aca="false">IF(Q200="","",IF(Q200&gt;=150000,"Yes","No"))</f>
        <v/>
      </c>
      <c r="BZ200" s="36" t="str">
        <f aca="false">IF(Q200="","",IF(Q200&gt;=200000,"Yes","No"))</f>
        <v/>
      </c>
      <c r="CA200" s="36" t="str">
        <f aca="false">IF(Q200="","",IF(Q200&gt;=250000,"Yes","No"))</f>
        <v/>
      </c>
      <c r="CB200" s="36" t="str">
        <f aca="false">IF(Q200="","",IF(Q200&gt;=300000,"Yes","No"))</f>
        <v/>
      </c>
      <c r="CC200" s="37"/>
      <c r="CD200" s="36" t="str">
        <f aca="true">IF(B200="","",IF(TODAY()-B200&lt;=7,"🟢 0-7d",IF(TODAY()-B200&lt;=30,"🟡 8-30d",IF(TODAY()-B200&lt;=60,"🟠 31-60d","🔴 60d+"))))</f>
        <v/>
      </c>
      <c r="CE200" s="36" t="str">
        <f aca="false">IF(G200="","",IF(G200&lt;&gt;"USA","N/A - Not USA Role",IF(J200="Yes",IF(OR(F200="Intern",F200="New Grad"),"🟡 Possible","🟢 Strong"),IF(J200="No","🔴 Difficult","⚪ Unknown"))))</f>
        <v/>
      </c>
      <c r="CF200" s="37"/>
      <c r="CG200" s="37"/>
      <c r="CH200" s="38"/>
      <c r="CI200" s="38"/>
      <c r="CJ200" s="38"/>
      <c r="CK200" s="38"/>
    </row>
    <row r="201" customFormat="false" ht="15" hidden="false" customHeight="true" outlineLevel="0" collapsed="false">
      <c r="A201" s="26" t="str">
        <f aca="false">IF($C201="","",ROW()-3)</f>
        <v/>
      </c>
      <c r="B201" s="27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9"/>
      <c r="N201" s="29"/>
      <c r="O201" s="30" t="str">
        <f aca="false">IFERROR(IF(M201="","",M201*INDEX('00 - Lists'!$M$2:$M$11,MATCH(L201,'00 - Lists'!$L$2:$L$11,0))/100000),"")</f>
        <v/>
      </c>
      <c r="P201" s="30" t="str">
        <f aca="false">IFERROR(IF(N201="","",N201*INDEX('00 - Lists'!$M$2:$M$11,MATCH(L201,'00 - Lists'!$L$2:$L$11,0))/100000),"")</f>
        <v/>
      </c>
      <c r="Q201" s="31" t="str">
        <f aca="false">IFERROR(IF(M201="","",M201*INDEX('00 - Lists'!$N$2:$N$11,MATCH(L201,'00 - Lists'!$L$2:$L$11,0))),"")</f>
        <v/>
      </c>
      <c r="R201" s="31" t="str">
        <f aca="false">IFERROR(IF(N201="","",N201*INDEX('00 - Lists'!$N$2:$N$11,MATCH(L201,'00 - Lists'!$L$2:$L$11,0))),"")</f>
        <v/>
      </c>
      <c r="S201" s="32" t="str">
        <f aca="false">IF(O201="","",IF(O201&gt;=50,"Yes","No"))</f>
        <v/>
      </c>
      <c r="T201" s="32" t="str">
        <f aca="false">IF(Q201="","",IF(Q201&gt;=100000,"Yes","No"))</f>
        <v/>
      </c>
      <c r="U201" s="28"/>
      <c r="V201" s="28"/>
      <c r="W201" s="28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J201" s="34" t="str">
        <f aca="false">IF(OR($BD201&lt;&gt;"",$BF201&lt;&gt;"",$BH201&lt;&gt;""),"Yes","No")</f>
        <v>No</v>
      </c>
      <c r="BK201" s="35" t="str">
        <f aca="false">IFERROR(IF(BD201="","",BD201*INDEX('00 - Lists'!$M$2:$M$11,MATCH(L201,'00 - Lists'!$L$2:$L$11,0))/100000),"")</f>
        <v/>
      </c>
      <c r="BL201" s="35" t="str">
        <f aca="false">IFERROR(IF(BE201="","",BE201*INDEX('00 - Lists'!$M$2:$M$11,MATCH(L201,'00 - Lists'!$L$2:$L$11,0))/100000),"")</f>
        <v/>
      </c>
      <c r="BM201" s="35" t="str">
        <f aca="false">IFERROR(IF(BF201="","",BF201*INDEX('00 - Lists'!$M$2:$M$11,MATCH(L201,'00 - Lists'!$L$2:$L$11,0))/100000),"")</f>
        <v/>
      </c>
      <c r="BN201" s="35" t="str">
        <f aca="false">IFERROR(IF(BG201="","",BG201*INDEX('00 - Lists'!$M$2:$M$11,MATCH(L201,'00 - Lists'!$L$2:$L$11,0))/100000),"")</f>
        <v/>
      </c>
      <c r="BO201" s="35" t="str">
        <f aca="false">IFERROR(IF(BH201="","",BH201*INDEX('00 - Lists'!$M$2:$M$11,MATCH(L201,'00 - Lists'!$L$2:$L$11,0))/100000),"")</f>
        <v/>
      </c>
      <c r="BP201" s="35" t="str">
        <f aca="false">IFERROR(IF(BI201="","",BI201*INDEX('00 - Lists'!$M$2:$M$11,MATCH(L201,'00 - Lists'!$L$2:$L$11,0))/100000),"")</f>
        <v/>
      </c>
      <c r="BS201" s="36" t="str">
        <f aca="false">IF(O201="","",IF(O201&gt;=20,"Yes","No"))</f>
        <v/>
      </c>
      <c r="BT201" s="36" t="str">
        <f aca="false">IF(O201="","",IF(O201&gt;=30,"Yes","No"))</f>
        <v/>
      </c>
      <c r="BU201" s="36" t="str">
        <f aca="false">IF(O201="","",IF(O201&gt;=75,"Yes","No"))</f>
        <v/>
      </c>
      <c r="BV201" s="36" t="str">
        <f aca="false">IF(O201="","",IF(O201&gt;=100,"Yes","No"))</f>
        <v/>
      </c>
      <c r="BW201" s="36" t="str">
        <f aca="false">IF(O201="","",IF(O201&gt;=150,"Yes","No"))</f>
        <v/>
      </c>
      <c r="BX201" s="36" t="str">
        <f aca="false">IF(O201="","",IF(O201&gt;=200,"Yes","No"))</f>
        <v/>
      </c>
      <c r="BY201" s="36" t="str">
        <f aca="false">IF(Q201="","",IF(Q201&gt;=150000,"Yes","No"))</f>
        <v/>
      </c>
      <c r="BZ201" s="36" t="str">
        <f aca="false">IF(Q201="","",IF(Q201&gt;=200000,"Yes","No"))</f>
        <v/>
      </c>
      <c r="CA201" s="36" t="str">
        <f aca="false">IF(Q201="","",IF(Q201&gt;=250000,"Yes","No"))</f>
        <v/>
      </c>
      <c r="CB201" s="36" t="str">
        <f aca="false">IF(Q201="","",IF(Q201&gt;=300000,"Yes","No"))</f>
        <v/>
      </c>
      <c r="CC201" s="37"/>
      <c r="CD201" s="36" t="str">
        <f aca="true">IF(B201="","",IF(TODAY()-B201&lt;=7,"🟢 0-7d",IF(TODAY()-B201&lt;=30,"🟡 8-30d",IF(TODAY()-B201&lt;=60,"🟠 31-60d","🔴 60d+"))))</f>
        <v/>
      </c>
      <c r="CE201" s="36" t="str">
        <f aca="false">IF(G201="","",IF(G201&lt;&gt;"USA","N/A - Not USA Role",IF(J201="Yes",IF(OR(F201="Intern",F201="New Grad"),"🟡 Possible","🟢 Strong"),IF(J201="No","🔴 Difficult","⚪ Unknown"))))</f>
        <v/>
      </c>
      <c r="CF201" s="37"/>
      <c r="CG201" s="37"/>
      <c r="CH201" s="38"/>
      <c r="CI201" s="38"/>
      <c r="CJ201" s="38"/>
      <c r="CK201" s="38"/>
    </row>
    <row r="202" customFormat="false" ht="15" hidden="false" customHeight="true" outlineLevel="0" collapsed="false">
      <c r="A202" s="26" t="str">
        <f aca="false">IF($C202="","",ROW()-3)</f>
        <v/>
      </c>
      <c r="B202" s="27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9"/>
      <c r="N202" s="29"/>
      <c r="O202" s="30" t="str">
        <f aca="false">IFERROR(IF(M202="","",M202*INDEX('00 - Lists'!$M$2:$M$11,MATCH(L202,'00 - Lists'!$L$2:$L$11,0))/100000),"")</f>
        <v/>
      </c>
      <c r="P202" s="30" t="str">
        <f aca="false">IFERROR(IF(N202="","",N202*INDEX('00 - Lists'!$M$2:$M$11,MATCH(L202,'00 - Lists'!$L$2:$L$11,0))/100000),"")</f>
        <v/>
      </c>
      <c r="Q202" s="31" t="str">
        <f aca="false">IFERROR(IF(M202="","",M202*INDEX('00 - Lists'!$N$2:$N$11,MATCH(L202,'00 - Lists'!$L$2:$L$11,0))),"")</f>
        <v/>
      </c>
      <c r="R202" s="31" t="str">
        <f aca="false">IFERROR(IF(N202="","",N202*INDEX('00 - Lists'!$N$2:$N$11,MATCH(L202,'00 - Lists'!$L$2:$L$11,0))),"")</f>
        <v/>
      </c>
      <c r="S202" s="32" t="str">
        <f aca="false">IF(O202="","",IF(O202&gt;=50,"Yes","No"))</f>
        <v/>
      </c>
      <c r="T202" s="32" t="str">
        <f aca="false">IF(Q202="","",IF(Q202&gt;=100000,"Yes","No"))</f>
        <v/>
      </c>
      <c r="U202" s="28"/>
      <c r="V202" s="28"/>
      <c r="W202" s="28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J202" s="34" t="str">
        <f aca="false">IF(OR($BD202&lt;&gt;"",$BF202&lt;&gt;"",$BH202&lt;&gt;""),"Yes","No")</f>
        <v>No</v>
      </c>
      <c r="BK202" s="35" t="str">
        <f aca="false">IFERROR(IF(BD202="","",BD202*INDEX('00 - Lists'!$M$2:$M$11,MATCH(L202,'00 - Lists'!$L$2:$L$11,0))/100000),"")</f>
        <v/>
      </c>
      <c r="BL202" s="35" t="str">
        <f aca="false">IFERROR(IF(BE202="","",BE202*INDEX('00 - Lists'!$M$2:$M$11,MATCH(L202,'00 - Lists'!$L$2:$L$11,0))/100000),"")</f>
        <v/>
      </c>
      <c r="BM202" s="35" t="str">
        <f aca="false">IFERROR(IF(BF202="","",BF202*INDEX('00 - Lists'!$M$2:$M$11,MATCH(L202,'00 - Lists'!$L$2:$L$11,0))/100000),"")</f>
        <v/>
      </c>
      <c r="BN202" s="35" t="str">
        <f aca="false">IFERROR(IF(BG202="","",BG202*INDEX('00 - Lists'!$M$2:$M$11,MATCH(L202,'00 - Lists'!$L$2:$L$11,0))/100000),"")</f>
        <v/>
      </c>
      <c r="BO202" s="35" t="str">
        <f aca="false">IFERROR(IF(BH202="","",BH202*INDEX('00 - Lists'!$M$2:$M$11,MATCH(L202,'00 - Lists'!$L$2:$L$11,0))/100000),"")</f>
        <v/>
      </c>
      <c r="BP202" s="35" t="str">
        <f aca="false">IFERROR(IF(BI202="","",BI202*INDEX('00 - Lists'!$M$2:$M$11,MATCH(L202,'00 - Lists'!$L$2:$L$11,0))/100000),"")</f>
        <v/>
      </c>
      <c r="BS202" s="36" t="str">
        <f aca="false">IF(O202="","",IF(O202&gt;=20,"Yes","No"))</f>
        <v/>
      </c>
      <c r="BT202" s="36" t="str">
        <f aca="false">IF(O202="","",IF(O202&gt;=30,"Yes","No"))</f>
        <v/>
      </c>
      <c r="BU202" s="36" t="str">
        <f aca="false">IF(O202="","",IF(O202&gt;=75,"Yes","No"))</f>
        <v/>
      </c>
      <c r="BV202" s="36" t="str">
        <f aca="false">IF(O202="","",IF(O202&gt;=100,"Yes","No"))</f>
        <v/>
      </c>
      <c r="BW202" s="36" t="str">
        <f aca="false">IF(O202="","",IF(O202&gt;=150,"Yes","No"))</f>
        <v/>
      </c>
      <c r="BX202" s="36" t="str">
        <f aca="false">IF(O202="","",IF(O202&gt;=200,"Yes","No"))</f>
        <v/>
      </c>
      <c r="BY202" s="36" t="str">
        <f aca="false">IF(Q202="","",IF(Q202&gt;=150000,"Yes","No"))</f>
        <v/>
      </c>
      <c r="BZ202" s="36" t="str">
        <f aca="false">IF(Q202="","",IF(Q202&gt;=200000,"Yes","No"))</f>
        <v/>
      </c>
      <c r="CA202" s="36" t="str">
        <f aca="false">IF(Q202="","",IF(Q202&gt;=250000,"Yes","No"))</f>
        <v/>
      </c>
      <c r="CB202" s="36" t="str">
        <f aca="false">IF(Q202="","",IF(Q202&gt;=300000,"Yes","No"))</f>
        <v/>
      </c>
      <c r="CC202" s="37"/>
      <c r="CD202" s="36" t="str">
        <f aca="true">IF(B202="","",IF(TODAY()-B202&lt;=7,"🟢 0-7d",IF(TODAY()-B202&lt;=30,"🟡 8-30d",IF(TODAY()-B202&lt;=60,"🟠 31-60d","🔴 60d+"))))</f>
        <v/>
      </c>
      <c r="CE202" s="36" t="str">
        <f aca="false">IF(G202="","",IF(G202&lt;&gt;"USA","N/A - Not USA Role",IF(J202="Yes",IF(OR(F202="Intern",F202="New Grad"),"🟡 Possible","🟢 Strong"),IF(J202="No","🔴 Difficult","⚪ Unknown"))))</f>
        <v/>
      </c>
      <c r="CF202" s="37"/>
      <c r="CG202" s="37"/>
      <c r="CH202" s="38"/>
      <c r="CI202" s="38"/>
      <c r="CJ202" s="38"/>
      <c r="CK202" s="38"/>
    </row>
    <row r="203" customFormat="false" ht="15" hidden="false" customHeight="true" outlineLevel="0" collapsed="false">
      <c r="A203" s="26" t="str">
        <f aca="false">IF($C203="","",ROW()-3)</f>
        <v/>
      </c>
      <c r="B203" s="27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9"/>
      <c r="N203" s="29"/>
      <c r="O203" s="30" t="str">
        <f aca="false">IFERROR(IF(M203="","",M203*INDEX('00 - Lists'!$M$2:$M$11,MATCH(L203,'00 - Lists'!$L$2:$L$11,0))/100000),"")</f>
        <v/>
      </c>
      <c r="P203" s="30" t="str">
        <f aca="false">IFERROR(IF(N203="","",N203*INDEX('00 - Lists'!$M$2:$M$11,MATCH(L203,'00 - Lists'!$L$2:$L$11,0))/100000),"")</f>
        <v/>
      </c>
      <c r="Q203" s="31" t="str">
        <f aca="false">IFERROR(IF(M203="","",M203*INDEX('00 - Lists'!$N$2:$N$11,MATCH(L203,'00 - Lists'!$L$2:$L$11,0))),"")</f>
        <v/>
      </c>
      <c r="R203" s="31" t="str">
        <f aca="false">IFERROR(IF(N203="","",N203*INDEX('00 - Lists'!$N$2:$N$11,MATCH(L203,'00 - Lists'!$L$2:$L$11,0))),"")</f>
        <v/>
      </c>
      <c r="S203" s="32" t="str">
        <f aca="false">IF(O203="","",IF(O203&gt;=50,"Yes","No"))</f>
        <v/>
      </c>
      <c r="T203" s="32" t="str">
        <f aca="false">IF(Q203="","",IF(Q203&gt;=100000,"Yes","No"))</f>
        <v/>
      </c>
      <c r="U203" s="28"/>
      <c r="V203" s="28"/>
      <c r="W203" s="28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J203" s="34" t="str">
        <f aca="false">IF(OR($BD203&lt;&gt;"",$BF203&lt;&gt;"",$BH203&lt;&gt;""),"Yes","No")</f>
        <v>No</v>
      </c>
      <c r="BK203" s="35" t="str">
        <f aca="false">IFERROR(IF(BD203="","",BD203*INDEX('00 - Lists'!$M$2:$M$11,MATCH(L203,'00 - Lists'!$L$2:$L$11,0))/100000),"")</f>
        <v/>
      </c>
      <c r="BL203" s="35" t="str">
        <f aca="false">IFERROR(IF(BE203="","",BE203*INDEX('00 - Lists'!$M$2:$M$11,MATCH(L203,'00 - Lists'!$L$2:$L$11,0))/100000),"")</f>
        <v/>
      </c>
      <c r="BM203" s="35" t="str">
        <f aca="false">IFERROR(IF(BF203="","",BF203*INDEX('00 - Lists'!$M$2:$M$11,MATCH(L203,'00 - Lists'!$L$2:$L$11,0))/100000),"")</f>
        <v/>
      </c>
      <c r="BN203" s="35" t="str">
        <f aca="false">IFERROR(IF(BG203="","",BG203*INDEX('00 - Lists'!$M$2:$M$11,MATCH(L203,'00 - Lists'!$L$2:$L$11,0))/100000),"")</f>
        <v/>
      </c>
      <c r="BO203" s="35" t="str">
        <f aca="false">IFERROR(IF(BH203="","",BH203*INDEX('00 - Lists'!$M$2:$M$11,MATCH(L203,'00 - Lists'!$L$2:$L$11,0))/100000),"")</f>
        <v/>
      </c>
      <c r="BP203" s="35" t="str">
        <f aca="false">IFERROR(IF(BI203="","",BI203*INDEX('00 - Lists'!$M$2:$M$11,MATCH(L203,'00 - Lists'!$L$2:$L$11,0))/100000),"")</f>
        <v/>
      </c>
      <c r="BS203" s="36" t="str">
        <f aca="false">IF(O203="","",IF(O203&gt;=20,"Yes","No"))</f>
        <v/>
      </c>
      <c r="BT203" s="36" t="str">
        <f aca="false">IF(O203="","",IF(O203&gt;=30,"Yes","No"))</f>
        <v/>
      </c>
      <c r="BU203" s="36" t="str">
        <f aca="false">IF(O203="","",IF(O203&gt;=75,"Yes","No"))</f>
        <v/>
      </c>
      <c r="BV203" s="36" t="str">
        <f aca="false">IF(O203="","",IF(O203&gt;=100,"Yes","No"))</f>
        <v/>
      </c>
      <c r="BW203" s="36" t="str">
        <f aca="false">IF(O203="","",IF(O203&gt;=150,"Yes","No"))</f>
        <v/>
      </c>
      <c r="BX203" s="36" t="str">
        <f aca="false">IF(O203="","",IF(O203&gt;=200,"Yes","No"))</f>
        <v/>
      </c>
      <c r="BY203" s="36" t="str">
        <f aca="false">IF(Q203="","",IF(Q203&gt;=150000,"Yes","No"))</f>
        <v/>
      </c>
      <c r="BZ203" s="36" t="str">
        <f aca="false">IF(Q203="","",IF(Q203&gt;=200000,"Yes","No"))</f>
        <v/>
      </c>
      <c r="CA203" s="36" t="str">
        <f aca="false">IF(Q203="","",IF(Q203&gt;=250000,"Yes","No"))</f>
        <v/>
      </c>
      <c r="CB203" s="36" t="str">
        <f aca="false">IF(Q203="","",IF(Q203&gt;=300000,"Yes","No"))</f>
        <v/>
      </c>
      <c r="CC203" s="37"/>
      <c r="CD203" s="36" t="str">
        <f aca="true">IF(B203="","",IF(TODAY()-B203&lt;=7,"🟢 0-7d",IF(TODAY()-B203&lt;=30,"🟡 8-30d",IF(TODAY()-B203&lt;=60,"🟠 31-60d","🔴 60d+"))))</f>
        <v/>
      </c>
      <c r="CE203" s="36" t="str">
        <f aca="false">IF(G203="","",IF(G203&lt;&gt;"USA","N/A - Not USA Role",IF(J203="Yes",IF(OR(F203="Intern",F203="New Grad"),"🟡 Possible","🟢 Strong"),IF(J203="No","🔴 Difficult","⚪ Unknown"))))</f>
        <v/>
      </c>
      <c r="CF203" s="37"/>
      <c r="CG203" s="37"/>
      <c r="CH203" s="38"/>
      <c r="CI203" s="38"/>
      <c r="CJ203" s="38"/>
      <c r="CK203" s="38"/>
    </row>
    <row r="204" customFormat="false" ht="15" hidden="false" customHeight="true" outlineLevel="0" collapsed="false">
      <c r="A204" s="26" t="str">
        <f aca="false">IF($C204="","",ROW()-3)</f>
        <v/>
      </c>
      <c r="B204" s="27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9"/>
      <c r="N204" s="29"/>
      <c r="O204" s="30" t="str">
        <f aca="false">IFERROR(IF(M204="","",M204*INDEX('00 - Lists'!$M$2:$M$11,MATCH(L204,'00 - Lists'!$L$2:$L$11,0))/100000),"")</f>
        <v/>
      </c>
      <c r="P204" s="30" t="str">
        <f aca="false">IFERROR(IF(N204="","",N204*INDEX('00 - Lists'!$M$2:$M$11,MATCH(L204,'00 - Lists'!$L$2:$L$11,0))/100000),"")</f>
        <v/>
      </c>
      <c r="Q204" s="31" t="str">
        <f aca="false">IFERROR(IF(M204="","",M204*INDEX('00 - Lists'!$N$2:$N$11,MATCH(L204,'00 - Lists'!$L$2:$L$11,0))),"")</f>
        <v/>
      </c>
      <c r="R204" s="31" t="str">
        <f aca="false">IFERROR(IF(N204="","",N204*INDEX('00 - Lists'!$N$2:$N$11,MATCH(L204,'00 - Lists'!$L$2:$L$11,0))),"")</f>
        <v/>
      </c>
      <c r="S204" s="32" t="str">
        <f aca="false">IF(O204="","",IF(O204&gt;=50,"Yes","No"))</f>
        <v/>
      </c>
      <c r="T204" s="32" t="str">
        <f aca="false">IF(Q204="","",IF(Q204&gt;=100000,"Yes","No"))</f>
        <v/>
      </c>
      <c r="U204" s="28"/>
      <c r="V204" s="28"/>
      <c r="W204" s="28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J204" s="34" t="str">
        <f aca="false">IF(OR($BD204&lt;&gt;"",$BF204&lt;&gt;"",$BH204&lt;&gt;""),"Yes","No")</f>
        <v>No</v>
      </c>
      <c r="BK204" s="35" t="str">
        <f aca="false">IFERROR(IF(BD204="","",BD204*INDEX('00 - Lists'!$M$2:$M$11,MATCH(L204,'00 - Lists'!$L$2:$L$11,0))/100000),"")</f>
        <v/>
      </c>
      <c r="BL204" s="35" t="str">
        <f aca="false">IFERROR(IF(BE204="","",BE204*INDEX('00 - Lists'!$M$2:$M$11,MATCH(L204,'00 - Lists'!$L$2:$L$11,0))/100000),"")</f>
        <v/>
      </c>
      <c r="BM204" s="35" t="str">
        <f aca="false">IFERROR(IF(BF204="","",BF204*INDEX('00 - Lists'!$M$2:$M$11,MATCH(L204,'00 - Lists'!$L$2:$L$11,0))/100000),"")</f>
        <v/>
      </c>
      <c r="BN204" s="35" t="str">
        <f aca="false">IFERROR(IF(BG204="","",BG204*INDEX('00 - Lists'!$M$2:$M$11,MATCH(L204,'00 - Lists'!$L$2:$L$11,0))/100000),"")</f>
        <v/>
      </c>
      <c r="BO204" s="35" t="str">
        <f aca="false">IFERROR(IF(BH204="","",BH204*INDEX('00 - Lists'!$M$2:$M$11,MATCH(L204,'00 - Lists'!$L$2:$L$11,0))/100000),"")</f>
        <v/>
      </c>
      <c r="BP204" s="35" t="str">
        <f aca="false">IFERROR(IF(BI204="","",BI204*INDEX('00 - Lists'!$M$2:$M$11,MATCH(L204,'00 - Lists'!$L$2:$L$11,0))/100000),"")</f>
        <v/>
      </c>
      <c r="BS204" s="36" t="str">
        <f aca="false">IF(O204="","",IF(O204&gt;=20,"Yes","No"))</f>
        <v/>
      </c>
      <c r="BT204" s="36" t="str">
        <f aca="false">IF(O204="","",IF(O204&gt;=30,"Yes","No"))</f>
        <v/>
      </c>
      <c r="BU204" s="36" t="str">
        <f aca="false">IF(O204="","",IF(O204&gt;=75,"Yes","No"))</f>
        <v/>
      </c>
      <c r="BV204" s="36" t="str">
        <f aca="false">IF(O204="","",IF(O204&gt;=100,"Yes","No"))</f>
        <v/>
      </c>
      <c r="BW204" s="36" t="str">
        <f aca="false">IF(O204="","",IF(O204&gt;=150,"Yes","No"))</f>
        <v/>
      </c>
      <c r="BX204" s="36" t="str">
        <f aca="false">IF(O204="","",IF(O204&gt;=200,"Yes","No"))</f>
        <v/>
      </c>
      <c r="BY204" s="36" t="str">
        <f aca="false">IF(Q204="","",IF(Q204&gt;=150000,"Yes","No"))</f>
        <v/>
      </c>
      <c r="BZ204" s="36" t="str">
        <f aca="false">IF(Q204="","",IF(Q204&gt;=200000,"Yes","No"))</f>
        <v/>
      </c>
      <c r="CA204" s="36" t="str">
        <f aca="false">IF(Q204="","",IF(Q204&gt;=250000,"Yes","No"))</f>
        <v/>
      </c>
      <c r="CB204" s="36" t="str">
        <f aca="false">IF(Q204="","",IF(Q204&gt;=300000,"Yes","No"))</f>
        <v/>
      </c>
      <c r="CC204" s="37"/>
      <c r="CD204" s="36" t="str">
        <f aca="true">IF(B204="","",IF(TODAY()-B204&lt;=7,"🟢 0-7d",IF(TODAY()-B204&lt;=30,"🟡 8-30d",IF(TODAY()-B204&lt;=60,"🟠 31-60d","🔴 60d+"))))</f>
        <v/>
      </c>
      <c r="CE204" s="36" t="str">
        <f aca="false">IF(G204="","",IF(G204&lt;&gt;"USA","N/A - Not USA Role",IF(J204="Yes",IF(OR(F204="Intern",F204="New Grad"),"🟡 Possible","🟢 Strong"),IF(J204="No","🔴 Difficult","⚪ Unknown"))))</f>
        <v/>
      </c>
      <c r="CF204" s="37"/>
      <c r="CG204" s="37"/>
      <c r="CH204" s="38"/>
      <c r="CI204" s="38"/>
      <c r="CJ204" s="38"/>
      <c r="CK204" s="38"/>
    </row>
    <row r="205" customFormat="false" ht="15" hidden="false" customHeight="true" outlineLevel="0" collapsed="false">
      <c r="A205" s="26" t="str">
        <f aca="false">IF($C205="","",ROW()-3)</f>
        <v/>
      </c>
      <c r="B205" s="27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9"/>
      <c r="N205" s="29"/>
      <c r="O205" s="30" t="str">
        <f aca="false">IFERROR(IF(M205="","",M205*INDEX('00 - Lists'!$M$2:$M$11,MATCH(L205,'00 - Lists'!$L$2:$L$11,0))/100000),"")</f>
        <v/>
      </c>
      <c r="P205" s="30" t="str">
        <f aca="false">IFERROR(IF(N205="","",N205*INDEX('00 - Lists'!$M$2:$M$11,MATCH(L205,'00 - Lists'!$L$2:$L$11,0))/100000),"")</f>
        <v/>
      </c>
      <c r="Q205" s="31" t="str">
        <f aca="false">IFERROR(IF(M205="","",M205*INDEX('00 - Lists'!$N$2:$N$11,MATCH(L205,'00 - Lists'!$L$2:$L$11,0))),"")</f>
        <v/>
      </c>
      <c r="R205" s="31" t="str">
        <f aca="false">IFERROR(IF(N205="","",N205*INDEX('00 - Lists'!$N$2:$N$11,MATCH(L205,'00 - Lists'!$L$2:$L$11,0))),"")</f>
        <v/>
      </c>
      <c r="S205" s="32" t="str">
        <f aca="false">IF(O205="","",IF(O205&gt;=50,"Yes","No"))</f>
        <v/>
      </c>
      <c r="T205" s="32" t="str">
        <f aca="false">IF(Q205="","",IF(Q205&gt;=100000,"Yes","No"))</f>
        <v/>
      </c>
      <c r="U205" s="28"/>
      <c r="V205" s="28"/>
      <c r="W205" s="28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J205" s="34" t="str">
        <f aca="false">IF(OR($BD205&lt;&gt;"",$BF205&lt;&gt;"",$BH205&lt;&gt;""),"Yes","No")</f>
        <v>No</v>
      </c>
      <c r="BK205" s="35" t="str">
        <f aca="false">IFERROR(IF(BD205="","",BD205*INDEX('00 - Lists'!$M$2:$M$11,MATCH(L205,'00 - Lists'!$L$2:$L$11,0))/100000),"")</f>
        <v/>
      </c>
      <c r="BL205" s="35" t="str">
        <f aca="false">IFERROR(IF(BE205="","",BE205*INDEX('00 - Lists'!$M$2:$M$11,MATCH(L205,'00 - Lists'!$L$2:$L$11,0))/100000),"")</f>
        <v/>
      </c>
      <c r="BM205" s="35" t="str">
        <f aca="false">IFERROR(IF(BF205="","",BF205*INDEX('00 - Lists'!$M$2:$M$11,MATCH(L205,'00 - Lists'!$L$2:$L$11,0))/100000),"")</f>
        <v/>
      </c>
      <c r="BN205" s="35" t="str">
        <f aca="false">IFERROR(IF(BG205="","",BG205*INDEX('00 - Lists'!$M$2:$M$11,MATCH(L205,'00 - Lists'!$L$2:$L$11,0))/100000),"")</f>
        <v/>
      </c>
      <c r="BO205" s="35" t="str">
        <f aca="false">IFERROR(IF(BH205="","",BH205*INDEX('00 - Lists'!$M$2:$M$11,MATCH(L205,'00 - Lists'!$L$2:$L$11,0))/100000),"")</f>
        <v/>
      </c>
      <c r="BP205" s="35" t="str">
        <f aca="false">IFERROR(IF(BI205="","",BI205*INDEX('00 - Lists'!$M$2:$M$11,MATCH(L205,'00 - Lists'!$L$2:$L$11,0))/100000),"")</f>
        <v/>
      </c>
      <c r="BS205" s="36" t="str">
        <f aca="false">IF(O205="","",IF(O205&gt;=20,"Yes","No"))</f>
        <v/>
      </c>
      <c r="BT205" s="36" t="str">
        <f aca="false">IF(O205="","",IF(O205&gt;=30,"Yes","No"))</f>
        <v/>
      </c>
      <c r="BU205" s="36" t="str">
        <f aca="false">IF(O205="","",IF(O205&gt;=75,"Yes","No"))</f>
        <v/>
      </c>
      <c r="BV205" s="36" t="str">
        <f aca="false">IF(O205="","",IF(O205&gt;=100,"Yes","No"))</f>
        <v/>
      </c>
      <c r="BW205" s="36" t="str">
        <f aca="false">IF(O205="","",IF(O205&gt;=150,"Yes","No"))</f>
        <v/>
      </c>
      <c r="BX205" s="36" t="str">
        <f aca="false">IF(O205="","",IF(O205&gt;=200,"Yes","No"))</f>
        <v/>
      </c>
      <c r="BY205" s="36" t="str">
        <f aca="false">IF(Q205="","",IF(Q205&gt;=150000,"Yes","No"))</f>
        <v/>
      </c>
      <c r="BZ205" s="36" t="str">
        <f aca="false">IF(Q205="","",IF(Q205&gt;=200000,"Yes","No"))</f>
        <v/>
      </c>
      <c r="CA205" s="36" t="str">
        <f aca="false">IF(Q205="","",IF(Q205&gt;=250000,"Yes","No"))</f>
        <v/>
      </c>
      <c r="CB205" s="36" t="str">
        <f aca="false">IF(Q205="","",IF(Q205&gt;=300000,"Yes","No"))</f>
        <v/>
      </c>
      <c r="CC205" s="37"/>
      <c r="CD205" s="36" t="str">
        <f aca="true">IF(B205="","",IF(TODAY()-B205&lt;=7,"🟢 0-7d",IF(TODAY()-B205&lt;=30,"🟡 8-30d",IF(TODAY()-B205&lt;=60,"🟠 31-60d","🔴 60d+"))))</f>
        <v/>
      </c>
      <c r="CE205" s="36" t="str">
        <f aca="false">IF(G205="","",IF(G205&lt;&gt;"USA","N/A - Not USA Role",IF(J205="Yes",IF(OR(F205="Intern",F205="New Grad"),"🟡 Possible","🟢 Strong"),IF(J205="No","🔴 Difficult","⚪ Unknown"))))</f>
        <v/>
      </c>
      <c r="CF205" s="37"/>
      <c r="CG205" s="37"/>
      <c r="CH205" s="38"/>
      <c r="CI205" s="38"/>
      <c r="CJ205" s="38"/>
      <c r="CK205" s="38"/>
    </row>
    <row r="206" customFormat="false" ht="15" hidden="false" customHeight="true" outlineLevel="0" collapsed="false">
      <c r="A206" s="26" t="str">
        <f aca="false">IF($C206="","",ROW()-3)</f>
        <v/>
      </c>
      <c r="B206" s="27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9"/>
      <c r="N206" s="29"/>
      <c r="O206" s="30" t="str">
        <f aca="false">IFERROR(IF(M206="","",M206*INDEX('00 - Lists'!$M$2:$M$11,MATCH(L206,'00 - Lists'!$L$2:$L$11,0))/100000),"")</f>
        <v/>
      </c>
      <c r="P206" s="30" t="str">
        <f aca="false">IFERROR(IF(N206="","",N206*INDEX('00 - Lists'!$M$2:$M$11,MATCH(L206,'00 - Lists'!$L$2:$L$11,0))/100000),"")</f>
        <v/>
      </c>
      <c r="Q206" s="31" t="str">
        <f aca="false">IFERROR(IF(M206="","",M206*INDEX('00 - Lists'!$N$2:$N$11,MATCH(L206,'00 - Lists'!$L$2:$L$11,0))),"")</f>
        <v/>
      </c>
      <c r="R206" s="31" t="str">
        <f aca="false">IFERROR(IF(N206="","",N206*INDEX('00 - Lists'!$N$2:$N$11,MATCH(L206,'00 - Lists'!$L$2:$L$11,0))),"")</f>
        <v/>
      </c>
      <c r="S206" s="32" t="str">
        <f aca="false">IF(O206="","",IF(O206&gt;=50,"Yes","No"))</f>
        <v/>
      </c>
      <c r="T206" s="32" t="str">
        <f aca="false">IF(Q206="","",IF(Q206&gt;=100000,"Yes","No"))</f>
        <v/>
      </c>
      <c r="U206" s="28"/>
      <c r="V206" s="28"/>
      <c r="W206" s="28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J206" s="34" t="str">
        <f aca="false">IF(OR($BD206&lt;&gt;"",$BF206&lt;&gt;"",$BH206&lt;&gt;""),"Yes","No")</f>
        <v>No</v>
      </c>
      <c r="BK206" s="35" t="str">
        <f aca="false">IFERROR(IF(BD206="","",BD206*INDEX('00 - Lists'!$M$2:$M$11,MATCH(L206,'00 - Lists'!$L$2:$L$11,0))/100000),"")</f>
        <v/>
      </c>
      <c r="BL206" s="35" t="str">
        <f aca="false">IFERROR(IF(BE206="","",BE206*INDEX('00 - Lists'!$M$2:$M$11,MATCH(L206,'00 - Lists'!$L$2:$L$11,0))/100000),"")</f>
        <v/>
      </c>
      <c r="BM206" s="35" t="str">
        <f aca="false">IFERROR(IF(BF206="","",BF206*INDEX('00 - Lists'!$M$2:$M$11,MATCH(L206,'00 - Lists'!$L$2:$L$11,0))/100000),"")</f>
        <v/>
      </c>
      <c r="BN206" s="35" t="str">
        <f aca="false">IFERROR(IF(BG206="","",BG206*INDEX('00 - Lists'!$M$2:$M$11,MATCH(L206,'00 - Lists'!$L$2:$L$11,0))/100000),"")</f>
        <v/>
      </c>
      <c r="BO206" s="35" t="str">
        <f aca="false">IFERROR(IF(BH206="","",BH206*INDEX('00 - Lists'!$M$2:$M$11,MATCH(L206,'00 - Lists'!$L$2:$L$11,0))/100000),"")</f>
        <v/>
      </c>
      <c r="BP206" s="35" t="str">
        <f aca="false">IFERROR(IF(BI206="","",BI206*INDEX('00 - Lists'!$M$2:$M$11,MATCH(L206,'00 - Lists'!$L$2:$L$11,0))/100000),"")</f>
        <v/>
      </c>
      <c r="BS206" s="36" t="str">
        <f aca="false">IF(O206="","",IF(O206&gt;=20,"Yes","No"))</f>
        <v/>
      </c>
      <c r="BT206" s="36" t="str">
        <f aca="false">IF(O206="","",IF(O206&gt;=30,"Yes","No"))</f>
        <v/>
      </c>
      <c r="BU206" s="36" t="str">
        <f aca="false">IF(O206="","",IF(O206&gt;=75,"Yes","No"))</f>
        <v/>
      </c>
      <c r="BV206" s="36" t="str">
        <f aca="false">IF(O206="","",IF(O206&gt;=100,"Yes","No"))</f>
        <v/>
      </c>
      <c r="BW206" s="36" t="str">
        <f aca="false">IF(O206="","",IF(O206&gt;=150,"Yes","No"))</f>
        <v/>
      </c>
      <c r="BX206" s="36" t="str">
        <f aca="false">IF(O206="","",IF(O206&gt;=200,"Yes","No"))</f>
        <v/>
      </c>
      <c r="BY206" s="36" t="str">
        <f aca="false">IF(Q206="","",IF(Q206&gt;=150000,"Yes","No"))</f>
        <v/>
      </c>
      <c r="BZ206" s="36" t="str">
        <f aca="false">IF(Q206="","",IF(Q206&gt;=200000,"Yes","No"))</f>
        <v/>
      </c>
      <c r="CA206" s="36" t="str">
        <f aca="false">IF(Q206="","",IF(Q206&gt;=250000,"Yes","No"))</f>
        <v/>
      </c>
      <c r="CB206" s="36" t="str">
        <f aca="false">IF(Q206="","",IF(Q206&gt;=300000,"Yes","No"))</f>
        <v/>
      </c>
      <c r="CC206" s="37"/>
      <c r="CD206" s="36" t="str">
        <f aca="true">IF(B206="","",IF(TODAY()-B206&lt;=7,"🟢 0-7d",IF(TODAY()-B206&lt;=30,"🟡 8-30d",IF(TODAY()-B206&lt;=60,"🟠 31-60d","🔴 60d+"))))</f>
        <v/>
      </c>
      <c r="CE206" s="36" t="str">
        <f aca="false">IF(G206="","",IF(G206&lt;&gt;"USA","N/A - Not USA Role",IF(J206="Yes",IF(OR(F206="Intern",F206="New Grad"),"🟡 Possible","🟢 Strong"),IF(J206="No","🔴 Difficult","⚪ Unknown"))))</f>
        <v/>
      </c>
      <c r="CF206" s="37"/>
      <c r="CG206" s="37"/>
      <c r="CH206" s="38"/>
      <c r="CI206" s="38"/>
      <c r="CJ206" s="38"/>
      <c r="CK206" s="38"/>
    </row>
    <row r="207" customFormat="false" ht="15" hidden="false" customHeight="true" outlineLevel="0" collapsed="false">
      <c r="A207" s="26" t="str">
        <f aca="false">IF($C207="","",ROW()-3)</f>
        <v/>
      </c>
      <c r="B207" s="27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9"/>
      <c r="N207" s="29"/>
      <c r="O207" s="30" t="str">
        <f aca="false">IFERROR(IF(M207="","",M207*INDEX('00 - Lists'!$M$2:$M$11,MATCH(L207,'00 - Lists'!$L$2:$L$11,0))/100000),"")</f>
        <v/>
      </c>
      <c r="P207" s="30" t="str">
        <f aca="false">IFERROR(IF(N207="","",N207*INDEX('00 - Lists'!$M$2:$M$11,MATCH(L207,'00 - Lists'!$L$2:$L$11,0))/100000),"")</f>
        <v/>
      </c>
      <c r="Q207" s="31" t="str">
        <f aca="false">IFERROR(IF(M207="","",M207*INDEX('00 - Lists'!$N$2:$N$11,MATCH(L207,'00 - Lists'!$L$2:$L$11,0))),"")</f>
        <v/>
      </c>
      <c r="R207" s="31" t="str">
        <f aca="false">IFERROR(IF(N207="","",N207*INDEX('00 - Lists'!$N$2:$N$11,MATCH(L207,'00 - Lists'!$L$2:$L$11,0))),"")</f>
        <v/>
      </c>
      <c r="S207" s="32" t="str">
        <f aca="false">IF(O207="","",IF(O207&gt;=50,"Yes","No"))</f>
        <v/>
      </c>
      <c r="T207" s="32" t="str">
        <f aca="false">IF(Q207="","",IF(Q207&gt;=100000,"Yes","No"))</f>
        <v/>
      </c>
      <c r="U207" s="28"/>
      <c r="V207" s="28"/>
      <c r="W207" s="28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J207" s="34" t="str">
        <f aca="false">IF(OR($BD207&lt;&gt;"",$BF207&lt;&gt;"",$BH207&lt;&gt;""),"Yes","No")</f>
        <v>No</v>
      </c>
      <c r="BK207" s="35" t="str">
        <f aca="false">IFERROR(IF(BD207="","",BD207*INDEX('00 - Lists'!$M$2:$M$11,MATCH(L207,'00 - Lists'!$L$2:$L$11,0))/100000),"")</f>
        <v/>
      </c>
      <c r="BL207" s="35" t="str">
        <f aca="false">IFERROR(IF(BE207="","",BE207*INDEX('00 - Lists'!$M$2:$M$11,MATCH(L207,'00 - Lists'!$L$2:$L$11,0))/100000),"")</f>
        <v/>
      </c>
      <c r="BM207" s="35" t="str">
        <f aca="false">IFERROR(IF(BF207="","",BF207*INDEX('00 - Lists'!$M$2:$M$11,MATCH(L207,'00 - Lists'!$L$2:$L$11,0))/100000),"")</f>
        <v/>
      </c>
      <c r="BN207" s="35" t="str">
        <f aca="false">IFERROR(IF(BG207="","",BG207*INDEX('00 - Lists'!$M$2:$M$11,MATCH(L207,'00 - Lists'!$L$2:$L$11,0))/100000),"")</f>
        <v/>
      </c>
      <c r="BO207" s="35" t="str">
        <f aca="false">IFERROR(IF(BH207="","",BH207*INDEX('00 - Lists'!$M$2:$M$11,MATCH(L207,'00 - Lists'!$L$2:$L$11,0))/100000),"")</f>
        <v/>
      </c>
      <c r="BP207" s="35" t="str">
        <f aca="false">IFERROR(IF(BI207="","",BI207*INDEX('00 - Lists'!$M$2:$M$11,MATCH(L207,'00 - Lists'!$L$2:$L$11,0))/100000),"")</f>
        <v/>
      </c>
      <c r="BS207" s="36" t="str">
        <f aca="false">IF(O207="","",IF(O207&gt;=20,"Yes","No"))</f>
        <v/>
      </c>
      <c r="BT207" s="36" t="str">
        <f aca="false">IF(O207="","",IF(O207&gt;=30,"Yes","No"))</f>
        <v/>
      </c>
      <c r="BU207" s="36" t="str">
        <f aca="false">IF(O207="","",IF(O207&gt;=75,"Yes","No"))</f>
        <v/>
      </c>
      <c r="BV207" s="36" t="str">
        <f aca="false">IF(O207="","",IF(O207&gt;=100,"Yes","No"))</f>
        <v/>
      </c>
      <c r="BW207" s="36" t="str">
        <f aca="false">IF(O207="","",IF(O207&gt;=150,"Yes","No"))</f>
        <v/>
      </c>
      <c r="BX207" s="36" t="str">
        <f aca="false">IF(O207="","",IF(O207&gt;=200,"Yes","No"))</f>
        <v/>
      </c>
      <c r="BY207" s="36" t="str">
        <f aca="false">IF(Q207="","",IF(Q207&gt;=150000,"Yes","No"))</f>
        <v/>
      </c>
      <c r="BZ207" s="36" t="str">
        <f aca="false">IF(Q207="","",IF(Q207&gt;=200000,"Yes","No"))</f>
        <v/>
      </c>
      <c r="CA207" s="36" t="str">
        <f aca="false">IF(Q207="","",IF(Q207&gt;=250000,"Yes","No"))</f>
        <v/>
      </c>
      <c r="CB207" s="36" t="str">
        <f aca="false">IF(Q207="","",IF(Q207&gt;=300000,"Yes","No"))</f>
        <v/>
      </c>
      <c r="CC207" s="37"/>
      <c r="CD207" s="36" t="str">
        <f aca="true">IF(B207="","",IF(TODAY()-B207&lt;=7,"🟢 0-7d",IF(TODAY()-B207&lt;=30,"🟡 8-30d",IF(TODAY()-B207&lt;=60,"🟠 31-60d","🔴 60d+"))))</f>
        <v/>
      </c>
      <c r="CE207" s="36" t="str">
        <f aca="false">IF(G207="","",IF(G207&lt;&gt;"USA","N/A - Not USA Role",IF(J207="Yes",IF(OR(F207="Intern",F207="New Grad"),"🟡 Possible","🟢 Strong"),IF(J207="No","🔴 Difficult","⚪ Unknown"))))</f>
        <v/>
      </c>
      <c r="CF207" s="37"/>
      <c r="CG207" s="37"/>
      <c r="CH207" s="38"/>
      <c r="CI207" s="38"/>
      <c r="CJ207" s="38"/>
      <c r="CK207" s="38"/>
    </row>
    <row r="208" customFormat="false" ht="15" hidden="false" customHeight="true" outlineLevel="0" collapsed="false">
      <c r="A208" s="26" t="str">
        <f aca="false">IF($C208="","",ROW()-3)</f>
        <v/>
      </c>
      <c r="B208" s="27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9"/>
      <c r="N208" s="29"/>
      <c r="O208" s="30" t="str">
        <f aca="false">IFERROR(IF(M208="","",M208*INDEX('00 - Lists'!$M$2:$M$11,MATCH(L208,'00 - Lists'!$L$2:$L$11,0))/100000),"")</f>
        <v/>
      </c>
      <c r="P208" s="30" t="str">
        <f aca="false">IFERROR(IF(N208="","",N208*INDEX('00 - Lists'!$M$2:$M$11,MATCH(L208,'00 - Lists'!$L$2:$L$11,0))/100000),"")</f>
        <v/>
      </c>
      <c r="Q208" s="31" t="str">
        <f aca="false">IFERROR(IF(M208="","",M208*INDEX('00 - Lists'!$N$2:$N$11,MATCH(L208,'00 - Lists'!$L$2:$L$11,0))),"")</f>
        <v/>
      </c>
      <c r="R208" s="31" t="str">
        <f aca="false">IFERROR(IF(N208="","",N208*INDEX('00 - Lists'!$N$2:$N$11,MATCH(L208,'00 - Lists'!$L$2:$L$11,0))),"")</f>
        <v/>
      </c>
      <c r="S208" s="32" t="str">
        <f aca="false">IF(O208="","",IF(O208&gt;=50,"Yes","No"))</f>
        <v/>
      </c>
      <c r="T208" s="32" t="str">
        <f aca="false">IF(Q208="","",IF(Q208&gt;=100000,"Yes","No"))</f>
        <v/>
      </c>
      <c r="U208" s="28"/>
      <c r="V208" s="28"/>
      <c r="W208" s="28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J208" s="34" t="str">
        <f aca="false">IF(OR($BD208&lt;&gt;"",$BF208&lt;&gt;"",$BH208&lt;&gt;""),"Yes","No")</f>
        <v>No</v>
      </c>
      <c r="BK208" s="35" t="str">
        <f aca="false">IFERROR(IF(BD208="","",BD208*INDEX('00 - Lists'!$M$2:$M$11,MATCH(L208,'00 - Lists'!$L$2:$L$11,0))/100000),"")</f>
        <v/>
      </c>
      <c r="BL208" s="35" t="str">
        <f aca="false">IFERROR(IF(BE208="","",BE208*INDEX('00 - Lists'!$M$2:$M$11,MATCH(L208,'00 - Lists'!$L$2:$L$11,0))/100000),"")</f>
        <v/>
      </c>
      <c r="BM208" s="35" t="str">
        <f aca="false">IFERROR(IF(BF208="","",BF208*INDEX('00 - Lists'!$M$2:$M$11,MATCH(L208,'00 - Lists'!$L$2:$L$11,0))/100000),"")</f>
        <v/>
      </c>
      <c r="BN208" s="35" t="str">
        <f aca="false">IFERROR(IF(BG208="","",BG208*INDEX('00 - Lists'!$M$2:$M$11,MATCH(L208,'00 - Lists'!$L$2:$L$11,0))/100000),"")</f>
        <v/>
      </c>
      <c r="BO208" s="35" t="str">
        <f aca="false">IFERROR(IF(BH208="","",BH208*INDEX('00 - Lists'!$M$2:$M$11,MATCH(L208,'00 - Lists'!$L$2:$L$11,0))/100000),"")</f>
        <v/>
      </c>
      <c r="BP208" s="35" t="str">
        <f aca="false">IFERROR(IF(BI208="","",BI208*INDEX('00 - Lists'!$M$2:$M$11,MATCH(L208,'00 - Lists'!$L$2:$L$11,0))/100000),"")</f>
        <v/>
      </c>
      <c r="BS208" s="36" t="str">
        <f aca="false">IF(O208="","",IF(O208&gt;=20,"Yes","No"))</f>
        <v/>
      </c>
      <c r="BT208" s="36" t="str">
        <f aca="false">IF(O208="","",IF(O208&gt;=30,"Yes","No"))</f>
        <v/>
      </c>
      <c r="BU208" s="36" t="str">
        <f aca="false">IF(O208="","",IF(O208&gt;=75,"Yes","No"))</f>
        <v/>
      </c>
      <c r="BV208" s="36" t="str">
        <f aca="false">IF(O208="","",IF(O208&gt;=100,"Yes","No"))</f>
        <v/>
      </c>
      <c r="BW208" s="36" t="str">
        <f aca="false">IF(O208="","",IF(O208&gt;=150,"Yes","No"))</f>
        <v/>
      </c>
      <c r="BX208" s="36" t="str">
        <f aca="false">IF(O208="","",IF(O208&gt;=200,"Yes","No"))</f>
        <v/>
      </c>
      <c r="BY208" s="36" t="str">
        <f aca="false">IF(Q208="","",IF(Q208&gt;=150000,"Yes","No"))</f>
        <v/>
      </c>
      <c r="BZ208" s="36" t="str">
        <f aca="false">IF(Q208="","",IF(Q208&gt;=200000,"Yes","No"))</f>
        <v/>
      </c>
      <c r="CA208" s="36" t="str">
        <f aca="false">IF(Q208="","",IF(Q208&gt;=250000,"Yes","No"))</f>
        <v/>
      </c>
      <c r="CB208" s="36" t="str">
        <f aca="false">IF(Q208="","",IF(Q208&gt;=300000,"Yes","No"))</f>
        <v/>
      </c>
      <c r="CC208" s="37"/>
      <c r="CD208" s="36" t="str">
        <f aca="true">IF(B208="","",IF(TODAY()-B208&lt;=7,"🟢 0-7d",IF(TODAY()-B208&lt;=30,"🟡 8-30d",IF(TODAY()-B208&lt;=60,"🟠 31-60d","🔴 60d+"))))</f>
        <v/>
      </c>
      <c r="CE208" s="36" t="str">
        <f aca="false">IF(G208="","",IF(G208&lt;&gt;"USA","N/A - Not USA Role",IF(J208="Yes",IF(OR(F208="Intern",F208="New Grad"),"🟡 Possible","🟢 Strong"),IF(J208="No","🔴 Difficult","⚪ Unknown"))))</f>
        <v/>
      </c>
      <c r="CF208" s="37"/>
      <c r="CG208" s="37"/>
      <c r="CH208" s="38"/>
      <c r="CI208" s="38"/>
      <c r="CJ208" s="38"/>
      <c r="CK208" s="38"/>
    </row>
    <row r="209" customFormat="false" ht="15" hidden="false" customHeight="true" outlineLevel="0" collapsed="false">
      <c r="A209" s="26" t="str">
        <f aca="false">IF($C209="","",ROW()-3)</f>
        <v/>
      </c>
      <c r="B209" s="27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9"/>
      <c r="N209" s="29"/>
      <c r="O209" s="30" t="str">
        <f aca="false">IFERROR(IF(M209="","",M209*INDEX('00 - Lists'!$M$2:$M$11,MATCH(L209,'00 - Lists'!$L$2:$L$11,0))/100000),"")</f>
        <v/>
      </c>
      <c r="P209" s="30" t="str">
        <f aca="false">IFERROR(IF(N209="","",N209*INDEX('00 - Lists'!$M$2:$M$11,MATCH(L209,'00 - Lists'!$L$2:$L$11,0))/100000),"")</f>
        <v/>
      </c>
      <c r="Q209" s="31" t="str">
        <f aca="false">IFERROR(IF(M209="","",M209*INDEX('00 - Lists'!$N$2:$N$11,MATCH(L209,'00 - Lists'!$L$2:$L$11,0))),"")</f>
        <v/>
      </c>
      <c r="R209" s="31" t="str">
        <f aca="false">IFERROR(IF(N209="","",N209*INDEX('00 - Lists'!$N$2:$N$11,MATCH(L209,'00 - Lists'!$L$2:$L$11,0))),"")</f>
        <v/>
      </c>
      <c r="S209" s="32" t="str">
        <f aca="false">IF(O209="","",IF(O209&gt;=50,"Yes","No"))</f>
        <v/>
      </c>
      <c r="T209" s="32" t="str">
        <f aca="false">IF(Q209="","",IF(Q209&gt;=100000,"Yes","No"))</f>
        <v/>
      </c>
      <c r="U209" s="28"/>
      <c r="V209" s="28"/>
      <c r="W209" s="28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J209" s="34" t="str">
        <f aca="false">IF(OR($BD209&lt;&gt;"",$BF209&lt;&gt;"",$BH209&lt;&gt;""),"Yes","No")</f>
        <v>No</v>
      </c>
      <c r="BK209" s="35" t="str">
        <f aca="false">IFERROR(IF(BD209="","",BD209*INDEX('00 - Lists'!$M$2:$M$11,MATCH(L209,'00 - Lists'!$L$2:$L$11,0))/100000),"")</f>
        <v/>
      </c>
      <c r="BL209" s="35" t="str">
        <f aca="false">IFERROR(IF(BE209="","",BE209*INDEX('00 - Lists'!$M$2:$M$11,MATCH(L209,'00 - Lists'!$L$2:$L$11,0))/100000),"")</f>
        <v/>
      </c>
      <c r="BM209" s="35" t="str">
        <f aca="false">IFERROR(IF(BF209="","",BF209*INDEX('00 - Lists'!$M$2:$M$11,MATCH(L209,'00 - Lists'!$L$2:$L$11,0))/100000),"")</f>
        <v/>
      </c>
      <c r="BN209" s="35" t="str">
        <f aca="false">IFERROR(IF(BG209="","",BG209*INDEX('00 - Lists'!$M$2:$M$11,MATCH(L209,'00 - Lists'!$L$2:$L$11,0))/100000),"")</f>
        <v/>
      </c>
      <c r="BO209" s="35" t="str">
        <f aca="false">IFERROR(IF(BH209="","",BH209*INDEX('00 - Lists'!$M$2:$M$11,MATCH(L209,'00 - Lists'!$L$2:$L$11,0))/100000),"")</f>
        <v/>
      </c>
      <c r="BP209" s="35" t="str">
        <f aca="false">IFERROR(IF(BI209="","",BI209*INDEX('00 - Lists'!$M$2:$M$11,MATCH(L209,'00 - Lists'!$L$2:$L$11,0))/100000),"")</f>
        <v/>
      </c>
      <c r="BS209" s="36" t="str">
        <f aca="false">IF(O209="","",IF(O209&gt;=20,"Yes","No"))</f>
        <v/>
      </c>
      <c r="BT209" s="36" t="str">
        <f aca="false">IF(O209="","",IF(O209&gt;=30,"Yes","No"))</f>
        <v/>
      </c>
      <c r="BU209" s="36" t="str">
        <f aca="false">IF(O209="","",IF(O209&gt;=75,"Yes","No"))</f>
        <v/>
      </c>
      <c r="BV209" s="36" t="str">
        <f aca="false">IF(O209="","",IF(O209&gt;=100,"Yes","No"))</f>
        <v/>
      </c>
      <c r="BW209" s="36" t="str">
        <f aca="false">IF(O209="","",IF(O209&gt;=150,"Yes","No"))</f>
        <v/>
      </c>
      <c r="BX209" s="36" t="str">
        <f aca="false">IF(O209="","",IF(O209&gt;=200,"Yes","No"))</f>
        <v/>
      </c>
      <c r="BY209" s="36" t="str">
        <f aca="false">IF(Q209="","",IF(Q209&gt;=150000,"Yes","No"))</f>
        <v/>
      </c>
      <c r="BZ209" s="36" t="str">
        <f aca="false">IF(Q209="","",IF(Q209&gt;=200000,"Yes","No"))</f>
        <v/>
      </c>
      <c r="CA209" s="36" t="str">
        <f aca="false">IF(Q209="","",IF(Q209&gt;=250000,"Yes","No"))</f>
        <v/>
      </c>
      <c r="CB209" s="36" t="str">
        <f aca="false">IF(Q209="","",IF(Q209&gt;=300000,"Yes","No"))</f>
        <v/>
      </c>
      <c r="CC209" s="37"/>
      <c r="CD209" s="36" t="str">
        <f aca="true">IF(B209="","",IF(TODAY()-B209&lt;=7,"🟢 0-7d",IF(TODAY()-B209&lt;=30,"🟡 8-30d",IF(TODAY()-B209&lt;=60,"🟠 31-60d","🔴 60d+"))))</f>
        <v/>
      </c>
      <c r="CE209" s="36" t="str">
        <f aca="false">IF(G209="","",IF(G209&lt;&gt;"USA","N/A - Not USA Role",IF(J209="Yes",IF(OR(F209="Intern",F209="New Grad"),"🟡 Possible","🟢 Strong"),IF(J209="No","🔴 Difficult","⚪ Unknown"))))</f>
        <v/>
      </c>
      <c r="CF209" s="37"/>
      <c r="CG209" s="37"/>
      <c r="CH209" s="38"/>
      <c r="CI209" s="38"/>
      <c r="CJ209" s="38"/>
      <c r="CK209" s="38"/>
    </row>
    <row r="210" customFormat="false" ht="15" hidden="false" customHeight="true" outlineLevel="0" collapsed="false">
      <c r="A210" s="26" t="str">
        <f aca="false">IF($C210="","",ROW()-3)</f>
        <v/>
      </c>
      <c r="B210" s="27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9"/>
      <c r="N210" s="29"/>
      <c r="O210" s="30" t="str">
        <f aca="false">IFERROR(IF(M210="","",M210*INDEX('00 - Lists'!$M$2:$M$11,MATCH(L210,'00 - Lists'!$L$2:$L$11,0))/100000),"")</f>
        <v/>
      </c>
      <c r="P210" s="30" t="str">
        <f aca="false">IFERROR(IF(N210="","",N210*INDEX('00 - Lists'!$M$2:$M$11,MATCH(L210,'00 - Lists'!$L$2:$L$11,0))/100000),"")</f>
        <v/>
      </c>
      <c r="Q210" s="31" t="str">
        <f aca="false">IFERROR(IF(M210="","",M210*INDEX('00 - Lists'!$N$2:$N$11,MATCH(L210,'00 - Lists'!$L$2:$L$11,0))),"")</f>
        <v/>
      </c>
      <c r="R210" s="31" t="str">
        <f aca="false">IFERROR(IF(N210="","",N210*INDEX('00 - Lists'!$N$2:$N$11,MATCH(L210,'00 - Lists'!$L$2:$L$11,0))),"")</f>
        <v/>
      </c>
      <c r="S210" s="32" t="str">
        <f aca="false">IF(O210="","",IF(O210&gt;=50,"Yes","No"))</f>
        <v/>
      </c>
      <c r="T210" s="32" t="str">
        <f aca="false">IF(Q210="","",IF(Q210&gt;=100000,"Yes","No"))</f>
        <v/>
      </c>
      <c r="U210" s="28"/>
      <c r="V210" s="28"/>
      <c r="W210" s="28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J210" s="34" t="str">
        <f aca="false">IF(OR($BD210&lt;&gt;"",$BF210&lt;&gt;"",$BH210&lt;&gt;""),"Yes","No")</f>
        <v>No</v>
      </c>
      <c r="BK210" s="35" t="str">
        <f aca="false">IFERROR(IF(BD210="","",BD210*INDEX('00 - Lists'!$M$2:$M$11,MATCH(L210,'00 - Lists'!$L$2:$L$11,0))/100000),"")</f>
        <v/>
      </c>
      <c r="BL210" s="35" t="str">
        <f aca="false">IFERROR(IF(BE210="","",BE210*INDEX('00 - Lists'!$M$2:$M$11,MATCH(L210,'00 - Lists'!$L$2:$L$11,0))/100000),"")</f>
        <v/>
      </c>
      <c r="BM210" s="35" t="str">
        <f aca="false">IFERROR(IF(BF210="","",BF210*INDEX('00 - Lists'!$M$2:$M$11,MATCH(L210,'00 - Lists'!$L$2:$L$11,0))/100000),"")</f>
        <v/>
      </c>
      <c r="BN210" s="35" t="str">
        <f aca="false">IFERROR(IF(BG210="","",BG210*INDEX('00 - Lists'!$M$2:$M$11,MATCH(L210,'00 - Lists'!$L$2:$L$11,0))/100000),"")</f>
        <v/>
      </c>
      <c r="BO210" s="35" t="str">
        <f aca="false">IFERROR(IF(BH210="","",BH210*INDEX('00 - Lists'!$M$2:$M$11,MATCH(L210,'00 - Lists'!$L$2:$L$11,0))/100000),"")</f>
        <v/>
      </c>
      <c r="BP210" s="35" t="str">
        <f aca="false">IFERROR(IF(BI210="","",BI210*INDEX('00 - Lists'!$M$2:$M$11,MATCH(L210,'00 - Lists'!$L$2:$L$11,0))/100000),"")</f>
        <v/>
      </c>
      <c r="BS210" s="36" t="str">
        <f aca="false">IF(O210="","",IF(O210&gt;=20,"Yes","No"))</f>
        <v/>
      </c>
      <c r="BT210" s="36" t="str">
        <f aca="false">IF(O210="","",IF(O210&gt;=30,"Yes","No"))</f>
        <v/>
      </c>
      <c r="BU210" s="36" t="str">
        <f aca="false">IF(O210="","",IF(O210&gt;=75,"Yes","No"))</f>
        <v/>
      </c>
      <c r="BV210" s="36" t="str">
        <f aca="false">IF(O210="","",IF(O210&gt;=100,"Yes","No"))</f>
        <v/>
      </c>
      <c r="BW210" s="36" t="str">
        <f aca="false">IF(O210="","",IF(O210&gt;=150,"Yes","No"))</f>
        <v/>
      </c>
      <c r="BX210" s="36" t="str">
        <f aca="false">IF(O210="","",IF(O210&gt;=200,"Yes","No"))</f>
        <v/>
      </c>
      <c r="BY210" s="36" t="str">
        <f aca="false">IF(Q210="","",IF(Q210&gt;=150000,"Yes","No"))</f>
        <v/>
      </c>
      <c r="BZ210" s="36" t="str">
        <f aca="false">IF(Q210="","",IF(Q210&gt;=200000,"Yes","No"))</f>
        <v/>
      </c>
      <c r="CA210" s="36" t="str">
        <f aca="false">IF(Q210="","",IF(Q210&gt;=250000,"Yes","No"))</f>
        <v/>
      </c>
      <c r="CB210" s="36" t="str">
        <f aca="false">IF(Q210="","",IF(Q210&gt;=300000,"Yes","No"))</f>
        <v/>
      </c>
      <c r="CC210" s="37"/>
      <c r="CD210" s="36" t="str">
        <f aca="true">IF(B210="","",IF(TODAY()-B210&lt;=7,"🟢 0-7d",IF(TODAY()-B210&lt;=30,"🟡 8-30d",IF(TODAY()-B210&lt;=60,"🟠 31-60d","🔴 60d+"))))</f>
        <v/>
      </c>
      <c r="CE210" s="36" t="str">
        <f aca="false">IF(G210="","",IF(G210&lt;&gt;"USA","N/A - Not USA Role",IF(J210="Yes",IF(OR(F210="Intern",F210="New Grad"),"🟡 Possible","🟢 Strong"),IF(J210="No","🔴 Difficult","⚪ Unknown"))))</f>
        <v/>
      </c>
      <c r="CF210" s="37"/>
      <c r="CG210" s="37"/>
      <c r="CH210" s="38"/>
      <c r="CI210" s="38"/>
      <c r="CJ210" s="38"/>
      <c r="CK210" s="38"/>
    </row>
    <row r="211" customFormat="false" ht="15" hidden="false" customHeight="true" outlineLevel="0" collapsed="false">
      <c r="A211" s="26" t="str">
        <f aca="false">IF($C211="","",ROW()-3)</f>
        <v/>
      </c>
      <c r="B211" s="27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9"/>
      <c r="N211" s="29"/>
      <c r="O211" s="30" t="str">
        <f aca="false">IFERROR(IF(M211="","",M211*INDEX('00 - Lists'!$M$2:$M$11,MATCH(L211,'00 - Lists'!$L$2:$L$11,0))/100000),"")</f>
        <v/>
      </c>
      <c r="P211" s="30" t="str">
        <f aca="false">IFERROR(IF(N211="","",N211*INDEX('00 - Lists'!$M$2:$M$11,MATCH(L211,'00 - Lists'!$L$2:$L$11,0))/100000),"")</f>
        <v/>
      </c>
      <c r="Q211" s="31" t="str">
        <f aca="false">IFERROR(IF(M211="","",M211*INDEX('00 - Lists'!$N$2:$N$11,MATCH(L211,'00 - Lists'!$L$2:$L$11,0))),"")</f>
        <v/>
      </c>
      <c r="R211" s="31" t="str">
        <f aca="false">IFERROR(IF(N211="","",N211*INDEX('00 - Lists'!$N$2:$N$11,MATCH(L211,'00 - Lists'!$L$2:$L$11,0))),"")</f>
        <v/>
      </c>
      <c r="S211" s="32" t="str">
        <f aca="false">IF(O211="","",IF(O211&gt;=50,"Yes","No"))</f>
        <v/>
      </c>
      <c r="T211" s="32" t="str">
        <f aca="false">IF(Q211="","",IF(Q211&gt;=100000,"Yes","No"))</f>
        <v/>
      </c>
      <c r="U211" s="28"/>
      <c r="V211" s="28"/>
      <c r="W211" s="28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J211" s="34" t="str">
        <f aca="false">IF(OR($BD211&lt;&gt;"",$BF211&lt;&gt;"",$BH211&lt;&gt;""),"Yes","No")</f>
        <v>No</v>
      </c>
      <c r="BK211" s="35" t="str">
        <f aca="false">IFERROR(IF(BD211="","",BD211*INDEX('00 - Lists'!$M$2:$M$11,MATCH(L211,'00 - Lists'!$L$2:$L$11,0))/100000),"")</f>
        <v/>
      </c>
      <c r="BL211" s="35" t="str">
        <f aca="false">IFERROR(IF(BE211="","",BE211*INDEX('00 - Lists'!$M$2:$M$11,MATCH(L211,'00 - Lists'!$L$2:$L$11,0))/100000),"")</f>
        <v/>
      </c>
      <c r="BM211" s="35" t="str">
        <f aca="false">IFERROR(IF(BF211="","",BF211*INDEX('00 - Lists'!$M$2:$M$11,MATCH(L211,'00 - Lists'!$L$2:$L$11,0))/100000),"")</f>
        <v/>
      </c>
      <c r="BN211" s="35" t="str">
        <f aca="false">IFERROR(IF(BG211="","",BG211*INDEX('00 - Lists'!$M$2:$M$11,MATCH(L211,'00 - Lists'!$L$2:$L$11,0))/100000),"")</f>
        <v/>
      </c>
      <c r="BO211" s="35" t="str">
        <f aca="false">IFERROR(IF(BH211="","",BH211*INDEX('00 - Lists'!$M$2:$M$11,MATCH(L211,'00 - Lists'!$L$2:$L$11,0))/100000),"")</f>
        <v/>
      </c>
      <c r="BP211" s="35" t="str">
        <f aca="false">IFERROR(IF(BI211="","",BI211*INDEX('00 - Lists'!$M$2:$M$11,MATCH(L211,'00 - Lists'!$L$2:$L$11,0))/100000),"")</f>
        <v/>
      </c>
      <c r="BS211" s="36" t="str">
        <f aca="false">IF(O211="","",IF(O211&gt;=20,"Yes","No"))</f>
        <v/>
      </c>
      <c r="BT211" s="36" t="str">
        <f aca="false">IF(O211="","",IF(O211&gt;=30,"Yes","No"))</f>
        <v/>
      </c>
      <c r="BU211" s="36" t="str">
        <f aca="false">IF(O211="","",IF(O211&gt;=75,"Yes","No"))</f>
        <v/>
      </c>
      <c r="BV211" s="36" t="str">
        <f aca="false">IF(O211="","",IF(O211&gt;=100,"Yes","No"))</f>
        <v/>
      </c>
      <c r="BW211" s="36" t="str">
        <f aca="false">IF(O211="","",IF(O211&gt;=150,"Yes","No"))</f>
        <v/>
      </c>
      <c r="BX211" s="36" t="str">
        <f aca="false">IF(O211="","",IF(O211&gt;=200,"Yes","No"))</f>
        <v/>
      </c>
      <c r="BY211" s="36" t="str">
        <f aca="false">IF(Q211="","",IF(Q211&gt;=150000,"Yes","No"))</f>
        <v/>
      </c>
      <c r="BZ211" s="36" t="str">
        <f aca="false">IF(Q211="","",IF(Q211&gt;=200000,"Yes","No"))</f>
        <v/>
      </c>
      <c r="CA211" s="36" t="str">
        <f aca="false">IF(Q211="","",IF(Q211&gt;=250000,"Yes","No"))</f>
        <v/>
      </c>
      <c r="CB211" s="36" t="str">
        <f aca="false">IF(Q211="","",IF(Q211&gt;=300000,"Yes","No"))</f>
        <v/>
      </c>
      <c r="CC211" s="37"/>
      <c r="CD211" s="36" t="str">
        <f aca="true">IF(B211="","",IF(TODAY()-B211&lt;=7,"🟢 0-7d",IF(TODAY()-B211&lt;=30,"🟡 8-30d",IF(TODAY()-B211&lt;=60,"🟠 31-60d","🔴 60d+"))))</f>
        <v/>
      </c>
      <c r="CE211" s="36" t="str">
        <f aca="false">IF(G211="","",IF(G211&lt;&gt;"USA","N/A - Not USA Role",IF(J211="Yes",IF(OR(F211="Intern",F211="New Grad"),"🟡 Possible","🟢 Strong"),IF(J211="No","🔴 Difficult","⚪ Unknown"))))</f>
        <v/>
      </c>
      <c r="CF211" s="37"/>
      <c r="CG211" s="37"/>
      <c r="CH211" s="38"/>
      <c r="CI211" s="38"/>
      <c r="CJ211" s="38"/>
      <c r="CK211" s="38"/>
    </row>
    <row r="212" customFormat="false" ht="15" hidden="false" customHeight="true" outlineLevel="0" collapsed="false">
      <c r="A212" s="26" t="str">
        <f aca="false">IF($C212="","",ROW()-3)</f>
        <v/>
      </c>
      <c r="B212" s="27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9"/>
      <c r="N212" s="29"/>
      <c r="O212" s="30" t="str">
        <f aca="false">IFERROR(IF(M212="","",M212*INDEX('00 - Lists'!$M$2:$M$11,MATCH(L212,'00 - Lists'!$L$2:$L$11,0))/100000),"")</f>
        <v/>
      </c>
      <c r="P212" s="30" t="str">
        <f aca="false">IFERROR(IF(N212="","",N212*INDEX('00 - Lists'!$M$2:$M$11,MATCH(L212,'00 - Lists'!$L$2:$L$11,0))/100000),"")</f>
        <v/>
      </c>
      <c r="Q212" s="31" t="str">
        <f aca="false">IFERROR(IF(M212="","",M212*INDEX('00 - Lists'!$N$2:$N$11,MATCH(L212,'00 - Lists'!$L$2:$L$11,0))),"")</f>
        <v/>
      </c>
      <c r="R212" s="31" t="str">
        <f aca="false">IFERROR(IF(N212="","",N212*INDEX('00 - Lists'!$N$2:$N$11,MATCH(L212,'00 - Lists'!$L$2:$L$11,0))),"")</f>
        <v/>
      </c>
      <c r="S212" s="32" t="str">
        <f aca="false">IF(O212="","",IF(O212&gt;=50,"Yes","No"))</f>
        <v/>
      </c>
      <c r="T212" s="32" t="str">
        <f aca="false">IF(Q212="","",IF(Q212&gt;=100000,"Yes","No"))</f>
        <v/>
      </c>
      <c r="U212" s="28"/>
      <c r="V212" s="28"/>
      <c r="W212" s="28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J212" s="34" t="str">
        <f aca="false">IF(OR($BD212&lt;&gt;"",$BF212&lt;&gt;"",$BH212&lt;&gt;""),"Yes","No")</f>
        <v>No</v>
      </c>
      <c r="BK212" s="35" t="str">
        <f aca="false">IFERROR(IF(BD212="","",BD212*INDEX('00 - Lists'!$M$2:$M$11,MATCH(L212,'00 - Lists'!$L$2:$L$11,0))/100000),"")</f>
        <v/>
      </c>
      <c r="BL212" s="35" t="str">
        <f aca="false">IFERROR(IF(BE212="","",BE212*INDEX('00 - Lists'!$M$2:$M$11,MATCH(L212,'00 - Lists'!$L$2:$L$11,0))/100000),"")</f>
        <v/>
      </c>
      <c r="BM212" s="35" t="str">
        <f aca="false">IFERROR(IF(BF212="","",BF212*INDEX('00 - Lists'!$M$2:$M$11,MATCH(L212,'00 - Lists'!$L$2:$L$11,0))/100000),"")</f>
        <v/>
      </c>
      <c r="BN212" s="35" t="str">
        <f aca="false">IFERROR(IF(BG212="","",BG212*INDEX('00 - Lists'!$M$2:$M$11,MATCH(L212,'00 - Lists'!$L$2:$L$11,0))/100000),"")</f>
        <v/>
      </c>
      <c r="BO212" s="35" t="str">
        <f aca="false">IFERROR(IF(BH212="","",BH212*INDEX('00 - Lists'!$M$2:$M$11,MATCH(L212,'00 - Lists'!$L$2:$L$11,0))/100000),"")</f>
        <v/>
      </c>
      <c r="BP212" s="35" t="str">
        <f aca="false">IFERROR(IF(BI212="","",BI212*INDEX('00 - Lists'!$M$2:$M$11,MATCH(L212,'00 - Lists'!$L$2:$L$11,0))/100000),"")</f>
        <v/>
      </c>
      <c r="BS212" s="36" t="str">
        <f aca="false">IF(O212="","",IF(O212&gt;=20,"Yes","No"))</f>
        <v/>
      </c>
      <c r="BT212" s="36" t="str">
        <f aca="false">IF(O212="","",IF(O212&gt;=30,"Yes","No"))</f>
        <v/>
      </c>
      <c r="BU212" s="36" t="str">
        <f aca="false">IF(O212="","",IF(O212&gt;=75,"Yes","No"))</f>
        <v/>
      </c>
      <c r="BV212" s="36" t="str">
        <f aca="false">IF(O212="","",IF(O212&gt;=100,"Yes","No"))</f>
        <v/>
      </c>
      <c r="BW212" s="36" t="str">
        <f aca="false">IF(O212="","",IF(O212&gt;=150,"Yes","No"))</f>
        <v/>
      </c>
      <c r="BX212" s="36" t="str">
        <f aca="false">IF(O212="","",IF(O212&gt;=200,"Yes","No"))</f>
        <v/>
      </c>
      <c r="BY212" s="36" t="str">
        <f aca="false">IF(Q212="","",IF(Q212&gt;=150000,"Yes","No"))</f>
        <v/>
      </c>
      <c r="BZ212" s="36" t="str">
        <f aca="false">IF(Q212="","",IF(Q212&gt;=200000,"Yes","No"))</f>
        <v/>
      </c>
      <c r="CA212" s="36" t="str">
        <f aca="false">IF(Q212="","",IF(Q212&gt;=250000,"Yes","No"))</f>
        <v/>
      </c>
      <c r="CB212" s="36" t="str">
        <f aca="false">IF(Q212="","",IF(Q212&gt;=300000,"Yes","No"))</f>
        <v/>
      </c>
      <c r="CC212" s="37"/>
      <c r="CD212" s="36" t="str">
        <f aca="true">IF(B212="","",IF(TODAY()-B212&lt;=7,"🟢 0-7d",IF(TODAY()-B212&lt;=30,"🟡 8-30d",IF(TODAY()-B212&lt;=60,"🟠 31-60d","🔴 60d+"))))</f>
        <v/>
      </c>
      <c r="CE212" s="36" t="str">
        <f aca="false">IF(G212="","",IF(G212&lt;&gt;"USA","N/A - Not USA Role",IF(J212="Yes",IF(OR(F212="Intern",F212="New Grad"),"🟡 Possible","🟢 Strong"),IF(J212="No","🔴 Difficult","⚪ Unknown"))))</f>
        <v/>
      </c>
      <c r="CF212" s="37"/>
      <c r="CG212" s="37"/>
      <c r="CH212" s="38"/>
      <c r="CI212" s="38"/>
      <c r="CJ212" s="38"/>
      <c r="CK212" s="38"/>
    </row>
    <row r="213" customFormat="false" ht="15" hidden="false" customHeight="true" outlineLevel="0" collapsed="false">
      <c r="A213" s="26" t="str">
        <f aca="false">IF($C213="","",ROW()-3)</f>
        <v/>
      </c>
      <c r="B213" s="27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9"/>
      <c r="N213" s="29"/>
      <c r="O213" s="30" t="str">
        <f aca="false">IFERROR(IF(M213="","",M213*INDEX('00 - Lists'!$M$2:$M$11,MATCH(L213,'00 - Lists'!$L$2:$L$11,0))/100000),"")</f>
        <v/>
      </c>
      <c r="P213" s="30" t="str">
        <f aca="false">IFERROR(IF(N213="","",N213*INDEX('00 - Lists'!$M$2:$M$11,MATCH(L213,'00 - Lists'!$L$2:$L$11,0))/100000),"")</f>
        <v/>
      </c>
      <c r="Q213" s="31" t="str">
        <f aca="false">IFERROR(IF(M213="","",M213*INDEX('00 - Lists'!$N$2:$N$11,MATCH(L213,'00 - Lists'!$L$2:$L$11,0))),"")</f>
        <v/>
      </c>
      <c r="R213" s="31" t="str">
        <f aca="false">IFERROR(IF(N213="","",N213*INDEX('00 - Lists'!$N$2:$N$11,MATCH(L213,'00 - Lists'!$L$2:$L$11,0))),"")</f>
        <v/>
      </c>
      <c r="S213" s="32" t="str">
        <f aca="false">IF(O213="","",IF(O213&gt;=50,"Yes","No"))</f>
        <v/>
      </c>
      <c r="T213" s="32" t="str">
        <f aca="false">IF(Q213="","",IF(Q213&gt;=100000,"Yes","No"))</f>
        <v/>
      </c>
      <c r="U213" s="28"/>
      <c r="V213" s="28"/>
      <c r="W213" s="28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J213" s="34" t="str">
        <f aca="false">IF(OR($BD213&lt;&gt;"",$BF213&lt;&gt;"",$BH213&lt;&gt;""),"Yes","No")</f>
        <v>No</v>
      </c>
      <c r="BK213" s="35" t="str">
        <f aca="false">IFERROR(IF(BD213="","",BD213*INDEX('00 - Lists'!$M$2:$M$11,MATCH(L213,'00 - Lists'!$L$2:$L$11,0))/100000),"")</f>
        <v/>
      </c>
      <c r="BL213" s="35" t="str">
        <f aca="false">IFERROR(IF(BE213="","",BE213*INDEX('00 - Lists'!$M$2:$M$11,MATCH(L213,'00 - Lists'!$L$2:$L$11,0))/100000),"")</f>
        <v/>
      </c>
      <c r="BM213" s="35" t="str">
        <f aca="false">IFERROR(IF(BF213="","",BF213*INDEX('00 - Lists'!$M$2:$M$11,MATCH(L213,'00 - Lists'!$L$2:$L$11,0))/100000),"")</f>
        <v/>
      </c>
      <c r="BN213" s="35" t="str">
        <f aca="false">IFERROR(IF(BG213="","",BG213*INDEX('00 - Lists'!$M$2:$M$11,MATCH(L213,'00 - Lists'!$L$2:$L$11,0))/100000),"")</f>
        <v/>
      </c>
      <c r="BO213" s="35" t="str">
        <f aca="false">IFERROR(IF(BH213="","",BH213*INDEX('00 - Lists'!$M$2:$M$11,MATCH(L213,'00 - Lists'!$L$2:$L$11,0))/100000),"")</f>
        <v/>
      </c>
      <c r="BP213" s="35" t="str">
        <f aca="false">IFERROR(IF(BI213="","",BI213*INDEX('00 - Lists'!$M$2:$M$11,MATCH(L213,'00 - Lists'!$L$2:$L$11,0))/100000),"")</f>
        <v/>
      </c>
      <c r="BS213" s="36" t="str">
        <f aca="false">IF(O213="","",IF(O213&gt;=20,"Yes","No"))</f>
        <v/>
      </c>
      <c r="BT213" s="36" t="str">
        <f aca="false">IF(O213="","",IF(O213&gt;=30,"Yes","No"))</f>
        <v/>
      </c>
      <c r="BU213" s="36" t="str">
        <f aca="false">IF(O213="","",IF(O213&gt;=75,"Yes","No"))</f>
        <v/>
      </c>
      <c r="BV213" s="36" t="str">
        <f aca="false">IF(O213="","",IF(O213&gt;=100,"Yes","No"))</f>
        <v/>
      </c>
      <c r="BW213" s="36" t="str">
        <f aca="false">IF(O213="","",IF(O213&gt;=150,"Yes","No"))</f>
        <v/>
      </c>
      <c r="BX213" s="36" t="str">
        <f aca="false">IF(O213="","",IF(O213&gt;=200,"Yes","No"))</f>
        <v/>
      </c>
      <c r="BY213" s="36" t="str">
        <f aca="false">IF(Q213="","",IF(Q213&gt;=150000,"Yes","No"))</f>
        <v/>
      </c>
      <c r="BZ213" s="36" t="str">
        <f aca="false">IF(Q213="","",IF(Q213&gt;=200000,"Yes","No"))</f>
        <v/>
      </c>
      <c r="CA213" s="36" t="str">
        <f aca="false">IF(Q213="","",IF(Q213&gt;=250000,"Yes","No"))</f>
        <v/>
      </c>
      <c r="CB213" s="36" t="str">
        <f aca="false">IF(Q213="","",IF(Q213&gt;=300000,"Yes","No"))</f>
        <v/>
      </c>
      <c r="CC213" s="37"/>
      <c r="CD213" s="36" t="str">
        <f aca="true">IF(B213="","",IF(TODAY()-B213&lt;=7,"🟢 0-7d",IF(TODAY()-B213&lt;=30,"🟡 8-30d",IF(TODAY()-B213&lt;=60,"🟠 31-60d","🔴 60d+"))))</f>
        <v/>
      </c>
      <c r="CE213" s="36" t="str">
        <f aca="false">IF(G213="","",IF(G213&lt;&gt;"USA","N/A - Not USA Role",IF(J213="Yes",IF(OR(F213="Intern",F213="New Grad"),"🟡 Possible","🟢 Strong"),IF(J213="No","🔴 Difficult","⚪ Unknown"))))</f>
        <v/>
      </c>
      <c r="CF213" s="37"/>
      <c r="CG213" s="37"/>
      <c r="CH213" s="38"/>
      <c r="CI213" s="38"/>
      <c r="CJ213" s="38"/>
      <c r="CK213" s="38"/>
    </row>
    <row r="214" customFormat="false" ht="15" hidden="false" customHeight="true" outlineLevel="0" collapsed="false">
      <c r="A214" s="26" t="str">
        <f aca="false">IF($C214="","",ROW()-3)</f>
        <v/>
      </c>
      <c r="B214" s="27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9"/>
      <c r="N214" s="29"/>
      <c r="O214" s="30" t="str">
        <f aca="false">IFERROR(IF(M214="","",M214*INDEX('00 - Lists'!$M$2:$M$11,MATCH(L214,'00 - Lists'!$L$2:$L$11,0))/100000),"")</f>
        <v/>
      </c>
      <c r="P214" s="30" t="str">
        <f aca="false">IFERROR(IF(N214="","",N214*INDEX('00 - Lists'!$M$2:$M$11,MATCH(L214,'00 - Lists'!$L$2:$L$11,0))/100000),"")</f>
        <v/>
      </c>
      <c r="Q214" s="31" t="str">
        <f aca="false">IFERROR(IF(M214="","",M214*INDEX('00 - Lists'!$N$2:$N$11,MATCH(L214,'00 - Lists'!$L$2:$L$11,0))),"")</f>
        <v/>
      </c>
      <c r="R214" s="31" t="str">
        <f aca="false">IFERROR(IF(N214="","",N214*INDEX('00 - Lists'!$N$2:$N$11,MATCH(L214,'00 - Lists'!$L$2:$L$11,0))),"")</f>
        <v/>
      </c>
      <c r="S214" s="32" t="str">
        <f aca="false">IF(O214="","",IF(O214&gt;=50,"Yes","No"))</f>
        <v/>
      </c>
      <c r="T214" s="32" t="str">
        <f aca="false">IF(Q214="","",IF(Q214&gt;=100000,"Yes","No"))</f>
        <v/>
      </c>
      <c r="U214" s="28"/>
      <c r="V214" s="28"/>
      <c r="W214" s="28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J214" s="34" t="str">
        <f aca="false">IF(OR($BD214&lt;&gt;"",$BF214&lt;&gt;"",$BH214&lt;&gt;""),"Yes","No")</f>
        <v>No</v>
      </c>
      <c r="BK214" s="35" t="str">
        <f aca="false">IFERROR(IF(BD214="","",BD214*INDEX('00 - Lists'!$M$2:$M$11,MATCH(L214,'00 - Lists'!$L$2:$L$11,0))/100000),"")</f>
        <v/>
      </c>
      <c r="BL214" s="35" t="str">
        <f aca="false">IFERROR(IF(BE214="","",BE214*INDEX('00 - Lists'!$M$2:$M$11,MATCH(L214,'00 - Lists'!$L$2:$L$11,0))/100000),"")</f>
        <v/>
      </c>
      <c r="BM214" s="35" t="str">
        <f aca="false">IFERROR(IF(BF214="","",BF214*INDEX('00 - Lists'!$M$2:$M$11,MATCH(L214,'00 - Lists'!$L$2:$L$11,0))/100000),"")</f>
        <v/>
      </c>
      <c r="BN214" s="35" t="str">
        <f aca="false">IFERROR(IF(BG214="","",BG214*INDEX('00 - Lists'!$M$2:$M$11,MATCH(L214,'00 - Lists'!$L$2:$L$11,0))/100000),"")</f>
        <v/>
      </c>
      <c r="BO214" s="35" t="str">
        <f aca="false">IFERROR(IF(BH214="","",BH214*INDEX('00 - Lists'!$M$2:$M$11,MATCH(L214,'00 - Lists'!$L$2:$L$11,0))/100000),"")</f>
        <v/>
      </c>
      <c r="BP214" s="35" t="str">
        <f aca="false">IFERROR(IF(BI214="","",BI214*INDEX('00 - Lists'!$M$2:$M$11,MATCH(L214,'00 - Lists'!$L$2:$L$11,0))/100000),"")</f>
        <v/>
      </c>
      <c r="BS214" s="36" t="str">
        <f aca="false">IF(O214="","",IF(O214&gt;=20,"Yes","No"))</f>
        <v/>
      </c>
      <c r="BT214" s="36" t="str">
        <f aca="false">IF(O214="","",IF(O214&gt;=30,"Yes","No"))</f>
        <v/>
      </c>
      <c r="BU214" s="36" t="str">
        <f aca="false">IF(O214="","",IF(O214&gt;=75,"Yes","No"))</f>
        <v/>
      </c>
      <c r="BV214" s="36" t="str">
        <f aca="false">IF(O214="","",IF(O214&gt;=100,"Yes","No"))</f>
        <v/>
      </c>
      <c r="BW214" s="36" t="str">
        <f aca="false">IF(O214="","",IF(O214&gt;=150,"Yes","No"))</f>
        <v/>
      </c>
      <c r="BX214" s="36" t="str">
        <f aca="false">IF(O214="","",IF(O214&gt;=200,"Yes","No"))</f>
        <v/>
      </c>
      <c r="BY214" s="36" t="str">
        <f aca="false">IF(Q214="","",IF(Q214&gt;=150000,"Yes","No"))</f>
        <v/>
      </c>
      <c r="BZ214" s="36" t="str">
        <f aca="false">IF(Q214="","",IF(Q214&gt;=200000,"Yes","No"))</f>
        <v/>
      </c>
      <c r="CA214" s="36" t="str">
        <f aca="false">IF(Q214="","",IF(Q214&gt;=250000,"Yes","No"))</f>
        <v/>
      </c>
      <c r="CB214" s="36" t="str">
        <f aca="false">IF(Q214="","",IF(Q214&gt;=300000,"Yes","No"))</f>
        <v/>
      </c>
      <c r="CC214" s="37"/>
      <c r="CD214" s="36" t="str">
        <f aca="true">IF(B214="","",IF(TODAY()-B214&lt;=7,"🟢 0-7d",IF(TODAY()-B214&lt;=30,"🟡 8-30d",IF(TODAY()-B214&lt;=60,"🟠 31-60d","🔴 60d+"))))</f>
        <v/>
      </c>
      <c r="CE214" s="36" t="str">
        <f aca="false">IF(G214="","",IF(G214&lt;&gt;"USA","N/A - Not USA Role",IF(J214="Yes",IF(OR(F214="Intern",F214="New Grad"),"🟡 Possible","🟢 Strong"),IF(J214="No","🔴 Difficult","⚪ Unknown"))))</f>
        <v/>
      </c>
      <c r="CF214" s="37"/>
      <c r="CG214" s="37"/>
      <c r="CH214" s="38"/>
      <c r="CI214" s="38"/>
      <c r="CJ214" s="38"/>
      <c r="CK214" s="38"/>
    </row>
    <row r="215" customFormat="false" ht="15" hidden="false" customHeight="true" outlineLevel="0" collapsed="false">
      <c r="A215" s="26" t="str">
        <f aca="false">IF($C215="","",ROW()-3)</f>
        <v/>
      </c>
      <c r="B215" s="27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9"/>
      <c r="N215" s="29"/>
      <c r="O215" s="30" t="str">
        <f aca="false">IFERROR(IF(M215="","",M215*INDEX('00 - Lists'!$M$2:$M$11,MATCH(L215,'00 - Lists'!$L$2:$L$11,0))/100000),"")</f>
        <v/>
      </c>
      <c r="P215" s="30" t="str">
        <f aca="false">IFERROR(IF(N215="","",N215*INDEX('00 - Lists'!$M$2:$M$11,MATCH(L215,'00 - Lists'!$L$2:$L$11,0))/100000),"")</f>
        <v/>
      </c>
      <c r="Q215" s="31" t="str">
        <f aca="false">IFERROR(IF(M215="","",M215*INDEX('00 - Lists'!$N$2:$N$11,MATCH(L215,'00 - Lists'!$L$2:$L$11,0))),"")</f>
        <v/>
      </c>
      <c r="R215" s="31" t="str">
        <f aca="false">IFERROR(IF(N215="","",N215*INDEX('00 - Lists'!$N$2:$N$11,MATCH(L215,'00 - Lists'!$L$2:$L$11,0))),"")</f>
        <v/>
      </c>
      <c r="S215" s="32" t="str">
        <f aca="false">IF(O215="","",IF(O215&gt;=50,"Yes","No"))</f>
        <v/>
      </c>
      <c r="T215" s="32" t="str">
        <f aca="false">IF(Q215="","",IF(Q215&gt;=100000,"Yes","No"))</f>
        <v/>
      </c>
      <c r="U215" s="28"/>
      <c r="V215" s="28"/>
      <c r="W215" s="28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J215" s="34" t="str">
        <f aca="false">IF(OR($BD215&lt;&gt;"",$BF215&lt;&gt;"",$BH215&lt;&gt;""),"Yes","No")</f>
        <v>No</v>
      </c>
      <c r="BK215" s="35" t="str">
        <f aca="false">IFERROR(IF(BD215="","",BD215*INDEX('00 - Lists'!$M$2:$M$11,MATCH(L215,'00 - Lists'!$L$2:$L$11,0))/100000),"")</f>
        <v/>
      </c>
      <c r="BL215" s="35" t="str">
        <f aca="false">IFERROR(IF(BE215="","",BE215*INDEX('00 - Lists'!$M$2:$M$11,MATCH(L215,'00 - Lists'!$L$2:$L$11,0))/100000),"")</f>
        <v/>
      </c>
      <c r="BM215" s="35" t="str">
        <f aca="false">IFERROR(IF(BF215="","",BF215*INDEX('00 - Lists'!$M$2:$M$11,MATCH(L215,'00 - Lists'!$L$2:$L$11,0))/100000),"")</f>
        <v/>
      </c>
      <c r="BN215" s="35" t="str">
        <f aca="false">IFERROR(IF(BG215="","",BG215*INDEX('00 - Lists'!$M$2:$M$11,MATCH(L215,'00 - Lists'!$L$2:$L$11,0))/100000),"")</f>
        <v/>
      </c>
      <c r="BO215" s="35" t="str">
        <f aca="false">IFERROR(IF(BH215="","",BH215*INDEX('00 - Lists'!$M$2:$M$11,MATCH(L215,'00 - Lists'!$L$2:$L$11,0))/100000),"")</f>
        <v/>
      </c>
      <c r="BP215" s="35" t="str">
        <f aca="false">IFERROR(IF(BI215="","",BI215*INDEX('00 - Lists'!$M$2:$M$11,MATCH(L215,'00 - Lists'!$L$2:$L$11,0))/100000),"")</f>
        <v/>
      </c>
      <c r="BS215" s="36" t="str">
        <f aca="false">IF(O215="","",IF(O215&gt;=20,"Yes","No"))</f>
        <v/>
      </c>
      <c r="BT215" s="36" t="str">
        <f aca="false">IF(O215="","",IF(O215&gt;=30,"Yes","No"))</f>
        <v/>
      </c>
      <c r="BU215" s="36" t="str">
        <f aca="false">IF(O215="","",IF(O215&gt;=75,"Yes","No"))</f>
        <v/>
      </c>
      <c r="BV215" s="36" t="str">
        <f aca="false">IF(O215="","",IF(O215&gt;=100,"Yes","No"))</f>
        <v/>
      </c>
      <c r="BW215" s="36" t="str">
        <f aca="false">IF(O215="","",IF(O215&gt;=150,"Yes","No"))</f>
        <v/>
      </c>
      <c r="BX215" s="36" t="str">
        <f aca="false">IF(O215="","",IF(O215&gt;=200,"Yes","No"))</f>
        <v/>
      </c>
      <c r="BY215" s="36" t="str">
        <f aca="false">IF(Q215="","",IF(Q215&gt;=150000,"Yes","No"))</f>
        <v/>
      </c>
      <c r="BZ215" s="36" t="str">
        <f aca="false">IF(Q215="","",IF(Q215&gt;=200000,"Yes","No"))</f>
        <v/>
      </c>
      <c r="CA215" s="36" t="str">
        <f aca="false">IF(Q215="","",IF(Q215&gt;=250000,"Yes","No"))</f>
        <v/>
      </c>
      <c r="CB215" s="36" t="str">
        <f aca="false">IF(Q215="","",IF(Q215&gt;=300000,"Yes","No"))</f>
        <v/>
      </c>
      <c r="CC215" s="37"/>
      <c r="CD215" s="36" t="str">
        <f aca="true">IF(B215="","",IF(TODAY()-B215&lt;=7,"🟢 0-7d",IF(TODAY()-B215&lt;=30,"🟡 8-30d",IF(TODAY()-B215&lt;=60,"🟠 31-60d","🔴 60d+"))))</f>
        <v/>
      </c>
      <c r="CE215" s="36" t="str">
        <f aca="false">IF(G215="","",IF(G215&lt;&gt;"USA","N/A - Not USA Role",IF(J215="Yes",IF(OR(F215="Intern",F215="New Grad"),"🟡 Possible","🟢 Strong"),IF(J215="No","🔴 Difficult","⚪ Unknown"))))</f>
        <v/>
      </c>
      <c r="CF215" s="37"/>
      <c r="CG215" s="37"/>
      <c r="CH215" s="38"/>
      <c r="CI215" s="38"/>
      <c r="CJ215" s="38"/>
      <c r="CK215" s="38"/>
    </row>
    <row r="216" customFormat="false" ht="15" hidden="false" customHeight="true" outlineLevel="0" collapsed="false">
      <c r="A216" s="26" t="str">
        <f aca="false">IF($C216="","",ROW()-3)</f>
        <v/>
      </c>
      <c r="B216" s="27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9"/>
      <c r="N216" s="29"/>
      <c r="O216" s="30" t="str">
        <f aca="false">IFERROR(IF(M216="","",M216*INDEX('00 - Lists'!$M$2:$M$11,MATCH(L216,'00 - Lists'!$L$2:$L$11,0))/100000),"")</f>
        <v/>
      </c>
      <c r="P216" s="30" t="str">
        <f aca="false">IFERROR(IF(N216="","",N216*INDEX('00 - Lists'!$M$2:$M$11,MATCH(L216,'00 - Lists'!$L$2:$L$11,0))/100000),"")</f>
        <v/>
      </c>
      <c r="Q216" s="31" t="str">
        <f aca="false">IFERROR(IF(M216="","",M216*INDEX('00 - Lists'!$N$2:$N$11,MATCH(L216,'00 - Lists'!$L$2:$L$11,0))),"")</f>
        <v/>
      </c>
      <c r="R216" s="31" t="str">
        <f aca="false">IFERROR(IF(N216="","",N216*INDEX('00 - Lists'!$N$2:$N$11,MATCH(L216,'00 - Lists'!$L$2:$L$11,0))),"")</f>
        <v/>
      </c>
      <c r="S216" s="32" t="str">
        <f aca="false">IF(O216="","",IF(O216&gt;=50,"Yes","No"))</f>
        <v/>
      </c>
      <c r="T216" s="32" t="str">
        <f aca="false">IF(Q216="","",IF(Q216&gt;=100000,"Yes","No"))</f>
        <v/>
      </c>
      <c r="U216" s="28"/>
      <c r="V216" s="28"/>
      <c r="W216" s="28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J216" s="34" t="str">
        <f aca="false">IF(OR($BD216&lt;&gt;"",$BF216&lt;&gt;"",$BH216&lt;&gt;""),"Yes","No")</f>
        <v>No</v>
      </c>
      <c r="BK216" s="35" t="str">
        <f aca="false">IFERROR(IF(BD216="","",BD216*INDEX('00 - Lists'!$M$2:$M$11,MATCH(L216,'00 - Lists'!$L$2:$L$11,0))/100000),"")</f>
        <v/>
      </c>
      <c r="BL216" s="35" t="str">
        <f aca="false">IFERROR(IF(BE216="","",BE216*INDEX('00 - Lists'!$M$2:$M$11,MATCH(L216,'00 - Lists'!$L$2:$L$11,0))/100000),"")</f>
        <v/>
      </c>
      <c r="BM216" s="35" t="str">
        <f aca="false">IFERROR(IF(BF216="","",BF216*INDEX('00 - Lists'!$M$2:$M$11,MATCH(L216,'00 - Lists'!$L$2:$L$11,0))/100000),"")</f>
        <v/>
      </c>
      <c r="BN216" s="35" t="str">
        <f aca="false">IFERROR(IF(BG216="","",BG216*INDEX('00 - Lists'!$M$2:$M$11,MATCH(L216,'00 - Lists'!$L$2:$L$11,0))/100000),"")</f>
        <v/>
      </c>
      <c r="BO216" s="35" t="str">
        <f aca="false">IFERROR(IF(BH216="","",BH216*INDEX('00 - Lists'!$M$2:$M$11,MATCH(L216,'00 - Lists'!$L$2:$L$11,0))/100000),"")</f>
        <v/>
      </c>
      <c r="BP216" s="35" t="str">
        <f aca="false">IFERROR(IF(BI216="","",BI216*INDEX('00 - Lists'!$M$2:$M$11,MATCH(L216,'00 - Lists'!$L$2:$L$11,0))/100000),"")</f>
        <v/>
      </c>
      <c r="BS216" s="36" t="str">
        <f aca="false">IF(O216="","",IF(O216&gt;=20,"Yes","No"))</f>
        <v/>
      </c>
      <c r="BT216" s="36" t="str">
        <f aca="false">IF(O216="","",IF(O216&gt;=30,"Yes","No"))</f>
        <v/>
      </c>
      <c r="BU216" s="36" t="str">
        <f aca="false">IF(O216="","",IF(O216&gt;=75,"Yes","No"))</f>
        <v/>
      </c>
      <c r="BV216" s="36" t="str">
        <f aca="false">IF(O216="","",IF(O216&gt;=100,"Yes","No"))</f>
        <v/>
      </c>
      <c r="BW216" s="36" t="str">
        <f aca="false">IF(O216="","",IF(O216&gt;=150,"Yes","No"))</f>
        <v/>
      </c>
      <c r="BX216" s="36" t="str">
        <f aca="false">IF(O216="","",IF(O216&gt;=200,"Yes","No"))</f>
        <v/>
      </c>
      <c r="BY216" s="36" t="str">
        <f aca="false">IF(Q216="","",IF(Q216&gt;=150000,"Yes","No"))</f>
        <v/>
      </c>
      <c r="BZ216" s="36" t="str">
        <f aca="false">IF(Q216="","",IF(Q216&gt;=200000,"Yes","No"))</f>
        <v/>
      </c>
      <c r="CA216" s="36" t="str">
        <f aca="false">IF(Q216="","",IF(Q216&gt;=250000,"Yes","No"))</f>
        <v/>
      </c>
      <c r="CB216" s="36" t="str">
        <f aca="false">IF(Q216="","",IF(Q216&gt;=300000,"Yes","No"))</f>
        <v/>
      </c>
      <c r="CC216" s="37"/>
      <c r="CD216" s="36" t="str">
        <f aca="true">IF(B216="","",IF(TODAY()-B216&lt;=7,"🟢 0-7d",IF(TODAY()-B216&lt;=30,"🟡 8-30d",IF(TODAY()-B216&lt;=60,"🟠 31-60d","🔴 60d+"))))</f>
        <v/>
      </c>
      <c r="CE216" s="36" t="str">
        <f aca="false">IF(G216="","",IF(G216&lt;&gt;"USA","N/A - Not USA Role",IF(J216="Yes",IF(OR(F216="Intern",F216="New Grad"),"🟡 Possible","🟢 Strong"),IF(J216="No","🔴 Difficult","⚪ Unknown"))))</f>
        <v/>
      </c>
      <c r="CF216" s="37"/>
      <c r="CG216" s="37"/>
      <c r="CH216" s="38"/>
      <c r="CI216" s="38"/>
      <c r="CJ216" s="38"/>
      <c r="CK216" s="38"/>
    </row>
    <row r="217" customFormat="false" ht="15" hidden="false" customHeight="true" outlineLevel="0" collapsed="false">
      <c r="A217" s="26" t="str">
        <f aca="false">IF($C217="","",ROW()-3)</f>
        <v/>
      </c>
      <c r="B217" s="27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9"/>
      <c r="N217" s="29"/>
      <c r="O217" s="30" t="str">
        <f aca="false">IFERROR(IF(M217="","",M217*INDEX('00 - Lists'!$M$2:$M$11,MATCH(L217,'00 - Lists'!$L$2:$L$11,0))/100000),"")</f>
        <v/>
      </c>
      <c r="P217" s="30" t="str">
        <f aca="false">IFERROR(IF(N217="","",N217*INDEX('00 - Lists'!$M$2:$M$11,MATCH(L217,'00 - Lists'!$L$2:$L$11,0))/100000),"")</f>
        <v/>
      </c>
      <c r="Q217" s="31" t="str">
        <f aca="false">IFERROR(IF(M217="","",M217*INDEX('00 - Lists'!$N$2:$N$11,MATCH(L217,'00 - Lists'!$L$2:$L$11,0))),"")</f>
        <v/>
      </c>
      <c r="R217" s="31" t="str">
        <f aca="false">IFERROR(IF(N217="","",N217*INDEX('00 - Lists'!$N$2:$N$11,MATCH(L217,'00 - Lists'!$L$2:$L$11,0))),"")</f>
        <v/>
      </c>
      <c r="S217" s="32" t="str">
        <f aca="false">IF(O217="","",IF(O217&gt;=50,"Yes","No"))</f>
        <v/>
      </c>
      <c r="T217" s="32" t="str">
        <f aca="false">IF(Q217="","",IF(Q217&gt;=100000,"Yes","No"))</f>
        <v/>
      </c>
      <c r="U217" s="28"/>
      <c r="V217" s="28"/>
      <c r="W217" s="28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J217" s="34" t="str">
        <f aca="false">IF(OR($BD217&lt;&gt;"",$BF217&lt;&gt;"",$BH217&lt;&gt;""),"Yes","No")</f>
        <v>No</v>
      </c>
      <c r="BK217" s="35" t="str">
        <f aca="false">IFERROR(IF(BD217="","",BD217*INDEX('00 - Lists'!$M$2:$M$11,MATCH(L217,'00 - Lists'!$L$2:$L$11,0))/100000),"")</f>
        <v/>
      </c>
      <c r="BL217" s="35" t="str">
        <f aca="false">IFERROR(IF(BE217="","",BE217*INDEX('00 - Lists'!$M$2:$M$11,MATCH(L217,'00 - Lists'!$L$2:$L$11,0))/100000),"")</f>
        <v/>
      </c>
      <c r="BM217" s="35" t="str">
        <f aca="false">IFERROR(IF(BF217="","",BF217*INDEX('00 - Lists'!$M$2:$M$11,MATCH(L217,'00 - Lists'!$L$2:$L$11,0))/100000),"")</f>
        <v/>
      </c>
      <c r="BN217" s="35" t="str">
        <f aca="false">IFERROR(IF(BG217="","",BG217*INDEX('00 - Lists'!$M$2:$M$11,MATCH(L217,'00 - Lists'!$L$2:$L$11,0))/100000),"")</f>
        <v/>
      </c>
      <c r="BO217" s="35" t="str">
        <f aca="false">IFERROR(IF(BH217="","",BH217*INDEX('00 - Lists'!$M$2:$M$11,MATCH(L217,'00 - Lists'!$L$2:$L$11,0))/100000),"")</f>
        <v/>
      </c>
      <c r="BP217" s="35" t="str">
        <f aca="false">IFERROR(IF(BI217="","",BI217*INDEX('00 - Lists'!$M$2:$M$11,MATCH(L217,'00 - Lists'!$L$2:$L$11,0))/100000),"")</f>
        <v/>
      </c>
      <c r="BS217" s="36" t="str">
        <f aca="false">IF(O217="","",IF(O217&gt;=20,"Yes","No"))</f>
        <v/>
      </c>
      <c r="BT217" s="36" t="str">
        <f aca="false">IF(O217="","",IF(O217&gt;=30,"Yes","No"))</f>
        <v/>
      </c>
      <c r="BU217" s="36" t="str">
        <f aca="false">IF(O217="","",IF(O217&gt;=75,"Yes","No"))</f>
        <v/>
      </c>
      <c r="BV217" s="36" t="str">
        <f aca="false">IF(O217="","",IF(O217&gt;=100,"Yes","No"))</f>
        <v/>
      </c>
      <c r="BW217" s="36" t="str">
        <f aca="false">IF(O217="","",IF(O217&gt;=150,"Yes","No"))</f>
        <v/>
      </c>
      <c r="BX217" s="36" t="str">
        <f aca="false">IF(O217="","",IF(O217&gt;=200,"Yes","No"))</f>
        <v/>
      </c>
      <c r="BY217" s="36" t="str">
        <f aca="false">IF(Q217="","",IF(Q217&gt;=150000,"Yes","No"))</f>
        <v/>
      </c>
      <c r="BZ217" s="36" t="str">
        <f aca="false">IF(Q217="","",IF(Q217&gt;=200000,"Yes","No"))</f>
        <v/>
      </c>
      <c r="CA217" s="36" t="str">
        <f aca="false">IF(Q217="","",IF(Q217&gt;=250000,"Yes","No"))</f>
        <v/>
      </c>
      <c r="CB217" s="36" t="str">
        <f aca="false">IF(Q217="","",IF(Q217&gt;=300000,"Yes","No"))</f>
        <v/>
      </c>
      <c r="CC217" s="37"/>
      <c r="CD217" s="36" t="str">
        <f aca="true">IF(B217="","",IF(TODAY()-B217&lt;=7,"🟢 0-7d",IF(TODAY()-B217&lt;=30,"🟡 8-30d",IF(TODAY()-B217&lt;=60,"🟠 31-60d","🔴 60d+"))))</f>
        <v/>
      </c>
      <c r="CE217" s="36" t="str">
        <f aca="false">IF(G217="","",IF(G217&lt;&gt;"USA","N/A - Not USA Role",IF(J217="Yes",IF(OR(F217="Intern",F217="New Grad"),"🟡 Possible","🟢 Strong"),IF(J217="No","🔴 Difficult","⚪ Unknown"))))</f>
        <v/>
      </c>
      <c r="CF217" s="37"/>
      <c r="CG217" s="37"/>
      <c r="CH217" s="38"/>
      <c r="CI217" s="38"/>
      <c r="CJ217" s="38"/>
      <c r="CK217" s="38"/>
    </row>
    <row r="218" customFormat="false" ht="15" hidden="false" customHeight="true" outlineLevel="0" collapsed="false">
      <c r="A218" s="26" t="str">
        <f aca="false">IF($C218="","",ROW()-3)</f>
        <v/>
      </c>
      <c r="B218" s="27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9"/>
      <c r="N218" s="29"/>
      <c r="O218" s="30" t="str">
        <f aca="false">IFERROR(IF(M218="","",M218*INDEX('00 - Lists'!$M$2:$M$11,MATCH(L218,'00 - Lists'!$L$2:$L$11,0))/100000),"")</f>
        <v/>
      </c>
      <c r="P218" s="30" t="str">
        <f aca="false">IFERROR(IF(N218="","",N218*INDEX('00 - Lists'!$M$2:$M$11,MATCH(L218,'00 - Lists'!$L$2:$L$11,0))/100000),"")</f>
        <v/>
      </c>
      <c r="Q218" s="31" t="str">
        <f aca="false">IFERROR(IF(M218="","",M218*INDEX('00 - Lists'!$N$2:$N$11,MATCH(L218,'00 - Lists'!$L$2:$L$11,0))),"")</f>
        <v/>
      </c>
      <c r="R218" s="31" t="str">
        <f aca="false">IFERROR(IF(N218="","",N218*INDEX('00 - Lists'!$N$2:$N$11,MATCH(L218,'00 - Lists'!$L$2:$L$11,0))),"")</f>
        <v/>
      </c>
      <c r="S218" s="32" t="str">
        <f aca="false">IF(O218="","",IF(O218&gt;=50,"Yes","No"))</f>
        <v/>
      </c>
      <c r="T218" s="32" t="str">
        <f aca="false">IF(Q218="","",IF(Q218&gt;=100000,"Yes","No"))</f>
        <v/>
      </c>
      <c r="U218" s="28"/>
      <c r="V218" s="28"/>
      <c r="W218" s="28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J218" s="34" t="str">
        <f aca="false">IF(OR($BD218&lt;&gt;"",$BF218&lt;&gt;"",$BH218&lt;&gt;""),"Yes","No")</f>
        <v>No</v>
      </c>
      <c r="BK218" s="35" t="str">
        <f aca="false">IFERROR(IF(BD218="","",BD218*INDEX('00 - Lists'!$M$2:$M$11,MATCH(L218,'00 - Lists'!$L$2:$L$11,0))/100000),"")</f>
        <v/>
      </c>
      <c r="BL218" s="35" t="str">
        <f aca="false">IFERROR(IF(BE218="","",BE218*INDEX('00 - Lists'!$M$2:$M$11,MATCH(L218,'00 - Lists'!$L$2:$L$11,0))/100000),"")</f>
        <v/>
      </c>
      <c r="BM218" s="35" t="str">
        <f aca="false">IFERROR(IF(BF218="","",BF218*INDEX('00 - Lists'!$M$2:$M$11,MATCH(L218,'00 - Lists'!$L$2:$L$11,0))/100000),"")</f>
        <v/>
      </c>
      <c r="BN218" s="35" t="str">
        <f aca="false">IFERROR(IF(BG218="","",BG218*INDEX('00 - Lists'!$M$2:$M$11,MATCH(L218,'00 - Lists'!$L$2:$L$11,0))/100000),"")</f>
        <v/>
      </c>
      <c r="BO218" s="35" t="str">
        <f aca="false">IFERROR(IF(BH218="","",BH218*INDEX('00 - Lists'!$M$2:$M$11,MATCH(L218,'00 - Lists'!$L$2:$L$11,0))/100000),"")</f>
        <v/>
      </c>
      <c r="BP218" s="35" t="str">
        <f aca="false">IFERROR(IF(BI218="","",BI218*INDEX('00 - Lists'!$M$2:$M$11,MATCH(L218,'00 - Lists'!$L$2:$L$11,0))/100000),"")</f>
        <v/>
      </c>
      <c r="BS218" s="36" t="str">
        <f aca="false">IF(O218="","",IF(O218&gt;=20,"Yes","No"))</f>
        <v/>
      </c>
      <c r="BT218" s="36" t="str">
        <f aca="false">IF(O218="","",IF(O218&gt;=30,"Yes","No"))</f>
        <v/>
      </c>
      <c r="BU218" s="36" t="str">
        <f aca="false">IF(O218="","",IF(O218&gt;=75,"Yes","No"))</f>
        <v/>
      </c>
      <c r="BV218" s="36" t="str">
        <f aca="false">IF(O218="","",IF(O218&gt;=100,"Yes","No"))</f>
        <v/>
      </c>
      <c r="BW218" s="36" t="str">
        <f aca="false">IF(O218="","",IF(O218&gt;=150,"Yes","No"))</f>
        <v/>
      </c>
      <c r="BX218" s="36" t="str">
        <f aca="false">IF(O218="","",IF(O218&gt;=200,"Yes","No"))</f>
        <v/>
      </c>
      <c r="BY218" s="36" t="str">
        <f aca="false">IF(Q218="","",IF(Q218&gt;=150000,"Yes","No"))</f>
        <v/>
      </c>
      <c r="BZ218" s="36" t="str">
        <f aca="false">IF(Q218="","",IF(Q218&gt;=200000,"Yes","No"))</f>
        <v/>
      </c>
      <c r="CA218" s="36" t="str">
        <f aca="false">IF(Q218="","",IF(Q218&gt;=250000,"Yes","No"))</f>
        <v/>
      </c>
      <c r="CB218" s="36" t="str">
        <f aca="false">IF(Q218="","",IF(Q218&gt;=300000,"Yes","No"))</f>
        <v/>
      </c>
      <c r="CC218" s="37"/>
      <c r="CD218" s="36" t="str">
        <f aca="true">IF(B218="","",IF(TODAY()-B218&lt;=7,"🟢 0-7d",IF(TODAY()-B218&lt;=30,"🟡 8-30d",IF(TODAY()-B218&lt;=60,"🟠 31-60d","🔴 60d+"))))</f>
        <v/>
      </c>
      <c r="CE218" s="36" t="str">
        <f aca="false">IF(G218="","",IF(G218&lt;&gt;"USA","N/A - Not USA Role",IF(J218="Yes",IF(OR(F218="Intern",F218="New Grad"),"🟡 Possible","🟢 Strong"),IF(J218="No","🔴 Difficult","⚪ Unknown"))))</f>
        <v/>
      </c>
      <c r="CF218" s="37"/>
      <c r="CG218" s="37"/>
      <c r="CH218" s="38"/>
      <c r="CI218" s="38"/>
      <c r="CJ218" s="38"/>
      <c r="CK218" s="38"/>
    </row>
    <row r="219" customFormat="false" ht="15" hidden="false" customHeight="true" outlineLevel="0" collapsed="false">
      <c r="A219" s="26" t="str">
        <f aca="false">IF($C219="","",ROW()-3)</f>
        <v/>
      </c>
      <c r="B219" s="27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9"/>
      <c r="N219" s="29"/>
      <c r="O219" s="30" t="str">
        <f aca="false">IFERROR(IF(M219="","",M219*INDEX('00 - Lists'!$M$2:$M$11,MATCH(L219,'00 - Lists'!$L$2:$L$11,0))/100000),"")</f>
        <v/>
      </c>
      <c r="P219" s="30" t="str">
        <f aca="false">IFERROR(IF(N219="","",N219*INDEX('00 - Lists'!$M$2:$M$11,MATCH(L219,'00 - Lists'!$L$2:$L$11,0))/100000),"")</f>
        <v/>
      </c>
      <c r="Q219" s="31" t="str">
        <f aca="false">IFERROR(IF(M219="","",M219*INDEX('00 - Lists'!$N$2:$N$11,MATCH(L219,'00 - Lists'!$L$2:$L$11,0))),"")</f>
        <v/>
      </c>
      <c r="R219" s="31" t="str">
        <f aca="false">IFERROR(IF(N219="","",N219*INDEX('00 - Lists'!$N$2:$N$11,MATCH(L219,'00 - Lists'!$L$2:$L$11,0))),"")</f>
        <v/>
      </c>
      <c r="S219" s="32" t="str">
        <f aca="false">IF(O219="","",IF(O219&gt;=50,"Yes","No"))</f>
        <v/>
      </c>
      <c r="T219" s="32" t="str">
        <f aca="false">IF(Q219="","",IF(Q219&gt;=100000,"Yes","No"))</f>
        <v/>
      </c>
      <c r="U219" s="28"/>
      <c r="V219" s="28"/>
      <c r="W219" s="28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J219" s="34" t="str">
        <f aca="false">IF(OR($BD219&lt;&gt;"",$BF219&lt;&gt;"",$BH219&lt;&gt;""),"Yes","No")</f>
        <v>No</v>
      </c>
      <c r="BK219" s="35" t="str">
        <f aca="false">IFERROR(IF(BD219="","",BD219*INDEX('00 - Lists'!$M$2:$M$11,MATCH(L219,'00 - Lists'!$L$2:$L$11,0))/100000),"")</f>
        <v/>
      </c>
      <c r="BL219" s="35" t="str">
        <f aca="false">IFERROR(IF(BE219="","",BE219*INDEX('00 - Lists'!$M$2:$M$11,MATCH(L219,'00 - Lists'!$L$2:$L$11,0))/100000),"")</f>
        <v/>
      </c>
      <c r="BM219" s="35" t="str">
        <f aca="false">IFERROR(IF(BF219="","",BF219*INDEX('00 - Lists'!$M$2:$M$11,MATCH(L219,'00 - Lists'!$L$2:$L$11,0))/100000),"")</f>
        <v/>
      </c>
      <c r="BN219" s="35" t="str">
        <f aca="false">IFERROR(IF(BG219="","",BG219*INDEX('00 - Lists'!$M$2:$M$11,MATCH(L219,'00 - Lists'!$L$2:$L$11,0))/100000),"")</f>
        <v/>
      </c>
      <c r="BO219" s="35" t="str">
        <f aca="false">IFERROR(IF(BH219="","",BH219*INDEX('00 - Lists'!$M$2:$M$11,MATCH(L219,'00 - Lists'!$L$2:$L$11,0))/100000),"")</f>
        <v/>
      </c>
      <c r="BP219" s="35" t="str">
        <f aca="false">IFERROR(IF(BI219="","",BI219*INDEX('00 - Lists'!$M$2:$M$11,MATCH(L219,'00 - Lists'!$L$2:$L$11,0))/100000),"")</f>
        <v/>
      </c>
      <c r="BS219" s="36" t="str">
        <f aca="false">IF(O219="","",IF(O219&gt;=20,"Yes","No"))</f>
        <v/>
      </c>
      <c r="BT219" s="36" t="str">
        <f aca="false">IF(O219="","",IF(O219&gt;=30,"Yes","No"))</f>
        <v/>
      </c>
      <c r="BU219" s="36" t="str">
        <f aca="false">IF(O219="","",IF(O219&gt;=75,"Yes","No"))</f>
        <v/>
      </c>
      <c r="BV219" s="36" t="str">
        <f aca="false">IF(O219="","",IF(O219&gt;=100,"Yes","No"))</f>
        <v/>
      </c>
      <c r="BW219" s="36" t="str">
        <f aca="false">IF(O219="","",IF(O219&gt;=150,"Yes","No"))</f>
        <v/>
      </c>
      <c r="BX219" s="36" t="str">
        <f aca="false">IF(O219="","",IF(O219&gt;=200,"Yes","No"))</f>
        <v/>
      </c>
      <c r="BY219" s="36" t="str">
        <f aca="false">IF(Q219="","",IF(Q219&gt;=150000,"Yes","No"))</f>
        <v/>
      </c>
      <c r="BZ219" s="36" t="str">
        <f aca="false">IF(Q219="","",IF(Q219&gt;=200000,"Yes","No"))</f>
        <v/>
      </c>
      <c r="CA219" s="36" t="str">
        <f aca="false">IF(Q219="","",IF(Q219&gt;=250000,"Yes","No"))</f>
        <v/>
      </c>
      <c r="CB219" s="36" t="str">
        <f aca="false">IF(Q219="","",IF(Q219&gt;=300000,"Yes","No"))</f>
        <v/>
      </c>
      <c r="CC219" s="37"/>
      <c r="CD219" s="36" t="str">
        <f aca="true">IF(B219="","",IF(TODAY()-B219&lt;=7,"🟢 0-7d",IF(TODAY()-B219&lt;=30,"🟡 8-30d",IF(TODAY()-B219&lt;=60,"🟠 31-60d","🔴 60d+"))))</f>
        <v/>
      </c>
      <c r="CE219" s="36" t="str">
        <f aca="false">IF(G219="","",IF(G219&lt;&gt;"USA","N/A - Not USA Role",IF(J219="Yes",IF(OR(F219="Intern",F219="New Grad"),"🟡 Possible","🟢 Strong"),IF(J219="No","🔴 Difficult","⚪ Unknown"))))</f>
        <v/>
      </c>
      <c r="CF219" s="37"/>
      <c r="CG219" s="37"/>
      <c r="CH219" s="38"/>
      <c r="CI219" s="38"/>
      <c r="CJ219" s="38"/>
      <c r="CK219" s="38"/>
    </row>
    <row r="220" customFormat="false" ht="15" hidden="false" customHeight="true" outlineLevel="0" collapsed="false">
      <c r="A220" s="26" t="str">
        <f aca="false">IF($C220="","",ROW()-3)</f>
        <v/>
      </c>
      <c r="B220" s="27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9"/>
      <c r="N220" s="29"/>
      <c r="O220" s="30" t="str">
        <f aca="false">IFERROR(IF(M220="","",M220*INDEX('00 - Lists'!$M$2:$M$11,MATCH(L220,'00 - Lists'!$L$2:$L$11,0))/100000),"")</f>
        <v/>
      </c>
      <c r="P220" s="30" t="str">
        <f aca="false">IFERROR(IF(N220="","",N220*INDEX('00 - Lists'!$M$2:$M$11,MATCH(L220,'00 - Lists'!$L$2:$L$11,0))/100000),"")</f>
        <v/>
      </c>
      <c r="Q220" s="31" t="str">
        <f aca="false">IFERROR(IF(M220="","",M220*INDEX('00 - Lists'!$N$2:$N$11,MATCH(L220,'00 - Lists'!$L$2:$L$11,0))),"")</f>
        <v/>
      </c>
      <c r="R220" s="31" t="str">
        <f aca="false">IFERROR(IF(N220="","",N220*INDEX('00 - Lists'!$N$2:$N$11,MATCH(L220,'00 - Lists'!$L$2:$L$11,0))),"")</f>
        <v/>
      </c>
      <c r="S220" s="32" t="str">
        <f aca="false">IF(O220="","",IF(O220&gt;=50,"Yes","No"))</f>
        <v/>
      </c>
      <c r="T220" s="32" t="str">
        <f aca="false">IF(Q220="","",IF(Q220&gt;=100000,"Yes","No"))</f>
        <v/>
      </c>
      <c r="U220" s="28"/>
      <c r="V220" s="28"/>
      <c r="W220" s="28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J220" s="34" t="str">
        <f aca="false">IF(OR($BD220&lt;&gt;"",$BF220&lt;&gt;"",$BH220&lt;&gt;""),"Yes","No")</f>
        <v>No</v>
      </c>
      <c r="BK220" s="35" t="str">
        <f aca="false">IFERROR(IF(BD220="","",BD220*INDEX('00 - Lists'!$M$2:$M$11,MATCH(L220,'00 - Lists'!$L$2:$L$11,0))/100000),"")</f>
        <v/>
      </c>
      <c r="BL220" s="35" t="str">
        <f aca="false">IFERROR(IF(BE220="","",BE220*INDEX('00 - Lists'!$M$2:$M$11,MATCH(L220,'00 - Lists'!$L$2:$L$11,0))/100000),"")</f>
        <v/>
      </c>
      <c r="BM220" s="35" t="str">
        <f aca="false">IFERROR(IF(BF220="","",BF220*INDEX('00 - Lists'!$M$2:$M$11,MATCH(L220,'00 - Lists'!$L$2:$L$11,0))/100000),"")</f>
        <v/>
      </c>
      <c r="BN220" s="35" t="str">
        <f aca="false">IFERROR(IF(BG220="","",BG220*INDEX('00 - Lists'!$M$2:$M$11,MATCH(L220,'00 - Lists'!$L$2:$L$11,0))/100000),"")</f>
        <v/>
      </c>
      <c r="BO220" s="35" t="str">
        <f aca="false">IFERROR(IF(BH220="","",BH220*INDEX('00 - Lists'!$M$2:$M$11,MATCH(L220,'00 - Lists'!$L$2:$L$11,0))/100000),"")</f>
        <v/>
      </c>
      <c r="BP220" s="35" t="str">
        <f aca="false">IFERROR(IF(BI220="","",BI220*INDEX('00 - Lists'!$M$2:$M$11,MATCH(L220,'00 - Lists'!$L$2:$L$11,0))/100000),"")</f>
        <v/>
      </c>
      <c r="BS220" s="36" t="str">
        <f aca="false">IF(O220="","",IF(O220&gt;=20,"Yes","No"))</f>
        <v/>
      </c>
      <c r="BT220" s="36" t="str">
        <f aca="false">IF(O220="","",IF(O220&gt;=30,"Yes","No"))</f>
        <v/>
      </c>
      <c r="BU220" s="36" t="str">
        <f aca="false">IF(O220="","",IF(O220&gt;=75,"Yes","No"))</f>
        <v/>
      </c>
      <c r="BV220" s="36" t="str">
        <f aca="false">IF(O220="","",IF(O220&gt;=100,"Yes","No"))</f>
        <v/>
      </c>
      <c r="BW220" s="36" t="str">
        <f aca="false">IF(O220="","",IF(O220&gt;=150,"Yes","No"))</f>
        <v/>
      </c>
      <c r="BX220" s="36" t="str">
        <f aca="false">IF(O220="","",IF(O220&gt;=200,"Yes","No"))</f>
        <v/>
      </c>
      <c r="BY220" s="36" t="str">
        <f aca="false">IF(Q220="","",IF(Q220&gt;=150000,"Yes","No"))</f>
        <v/>
      </c>
      <c r="BZ220" s="36" t="str">
        <f aca="false">IF(Q220="","",IF(Q220&gt;=200000,"Yes","No"))</f>
        <v/>
      </c>
      <c r="CA220" s="36" t="str">
        <f aca="false">IF(Q220="","",IF(Q220&gt;=250000,"Yes","No"))</f>
        <v/>
      </c>
      <c r="CB220" s="36" t="str">
        <f aca="false">IF(Q220="","",IF(Q220&gt;=300000,"Yes","No"))</f>
        <v/>
      </c>
      <c r="CC220" s="37"/>
      <c r="CD220" s="36" t="str">
        <f aca="true">IF(B220="","",IF(TODAY()-B220&lt;=7,"🟢 0-7d",IF(TODAY()-B220&lt;=30,"🟡 8-30d",IF(TODAY()-B220&lt;=60,"🟠 31-60d","🔴 60d+"))))</f>
        <v/>
      </c>
      <c r="CE220" s="36" t="str">
        <f aca="false">IF(G220="","",IF(G220&lt;&gt;"USA","N/A - Not USA Role",IF(J220="Yes",IF(OR(F220="Intern",F220="New Grad"),"🟡 Possible","🟢 Strong"),IF(J220="No","🔴 Difficult","⚪ Unknown"))))</f>
        <v/>
      </c>
      <c r="CF220" s="37"/>
      <c r="CG220" s="37"/>
      <c r="CH220" s="38"/>
      <c r="CI220" s="38"/>
      <c r="CJ220" s="38"/>
      <c r="CK220" s="38"/>
    </row>
    <row r="221" customFormat="false" ht="15" hidden="false" customHeight="true" outlineLevel="0" collapsed="false">
      <c r="A221" s="26" t="str">
        <f aca="false">IF($C221="","",ROW()-3)</f>
        <v/>
      </c>
      <c r="B221" s="27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9"/>
      <c r="N221" s="29"/>
      <c r="O221" s="30" t="str">
        <f aca="false">IFERROR(IF(M221="","",M221*INDEX('00 - Lists'!$M$2:$M$11,MATCH(L221,'00 - Lists'!$L$2:$L$11,0))/100000),"")</f>
        <v/>
      </c>
      <c r="P221" s="30" t="str">
        <f aca="false">IFERROR(IF(N221="","",N221*INDEX('00 - Lists'!$M$2:$M$11,MATCH(L221,'00 - Lists'!$L$2:$L$11,0))/100000),"")</f>
        <v/>
      </c>
      <c r="Q221" s="31" t="str">
        <f aca="false">IFERROR(IF(M221="","",M221*INDEX('00 - Lists'!$N$2:$N$11,MATCH(L221,'00 - Lists'!$L$2:$L$11,0))),"")</f>
        <v/>
      </c>
      <c r="R221" s="31" t="str">
        <f aca="false">IFERROR(IF(N221="","",N221*INDEX('00 - Lists'!$N$2:$N$11,MATCH(L221,'00 - Lists'!$L$2:$L$11,0))),"")</f>
        <v/>
      </c>
      <c r="S221" s="32" t="str">
        <f aca="false">IF(O221="","",IF(O221&gt;=50,"Yes","No"))</f>
        <v/>
      </c>
      <c r="T221" s="32" t="str">
        <f aca="false">IF(Q221="","",IF(Q221&gt;=100000,"Yes","No"))</f>
        <v/>
      </c>
      <c r="U221" s="28"/>
      <c r="V221" s="28"/>
      <c r="W221" s="28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J221" s="34" t="str">
        <f aca="false">IF(OR($BD221&lt;&gt;"",$BF221&lt;&gt;"",$BH221&lt;&gt;""),"Yes","No")</f>
        <v>No</v>
      </c>
      <c r="BK221" s="35" t="str">
        <f aca="false">IFERROR(IF(BD221="","",BD221*INDEX('00 - Lists'!$M$2:$M$11,MATCH(L221,'00 - Lists'!$L$2:$L$11,0))/100000),"")</f>
        <v/>
      </c>
      <c r="BL221" s="35" t="str">
        <f aca="false">IFERROR(IF(BE221="","",BE221*INDEX('00 - Lists'!$M$2:$M$11,MATCH(L221,'00 - Lists'!$L$2:$L$11,0))/100000),"")</f>
        <v/>
      </c>
      <c r="BM221" s="35" t="str">
        <f aca="false">IFERROR(IF(BF221="","",BF221*INDEX('00 - Lists'!$M$2:$M$11,MATCH(L221,'00 - Lists'!$L$2:$L$11,0))/100000),"")</f>
        <v/>
      </c>
      <c r="BN221" s="35" t="str">
        <f aca="false">IFERROR(IF(BG221="","",BG221*INDEX('00 - Lists'!$M$2:$M$11,MATCH(L221,'00 - Lists'!$L$2:$L$11,0))/100000),"")</f>
        <v/>
      </c>
      <c r="BO221" s="35" t="str">
        <f aca="false">IFERROR(IF(BH221="","",BH221*INDEX('00 - Lists'!$M$2:$M$11,MATCH(L221,'00 - Lists'!$L$2:$L$11,0))/100000),"")</f>
        <v/>
      </c>
      <c r="BP221" s="35" t="str">
        <f aca="false">IFERROR(IF(BI221="","",BI221*INDEX('00 - Lists'!$M$2:$M$11,MATCH(L221,'00 - Lists'!$L$2:$L$11,0))/100000),"")</f>
        <v/>
      </c>
      <c r="BS221" s="36" t="str">
        <f aca="false">IF(O221="","",IF(O221&gt;=20,"Yes","No"))</f>
        <v/>
      </c>
      <c r="BT221" s="36" t="str">
        <f aca="false">IF(O221="","",IF(O221&gt;=30,"Yes","No"))</f>
        <v/>
      </c>
      <c r="BU221" s="36" t="str">
        <f aca="false">IF(O221="","",IF(O221&gt;=75,"Yes","No"))</f>
        <v/>
      </c>
      <c r="BV221" s="36" t="str">
        <f aca="false">IF(O221="","",IF(O221&gt;=100,"Yes","No"))</f>
        <v/>
      </c>
      <c r="BW221" s="36" t="str">
        <f aca="false">IF(O221="","",IF(O221&gt;=150,"Yes","No"))</f>
        <v/>
      </c>
      <c r="BX221" s="36" t="str">
        <f aca="false">IF(O221="","",IF(O221&gt;=200,"Yes","No"))</f>
        <v/>
      </c>
      <c r="BY221" s="36" t="str">
        <f aca="false">IF(Q221="","",IF(Q221&gt;=150000,"Yes","No"))</f>
        <v/>
      </c>
      <c r="BZ221" s="36" t="str">
        <f aca="false">IF(Q221="","",IF(Q221&gt;=200000,"Yes","No"))</f>
        <v/>
      </c>
      <c r="CA221" s="36" t="str">
        <f aca="false">IF(Q221="","",IF(Q221&gt;=250000,"Yes","No"))</f>
        <v/>
      </c>
      <c r="CB221" s="36" t="str">
        <f aca="false">IF(Q221="","",IF(Q221&gt;=300000,"Yes","No"))</f>
        <v/>
      </c>
      <c r="CC221" s="37"/>
      <c r="CD221" s="36" t="str">
        <f aca="true">IF(B221="","",IF(TODAY()-B221&lt;=7,"🟢 0-7d",IF(TODAY()-B221&lt;=30,"🟡 8-30d",IF(TODAY()-B221&lt;=60,"🟠 31-60d","🔴 60d+"))))</f>
        <v/>
      </c>
      <c r="CE221" s="36" t="str">
        <f aca="false">IF(G221="","",IF(G221&lt;&gt;"USA","N/A - Not USA Role",IF(J221="Yes",IF(OR(F221="Intern",F221="New Grad"),"🟡 Possible","🟢 Strong"),IF(J221="No","🔴 Difficult","⚪ Unknown"))))</f>
        <v/>
      </c>
      <c r="CF221" s="37"/>
      <c r="CG221" s="37"/>
      <c r="CH221" s="38"/>
      <c r="CI221" s="38"/>
      <c r="CJ221" s="38"/>
      <c r="CK221" s="38"/>
    </row>
    <row r="222" customFormat="false" ht="15" hidden="false" customHeight="true" outlineLevel="0" collapsed="false">
      <c r="A222" s="26" t="str">
        <f aca="false">IF($C222="","",ROW()-3)</f>
        <v/>
      </c>
      <c r="B222" s="27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9"/>
      <c r="N222" s="29"/>
      <c r="O222" s="30" t="str">
        <f aca="false">IFERROR(IF(M222="","",M222*INDEX('00 - Lists'!$M$2:$M$11,MATCH(L222,'00 - Lists'!$L$2:$L$11,0))/100000),"")</f>
        <v/>
      </c>
      <c r="P222" s="30" t="str">
        <f aca="false">IFERROR(IF(N222="","",N222*INDEX('00 - Lists'!$M$2:$M$11,MATCH(L222,'00 - Lists'!$L$2:$L$11,0))/100000),"")</f>
        <v/>
      </c>
      <c r="Q222" s="31" t="str">
        <f aca="false">IFERROR(IF(M222="","",M222*INDEX('00 - Lists'!$N$2:$N$11,MATCH(L222,'00 - Lists'!$L$2:$L$11,0))),"")</f>
        <v/>
      </c>
      <c r="R222" s="31" t="str">
        <f aca="false">IFERROR(IF(N222="","",N222*INDEX('00 - Lists'!$N$2:$N$11,MATCH(L222,'00 - Lists'!$L$2:$L$11,0))),"")</f>
        <v/>
      </c>
      <c r="S222" s="32" t="str">
        <f aca="false">IF(O222="","",IF(O222&gt;=50,"Yes","No"))</f>
        <v/>
      </c>
      <c r="T222" s="32" t="str">
        <f aca="false">IF(Q222="","",IF(Q222&gt;=100000,"Yes","No"))</f>
        <v/>
      </c>
      <c r="U222" s="28"/>
      <c r="V222" s="28"/>
      <c r="W222" s="28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J222" s="34" t="str">
        <f aca="false">IF(OR($BD222&lt;&gt;"",$BF222&lt;&gt;"",$BH222&lt;&gt;""),"Yes","No")</f>
        <v>No</v>
      </c>
      <c r="BK222" s="35" t="str">
        <f aca="false">IFERROR(IF(BD222="","",BD222*INDEX('00 - Lists'!$M$2:$M$11,MATCH(L222,'00 - Lists'!$L$2:$L$11,0))/100000),"")</f>
        <v/>
      </c>
      <c r="BL222" s="35" t="str">
        <f aca="false">IFERROR(IF(BE222="","",BE222*INDEX('00 - Lists'!$M$2:$M$11,MATCH(L222,'00 - Lists'!$L$2:$L$11,0))/100000),"")</f>
        <v/>
      </c>
      <c r="BM222" s="35" t="str">
        <f aca="false">IFERROR(IF(BF222="","",BF222*INDEX('00 - Lists'!$M$2:$M$11,MATCH(L222,'00 - Lists'!$L$2:$L$11,0))/100000),"")</f>
        <v/>
      </c>
      <c r="BN222" s="35" t="str">
        <f aca="false">IFERROR(IF(BG222="","",BG222*INDEX('00 - Lists'!$M$2:$M$11,MATCH(L222,'00 - Lists'!$L$2:$L$11,0))/100000),"")</f>
        <v/>
      </c>
      <c r="BO222" s="35" t="str">
        <f aca="false">IFERROR(IF(BH222="","",BH222*INDEX('00 - Lists'!$M$2:$M$11,MATCH(L222,'00 - Lists'!$L$2:$L$11,0))/100000),"")</f>
        <v/>
      </c>
      <c r="BP222" s="35" t="str">
        <f aca="false">IFERROR(IF(BI222="","",BI222*INDEX('00 - Lists'!$M$2:$M$11,MATCH(L222,'00 - Lists'!$L$2:$L$11,0))/100000),"")</f>
        <v/>
      </c>
      <c r="BS222" s="36" t="str">
        <f aca="false">IF(O222="","",IF(O222&gt;=20,"Yes","No"))</f>
        <v/>
      </c>
      <c r="BT222" s="36" t="str">
        <f aca="false">IF(O222="","",IF(O222&gt;=30,"Yes","No"))</f>
        <v/>
      </c>
      <c r="BU222" s="36" t="str">
        <f aca="false">IF(O222="","",IF(O222&gt;=75,"Yes","No"))</f>
        <v/>
      </c>
      <c r="BV222" s="36" t="str">
        <f aca="false">IF(O222="","",IF(O222&gt;=100,"Yes","No"))</f>
        <v/>
      </c>
      <c r="BW222" s="36" t="str">
        <f aca="false">IF(O222="","",IF(O222&gt;=150,"Yes","No"))</f>
        <v/>
      </c>
      <c r="BX222" s="36" t="str">
        <f aca="false">IF(O222="","",IF(O222&gt;=200,"Yes","No"))</f>
        <v/>
      </c>
      <c r="BY222" s="36" t="str">
        <f aca="false">IF(Q222="","",IF(Q222&gt;=150000,"Yes","No"))</f>
        <v/>
      </c>
      <c r="BZ222" s="36" t="str">
        <f aca="false">IF(Q222="","",IF(Q222&gt;=200000,"Yes","No"))</f>
        <v/>
      </c>
      <c r="CA222" s="36" t="str">
        <f aca="false">IF(Q222="","",IF(Q222&gt;=250000,"Yes","No"))</f>
        <v/>
      </c>
      <c r="CB222" s="36" t="str">
        <f aca="false">IF(Q222="","",IF(Q222&gt;=300000,"Yes","No"))</f>
        <v/>
      </c>
      <c r="CC222" s="37"/>
      <c r="CD222" s="36" t="str">
        <f aca="true">IF(B222="","",IF(TODAY()-B222&lt;=7,"🟢 0-7d",IF(TODAY()-B222&lt;=30,"🟡 8-30d",IF(TODAY()-B222&lt;=60,"🟠 31-60d","🔴 60d+"))))</f>
        <v/>
      </c>
      <c r="CE222" s="36" t="str">
        <f aca="false">IF(G222="","",IF(G222&lt;&gt;"USA","N/A - Not USA Role",IF(J222="Yes",IF(OR(F222="Intern",F222="New Grad"),"🟡 Possible","🟢 Strong"),IF(J222="No","🔴 Difficult","⚪ Unknown"))))</f>
        <v/>
      </c>
      <c r="CF222" s="37"/>
      <c r="CG222" s="37"/>
      <c r="CH222" s="38"/>
      <c r="CI222" s="38"/>
      <c r="CJ222" s="38"/>
      <c r="CK222" s="38"/>
    </row>
    <row r="223" customFormat="false" ht="15" hidden="false" customHeight="true" outlineLevel="0" collapsed="false">
      <c r="A223" s="26" t="str">
        <f aca="false">IF($C223="","",ROW()-3)</f>
        <v/>
      </c>
      <c r="B223" s="27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9"/>
      <c r="N223" s="29"/>
      <c r="O223" s="30" t="str">
        <f aca="false">IFERROR(IF(M223="","",M223*INDEX('00 - Lists'!$M$2:$M$11,MATCH(L223,'00 - Lists'!$L$2:$L$11,0))/100000),"")</f>
        <v/>
      </c>
      <c r="P223" s="30" t="str">
        <f aca="false">IFERROR(IF(N223="","",N223*INDEX('00 - Lists'!$M$2:$M$11,MATCH(L223,'00 - Lists'!$L$2:$L$11,0))/100000),"")</f>
        <v/>
      </c>
      <c r="Q223" s="31" t="str">
        <f aca="false">IFERROR(IF(M223="","",M223*INDEX('00 - Lists'!$N$2:$N$11,MATCH(L223,'00 - Lists'!$L$2:$L$11,0))),"")</f>
        <v/>
      </c>
      <c r="R223" s="31" t="str">
        <f aca="false">IFERROR(IF(N223="","",N223*INDEX('00 - Lists'!$N$2:$N$11,MATCH(L223,'00 - Lists'!$L$2:$L$11,0))),"")</f>
        <v/>
      </c>
      <c r="S223" s="32" t="str">
        <f aca="false">IF(O223="","",IF(O223&gt;=50,"Yes","No"))</f>
        <v/>
      </c>
      <c r="T223" s="32" t="str">
        <f aca="false">IF(Q223="","",IF(Q223&gt;=100000,"Yes","No"))</f>
        <v/>
      </c>
      <c r="U223" s="28"/>
      <c r="V223" s="28"/>
      <c r="W223" s="28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J223" s="34" t="str">
        <f aca="false">IF(OR($BD223&lt;&gt;"",$BF223&lt;&gt;"",$BH223&lt;&gt;""),"Yes","No")</f>
        <v>No</v>
      </c>
      <c r="BK223" s="35" t="str">
        <f aca="false">IFERROR(IF(BD223="","",BD223*INDEX('00 - Lists'!$M$2:$M$11,MATCH(L223,'00 - Lists'!$L$2:$L$11,0))/100000),"")</f>
        <v/>
      </c>
      <c r="BL223" s="35" t="str">
        <f aca="false">IFERROR(IF(BE223="","",BE223*INDEX('00 - Lists'!$M$2:$M$11,MATCH(L223,'00 - Lists'!$L$2:$L$11,0))/100000),"")</f>
        <v/>
      </c>
      <c r="BM223" s="35" t="str">
        <f aca="false">IFERROR(IF(BF223="","",BF223*INDEX('00 - Lists'!$M$2:$M$11,MATCH(L223,'00 - Lists'!$L$2:$L$11,0))/100000),"")</f>
        <v/>
      </c>
      <c r="BN223" s="35" t="str">
        <f aca="false">IFERROR(IF(BG223="","",BG223*INDEX('00 - Lists'!$M$2:$M$11,MATCH(L223,'00 - Lists'!$L$2:$L$11,0))/100000),"")</f>
        <v/>
      </c>
      <c r="BO223" s="35" t="str">
        <f aca="false">IFERROR(IF(BH223="","",BH223*INDEX('00 - Lists'!$M$2:$M$11,MATCH(L223,'00 - Lists'!$L$2:$L$11,0))/100000),"")</f>
        <v/>
      </c>
      <c r="BP223" s="35" t="str">
        <f aca="false">IFERROR(IF(BI223="","",BI223*INDEX('00 - Lists'!$M$2:$M$11,MATCH(L223,'00 - Lists'!$L$2:$L$11,0))/100000),"")</f>
        <v/>
      </c>
      <c r="BS223" s="36" t="str">
        <f aca="false">IF(O223="","",IF(O223&gt;=20,"Yes","No"))</f>
        <v/>
      </c>
      <c r="BT223" s="36" t="str">
        <f aca="false">IF(O223="","",IF(O223&gt;=30,"Yes","No"))</f>
        <v/>
      </c>
      <c r="BU223" s="36" t="str">
        <f aca="false">IF(O223="","",IF(O223&gt;=75,"Yes","No"))</f>
        <v/>
      </c>
      <c r="BV223" s="36" t="str">
        <f aca="false">IF(O223="","",IF(O223&gt;=100,"Yes","No"))</f>
        <v/>
      </c>
      <c r="BW223" s="36" t="str">
        <f aca="false">IF(O223="","",IF(O223&gt;=150,"Yes","No"))</f>
        <v/>
      </c>
      <c r="BX223" s="36" t="str">
        <f aca="false">IF(O223="","",IF(O223&gt;=200,"Yes","No"))</f>
        <v/>
      </c>
      <c r="BY223" s="36" t="str">
        <f aca="false">IF(Q223="","",IF(Q223&gt;=150000,"Yes","No"))</f>
        <v/>
      </c>
      <c r="BZ223" s="36" t="str">
        <f aca="false">IF(Q223="","",IF(Q223&gt;=200000,"Yes","No"))</f>
        <v/>
      </c>
      <c r="CA223" s="36" t="str">
        <f aca="false">IF(Q223="","",IF(Q223&gt;=250000,"Yes","No"))</f>
        <v/>
      </c>
      <c r="CB223" s="36" t="str">
        <f aca="false">IF(Q223="","",IF(Q223&gt;=300000,"Yes","No"))</f>
        <v/>
      </c>
      <c r="CC223" s="37"/>
      <c r="CD223" s="36" t="str">
        <f aca="true">IF(B223="","",IF(TODAY()-B223&lt;=7,"🟢 0-7d",IF(TODAY()-B223&lt;=30,"🟡 8-30d",IF(TODAY()-B223&lt;=60,"🟠 31-60d","🔴 60d+"))))</f>
        <v/>
      </c>
      <c r="CE223" s="36" t="str">
        <f aca="false">IF(G223="","",IF(G223&lt;&gt;"USA","N/A - Not USA Role",IF(J223="Yes",IF(OR(F223="Intern",F223="New Grad"),"🟡 Possible","🟢 Strong"),IF(J223="No","🔴 Difficult","⚪ Unknown"))))</f>
        <v/>
      </c>
      <c r="CF223" s="37"/>
      <c r="CG223" s="37"/>
      <c r="CH223" s="38"/>
      <c r="CI223" s="38"/>
      <c r="CJ223" s="38"/>
      <c r="CK223" s="38"/>
    </row>
    <row r="224" customFormat="false" ht="15" hidden="false" customHeight="true" outlineLevel="0" collapsed="false">
      <c r="A224" s="26" t="str">
        <f aca="false">IF($C224="","",ROW()-3)</f>
        <v/>
      </c>
      <c r="B224" s="27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9"/>
      <c r="N224" s="29"/>
      <c r="O224" s="30" t="str">
        <f aca="false">IFERROR(IF(M224="","",M224*INDEX('00 - Lists'!$M$2:$M$11,MATCH(L224,'00 - Lists'!$L$2:$L$11,0))/100000),"")</f>
        <v/>
      </c>
      <c r="P224" s="30" t="str">
        <f aca="false">IFERROR(IF(N224="","",N224*INDEX('00 - Lists'!$M$2:$M$11,MATCH(L224,'00 - Lists'!$L$2:$L$11,0))/100000),"")</f>
        <v/>
      </c>
      <c r="Q224" s="31" t="str">
        <f aca="false">IFERROR(IF(M224="","",M224*INDEX('00 - Lists'!$N$2:$N$11,MATCH(L224,'00 - Lists'!$L$2:$L$11,0))),"")</f>
        <v/>
      </c>
      <c r="R224" s="31" t="str">
        <f aca="false">IFERROR(IF(N224="","",N224*INDEX('00 - Lists'!$N$2:$N$11,MATCH(L224,'00 - Lists'!$L$2:$L$11,0))),"")</f>
        <v/>
      </c>
      <c r="S224" s="32" t="str">
        <f aca="false">IF(O224="","",IF(O224&gt;=50,"Yes","No"))</f>
        <v/>
      </c>
      <c r="T224" s="32" t="str">
        <f aca="false">IF(Q224="","",IF(Q224&gt;=100000,"Yes","No"))</f>
        <v/>
      </c>
      <c r="U224" s="28"/>
      <c r="V224" s="28"/>
      <c r="W224" s="28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J224" s="34" t="str">
        <f aca="false">IF(OR($BD224&lt;&gt;"",$BF224&lt;&gt;"",$BH224&lt;&gt;""),"Yes","No")</f>
        <v>No</v>
      </c>
      <c r="BK224" s="35" t="str">
        <f aca="false">IFERROR(IF(BD224="","",BD224*INDEX('00 - Lists'!$M$2:$M$11,MATCH(L224,'00 - Lists'!$L$2:$L$11,0))/100000),"")</f>
        <v/>
      </c>
      <c r="BL224" s="35" t="str">
        <f aca="false">IFERROR(IF(BE224="","",BE224*INDEX('00 - Lists'!$M$2:$M$11,MATCH(L224,'00 - Lists'!$L$2:$L$11,0))/100000),"")</f>
        <v/>
      </c>
      <c r="BM224" s="35" t="str">
        <f aca="false">IFERROR(IF(BF224="","",BF224*INDEX('00 - Lists'!$M$2:$M$11,MATCH(L224,'00 - Lists'!$L$2:$L$11,0))/100000),"")</f>
        <v/>
      </c>
      <c r="BN224" s="35" t="str">
        <f aca="false">IFERROR(IF(BG224="","",BG224*INDEX('00 - Lists'!$M$2:$M$11,MATCH(L224,'00 - Lists'!$L$2:$L$11,0))/100000),"")</f>
        <v/>
      </c>
      <c r="BO224" s="35" t="str">
        <f aca="false">IFERROR(IF(BH224="","",BH224*INDEX('00 - Lists'!$M$2:$M$11,MATCH(L224,'00 - Lists'!$L$2:$L$11,0))/100000),"")</f>
        <v/>
      </c>
      <c r="BP224" s="35" t="str">
        <f aca="false">IFERROR(IF(BI224="","",BI224*INDEX('00 - Lists'!$M$2:$M$11,MATCH(L224,'00 - Lists'!$L$2:$L$11,0))/100000),"")</f>
        <v/>
      </c>
      <c r="BS224" s="36" t="str">
        <f aca="false">IF(O224="","",IF(O224&gt;=20,"Yes","No"))</f>
        <v/>
      </c>
      <c r="BT224" s="36" t="str">
        <f aca="false">IF(O224="","",IF(O224&gt;=30,"Yes","No"))</f>
        <v/>
      </c>
      <c r="BU224" s="36" t="str">
        <f aca="false">IF(O224="","",IF(O224&gt;=75,"Yes","No"))</f>
        <v/>
      </c>
      <c r="BV224" s="36" t="str">
        <f aca="false">IF(O224="","",IF(O224&gt;=100,"Yes","No"))</f>
        <v/>
      </c>
      <c r="BW224" s="36" t="str">
        <f aca="false">IF(O224="","",IF(O224&gt;=150,"Yes","No"))</f>
        <v/>
      </c>
      <c r="BX224" s="36" t="str">
        <f aca="false">IF(O224="","",IF(O224&gt;=200,"Yes","No"))</f>
        <v/>
      </c>
      <c r="BY224" s="36" t="str">
        <f aca="false">IF(Q224="","",IF(Q224&gt;=150000,"Yes","No"))</f>
        <v/>
      </c>
      <c r="BZ224" s="36" t="str">
        <f aca="false">IF(Q224="","",IF(Q224&gt;=200000,"Yes","No"))</f>
        <v/>
      </c>
      <c r="CA224" s="36" t="str">
        <f aca="false">IF(Q224="","",IF(Q224&gt;=250000,"Yes","No"))</f>
        <v/>
      </c>
      <c r="CB224" s="36" t="str">
        <f aca="false">IF(Q224="","",IF(Q224&gt;=300000,"Yes","No"))</f>
        <v/>
      </c>
      <c r="CC224" s="37"/>
      <c r="CD224" s="36" t="str">
        <f aca="true">IF(B224="","",IF(TODAY()-B224&lt;=7,"🟢 0-7d",IF(TODAY()-B224&lt;=30,"🟡 8-30d",IF(TODAY()-B224&lt;=60,"🟠 31-60d","🔴 60d+"))))</f>
        <v/>
      </c>
      <c r="CE224" s="36" t="str">
        <f aca="false">IF(G224="","",IF(G224&lt;&gt;"USA","N/A - Not USA Role",IF(J224="Yes",IF(OR(F224="Intern",F224="New Grad"),"🟡 Possible","🟢 Strong"),IF(J224="No","🔴 Difficult","⚪ Unknown"))))</f>
        <v/>
      </c>
      <c r="CF224" s="37"/>
      <c r="CG224" s="37"/>
      <c r="CH224" s="38"/>
      <c r="CI224" s="38"/>
      <c r="CJ224" s="38"/>
      <c r="CK224" s="38"/>
    </row>
    <row r="225" customFormat="false" ht="15" hidden="false" customHeight="true" outlineLevel="0" collapsed="false">
      <c r="A225" s="26" t="str">
        <f aca="false">IF($C225="","",ROW()-3)</f>
        <v/>
      </c>
      <c r="B225" s="27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9"/>
      <c r="N225" s="29"/>
      <c r="O225" s="30" t="str">
        <f aca="false">IFERROR(IF(M225="","",M225*INDEX('00 - Lists'!$M$2:$M$11,MATCH(L225,'00 - Lists'!$L$2:$L$11,0))/100000),"")</f>
        <v/>
      </c>
      <c r="P225" s="30" t="str">
        <f aca="false">IFERROR(IF(N225="","",N225*INDEX('00 - Lists'!$M$2:$M$11,MATCH(L225,'00 - Lists'!$L$2:$L$11,0))/100000),"")</f>
        <v/>
      </c>
      <c r="Q225" s="31" t="str">
        <f aca="false">IFERROR(IF(M225="","",M225*INDEX('00 - Lists'!$N$2:$N$11,MATCH(L225,'00 - Lists'!$L$2:$L$11,0))),"")</f>
        <v/>
      </c>
      <c r="R225" s="31" t="str">
        <f aca="false">IFERROR(IF(N225="","",N225*INDEX('00 - Lists'!$N$2:$N$11,MATCH(L225,'00 - Lists'!$L$2:$L$11,0))),"")</f>
        <v/>
      </c>
      <c r="S225" s="32" t="str">
        <f aca="false">IF(O225="","",IF(O225&gt;=50,"Yes","No"))</f>
        <v/>
      </c>
      <c r="T225" s="32" t="str">
        <f aca="false">IF(Q225="","",IF(Q225&gt;=100000,"Yes","No"))</f>
        <v/>
      </c>
      <c r="U225" s="28"/>
      <c r="V225" s="28"/>
      <c r="W225" s="28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J225" s="34" t="str">
        <f aca="false">IF(OR($BD225&lt;&gt;"",$BF225&lt;&gt;"",$BH225&lt;&gt;""),"Yes","No")</f>
        <v>No</v>
      </c>
      <c r="BK225" s="35" t="str">
        <f aca="false">IFERROR(IF(BD225="","",BD225*INDEX('00 - Lists'!$M$2:$M$11,MATCH(L225,'00 - Lists'!$L$2:$L$11,0))/100000),"")</f>
        <v/>
      </c>
      <c r="BL225" s="35" t="str">
        <f aca="false">IFERROR(IF(BE225="","",BE225*INDEX('00 - Lists'!$M$2:$M$11,MATCH(L225,'00 - Lists'!$L$2:$L$11,0))/100000),"")</f>
        <v/>
      </c>
      <c r="BM225" s="35" t="str">
        <f aca="false">IFERROR(IF(BF225="","",BF225*INDEX('00 - Lists'!$M$2:$M$11,MATCH(L225,'00 - Lists'!$L$2:$L$11,0))/100000),"")</f>
        <v/>
      </c>
      <c r="BN225" s="35" t="str">
        <f aca="false">IFERROR(IF(BG225="","",BG225*INDEX('00 - Lists'!$M$2:$M$11,MATCH(L225,'00 - Lists'!$L$2:$L$11,0))/100000),"")</f>
        <v/>
      </c>
      <c r="BO225" s="35" t="str">
        <f aca="false">IFERROR(IF(BH225="","",BH225*INDEX('00 - Lists'!$M$2:$M$11,MATCH(L225,'00 - Lists'!$L$2:$L$11,0))/100000),"")</f>
        <v/>
      </c>
      <c r="BP225" s="35" t="str">
        <f aca="false">IFERROR(IF(BI225="","",BI225*INDEX('00 - Lists'!$M$2:$M$11,MATCH(L225,'00 - Lists'!$L$2:$L$11,0))/100000),"")</f>
        <v/>
      </c>
      <c r="BS225" s="36" t="str">
        <f aca="false">IF(O225="","",IF(O225&gt;=20,"Yes","No"))</f>
        <v/>
      </c>
      <c r="BT225" s="36" t="str">
        <f aca="false">IF(O225="","",IF(O225&gt;=30,"Yes","No"))</f>
        <v/>
      </c>
      <c r="BU225" s="36" t="str">
        <f aca="false">IF(O225="","",IF(O225&gt;=75,"Yes","No"))</f>
        <v/>
      </c>
      <c r="BV225" s="36" t="str">
        <f aca="false">IF(O225="","",IF(O225&gt;=100,"Yes","No"))</f>
        <v/>
      </c>
      <c r="BW225" s="36" t="str">
        <f aca="false">IF(O225="","",IF(O225&gt;=150,"Yes","No"))</f>
        <v/>
      </c>
      <c r="BX225" s="36" t="str">
        <f aca="false">IF(O225="","",IF(O225&gt;=200,"Yes","No"))</f>
        <v/>
      </c>
      <c r="BY225" s="36" t="str">
        <f aca="false">IF(Q225="","",IF(Q225&gt;=150000,"Yes","No"))</f>
        <v/>
      </c>
      <c r="BZ225" s="36" t="str">
        <f aca="false">IF(Q225="","",IF(Q225&gt;=200000,"Yes","No"))</f>
        <v/>
      </c>
      <c r="CA225" s="36" t="str">
        <f aca="false">IF(Q225="","",IF(Q225&gt;=250000,"Yes","No"))</f>
        <v/>
      </c>
      <c r="CB225" s="36" t="str">
        <f aca="false">IF(Q225="","",IF(Q225&gt;=300000,"Yes","No"))</f>
        <v/>
      </c>
      <c r="CC225" s="37"/>
      <c r="CD225" s="36" t="str">
        <f aca="true">IF(B225="","",IF(TODAY()-B225&lt;=7,"🟢 0-7d",IF(TODAY()-B225&lt;=30,"🟡 8-30d",IF(TODAY()-B225&lt;=60,"🟠 31-60d","🔴 60d+"))))</f>
        <v/>
      </c>
      <c r="CE225" s="36" t="str">
        <f aca="false">IF(G225="","",IF(G225&lt;&gt;"USA","N/A - Not USA Role",IF(J225="Yes",IF(OR(F225="Intern",F225="New Grad"),"🟡 Possible","🟢 Strong"),IF(J225="No","🔴 Difficult","⚪ Unknown"))))</f>
        <v/>
      </c>
      <c r="CF225" s="37"/>
      <c r="CG225" s="37"/>
      <c r="CH225" s="38"/>
      <c r="CI225" s="38"/>
      <c r="CJ225" s="38"/>
      <c r="CK225" s="38"/>
    </row>
    <row r="226" customFormat="false" ht="15" hidden="false" customHeight="true" outlineLevel="0" collapsed="false">
      <c r="A226" s="26" t="str">
        <f aca="false">IF($C226="","",ROW()-3)</f>
        <v/>
      </c>
      <c r="B226" s="27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9"/>
      <c r="N226" s="29"/>
      <c r="O226" s="30" t="str">
        <f aca="false">IFERROR(IF(M226="","",M226*INDEX('00 - Lists'!$M$2:$M$11,MATCH(L226,'00 - Lists'!$L$2:$L$11,0))/100000),"")</f>
        <v/>
      </c>
      <c r="P226" s="30" t="str">
        <f aca="false">IFERROR(IF(N226="","",N226*INDEX('00 - Lists'!$M$2:$M$11,MATCH(L226,'00 - Lists'!$L$2:$L$11,0))/100000),"")</f>
        <v/>
      </c>
      <c r="Q226" s="31" t="str">
        <f aca="false">IFERROR(IF(M226="","",M226*INDEX('00 - Lists'!$N$2:$N$11,MATCH(L226,'00 - Lists'!$L$2:$L$11,0))),"")</f>
        <v/>
      </c>
      <c r="R226" s="31" t="str">
        <f aca="false">IFERROR(IF(N226="","",N226*INDEX('00 - Lists'!$N$2:$N$11,MATCH(L226,'00 - Lists'!$L$2:$L$11,0))),"")</f>
        <v/>
      </c>
      <c r="S226" s="32" t="str">
        <f aca="false">IF(O226="","",IF(O226&gt;=50,"Yes","No"))</f>
        <v/>
      </c>
      <c r="T226" s="32" t="str">
        <f aca="false">IF(Q226="","",IF(Q226&gt;=100000,"Yes","No"))</f>
        <v/>
      </c>
      <c r="U226" s="28"/>
      <c r="V226" s="28"/>
      <c r="W226" s="28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J226" s="34" t="str">
        <f aca="false">IF(OR($BD226&lt;&gt;"",$BF226&lt;&gt;"",$BH226&lt;&gt;""),"Yes","No")</f>
        <v>No</v>
      </c>
      <c r="BK226" s="35" t="str">
        <f aca="false">IFERROR(IF(BD226="","",BD226*INDEX('00 - Lists'!$M$2:$M$11,MATCH(L226,'00 - Lists'!$L$2:$L$11,0))/100000),"")</f>
        <v/>
      </c>
      <c r="BL226" s="35" t="str">
        <f aca="false">IFERROR(IF(BE226="","",BE226*INDEX('00 - Lists'!$M$2:$M$11,MATCH(L226,'00 - Lists'!$L$2:$L$11,0))/100000),"")</f>
        <v/>
      </c>
      <c r="BM226" s="35" t="str">
        <f aca="false">IFERROR(IF(BF226="","",BF226*INDEX('00 - Lists'!$M$2:$M$11,MATCH(L226,'00 - Lists'!$L$2:$L$11,0))/100000),"")</f>
        <v/>
      </c>
      <c r="BN226" s="35" t="str">
        <f aca="false">IFERROR(IF(BG226="","",BG226*INDEX('00 - Lists'!$M$2:$M$11,MATCH(L226,'00 - Lists'!$L$2:$L$11,0))/100000),"")</f>
        <v/>
      </c>
      <c r="BO226" s="35" t="str">
        <f aca="false">IFERROR(IF(BH226="","",BH226*INDEX('00 - Lists'!$M$2:$M$11,MATCH(L226,'00 - Lists'!$L$2:$L$11,0))/100000),"")</f>
        <v/>
      </c>
      <c r="BP226" s="35" t="str">
        <f aca="false">IFERROR(IF(BI226="","",BI226*INDEX('00 - Lists'!$M$2:$M$11,MATCH(L226,'00 - Lists'!$L$2:$L$11,0))/100000),"")</f>
        <v/>
      </c>
      <c r="BS226" s="36" t="str">
        <f aca="false">IF(O226="","",IF(O226&gt;=20,"Yes","No"))</f>
        <v/>
      </c>
      <c r="BT226" s="36" t="str">
        <f aca="false">IF(O226="","",IF(O226&gt;=30,"Yes","No"))</f>
        <v/>
      </c>
      <c r="BU226" s="36" t="str">
        <f aca="false">IF(O226="","",IF(O226&gt;=75,"Yes","No"))</f>
        <v/>
      </c>
      <c r="BV226" s="36" t="str">
        <f aca="false">IF(O226="","",IF(O226&gt;=100,"Yes","No"))</f>
        <v/>
      </c>
      <c r="BW226" s="36" t="str">
        <f aca="false">IF(O226="","",IF(O226&gt;=150,"Yes","No"))</f>
        <v/>
      </c>
      <c r="BX226" s="36" t="str">
        <f aca="false">IF(O226="","",IF(O226&gt;=200,"Yes","No"))</f>
        <v/>
      </c>
      <c r="BY226" s="36" t="str">
        <f aca="false">IF(Q226="","",IF(Q226&gt;=150000,"Yes","No"))</f>
        <v/>
      </c>
      <c r="BZ226" s="36" t="str">
        <f aca="false">IF(Q226="","",IF(Q226&gt;=200000,"Yes","No"))</f>
        <v/>
      </c>
      <c r="CA226" s="36" t="str">
        <f aca="false">IF(Q226="","",IF(Q226&gt;=250000,"Yes","No"))</f>
        <v/>
      </c>
      <c r="CB226" s="36" t="str">
        <f aca="false">IF(Q226="","",IF(Q226&gt;=300000,"Yes","No"))</f>
        <v/>
      </c>
      <c r="CC226" s="37"/>
      <c r="CD226" s="36" t="str">
        <f aca="true">IF(B226="","",IF(TODAY()-B226&lt;=7,"🟢 0-7d",IF(TODAY()-B226&lt;=30,"🟡 8-30d",IF(TODAY()-B226&lt;=60,"🟠 31-60d","🔴 60d+"))))</f>
        <v/>
      </c>
      <c r="CE226" s="36" t="str">
        <f aca="false">IF(G226="","",IF(G226&lt;&gt;"USA","N/A - Not USA Role",IF(J226="Yes",IF(OR(F226="Intern",F226="New Grad"),"🟡 Possible","🟢 Strong"),IF(J226="No","🔴 Difficult","⚪ Unknown"))))</f>
        <v/>
      </c>
      <c r="CF226" s="37"/>
      <c r="CG226" s="37"/>
      <c r="CH226" s="38"/>
      <c r="CI226" s="38"/>
      <c r="CJ226" s="38"/>
      <c r="CK226" s="38"/>
    </row>
    <row r="227" customFormat="false" ht="15" hidden="false" customHeight="true" outlineLevel="0" collapsed="false">
      <c r="A227" s="26" t="str">
        <f aca="false">IF($C227="","",ROW()-3)</f>
        <v/>
      </c>
      <c r="B227" s="27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9"/>
      <c r="N227" s="29"/>
      <c r="O227" s="30" t="str">
        <f aca="false">IFERROR(IF(M227="","",M227*INDEX('00 - Lists'!$M$2:$M$11,MATCH(L227,'00 - Lists'!$L$2:$L$11,0))/100000),"")</f>
        <v/>
      </c>
      <c r="P227" s="30" t="str">
        <f aca="false">IFERROR(IF(N227="","",N227*INDEX('00 - Lists'!$M$2:$M$11,MATCH(L227,'00 - Lists'!$L$2:$L$11,0))/100000),"")</f>
        <v/>
      </c>
      <c r="Q227" s="31" t="str">
        <f aca="false">IFERROR(IF(M227="","",M227*INDEX('00 - Lists'!$N$2:$N$11,MATCH(L227,'00 - Lists'!$L$2:$L$11,0))),"")</f>
        <v/>
      </c>
      <c r="R227" s="31" t="str">
        <f aca="false">IFERROR(IF(N227="","",N227*INDEX('00 - Lists'!$N$2:$N$11,MATCH(L227,'00 - Lists'!$L$2:$L$11,0))),"")</f>
        <v/>
      </c>
      <c r="S227" s="32" t="str">
        <f aca="false">IF(O227="","",IF(O227&gt;=50,"Yes","No"))</f>
        <v/>
      </c>
      <c r="T227" s="32" t="str">
        <f aca="false">IF(Q227="","",IF(Q227&gt;=100000,"Yes","No"))</f>
        <v/>
      </c>
      <c r="U227" s="28"/>
      <c r="V227" s="28"/>
      <c r="W227" s="28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J227" s="34" t="str">
        <f aca="false">IF(OR($BD227&lt;&gt;"",$BF227&lt;&gt;"",$BH227&lt;&gt;""),"Yes","No")</f>
        <v>No</v>
      </c>
      <c r="BK227" s="35" t="str">
        <f aca="false">IFERROR(IF(BD227="","",BD227*INDEX('00 - Lists'!$M$2:$M$11,MATCH(L227,'00 - Lists'!$L$2:$L$11,0))/100000),"")</f>
        <v/>
      </c>
      <c r="BL227" s="35" t="str">
        <f aca="false">IFERROR(IF(BE227="","",BE227*INDEX('00 - Lists'!$M$2:$M$11,MATCH(L227,'00 - Lists'!$L$2:$L$11,0))/100000),"")</f>
        <v/>
      </c>
      <c r="BM227" s="35" t="str">
        <f aca="false">IFERROR(IF(BF227="","",BF227*INDEX('00 - Lists'!$M$2:$M$11,MATCH(L227,'00 - Lists'!$L$2:$L$11,0))/100000),"")</f>
        <v/>
      </c>
      <c r="BN227" s="35" t="str">
        <f aca="false">IFERROR(IF(BG227="","",BG227*INDEX('00 - Lists'!$M$2:$M$11,MATCH(L227,'00 - Lists'!$L$2:$L$11,0))/100000),"")</f>
        <v/>
      </c>
      <c r="BO227" s="35" t="str">
        <f aca="false">IFERROR(IF(BH227="","",BH227*INDEX('00 - Lists'!$M$2:$M$11,MATCH(L227,'00 - Lists'!$L$2:$L$11,0))/100000),"")</f>
        <v/>
      </c>
      <c r="BP227" s="35" t="str">
        <f aca="false">IFERROR(IF(BI227="","",BI227*INDEX('00 - Lists'!$M$2:$M$11,MATCH(L227,'00 - Lists'!$L$2:$L$11,0))/100000),"")</f>
        <v/>
      </c>
      <c r="BS227" s="36" t="str">
        <f aca="false">IF(O227="","",IF(O227&gt;=20,"Yes","No"))</f>
        <v/>
      </c>
      <c r="BT227" s="36" t="str">
        <f aca="false">IF(O227="","",IF(O227&gt;=30,"Yes","No"))</f>
        <v/>
      </c>
      <c r="BU227" s="36" t="str">
        <f aca="false">IF(O227="","",IF(O227&gt;=75,"Yes","No"))</f>
        <v/>
      </c>
      <c r="BV227" s="36" t="str">
        <f aca="false">IF(O227="","",IF(O227&gt;=100,"Yes","No"))</f>
        <v/>
      </c>
      <c r="BW227" s="36" t="str">
        <f aca="false">IF(O227="","",IF(O227&gt;=150,"Yes","No"))</f>
        <v/>
      </c>
      <c r="BX227" s="36" t="str">
        <f aca="false">IF(O227="","",IF(O227&gt;=200,"Yes","No"))</f>
        <v/>
      </c>
      <c r="BY227" s="36" t="str">
        <f aca="false">IF(Q227="","",IF(Q227&gt;=150000,"Yes","No"))</f>
        <v/>
      </c>
      <c r="BZ227" s="36" t="str">
        <f aca="false">IF(Q227="","",IF(Q227&gt;=200000,"Yes","No"))</f>
        <v/>
      </c>
      <c r="CA227" s="36" t="str">
        <f aca="false">IF(Q227="","",IF(Q227&gt;=250000,"Yes","No"))</f>
        <v/>
      </c>
      <c r="CB227" s="36" t="str">
        <f aca="false">IF(Q227="","",IF(Q227&gt;=300000,"Yes","No"))</f>
        <v/>
      </c>
      <c r="CC227" s="37"/>
      <c r="CD227" s="36" t="str">
        <f aca="true">IF(B227="","",IF(TODAY()-B227&lt;=7,"🟢 0-7d",IF(TODAY()-B227&lt;=30,"🟡 8-30d",IF(TODAY()-B227&lt;=60,"🟠 31-60d","🔴 60d+"))))</f>
        <v/>
      </c>
      <c r="CE227" s="36" t="str">
        <f aca="false">IF(G227="","",IF(G227&lt;&gt;"USA","N/A - Not USA Role",IF(J227="Yes",IF(OR(F227="Intern",F227="New Grad"),"🟡 Possible","🟢 Strong"),IF(J227="No","🔴 Difficult","⚪ Unknown"))))</f>
        <v/>
      </c>
      <c r="CF227" s="37"/>
      <c r="CG227" s="37"/>
      <c r="CH227" s="38"/>
      <c r="CI227" s="38"/>
      <c r="CJ227" s="38"/>
      <c r="CK227" s="38"/>
    </row>
    <row r="228" customFormat="false" ht="15" hidden="false" customHeight="true" outlineLevel="0" collapsed="false">
      <c r="A228" s="26" t="str">
        <f aca="false">IF($C228="","",ROW()-3)</f>
        <v/>
      </c>
      <c r="B228" s="27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9"/>
      <c r="N228" s="29"/>
      <c r="O228" s="30" t="str">
        <f aca="false">IFERROR(IF(M228="","",M228*INDEX('00 - Lists'!$M$2:$M$11,MATCH(L228,'00 - Lists'!$L$2:$L$11,0))/100000),"")</f>
        <v/>
      </c>
      <c r="P228" s="30" t="str">
        <f aca="false">IFERROR(IF(N228="","",N228*INDEX('00 - Lists'!$M$2:$M$11,MATCH(L228,'00 - Lists'!$L$2:$L$11,0))/100000),"")</f>
        <v/>
      </c>
      <c r="Q228" s="31" t="str">
        <f aca="false">IFERROR(IF(M228="","",M228*INDEX('00 - Lists'!$N$2:$N$11,MATCH(L228,'00 - Lists'!$L$2:$L$11,0))),"")</f>
        <v/>
      </c>
      <c r="R228" s="31" t="str">
        <f aca="false">IFERROR(IF(N228="","",N228*INDEX('00 - Lists'!$N$2:$N$11,MATCH(L228,'00 - Lists'!$L$2:$L$11,0))),"")</f>
        <v/>
      </c>
      <c r="S228" s="32" t="str">
        <f aca="false">IF(O228="","",IF(O228&gt;=50,"Yes","No"))</f>
        <v/>
      </c>
      <c r="T228" s="32" t="str">
        <f aca="false">IF(Q228="","",IF(Q228&gt;=100000,"Yes","No"))</f>
        <v/>
      </c>
      <c r="U228" s="28"/>
      <c r="V228" s="28"/>
      <c r="W228" s="28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J228" s="34" t="str">
        <f aca="false">IF(OR($BD228&lt;&gt;"",$BF228&lt;&gt;"",$BH228&lt;&gt;""),"Yes","No")</f>
        <v>No</v>
      </c>
      <c r="BK228" s="35" t="str">
        <f aca="false">IFERROR(IF(BD228="","",BD228*INDEX('00 - Lists'!$M$2:$M$11,MATCH(L228,'00 - Lists'!$L$2:$L$11,0))/100000),"")</f>
        <v/>
      </c>
      <c r="BL228" s="35" t="str">
        <f aca="false">IFERROR(IF(BE228="","",BE228*INDEX('00 - Lists'!$M$2:$M$11,MATCH(L228,'00 - Lists'!$L$2:$L$11,0))/100000),"")</f>
        <v/>
      </c>
      <c r="BM228" s="35" t="str">
        <f aca="false">IFERROR(IF(BF228="","",BF228*INDEX('00 - Lists'!$M$2:$M$11,MATCH(L228,'00 - Lists'!$L$2:$L$11,0))/100000),"")</f>
        <v/>
      </c>
      <c r="BN228" s="35" t="str">
        <f aca="false">IFERROR(IF(BG228="","",BG228*INDEX('00 - Lists'!$M$2:$M$11,MATCH(L228,'00 - Lists'!$L$2:$L$11,0))/100000),"")</f>
        <v/>
      </c>
      <c r="BO228" s="35" t="str">
        <f aca="false">IFERROR(IF(BH228="","",BH228*INDEX('00 - Lists'!$M$2:$M$11,MATCH(L228,'00 - Lists'!$L$2:$L$11,0))/100000),"")</f>
        <v/>
      </c>
      <c r="BP228" s="35" t="str">
        <f aca="false">IFERROR(IF(BI228="","",BI228*INDEX('00 - Lists'!$M$2:$M$11,MATCH(L228,'00 - Lists'!$L$2:$L$11,0))/100000),"")</f>
        <v/>
      </c>
      <c r="BS228" s="36" t="str">
        <f aca="false">IF(O228="","",IF(O228&gt;=20,"Yes","No"))</f>
        <v/>
      </c>
      <c r="BT228" s="36" t="str">
        <f aca="false">IF(O228="","",IF(O228&gt;=30,"Yes","No"))</f>
        <v/>
      </c>
      <c r="BU228" s="36" t="str">
        <f aca="false">IF(O228="","",IF(O228&gt;=75,"Yes","No"))</f>
        <v/>
      </c>
      <c r="BV228" s="36" t="str">
        <f aca="false">IF(O228="","",IF(O228&gt;=100,"Yes","No"))</f>
        <v/>
      </c>
      <c r="BW228" s="36" t="str">
        <f aca="false">IF(O228="","",IF(O228&gt;=150,"Yes","No"))</f>
        <v/>
      </c>
      <c r="BX228" s="36" t="str">
        <f aca="false">IF(O228="","",IF(O228&gt;=200,"Yes","No"))</f>
        <v/>
      </c>
      <c r="BY228" s="36" t="str">
        <f aca="false">IF(Q228="","",IF(Q228&gt;=150000,"Yes","No"))</f>
        <v/>
      </c>
      <c r="BZ228" s="36" t="str">
        <f aca="false">IF(Q228="","",IF(Q228&gt;=200000,"Yes","No"))</f>
        <v/>
      </c>
      <c r="CA228" s="36" t="str">
        <f aca="false">IF(Q228="","",IF(Q228&gt;=250000,"Yes","No"))</f>
        <v/>
      </c>
      <c r="CB228" s="36" t="str">
        <f aca="false">IF(Q228="","",IF(Q228&gt;=300000,"Yes","No"))</f>
        <v/>
      </c>
      <c r="CC228" s="37"/>
      <c r="CD228" s="36" t="str">
        <f aca="true">IF(B228="","",IF(TODAY()-B228&lt;=7,"🟢 0-7d",IF(TODAY()-B228&lt;=30,"🟡 8-30d",IF(TODAY()-B228&lt;=60,"🟠 31-60d","🔴 60d+"))))</f>
        <v/>
      </c>
      <c r="CE228" s="36" t="str">
        <f aca="false">IF(G228="","",IF(G228&lt;&gt;"USA","N/A - Not USA Role",IF(J228="Yes",IF(OR(F228="Intern",F228="New Grad"),"🟡 Possible","🟢 Strong"),IF(J228="No","🔴 Difficult","⚪ Unknown"))))</f>
        <v/>
      </c>
      <c r="CF228" s="37"/>
      <c r="CG228" s="37"/>
      <c r="CH228" s="38"/>
      <c r="CI228" s="38"/>
      <c r="CJ228" s="38"/>
      <c r="CK228" s="38"/>
    </row>
    <row r="229" customFormat="false" ht="15" hidden="false" customHeight="true" outlineLevel="0" collapsed="false">
      <c r="A229" s="26" t="str">
        <f aca="false">IF($C229="","",ROW()-3)</f>
        <v/>
      </c>
      <c r="B229" s="27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9"/>
      <c r="N229" s="29"/>
      <c r="O229" s="30" t="str">
        <f aca="false">IFERROR(IF(M229="","",M229*INDEX('00 - Lists'!$M$2:$M$11,MATCH(L229,'00 - Lists'!$L$2:$L$11,0))/100000),"")</f>
        <v/>
      </c>
      <c r="P229" s="30" t="str">
        <f aca="false">IFERROR(IF(N229="","",N229*INDEX('00 - Lists'!$M$2:$M$11,MATCH(L229,'00 - Lists'!$L$2:$L$11,0))/100000),"")</f>
        <v/>
      </c>
      <c r="Q229" s="31" t="str">
        <f aca="false">IFERROR(IF(M229="","",M229*INDEX('00 - Lists'!$N$2:$N$11,MATCH(L229,'00 - Lists'!$L$2:$L$11,0))),"")</f>
        <v/>
      </c>
      <c r="R229" s="31" t="str">
        <f aca="false">IFERROR(IF(N229="","",N229*INDEX('00 - Lists'!$N$2:$N$11,MATCH(L229,'00 - Lists'!$L$2:$L$11,0))),"")</f>
        <v/>
      </c>
      <c r="S229" s="32" t="str">
        <f aca="false">IF(O229="","",IF(O229&gt;=50,"Yes","No"))</f>
        <v/>
      </c>
      <c r="T229" s="32" t="str">
        <f aca="false">IF(Q229="","",IF(Q229&gt;=100000,"Yes","No"))</f>
        <v/>
      </c>
      <c r="U229" s="28"/>
      <c r="V229" s="28"/>
      <c r="W229" s="28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J229" s="34" t="str">
        <f aca="false">IF(OR($BD229&lt;&gt;"",$BF229&lt;&gt;"",$BH229&lt;&gt;""),"Yes","No")</f>
        <v>No</v>
      </c>
      <c r="BK229" s="35" t="str">
        <f aca="false">IFERROR(IF(BD229="","",BD229*INDEX('00 - Lists'!$M$2:$M$11,MATCH(L229,'00 - Lists'!$L$2:$L$11,0))/100000),"")</f>
        <v/>
      </c>
      <c r="BL229" s="35" t="str">
        <f aca="false">IFERROR(IF(BE229="","",BE229*INDEX('00 - Lists'!$M$2:$M$11,MATCH(L229,'00 - Lists'!$L$2:$L$11,0))/100000),"")</f>
        <v/>
      </c>
      <c r="BM229" s="35" t="str">
        <f aca="false">IFERROR(IF(BF229="","",BF229*INDEX('00 - Lists'!$M$2:$M$11,MATCH(L229,'00 - Lists'!$L$2:$L$11,0))/100000),"")</f>
        <v/>
      </c>
      <c r="BN229" s="35" t="str">
        <f aca="false">IFERROR(IF(BG229="","",BG229*INDEX('00 - Lists'!$M$2:$M$11,MATCH(L229,'00 - Lists'!$L$2:$L$11,0))/100000),"")</f>
        <v/>
      </c>
      <c r="BO229" s="35" t="str">
        <f aca="false">IFERROR(IF(BH229="","",BH229*INDEX('00 - Lists'!$M$2:$M$11,MATCH(L229,'00 - Lists'!$L$2:$L$11,0))/100000),"")</f>
        <v/>
      </c>
      <c r="BP229" s="35" t="str">
        <f aca="false">IFERROR(IF(BI229="","",BI229*INDEX('00 - Lists'!$M$2:$M$11,MATCH(L229,'00 - Lists'!$L$2:$L$11,0))/100000),"")</f>
        <v/>
      </c>
      <c r="BS229" s="36" t="str">
        <f aca="false">IF(O229="","",IF(O229&gt;=20,"Yes","No"))</f>
        <v/>
      </c>
      <c r="BT229" s="36" t="str">
        <f aca="false">IF(O229="","",IF(O229&gt;=30,"Yes","No"))</f>
        <v/>
      </c>
      <c r="BU229" s="36" t="str">
        <f aca="false">IF(O229="","",IF(O229&gt;=75,"Yes","No"))</f>
        <v/>
      </c>
      <c r="BV229" s="36" t="str">
        <f aca="false">IF(O229="","",IF(O229&gt;=100,"Yes","No"))</f>
        <v/>
      </c>
      <c r="BW229" s="36" t="str">
        <f aca="false">IF(O229="","",IF(O229&gt;=150,"Yes","No"))</f>
        <v/>
      </c>
      <c r="BX229" s="36" t="str">
        <f aca="false">IF(O229="","",IF(O229&gt;=200,"Yes","No"))</f>
        <v/>
      </c>
      <c r="BY229" s="36" t="str">
        <f aca="false">IF(Q229="","",IF(Q229&gt;=150000,"Yes","No"))</f>
        <v/>
      </c>
      <c r="BZ229" s="36" t="str">
        <f aca="false">IF(Q229="","",IF(Q229&gt;=200000,"Yes","No"))</f>
        <v/>
      </c>
      <c r="CA229" s="36" t="str">
        <f aca="false">IF(Q229="","",IF(Q229&gt;=250000,"Yes","No"))</f>
        <v/>
      </c>
      <c r="CB229" s="36" t="str">
        <f aca="false">IF(Q229="","",IF(Q229&gt;=300000,"Yes","No"))</f>
        <v/>
      </c>
      <c r="CC229" s="37"/>
      <c r="CD229" s="36" t="str">
        <f aca="true">IF(B229="","",IF(TODAY()-B229&lt;=7,"🟢 0-7d",IF(TODAY()-B229&lt;=30,"🟡 8-30d",IF(TODAY()-B229&lt;=60,"🟠 31-60d","🔴 60d+"))))</f>
        <v/>
      </c>
      <c r="CE229" s="36" t="str">
        <f aca="false">IF(G229="","",IF(G229&lt;&gt;"USA","N/A - Not USA Role",IF(J229="Yes",IF(OR(F229="Intern",F229="New Grad"),"🟡 Possible","🟢 Strong"),IF(J229="No","🔴 Difficult","⚪ Unknown"))))</f>
        <v/>
      </c>
      <c r="CF229" s="37"/>
      <c r="CG229" s="37"/>
      <c r="CH229" s="38"/>
      <c r="CI229" s="38"/>
      <c r="CJ229" s="38"/>
      <c r="CK229" s="38"/>
    </row>
    <row r="230" customFormat="false" ht="15" hidden="false" customHeight="true" outlineLevel="0" collapsed="false">
      <c r="A230" s="26" t="str">
        <f aca="false">IF($C230="","",ROW()-3)</f>
        <v/>
      </c>
      <c r="B230" s="27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9"/>
      <c r="N230" s="29"/>
      <c r="O230" s="30" t="str">
        <f aca="false">IFERROR(IF(M230="","",M230*INDEX('00 - Lists'!$M$2:$M$11,MATCH(L230,'00 - Lists'!$L$2:$L$11,0))/100000),"")</f>
        <v/>
      </c>
      <c r="P230" s="30" t="str">
        <f aca="false">IFERROR(IF(N230="","",N230*INDEX('00 - Lists'!$M$2:$M$11,MATCH(L230,'00 - Lists'!$L$2:$L$11,0))/100000),"")</f>
        <v/>
      </c>
      <c r="Q230" s="31" t="str">
        <f aca="false">IFERROR(IF(M230="","",M230*INDEX('00 - Lists'!$N$2:$N$11,MATCH(L230,'00 - Lists'!$L$2:$L$11,0))),"")</f>
        <v/>
      </c>
      <c r="R230" s="31" t="str">
        <f aca="false">IFERROR(IF(N230="","",N230*INDEX('00 - Lists'!$N$2:$N$11,MATCH(L230,'00 - Lists'!$L$2:$L$11,0))),"")</f>
        <v/>
      </c>
      <c r="S230" s="32" t="str">
        <f aca="false">IF(O230="","",IF(O230&gt;=50,"Yes","No"))</f>
        <v/>
      </c>
      <c r="T230" s="32" t="str">
        <f aca="false">IF(Q230="","",IF(Q230&gt;=100000,"Yes","No"))</f>
        <v/>
      </c>
      <c r="U230" s="28"/>
      <c r="V230" s="28"/>
      <c r="W230" s="28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J230" s="34" t="str">
        <f aca="false">IF(OR($BD230&lt;&gt;"",$BF230&lt;&gt;"",$BH230&lt;&gt;""),"Yes","No")</f>
        <v>No</v>
      </c>
      <c r="BK230" s="35" t="str">
        <f aca="false">IFERROR(IF(BD230="","",BD230*INDEX('00 - Lists'!$M$2:$M$11,MATCH(L230,'00 - Lists'!$L$2:$L$11,0))/100000),"")</f>
        <v/>
      </c>
      <c r="BL230" s="35" t="str">
        <f aca="false">IFERROR(IF(BE230="","",BE230*INDEX('00 - Lists'!$M$2:$M$11,MATCH(L230,'00 - Lists'!$L$2:$L$11,0))/100000),"")</f>
        <v/>
      </c>
      <c r="BM230" s="35" t="str">
        <f aca="false">IFERROR(IF(BF230="","",BF230*INDEX('00 - Lists'!$M$2:$M$11,MATCH(L230,'00 - Lists'!$L$2:$L$11,0))/100000),"")</f>
        <v/>
      </c>
      <c r="BN230" s="35" t="str">
        <f aca="false">IFERROR(IF(BG230="","",BG230*INDEX('00 - Lists'!$M$2:$M$11,MATCH(L230,'00 - Lists'!$L$2:$L$11,0))/100000),"")</f>
        <v/>
      </c>
      <c r="BO230" s="35" t="str">
        <f aca="false">IFERROR(IF(BH230="","",BH230*INDEX('00 - Lists'!$M$2:$M$11,MATCH(L230,'00 - Lists'!$L$2:$L$11,0))/100000),"")</f>
        <v/>
      </c>
      <c r="BP230" s="35" t="str">
        <f aca="false">IFERROR(IF(BI230="","",BI230*INDEX('00 - Lists'!$M$2:$M$11,MATCH(L230,'00 - Lists'!$L$2:$L$11,0))/100000),"")</f>
        <v/>
      </c>
      <c r="BS230" s="36" t="str">
        <f aca="false">IF(O230="","",IF(O230&gt;=20,"Yes","No"))</f>
        <v/>
      </c>
      <c r="BT230" s="36" t="str">
        <f aca="false">IF(O230="","",IF(O230&gt;=30,"Yes","No"))</f>
        <v/>
      </c>
      <c r="BU230" s="36" t="str">
        <f aca="false">IF(O230="","",IF(O230&gt;=75,"Yes","No"))</f>
        <v/>
      </c>
      <c r="BV230" s="36" t="str">
        <f aca="false">IF(O230="","",IF(O230&gt;=100,"Yes","No"))</f>
        <v/>
      </c>
      <c r="BW230" s="36" t="str">
        <f aca="false">IF(O230="","",IF(O230&gt;=150,"Yes","No"))</f>
        <v/>
      </c>
      <c r="BX230" s="36" t="str">
        <f aca="false">IF(O230="","",IF(O230&gt;=200,"Yes","No"))</f>
        <v/>
      </c>
      <c r="BY230" s="36" t="str">
        <f aca="false">IF(Q230="","",IF(Q230&gt;=150000,"Yes","No"))</f>
        <v/>
      </c>
      <c r="BZ230" s="36" t="str">
        <f aca="false">IF(Q230="","",IF(Q230&gt;=200000,"Yes","No"))</f>
        <v/>
      </c>
      <c r="CA230" s="36" t="str">
        <f aca="false">IF(Q230="","",IF(Q230&gt;=250000,"Yes","No"))</f>
        <v/>
      </c>
      <c r="CB230" s="36" t="str">
        <f aca="false">IF(Q230="","",IF(Q230&gt;=300000,"Yes","No"))</f>
        <v/>
      </c>
      <c r="CC230" s="37"/>
      <c r="CD230" s="36" t="str">
        <f aca="true">IF(B230="","",IF(TODAY()-B230&lt;=7,"🟢 0-7d",IF(TODAY()-B230&lt;=30,"🟡 8-30d",IF(TODAY()-B230&lt;=60,"🟠 31-60d","🔴 60d+"))))</f>
        <v/>
      </c>
      <c r="CE230" s="36" t="str">
        <f aca="false">IF(G230="","",IF(G230&lt;&gt;"USA","N/A - Not USA Role",IF(J230="Yes",IF(OR(F230="Intern",F230="New Grad"),"🟡 Possible","🟢 Strong"),IF(J230="No","🔴 Difficult","⚪ Unknown"))))</f>
        <v/>
      </c>
      <c r="CF230" s="37"/>
      <c r="CG230" s="37"/>
      <c r="CH230" s="38"/>
      <c r="CI230" s="38"/>
      <c r="CJ230" s="38"/>
      <c r="CK230" s="38"/>
    </row>
    <row r="231" customFormat="false" ht="15" hidden="false" customHeight="true" outlineLevel="0" collapsed="false">
      <c r="A231" s="26" t="str">
        <f aca="false">IF($C231="","",ROW()-3)</f>
        <v/>
      </c>
      <c r="B231" s="27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9"/>
      <c r="N231" s="29"/>
      <c r="O231" s="30" t="str">
        <f aca="false">IFERROR(IF(M231="","",M231*INDEX('00 - Lists'!$M$2:$M$11,MATCH(L231,'00 - Lists'!$L$2:$L$11,0))/100000),"")</f>
        <v/>
      </c>
      <c r="P231" s="30" t="str">
        <f aca="false">IFERROR(IF(N231="","",N231*INDEX('00 - Lists'!$M$2:$M$11,MATCH(L231,'00 - Lists'!$L$2:$L$11,0))/100000),"")</f>
        <v/>
      </c>
      <c r="Q231" s="31" t="str">
        <f aca="false">IFERROR(IF(M231="","",M231*INDEX('00 - Lists'!$N$2:$N$11,MATCH(L231,'00 - Lists'!$L$2:$L$11,0))),"")</f>
        <v/>
      </c>
      <c r="R231" s="31" t="str">
        <f aca="false">IFERROR(IF(N231="","",N231*INDEX('00 - Lists'!$N$2:$N$11,MATCH(L231,'00 - Lists'!$L$2:$L$11,0))),"")</f>
        <v/>
      </c>
      <c r="S231" s="32" t="str">
        <f aca="false">IF(O231="","",IF(O231&gt;=50,"Yes","No"))</f>
        <v/>
      </c>
      <c r="T231" s="32" t="str">
        <f aca="false">IF(Q231="","",IF(Q231&gt;=100000,"Yes","No"))</f>
        <v/>
      </c>
      <c r="U231" s="28"/>
      <c r="V231" s="28"/>
      <c r="W231" s="28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J231" s="34" t="str">
        <f aca="false">IF(OR($BD231&lt;&gt;"",$BF231&lt;&gt;"",$BH231&lt;&gt;""),"Yes","No")</f>
        <v>No</v>
      </c>
      <c r="BK231" s="35" t="str">
        <f aca="false">IFERROR(IF(BD231="","",BD231*INDEX('00 - Lists'!$M$2:$M$11,MATCH(L231,'00 - Lists'!$L$2:$L$11,0))/100000),"")</f>
        <v/>
      </c>
      <c r="BL231" s="35" t="str">
        <f aca="false">IFERROR(IF(BE231="","",BE231*INDEX('00 - Lists'!$M$2:$M$11,MATCH(L231,'00 - Lists'!$L$2:$L$11,0))/100000),"")</f>
        <v/>
      </c>
      <c r="BM231" s="35" t="str">
        <f aca="false">IFERROR(IF(BF231="","",BF231*INDEX('00 - Lists'!$M$2:$M$11,MATCH(L231,'00 - Lists'!$L$2:$L$11,0))/100000),"")</f>
        <v/>
      </c>
      <c r="BN231" s="35" t="str">
        <f aca="false">IFERROR(IF(BG231="","",BG231*INDEX('00 - Lists'!$M$2:$M$11,MATCH(L231,'00 - Lists'!$L$2:$L$11,0))/100000),"")</f>
        <v/>
      </c>
      <c r="BO231" s="35" t="str">
        <f aca="false">IFERROR(IF(BH231="","",BH231*INDEX('00 - Lists'!$M$2:$M$11,MATCH(L231,'00 - Lists'!$L$2:$L$11,0))/100000),"")</f>
        <v/>
      </c>
      <c r="BP231" s="35" t="str">
        <f aca="false">IFERROR(IF(BI231="","",BI231*INDEX('00 - Lists'!$M$2:$M$11,MATCH(L231,'00 - Lists'!$L$2:$L$11,0))/100000),"")</f>
        <v/>
      </c>
      <c r="BS231" s="36" t="str">
        <f aca="false">IF(O231="","",IF(O231&gt;=20,"Yes","No"))</f>
        <v/>
      </c>
      <c r="BT231" s="36" t="str">
        <f aca="false">IF(O231="","",IF(O231&gt;=30,"Yes","No"))</f>
        <v/>
      </c>
      <c r="BU231" s="36" t="str">
        <f aca="false">IF(O231="","",IF(O231&gt;=75,"Yes","No"))</f>
        <v/>
      </c>
      <c r="BV231" s="36" t="str">
        <f aca="false">IF(O231="","",IF(O231&gt;=100,"Yes","No"))</f>
        <v/>
      </c>
      <c r="BW231" s="36" t="str">
        <f aca="false">IF(O231="","",IF(O231&gt;=150,"Yes","No"))</f>
        <v/>
      </c>
      <c r="BX231" s="36" t="str">
        <f aca="false">IF(O231="","",IF(O231&gt;=200,"Yes","No"))</f>
        <v/>
      </c>
      <c r="BY231" s="36" t="str">
        <f aca="false">IF(Q231="","",IF(Q231&gt;=150000,"Yes","No"))</f>
        <v/>
      </c>
      <c r="BZ231" s="36" t="str">
        <f aca="false">IF(Q231="","",IF(Q231&gt;=200000,"Yes","No"))</f>
        <v/>
      </c>
      <c r="CA231" s="36" t="str">
        <f aca="false">IF(Q231="","",IF(Q231&gt;=250000,"Yes","No"))</f>
        <v/>
      </c>
      <c r="CB231" s="36" t="str">
        <f aca="false">IF(Q231="","",IF(Q231&gt;=300000,"Yes","No"))</f>
        <v/>
      </c>
      <c r="CC231" s="37"/>
      <c r="CD231" s="36" t="str">
        <f aca="true">IF(B231="","",IF(TODAY()-B231&lt;=7,"🟢 0-7d",IF(TODAY()-B231&lt;=30,"🟡 8-30d",IF(TODAY()-B231&lt;=60,"🟠 31-60d","🔴 60d+"))))</f>
        <v/>
      </c>
      <c r="CE231" s="36" t="str">
        <f aca="false">IF(G231="","",IF(G231&lt;&gt;"USA","N/A - Not USA Role",IF(J231="Yes",IF(OR(F231="Intern",F231="New Grad"),"🟡 Possible","🟢 Strong"),IF(J231="No","🔴 Difficult","⚪ Unknown"))))</f>
        <v/>
      </c>
      <c r="CF231" s="37"/>
      <c r="CG231" s="37"/>
      <c r="CH231" s="38"/>
      <c r="CI231" s="38"/>
      <c r="CJ231" s="38"/>
      <c r="CK231" s="38"/>
    </row>
    <row r="232" customFormat="false" ht="15" hidden="false" customHeight="true" outlineLevel="0" collapsed="false">
      <c r="A232" s="26" t="str">
        <f aca="false">IF($C232="","",ROW()-3)</f>
        <v/>
      </c>
      <c r="B232" s="27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9"/>
      <c r="N232" s="29"/>
      <c r="O232" s="30" t="str">
        <f aca="false">IFERROR(IF(M232="","",M232*INDEX('00 - Lists'!$M$2:$M$11,MATCH(L232,'00 - Lists'!$L$2:$L$11,0))/100000),"")</f>
        <v/>
      </c>
      <c r="P232" s="30" t="str">
        <f aca="false">IFERROR(IF(N232="","",N232*INDEX('00 - Lists'!$M$2:$M$11,MATCH(L232,'00 - Lists'!$L$2:$L$11,0))/100000),"")</f>
        <v/>
      </c>
      <c r="Q232" s="31" t="str">
        <f aca="false">IFERROR(IF(M232="","",M232*INDEX('00 - Lists'!$N$2:$N$11,MATCH(L232,'00 - Lists'!$L$2:$L$11,0))),"")</f>
        <v/>
      </c>
      <c r="R232" s="31" t="str">
        <f aca="false">IFERROR(IF(N232="","",N232*INDEX('00 - Lists'!$N$2:$N$11,MATCH(L232,'00 - Lists'!$L$2:$L$11,0))),"")</f>
        <v/>
      </c>
      <c r="S232" s="32" t="str">
        <f aca="false">IF(O232="","",IF(O232&gt;=50,"Yes","No"))</f>
        <v/>
      </c>
      <c r="T232" s="32" t="str">
        <f aca="false">IF(Q232="","",IF(Q232&gt;=100000,"Yes","No"))</f>
        <v/>
      </c>
      <c r="U232" s="28"/>
      <c r="V232" s="28"/>
      <c r="W232" s="28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J232" s="34" t="str">
        <f aca="false">IF(OR($BD232&lt;&gt;"",$BF232&lt;&gt;"",$BH232&lt;&gt;""),"Yes","No")</f>
        <v>No</v>
      </c>
      <c r="BK232" s="35" t="str">
        <f aca="false">IFERROR(IF(BD232="","",BD232*INDEX('00 - Lists'!$M$2:$M$11,MATCH(L232,'00 - Lists'!$L$2:$L$11,0))/100000),"")</f>
        <v/>
      </c>
      <c r="BL232" s="35" t="str">
        <f aca="false">IFERROR(IF(BE232="","",BE232*INDEX('00 - Lists'!$M$2:$M$11,MATCH(L232,'00 - Lists'!$L$2:$L$11,0))/100000),"")</f>
        <v/>
      </c>
      <c r="BM232" s="35" t="str">
        <f aca="false">IFERROR(IF(BF232="","",BF232*INDEX('00 - Lists'!$M$2:$M$11,MATCH(L232,'00 - Lists'!$L$2:$L$11,0))/100000),"")</f>
        <v/>
      </c>
      <c r="BN232" s="35" t="str">
        <f aca="false">IFERROR(IF(BG232="","",BG232*INDEX('00 - Lists'!$M$2:$M$11,MATCH(L232,'00 - Lists'!$L$2:$L$11,0))/100000),"")</f>
        <v/>
      </c>
      <c r="BO232" s="35" t="str">
        <f aca="false">IFERROR(IF(BH232="","",BH232*INDEX('00 - Lists'!$M$2:$M$11,MATCH(L232,'00 - Lists'!$L$2:$L$11,0))/100000),"")</f>
        <v/>
      </c>
      <c r="BP232" s="35" t="str">
        <f aca="false">IFERROR(IF(BI232="","",BI232*INDEX('00 - Lists'!$M$2:$M$11,MATCH(L232,'00 - Lists'!$L$2:$L$11,0))/100000),"")</f>
        <v/>
      </c>
      <c r="BS232" s="36" t="str">
        <f aca="false">IF(O232="","",IF(O232&gt;=20,"Yes","No"))</f>
        <v/>
      </c>
      <c r="BT232" s="36" t="str">
        <f aca="false">IF(O232="","",IF(O232&gt;=30,"Yes","No"))</f>
        <v/>
      </c>
      <c r="BU232" s="36" t="str">
        <f aca="false">IF(O232="","",IF(O232&gt;=75,"Yes","No"))</f>
        <v/>
      </c>
      <c r="BV232" s="36" t="str">
        <f aca="false">IF(O232="","",IF(O232&gt;=100,"Yes","No"))</f>
        <v/>
      </c>
      <c r="BW232" s="36" t="str">
        <f aca="false">IF(O232="","",IF(O232&gt;=150,"Yes","No"))</f>
        <v/>
      </c>
      <c r="BX232" s="36" t="str">
        <f aca="false">IF(O232="","",IF(O232&gt;=200,"Yes","No"))</f>
        <v/>
      </c>
      <c r="BY232" s="36" t="str">
        <f aca="false">IF(Q232="","",IF(Q232&gt;=150000,"Yes","No"))</f>
        <v/>
      </c>
      <c r="BZ232" s="36" t="str">
        <f aca="false">IF(Q232="","",IF(Q232&gt;=200000,"Yes","No"))</f>
        <v/>
      </c>
      <c r="CA232" s="36" t="str">
        <f aca="false">IF(Q232="","",IF(Q232&gt;=250000,"Yes","No"))</f>
        <v/>
      </c>
      <c r="CB232" s="36" t="str">
        <f aca="false">IF(Q232="","",IF(Q232&gt;=300000,"Yes","No"))</f>
        <v/>
      </c>
      <c r="CC232" s="37"/>
      <c r="CD232" s="36" t="str">
        <f aca="true">IF(B232="","",IF(TODAY()-B232&lt;=7,"🟢 0-7d",IF(TODAY()-B232&lt;=30,"🟡 8-30d",IF(TODAY()-B232&lt;=60,"🟠 31-60d","🔴 60d+"))))</f>
        <v/>
      </c>
      <c r="CE232" s="36" t="str">
        <f aca="false">IF(G232="","",IF(G232&lt;&gt;"USA","N/A - Not USA Role",IF(J232="Yes",IF(OR(F232="Intern",F232="New Grad"),"🟡 Possible","🟢 Strong"),IF(J232="No","🔴 Difficult","⚪ Unknown"))))</f>
        <v/>
      </c>
      <c r="CF232" s="37"/>
      <c r="CG232" s="37"/>
      <c r="CH232" s="38"/>
      <c r="CI232" s="38"/>
      <c r="CJ232" s="38"/>
      <c r="CK232" s="38"/>
    </row>
    <row r="233" customFormat="false" ht="15" hidden="false" customHeight="true" outlineLevel="0" collapsed="false">
      <c r="A233" s="26" t="str">
        <f aca="false">IF($C233="","",ROW()-3)</f>
        <v/>
      </c>
      <c r="B233" s="27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9"/>
      <c r="N233" s="29"/>
      <c r="O233" s="30" t="str">
        <f aca="false">IFERROR(IF(M233="","",M233*INDEX('00 - Lists'!$M$2:$M$11,MATCH(L233,'00 - Lists'!$L$2:$L$11,0))/100000),"")</f>
        <v/>
      </c>
      <c r="P233" s="30" t="str">
        <f aca="false">IFERROR(IF(N233="","",N233*INDEX('00 - Lists'!$M$2:$M$11,MATCH(L233,'00 - Lists'!$L$2:$L$11,0))/100000),"")</f>
        <v/>
      </c>
      <c r="Q233" s="31" t="str">
        <f aca="false">IFERROR(IF(M233="","",M233*INDEX('00 - Lists'!$N$2:$N$11,MATCH(L233,'00 - Lists'!$L$2:$L$11,0))),"")</f>
        <v/>
      </c>
      <c r="R233" s="31" t="str">
        <f aca="false">IFERROR(IF(N233="","",N233*INDEX('00 - Lists'!$N$2:$N$11,MATCH(L233,'00 - Lists'!$L$2:$L$11,0))),"")</f>
        <v/>
      </c>
      <c r="S233" s="32" t="str">
        <f aca="false">IF(O233="","",IF(O233&gt;=50,"Yes","No"))</f>
        <v/>
      </c>
      <c r="T233" s="32" t="str">
        <f aca="false">IF(Q233="","",IF(Q233&gt;=100000,"Yes","No"))</f>
        <v/>
      </c>
      <c r="U233" s="28"/>
      <c r="V233" s="28"/>
      <c r="W233" s="28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J233" s="34" t="str">
        <f aca="false">IF(OR($BD233&lt;&gt;"",$BF233&lt;&gt;"",$BH233&lt;&gt;""),"Yes","No")</f>
        <v>No</v>
      </c>
      <c r="BK233" s="35" t="str">
        <f aca="false">IFERROR(IF(BD233="","",BD233*INDEX('00 - Lists'!$M$2:$M$11,MATCH(L233,'00 - Lists'!$L$2:$L$11,0))/100000),"")</f>
        <v/>
      </c>
      <c r="BL233" s="35" t="str">
        <f aca="false">IFERROR(IF(BE233="","",BE233*INDEX('00 - Lists'!$M$2:$M$11,MATCH(L233,'00 - Lists'!$L$2:$L$11,0))/100000),"")</f>
        <v/>
      </c>
      <c r="BM233" s="35" t="str">
        <f aca="false">IFERROR(IF(BF233="","",BF233*INDEX('00 - Lists'!$M$2:$M$11,MATCH(L233,'00 - Lists'!$L$2:$L$11,0))/100000),"")</f>
        <v/>
      </c>
      <c r="BN233" s="35" t="str">
        <f aca="false">IFERROR(IF(BG233="","",BG233*INDEX('00 - Lists'!$M$2:$M$11,MATCH(L233,'00 - Lists'!$L$2:$L$11,0))/100000),"")</f>
        <v/>
      </c>
      <c r="BO233" s="35" t="str">
        <f aca="false">IFERROR(IF(BH233="","",BH233*INDEX('00 - Lists'!$M$2:$M$11,MATCH(L233,'00 - Lists'!$L$2:$L$11,0))/100000),"")</f>
        <v/>
      </c>
      <c r="BP233" s="35" t="str">
        <f aca="false">IFERROR(IF(BI233="","",BI233*INDEX('00 - Lists'!$M$2:$M$11,MATCH(L233,'00 - Lists'!$L$2:$L$11,0))/100000),"")</f>
        <v/>
      </c>
      <c r="BS233" s="36" t="str">
        <f aca="false">IF(O233="","",IF(O233&gt;=20,"Yes","No"))</f>
        <v/>
      </c>
      <c r="BT233" s="36" t="str">
        <f aca="false">IF(O233="","",IF(O233&gt;=30,"Yes","No"))</f>
        <v/>
      </c>
      <c r="BU233" s="36" t="str">
        <f aca="false">IF(O233="","",IF(O233&gt;=75,"Yes","No"))</f>
        <v/>
      </c>
      <c r="BV233" s="36" t="str">
        <f aca="false">IF(O233="","",IF(O233&gt;=100,"Yes","No"))</f>
        <v/>
      </c>
      <c r="BW233" s="36" t="str">
        <f aca="false">IF(O233="","",IF(O233&gt;=150,"Yes","No"))</f>
        <v/>
      </c>
      <c r="BX233" s="36" t="str">
        <f aca="false">IF(O233="","",IF(O233&gt;=200,"Yes","No"))</f>
        <v/>
      </c>
      <c r="BY233" s="36" t="str">
        <f aca="false">IF(Q233="","",IF(Q233&gt;=150000,"Yes","No"))</f>
        <v/>
      </c>
      <c r="BZ233" s="36" t="str">
        <f aca="false">IF(Q233="","",IF(Q233&gt;=200000,"Yes","No"))</f>
        <v/>
      </c>
      <c r="CA233" s="36" t="str">
        <f aca="false">IF(Q233="","",IF(Q233&gt;=250000,"Yes","No"))</f>
        <v/>
      </c>
      <c r="CB233" s="36" t="str">
        <f aca="false">IF(Q233="","",IF(Q233&gt;=300000,"Yes","No"))</f>
        <v/>
      </c>
      <c r="CC233" s="37"/>
      <c r="CD233" s="36" t="str">
        <f aca="true">IF(B233="","",IF(TODAY()-B233&lt;=7,"🟢 0-7d",IF(TODAY()-B233&lt;=30,"🟡 8-30d",IF(TODAY()-B233&lt;=60,"🟠 31-60d","🔴 60d+"))))</f>
        <v/>
      </c>
      <c r="CE233" s="36" t="str">
        <f aca="false">IF(G233="","",IF(G233&lt;&gt;"USA","N/A - Not USA Role",IF(J233="Yes",IF(OR(F233="Intern",F233="New Grad"),"🟡 Possible","🟢 Strong"),IF(J233="No","🔴 Difficult","⚪ Unknown"))))</f>
        <v/>
      </c>
      <c r="CF233" s="37"/>
      <c r="CG233" s="37"/>
      <c r="CH233" s="38"/>
      <c r="CI233" s="38"/>
      <c r="CJ233" s="38"/>
      <c r="CK233" s="38"/>
    </row>
    <row r="234" customFormat="false" ht="15" hidden="false" customHeight="true" outlineLevel="0" collapsed="false">
      <c r="A234" s="26" t="str">
        <f aca="false">IF($C234="","",ROW()-3)</f>
        <v/>
      </c>
      <c r="B234" s="27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9"/>
      <c r="N234" s="29"/>
      <c r="O234" s="30" t="str">
        <f aca="false">IFERROR(IF(M234="","",M234*INDEX('00 - Lists'!$M$2:$M$11,MATCH(L234,'00 - Lists'!$L$2:$L$11,0))/100000),"")</f>
        <v/>
      </c>
      <c r="P234" s="30" t="str">
        <f aca="false">IFERROR(IF(N234="","",N234*INDEX('00 - Lists'!$M$2:$M$11,MATCH(L234,'00 - Lists'!$L$2:$L$11,0))/100000),"")</f>
        <v/>
      </c>
      <c r="Q234" s="31" t="str">
        <f aca="false">IFERROR(IF(M234="","",M234*INDEX('00 - Lists'!$N$2:$N$11,MATCH(L234,'00 - Lists'!$L$2:$L$11,0))),"")</f>
        <v/>
      </c>
      <c r="R234" s="31" t="str">
        <f aca="false">IFERROR(IF(N234="","",N234*INDEX('00 - Lists'!$N$2:$N$11,MATCH(L234,'00 - Lists'!$L$2:$L$11,0))),"")</f>
        <v/>
      </c>
      <c r="S234" s="32" t="str">
        <f aca="false">IF(O234="","",IF(O234&gt;=50,"Yes","No"))</f>
        <v/>
      </c>
      <c r="T234" s="32" t="str">
        <f aca="false">IF(Q234="","",IF(Q234&gt;=100000,"Yes","No"))</f>
        <v/>
      </c>
      <c r="U234" s="28"/>
      <c r="V234" s="28"/>
      <c r="W234" s="28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J234" s="34" t="str">
        <f aca="false">IF(OR($BD234&lt;&gt;"",$BF234&lt;&gt;"",$BH234&lt;&gt;""),"Yes","No")</f>
        <v>No</v>
      </c>
      <c r="BK234" s="35" t="str">
        <f aca="false">IFERROR(IF(BD234="","",BD234*INDEX('00 - Lists'!$M$2:$M$11,MATCH(L234,'00 - Lists'!$L$2:$L$11,0))/100000),"")</f>
        <v/>
      </c>
      <c r="BL234" s="35" t="str">
        <f aca="false">IFERROR(IF(BE234="","",BE234*INDEX('00 - Lists'!$M$2:$M$11,MATCH(L234,'00 - Lists'!$L$2:$L$11,0))/100000),"")</f>
        <v/>
      </c>
      <c r="BM234" s="35" t="str">
        <f aca="false">IFERROR(IF(BF234="","",BF234*INDEX('00 - Lists'!$M$2:$M$11,MATCH(L234,'00 - Lists'!$L$2:$L$11,0))/100000),"")</f>
        <v/>
      </c>
      <c r="BN234" s="35" t="str">
        <f aca="false">IFERROR(IF(BG234="","",BG234*INDEX('00 - Lists'!$M$2:$M$11,MATCH(L234,'00 - Lists'!$L$2:$L$11,0))/100000),"")</f>
        <v/>
      </c>
      <c r="BO234" s="35" t="str">
        <f aca="false">IFERROR(IF(BH234="","",BH234*INDEX('00 - Lists'!$M$2:$M$11,MATCH(L234,'00 - Lists'!$L$2:$L$11,0))/100000),"")</f>
        <v/>
      </c>
      <c r="BP234" s="35" t="str">
        <f aca="false">IFERROR(IF(BI234="","",BI234*INDEX('00 - Lists'!$M$2:$M$11,MATCH(L234,'00 - Lists'!$L$2:$L$11,0))/100000),"")</f>
        <v/>
      </c>
      <c r="BS234" s="36" t="str">
        <f aca="false">IF(O234="","",IF(O234&gt;=20,"Yes","No"))</f>
        <v/>
      </c>
      <c r="BT234" s="36" t="str">
        <f aca="false">IF(O234="","",IF(O234&gt;=30,"Yes","No"))</f>
        <v/>
      </c>
      <c r="BU234" s="36" t="str">
        <f aca="false">IF(O234="","",IF(O234&gt;=75,"Yes","No"))</f>
        <v/>
      </c>
      <c r="BV234" s="36" t="str">
        <f aca="false">IF(O234="","",IF(O234&gt;=100,"Yes","No"))</f>
        <v/>
      </c>
      <c r="BW234" s="36" t="str">
        <f aca="false">IF(O234="","",IF(O234&gt;=150,"Yes","No"))</f>
        <v/>
      </c>
      <c r="BX234" s="36" t="str">
        <f aca="false">IF(O234="","",IF(O234&gt;=200,"Yes","No"))</f>
        <v/>
      </c>
      <c r="BY234" s="36" t="str">
        <f aca="false">IF(Q234="","",IF(Q234&gt;=150000,"Yes","No"))</f>
        <v/>
      </c>
      <c r="BZ234" s="36" t="str">
        <f aca="false">IF(Q234="","",IF(Q234&gt;=200000,"Yes","No"))</f>
        <v/>
      </c>
      <c r="CA234" s="36" t="str">
        <f aca="false">IF(Q234="","",IF(Q234&gt;=250000,"Yes","No"))</f>
        <v/>
      </c>
      <c r="CB234" s="36" t="str">
        <f aca="false">IF(Q234="","",IF(Q234&gt;=300000,"Yes","No"))</f>
        <v/>
      </c>
      <c r="CC234" s="37"/>
      <c r="CD234" s="36" t="str">
        <f aca="true">IF(B234="","",IF(TODAY()-B234&lt;=7,"🟢 0-7d",IF(TODAY()-B234&lt;=30,"🟡 8-30d",IF(TODAY()-B234&lt;=60,"🟠 31-60d","🔴 60d+"))))</f>
        <v/>
      </c>
      <c r="CE234" s="36" t="str">
        <f aca="false">IF(G234="","",IF(G234&lt;&gt;"USA","N/A - Not USA Role",IF(J234="Yes",IF(OR(F234="Intern",F234="New Grad"),"🟡 Possible","🟢 Strong"),IF(J234="No","🔴 Difficult","⚪ Unknown"))))</f>
        <v/>
      </c>
      <c r="CF234" s="37"/>
      <c r="CG234" s="37"/>
      <c r="CH234" s="38"/>
      <c r="CI234" s="38"/>
      <c r="CJ234" s="38"/>
      <c r="CK234" s="38"/>
    </row>
    <row r="235" customFormat="false" ht="15" hidden="false" customHeight="true" outlineLevel="0" collapsed="false">
      <c r="A235" s="26" t="str">
        <f aca="false">IF($C235="","",ROW()-3)</f>
        <v/>
      </c>
      <c r="B235" s="27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9"/>
      <c r="N235" s="29"/>
      <c r="O235" s="30" t="str">
        <f aca="false">IFERROR(IF(M235="","",M235*INDEX('00 - Lists'!$M$2:$M$11,MATCH(L235,'00 - Lists'!$L$2:$L$11,0))/100000),"")</f>
        <v/>
      </c>
      <c r="P235" s="30" t="str">
        <f aca="false">IFERROR(IF(N235="","",N235*INDEX('00 - Lists'!$M$2:$M$11,MATCH(L235,'00 - Lists'!$L$2:$L$11,0))/100000),"")</f>
        <v/>
      </c>
      <c r="Q235" s="31" t="str">
        <f aca="false">IFERROR(IF(M235="","",M235*INDEX('00 - Lists'!$N$2:$N$11,MATCH(L235,'00 - Lists'!$L$2:$L$11,0))),"")</f>
        <v/>
      </c>
      <c r="R235" s="31" t="str">
        <f aca="false">IFERROR(IF(N235="","",N235*INDEX('00 - Lists'!$N$2:$N$11,MATCH(L235,'00 - Lists'!$L$2:$L$11,0))),"")</f>
        <v/>
      </c>
      <c r="S235" s="32" t="str">
        <f aca="false">IF(O235="","",IF(O235&gt;=50,"Yes","No"))</f>
        <v/>
      </c>
      <c r="T235" s="32" t="str">
        <f aca="false">IF(Q235="","",IF(Q235&gt;=100000,"Yes","No"))</f>
        <v/>
      </c>
      <c r="U235" s="28"/>
      <c r="V235" s="28"/>
      <c r="W235" s="28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J235" s="34" t="str">
        <f aca="false">IF(OR($BD235&lt;&gt;"",$BF235&lt;&gt;"",$BH235&lt;&gt;""),"Yes","No")</f>
        <v>No</v>
      </c>
      <c r="BK235" s="35" t="str">
        <f aca="false">IFERROR(IF(BD235="","",BD235*INDEX('00 - Lists'!$M$2:$M$11,MATCH(L235,'00 - Lists'!$L$2:$L$11,0))/100000),"")</f>
        <v/>
      </c>
      <c r="BL235" s="35" t="str">
        <f aca="false">IFERROR(IF(BE235="","",BE235*INDEX('00 - Lists'!$M$2:$M$11,MATCH(L235,'00 - Lists'!$L$2:$L$11,0))/100000),"")</f>
        <v/>
      </c>
      <c r="BM235" s="35" t="str">
        <f aca="false">IFERROR(IF(BF235="","",BF235*INDEX('00 - Lists'!$M$2:$M$11,MATCH(L235,'00 - Lists'!$L$2:$L$11,0))/100000),"")</f>
        <v/>
      </c>
      <c r="BN235" s="35" t="str">
        <f aca="false">IFERROR(IF(BG235="","",BG235*INDEX('00 - Lists'!$M$2:$M$11,MATCH(L235,'00 - Lists'!$L$2:$L$11,0))/100000),"")</f>
        <v/>
      </c>
      <c r="BO235" s="35" t="str">
        <f aca="false">IFERROR(IF(BH235="","",BH235*INDEX('00 - Lists'!$M$2:$M$11,MATCH(L235,'00 - Lists'!$L$2:$L$11,0))/100000),"")</f>
        <v/>
      </c>
      <c r="BP235" s="35" t="str">
        <f aca="false">IFERROR(IF(BI235="","",BI235*INDEX('00 - Lists'!$M$2:$M$11,MATCH(L235,'00 - Lists'!$L$2:$L$11,0))/100000),"")</f>
        <v/>
      </c>
      <c r="BS235" s="36" t="str">
        <f aca="false">IF(O235="","",IF(O235&gt;=20,"Yes","No"))</f>
        <v/>
      </c>
      <c r="BT235" s="36" t="str">
        <f aca="false">IF(O235="","",IF(O235&gt;=30,"Yes","No"))</f>
        <v/>
      </c>
      <c r="BU235" s="36" t="str">
        <f aca="false">IF(O235="","",IF(O235&gt;=75,"Yes","No"))</f>
        <v/>
      </c>
      <c r="BV235" s="36" t="str">
        <f aca="false">IF(O235="","",IF(O235&gt;=100,"Yes","No"))</f>
        <v/>
      </c>
      <c r="BW235" s="36" t="str">
        <f aca="false">IF(O235="","",IF(O235&gt;=150,"Yes","No"))</f>
        <v/>
      </c>
      <c r="BX235" s="36" t="str">
        <f aca="false">IF(O235="","",IF(O235&gt;=200,"Yes","No"))</f>
        <v/>
      </c>
      <c r="BY235" s="36" t="str">
        <f aca="false">IF(Q235="","",IF(Q235&gt;=150000,"Yes","No"))</f>
        <v/>
      </c>
      <c r="BZ235" s="36" t="str">
        <f aca="false">IF(Q235="","",IF(Q235&gt;=200000,"Yes","No"))</f>
        <v/>
      </c>
      <c r="CA235" s="36" t="str">
        <f aca="false">IF(Q235="","",IF(Q235&gt;=250000,"Yes","No"))</f>
        <v/>
      </c>
      <c r="CB235" s="36" t="str">
        <f aca="false">IF(Q235="","",IF(Q235&gt;=300000,"Yes","No"))</f>
        <v/>
      </c>
      <c r="CC235" s="37"/>
      <c r="CD235" s="36" t="str">
        <f aca="true">IF(B235="","",IF(TODAY()-B235&lt;=7,"🟢 0-7d",IF(TODAY()-B235&lt;=30,"🟡 8-30d",IF(TODAY()-B235&lt;=60,"🟠 31-60d","🔴 60d+"))))</f>
        <v/>
      </c>
      <c r="CE235" s="36" t="str">
        <f aca="false">IF(G235="","",IF(G235&lt;&gt;"USA","N/A - Not USA Role",IF(J235="Yes",IF(OR(F235="Intern",F235="New Grad"),"🟡 Possible","🟢 Strong"),IF(J235="No","🔴 Difficult","⚪ Unknown"))))</f>
        <v/>
      </c>
      <c r="CF235" s="37"/>
      <c r="CG235" s="37"/>
      <c r="CH235" s="38"/>
      <c r="CI235" s="38"/>
      <c r="CJ235" s="38"/>
      <c r="CK235" s="38"/>
    </row>
    <row r="236" customFormat="false" ht="15" hidden="false" customHeight="true" outlineLevel="0" collapsed="false">
      <c r="A236" s="26" t="str">
        <f aca="false">IF($C236="","",ROW()-3)</f>
        <v/>
      </c>
      <c r="B236" s="27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9"/>
      <c r="N236" s="29"/>
      <c r="O236" s="30" t="str">
        <f aca="false">IFERROR(IF(M236="","",M236*INDEX('00 - Lists'!$M$2:$M$11,MATCH(L236,'00 - Lists'!$L$2:$L$11,0))/100000),"")</f>
        <v/>
      </c>
      <c r="P236" s="30" t="str">
        <f aca="false">IFERROR(IF(N236="","",N236*INDEX('00 - Lists'!$M$2:$M$11,MATCH(L236,'00 - Lists'!$L$2:$L$11,0))/100000),"")</f>
        <v/>
      </c>
      <c r="Q236" s="31" t="str">
        <f aca="false">IFERROR(IF(M236="","",M236*INDEX('00 - Lists'!$N$2:$N$11,MATCH(L236,'00 - Lists'!$L$2:$L$11,0))),"")</f>
        <v/>
      </c>
      <c r="R236" s="31" t="str">
        <f aca="false">IFERROR(IF(N236="","",N236*INDEX('00 - Lists'!$N$2:$N$11,MATCH(L236,'00 - Lists'!$L$2:$L$11,0))),"")</f>
        <v/>
      </c>
      <c r="S236" s="32" t="str">
        <f aca="false">IF(O236="","",IF(O236&gt;=50,"Yes","No"))</f>
        <v/>
      </c>
      <c r="T236" s="32" t="str">
        <f aca="false">IF(Q236="","",IF(Q236&gt;=100000,"Yes","No"))</f>
        <v/>
      </c>
      <c r="U236" s="28"/>
      <c r="V236" s="28"/>
      <c r="W236" s="28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J236" s="34" t="str">
        <f aca="false">IF(OR($BD236&lt;&gt;"",$BF236&lt;&gt;"",$BH236&lt;&gt;""),"Yes","No")</f>
        <v>No</v>
      </c>
      <c r="BK236" s="35" t="str">
        <f aca="false">IFERROR(IF(BD236="","",BD236*INDEX('00 - Lists'!$M$2:$M$11,MATCH(L236,'00 - Lists'!$L$2:$L$11,0))/100000),"")</f>
        <v/>
      </c>
      <c r="BL236" s="35" t="str">
        <f aca="false">IFERROR(IF(BE236="","",BE236*INDEX('00 - Lists'!$M$2:$M$11,MATCH(L236,'00 - Lists'!$L$2:$L$11,0))/100000),"")</f>
        <v/>
      </c>
      <c r="BM236" s="35" t="str">
        <f aca="false">IFERROR(IF(BF236="","",BF236*INDEX('00 - Lists'!$M$2:$M$11,MATCH(L236,'00 - Lists'!$L$2:$L$11,0))/100000),"")</f>
        <v/>
      </c>
      <c r="BN236" s="35" t="str">
        <f aca="false">IFERROR(IF(BG236="","",BG236*INDEX('00 - Lists'!$M$2:$M$11,MATCH(L236,'00 - Lists'!$L$2:$L$11,0))/100000),"")</f>
        <v/>
      </c>
      <c r="BO236" s="35" t="str">
        <f aca="false">IFERROR(IF(BH236="","",BH236*INDEX('00 - Lists'!$M$2:$M$11,MATCH(L236,'00 - Lists'!$L$2:$L$11,0))/100000),"")</f>
        <v/>
      </c>
      <c r="BP236" s="35" t="str">
        <f aca="false">IFERROR(IF(BI236="","",BI236*INDEX('00 - Lists'!$M$2:$M$11,MATCH(L236,'00 - Lists'!$L$2:$L$11,0))/100000),"")</f>
        <v/>
      </c>
      <c r="BS236" s="36" t="str">
        <f aca="false">IF(O236="","",IF(O236&gt;=20,"Yes","No"))</f>
        <v/>
      </c>
      <c r="BT236" s="36" t="str">
        <f aca="false">IF(O236="","",IF(O236&gt;=30,"Yes","No"))</f>
        <v/>
      </c>
      <c r="BU236" s="36" t="str">
        <f aca="false">IF(O236="","",IF(O236&gt;=75,"Yes","No"))</f>
        <v/>
      </c>
      <c r="BV236" s="36" t="str">
        <f aca="false">IF(O236="","",IF(O236&gt;=100,"Yes","No"))</f>
        <v/>
      </c>
      <c r="BW236" s="36" t="str">
        <f aca="false">IF(O236="","",IF(O236&gt;=150,"Yes","No"))</f>
        <v/>
      </c>
      <c r="BX236" s="36" t="str">
        <f aca="false">IF(O236="","",IF(O236&gt;=200,"Yes","No"))</f>
        <v/>
      </c>
      <c r="BY236" s="36" t="str">
        <f aca="false">IF(Q236="","",IF(Q236&gt;=150000,"Yes","No"))</f>
        <v/>
      </c>
      <c r="BZ236" s="36" t="str">
        <f aca="false">IF(Q236="","",IF(Q236&gt;=200000,"Yes","No"))</f>
        <v/>
      </c>
      <c r="CA236" s="36" t="str">
        <f aca="false">IF(Q236="","",IF(Q236&gt;=250000,"Yes","No"))</f>
        <v/>
      </c>
      <c r="CB236" s="36" t="str">
        <f aca="false">IF(Q236="","",IF(Q236&gt;=300000,"Yes","No"))</f>
        <v/>
      </c>
      <c r="CC236" s="37"/>
      <c r="CD236" s="36" t="str">
        <f aca="true">IF(B236="","",IF(TODAY()-B236&lt;=7,"🟢 0-7d",IF(TODAY()-B236&lt;=30,"🟡 8-30d",IF(TODAY()-B236&lt;=60,"🟠 31-60d","🔴 60d+"))))</f>
        <v/>
      </c>
      <c r="CE236" s="36" t="str">
        <f aca="false">IF(G236="","",IF(G236&lt;&gt;"USA","N/A - Not USA Role",IF(J236="Yes",IF(OR(F236="Intern",F236="New Grad"),"🟡 Possible","🟢 Strong"),IF(J236="No","🔴 Difficult","⚪ Unknown"))))</f>
        <v/>
      </c>
      <c r="CF236" s="37"/>
      <c r="CG236" s="37"/>
      <c r="CH236" s="38"/>
      <c r="CI236" s="38"/>
      <c r="CJ236" s="38"/>
      <c r="CK236" s="38"/>
    </row>
    <row r="237" customFormat="false" ht="15" hidden="false" customHeight="true" outlineLevel="0" collapsed="false">
      <c r="A237" s="26" t="str">
        <f aca="false">IF($C237="","",ROW()-3)</f>
        <v/>
      </c>
      <c r="B237" s="27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9"/>
      <c r="N237" s="29"/>
      <c r="O237" s="30" t="str">
        <f aca="false">IFERROR(IF(M237="","",M237*INDEX('00 - Lists'!$M$2:$M$11,MATCH(L237,'00 - Lists'!$L$2:$L$11,0))/100000),"")</f>
        <v/>
      </c>
      <c r="P237" s="30" t="str">
        <f aca="false">IFERROR(IF(N237="","",N237*INDEX('00 - Lists'!$M$2:$M$11,MATCH(L237,'00 - Lists'!$L$2:$L$11,0))/100000),"")</f>
        <v/>
      </c>
      <c r="Q237" s="31" t="str">
        <f aca="false">IFERROR(IF(M237="","",M237*INDEX('00 - Lists'!$N$2:$N$11,MATCH(L237,'00 - Lists'!$L$2:$L$11,0))),"")</f>
        <v/>
      </c>
      <c r="R237" s="31" t="str">
        <f aca="false">IFERROR(IF(N237="","",N237*INDEX('00 - Lists'!$N$2:$N$11,MATCH(L237,'00 - Lists'!$L$2:$L$11,0))),"")</f>
        <v/>
      </c>
      <c r="S237" s="32" t="str">
        <f aca="false">IF(O237="","",IF(O237&gt;=50,"Yes","No"))</f>
        <v/>
      </c>
      <c r="T237" s="32" t="str">
        <f aca="false">IF(Q237="","",IF(Q237&gt;=100000,"Yes","No"))</f>
        <v/>
      </c>
      <c r="U237" s="28"/>
      <c r="V237" s="28"/>
      <c r="W237" s="28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J237" s="34" t="str">
        <f aca="false">IF(OR($BD237&lt;&gt;"",$BF237&lt;&gt;"",$BH237&lt;&gt;""),"Yes","No")</f>
        <v>No</v>
      </c>
      <c r="BK237" s="35" t="str">
        <f aca="false">IFERROR(IF(BD237="","",BD237*INDEX('00 - Lists'!$M$2:$M$11,MATCH(L237,'00 - Lists'!$L$2:$L$11,0))/100000),"")</f>
        <v/>
      </c>
      <c r="BL237" s="35" t="str">
        <f aca="false">IFERROR(IF(BE237="","",BE237*INDEX('00 - Lists'!$M$2:$M$11,MATCH(L237,'00 - Lists'!$L$2:$L$11,0))/100000),"")</f>
        <v/>
      </c>
      <c r="BM237" s="35" t="str">
        <f aca="false">IFERROR(IF(BF237="","",BF237*INDEX('00 - Lists'!$M$2:$M$11,MATCH(L237,'00 - Lists'!$L$2:$L$11,0))/100000),"")</f>
        <v/>
      </c>
      <c r="BN237" s="35" t="str">
        <f aca="false">IFERROR(IF(BG237="","",BG237*INDEX('00 - Lists'!$M$2:$M$11,MATCH(L237,'00 - Lists'!$L$2:$L$11,0))/100000),"")</f>
        <v/>
      </c>
      <c r="BO237" s="35" t="str">
        <f aca="false">IFERROR(IF(BH237="","",BH237*INDEX('00 - Lists'!$M$2:$M$11,MATCH(L237,'00 - Lists'!$L$2:$L$11,0))/100000),"")</f>
        <v/>
      </c>
      <c r="BP237" s="35" t="str">
        <f aca="false">IFERROR(IF(BI237="","",BI237*INDEX('00 - Lists'!$M$2:$M$11,MATCH(L237,'00 - Lists'!$L$2:$L$11,0))/100000),"")</f>
        <v/>
      </c>
      <c r="BS237" s="36" t="str">
        <f aca="false">IF(O237="","",IF(O237&gt;=20,"Yes","No"))</f>
        <v/>
      </c>
      <c r="BT237" s="36" t="str">
        <f aca="false">IF(O237="","",IF(O237&gt;=30,"Yes","No"))</f>
        <v/>
      </c>
      <c r="BU237" s="36" t="str">
        <f aca="false">IF(O237="","",IF(O237&gt;=75,"Yes","No"))</f>
        <v/>
      </c>
      <c r="BV237" s="36" t="str">
        <f aca="false">IF(O237="","",IF(O237&gt;=100,"Yes","No"))</f>
        <v/>
      </c>
      <c r="BW237" s="36" t="str">
        <f aca="false">IF(O237="","",IF(O237&gt;=150,"Yes","No"))</f>
        <v/>
      </c>
      <c r="BX237" s="36" t="str">
        <f aca="false">IF(O237="","",IF(O237&gt;=200,"Yes","No"))</f>
        <v/>
      </c>
      <c r="BY237" s="36" t="str">
        <f aca="false">IF(Q237="","",IF(Q237&gt;=150000,"Yes","No"))</f>
        <v/>
      </c>
      <c r="BZ237" s="36" t="str">
        <f aca="false">IF(Q237="","",IF(Q237&gt;=200000,"Yes","No"))</f>
        <v/>
      </c>
      <c r="CA237" s="36" t="str">
        <f aca="false">IF(Q237="","",IF(Q237&gt;=250000,"Yes","No"))</f>
        <v/>
      </c>
      <c r="CB237" s="36" t="str">
        <f aca="false">IF(Q237="","",IF(Q237&gt;=300000,"Yes","No"))</f>
        <v/>
      </c>
      <c r="CC237" s="37"/>
      <c r="CD237" s="36" t="str">
        <f aca="true">IF(B237="","",IF(TODAY()-B237&lt;=7,"🟢 0-7d",IF(TODAY()-B237&lt;=30,"🟡 8-30d",IF(TODAY()-B237&lt;=60,"🟠 31-60d","🔴 60d+"))))</f>
        <v/>
      </c>
      <c r="CE237" s="36" t="str">
        <f aca="false">IF(G237="","",IF(G237&lt;&gt;"USA","N/A - Not USA Role",IF(J237="Yes",IF(OR(F237="Intern",F237="New Grad"),"🟡 Possible","🟢 Strong"),IF(J237="No","🔴 Difficult","⚪ Unknown"))))</f>
        <v/>
      </c>
      <c r="CF237" s="37"/>
      <c r="CG237" s="37"/>
      <c r="CH237" s="38"/>
      <c r="CI237" s="38"/>
      <c r="CJ237" s="38"/>
      <c r="CK237" s="38"/>
    </row>
    <row r="238" customFormat="false" ht="15" hidden="false" customHeight="true" outlineLevel="0" collapsed="false">
      <c r="A238" s="26" t="str">
        <f aca="false">IF($C238="","",ROW()-3)</f>
        <v/>
      </c>
      <c r="B238" s="27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9"/>
      <c r="N238" s="29"/>
      <c r="O238" s="30" t="str">
        <f aca="false">IFERROR(IF(M238="","",M238*INDEX('00 - Lists'!$M$2:$M$11,MATCH(L238,'00 - Lists'!$L$2:$L$11,0))/100000),"")</f>
        <v/>
      </c>
      <c r="P238" s="30" t="str">
        <f aca="false">IFERROR(IF(N238="","",N238*INDEX('00 - Lists'!$M$2:$M$11,MATCH(L238,'00 - Lists'!$L$2:$L$11,0))/100000),"")</f>
        <v/>
      </c>
      <c r="Q238" s="31" t="str">
        <f aca="false">IFERROR(IF(M238="","",M238*INDEX('00 - Lists'!$N$2:$N$11,MATCH(L238,'00 - Lists'!$L$2:$L$11,0))),"")</f>
        <v/>
      </c>
      <c r="R238" s="31" t="str">
        <f aca="false">IFERROR(IF(N238="","",N238*INDEX('00 - Lists'!$N$2:$N$11,MATCH(L238,'00 - Lists'!$L$2:$L$11,0))),"")</f>
        <v/>
      </c>
      <c r="S238" s="32" t="str">
        <f aca="false">IF(O238="","",IF(O238&gt;=50,"Yes","No"))</f>
        <v/>
      </c>
      <c r="T238" s="32" t="str">
        <f aca="false">IF(Q238="","",IF(Q238&gt;=100000,"Yes","No"))</f>
        <v/>
      </c>
      <c r="U238" s="28"/>
      <c r="V238" s="28"/>
      <c r="W238" s="28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J238" s="34" t="str">
        <f aca="false">IF(OR($BD238&lt;&gt;"",$BF238&lt;&gt;"",$BH238&lt;&gt;""),"Yes","No")</f>
        <v>No</v>
      </c>
      <c r="BK238" s="35" t="str">
        <f aca="false">IFERROR(IF(BD238="","",BD238*INDEX('00 - Lists'!$M$2:$M$11,MATCH(L238,'00 - Lists'!$L$2:$L$11,0))/100000),"")</f>
        <v/>
      </c>
      <c r="BL238" s="35" t="str">
        <f aca="false">IFERROR(IF(BE238="","",BE238*INDEX('00 - Lists'!$M$2:$M$11,MATCH(L238,'00 - Lists'!$L$2:$L$11,0))/100000),"")</f>
        <v/>
      </c>
      <c r="BM238" s="35" t="str">
        <f aca="false">IFERROR(IF(BF238="","",BF238*INDEX('00 - Lists'!$M$2:$M$11,MATCH(L238,'00 - Lists'!$L$2:$L$11,0))/100000),"")</f>
        <v/>
      </c>
      <c r="BN238" s="35" t="str">
        <f aca="false">IFERROR(IF(BG238="","",BG238*INDEX('00 - Lists'!$M$2:$M$11,MATCH(L238,'00 - Lists'!$L$2:$L$11,0))/100000),"")</f>
        <v/>
      </c>
      <c r="BO238" s="35" t="str">
        <f aca="false">IFERROR(IF(BH238="","",BH238*INDEX('00 - Lists'!$M$2:$M$11,MATCH(L238,'00 - Lists'!$L$2:$L$11,0))/100000),"")</f>
        <v/>
      </c>
      <c r="BP238" s="35" t="str">
        <f aca="false">IFERROR(IF(BI238="","",BI238*INDEX('00 - Lists'!$M$2:$M$11,MATCH(L238,'00 - Lists'!$L$2:$L$11,0))/100000),"")</f>
        <v/>
      </c>
      <c r="BS238" s="36" t="str">
        <f aca="false">IF(O238="","",IF(O238&gt;=20,"Yes","No"))</f>
        <v/>
      </c>
      <c r="BT238" s="36" t="str">
        <f aca="false">IF(O238="","",IF(O238&gt;=30,"Yes","No"))</f>
        <v/>
      </c>
      <c r="BU238" s="36" t="str">
        <f aca="false">IF(O238="","",IF(O238&gt;=75,"Yes","No"))</f>
        <v/>
      </c>
      <c r="BV238" s="36" t="str">
        <f aca="false">IF(O238="","",IF(O238&gt;=100,"Yes","No"))</f>
        <v/>
      </c>
      <c r="BW238" s="36" t="str">
        <f aca="false">IF(O238="","",IF(O238&gt;=150,"Yes","No"))</f>
        <v/>
      </c>
      <c r="BX238" s="36" t="str">
        <f aca="false">IF(O238="","",IF(O238&gt;=200,"Yes","No"))</f>
        <v/>
      </c>
      <c r="BY238" s="36" t="str">
        <f aca="false">IF(Q238="","",IF(Q238&gt;=150000,"Yes","No"))</f>
        <v/>
      </c>
      <c r="BZ238" s="36" t="str">
        <f aca="false">IF(Q238="","",IF(Q238&gt;=200000,"Yes","No"))</f>
        <v/>
      </c>
      <c r="CA238" s="36" t="str">
        <f aca="false">IF(Q238="","",IF(Q238&gt;=250000,"Yes","No"))</f>
        <v/>
      </c>
      <c r="CB238" s="36" t="str">
        <f aca="false">IF(Q238="","",IF(Q238&gt;=300000,"Yes","No"))</f>
        <v/>
      </c>
      <c r="CC238" s="37"/>
      <c r="CD238" s="36" t="str">
        <f aca="true">IF(B238="","",IF(TODAY()-B238&lt;=7,"🟢 0-7d",IF(TODAY()-B238&lt;=30,"🟡 8-30d",IF(TODAY()-B238&lt;=60,"🟠 31-60d","🔴 60d+"))))</f>
        <v/>
      </c>
      <c r="CE238" s="36" t="str">
        <f aca="false">IF(G238="","",IF(G238&lt;&gt;"USA","N/A - Not USA Role",IF(J238="Yes",IF(OR(F238="Intern",F238="New Grad"),"🟡 Possible","🟢 Strong"),IF(J238="No","🔴 Difficult","⚪ Unknown"))))</f>
        <v/>
      </c>
      <c r="CF238" s="37"/>
      <c r="CG238" s="37"/>
      <c r="CH238" s="38"/>
      <c r="CI238" s="38"/>
      <c r="CJ238" s="38"/>
      <c r="CK238" s="38"/>
    </row>
    <row r="239" customFormat="false" ht="15" hidden="false" customHeight="true" outlineLevel="0" collapsed="false">
      <c r="A239" s="26" t="str">
        <f aca="false">IF($C239="","",ROW()-3)</f>
        <v/>
      </c>
      <c r="B239" s="27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9"/>
      <c r="N239" s="29"/>
      <c r="O239" s="30" t="str">
        <f aca="false">IFERROR(IF(M239="","",M239*INDEX('00 - Lists'!$M$2:$M$11,MATCH(L239,'00 - Lists'!$L$2:$L$11,0))/100000),"")</f>
        <v/>
      </c>
      <c r="P239" s="30" t="str">
        <f aca="false">IFERROR(IF(N239="","",N239*INDEX('00 - Lists'!$M$2:$M$11,MATCH(L239,'00 - Lists'!$L$2:$L$11,0))/100000),"")</f>
        <v/>
      </c>
      <c r="Q239" s="31" t="str">
        <f aca="false">IFERROR(IF(M239="","",M239*INDEX('00 - Lists'!$N$2:$N$11,MATCH(L239,'00 - Lists'!$L$2:$L$11,0))),"")</f>
        <v/>
      </c>
      <c r="R239" s="31" t="str">
        <f aca="false">IFERROR(IF(N239="","",N239*INDEX('00 - Lists'!$N$2:$N$11,MATCH(L239,'00 - Lists'!$L$2:$L$11,0))),"")</f>
        <v/>
      </c>
      <c r="S239" s="32" t="str">
        <f aca="false">IF(O239="","",IF(O239&gt;=50,"Yes","No"))</f>
        <v/>
      </c>
      <c r="T239" s="32" t="str">
        <f aca="false">IF(Q239="","",IF(Q239&gt;=100000,"Yes","No"))</f>
        <v/>
      </c>
      <c r="U239" s="28"/>
      <c r="V239" s="28"/>
      <c r="W239" s="28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J239" s="34" t="str">
        <f aca="false">IF(OR($BD239&lt;&gt;"",$BF239&lt;&gt;"",$BH239&lt;&gt;""),"Yes","No")</f>
        <v>No</v>
      </c>
      <c r="BK239" s="35" t="str">
        <f aca="false">IFERROR(IF(BD239="","",BD239*INDEX('00 - Lists'!$M$2:$M$11,MATCH(L239,'00 - Lists'!$L$2:$L$11,0))/100000),"")</f>
        <v/>
      </c>
      <c r="BL239" s="35" t="str">
        <f aca="false">IFERROR(IF(BE239="","",BE239*INDEX('00 - Lists'!$M$2:$M$11,MATCH(L239,'00 - Lists'!$L$2:$L$11,0))/100000),"")</f>
        <v/>
      </c>
      <c r="BM239" s="35" t="str">
        <f aca="false">IFERROR(IF(BF239="","",BF239*INDEX('00 - Lists'!$M$2:$M$11,MATCH(L239,'00 - Lists'!$L$2:$L$11,0))/100000),"")</f>
        <v/>
      </c>
      <c r="BN239" s="35" t="str">
        <f aca="false">IFERROR(IF(BG239="","",BG239*INDEX('00 - Lists'!$M$2:$M$11,MATCH(L239,'00 - Lists'!$L$2:$L$11,0))/100000),"")</f>
        <v/>
      </c>
      <c r="BO239" s="35" t="str">
        <f aca="false">IFERROR(IF(BH239="","",BH239*INDEX('00 - Lists'!$M$2:$M$11,MATCH(L239,'00 - Lists'!$L$2:$L$11,0))/100000),"")</f>
        <v/>
      </c>
      <c r="BP239" s="35" t="str">
        <f aca="false">IFERROR(IF(BI239="","",BI239*INDEX('00 - Lists'!$M$2:$M$11,MATCH(L239,'00 - Lists'!$L$2:$L$11,0))/100000),"")</f>
        <v/>
      </c>
      <c r="BS239" s="36" t="str">
        <f aca="false">IF(O239="","",IF(O239&gt;=20,"Yes","No"))</f>
        <v/>
      </c>
      <c r="BT239" s="36" t="str">
        <f aca="false">IF(O239="","",IF(O239&gt;=30,"Yes","No"))</f>
        <v/>
      </c>
      <c r="BU239" s="36" t="str">
        <f aca="false">IF(O239="","",IF(O239&gt;=75,"Yes","No"))</f>
        <v/>
      </c>
      <c r="BV239" s="36" t="str">
        <f aca="false">IF(O239="","",IF(O239&gt;=100,"Yes","No"))</f>
        <v/>
      </c>
      <c r="BW239" s="36" t="str">
        <f aca="false">IF(O239="","",IF(O239&gt;=150,"Yes","No"))</f>
        <v/>
      </c>
      <c r="BX239" s="36" t="str">
        <f aca="false">IF(O239="","",IF(O239&gt;=200,"Yes","No"))</f>
        <v/>
      </c>
      <c r="BY239" s="36" t="str">
        <f aca="false">IF(Q239="","",IF(Q239&gt;=150000,"Yes","No"))</f>
        <v/>
      </c>
      <c r="BZ239" s="36" t="str">
        <f aca="false">IF(Q239="","",IF(Q239&gt;=200000,"Yes","No"))</f>
        <v/>
      </c>
      <c r="CA239" s="36" t="str">
        <f aca="false">IF(Q239="","",IF(Q239&gt;=250000,"Yes","No"))</f>
        <v/>
      </c>
      <c r="CB239" s="36" t="str">
        <f aca="false">IF(Q239="","",IF(Q239&gt;=300000,"Yes","No"))</f>
        <v/>
      </c>
      <c r="CC239" s="37"/>
      <c r="CD239" s="36" t="str">
        <f aca="true">IF(B239="","",IF(TODAY()-B239&lt;=7,"🟢 0-7d",IF(TODAY()-B239&lt;=30,"🟡 8-30d",IF(TODAY()-B239&lt;=60,"🟠 31-60d","🔴 60d+"))))</f>
        <v/>
      </c>
      <c r="CE239" s="36" t="str">
        <f aca="false">IF(G239="","",IF(G239&lt;&gt;"USA","N/A - Not USA Role",IF(J239="Yes",IF(OR(F239="Intern",F239="New Grad"),"🟡 Possible","🟢 Strong"),IF(J239="No","🔴 Difficult","⚪ Unknown"))))</f>
        <v/>
      </c>
      <c r="CF239" s="37"/>
      <c r="CG239" s="37"/>
      <c r="CH239" s="38"/>
      <c r="CI239" s="38"/>
      <c r="CJ239" s="38"/>
      <c r="CK239" s="38"/>
    </row>
    <row r="240" customFormat="false" ht="15" hidden="false" customHeight="true" outlineLevel="0" collapsed="false">
      <c r="A240" s="26" t="str">
        <f aca="false">IF($C240="","",ROW()-3)</f>
        <v/>
      </c>
      <c r="B240" s="27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9"/>
      <c r="N240" s="29"/>
      <c r="O240" s="30" t="str">
        <f aca="false">IFERROR(IF(M240="","",M240*INDEX('00 - Lists'!$M$2:$M$11,MATCH(L240,'00 - Lists'!$L$2:$L$11,0))/100000),"")</f>
        <v/>
      </c>
      <c r="P240" s="30" t="str">
        <f aca="false">IFERROR(IF(N240="","",N240*INDEX('00 - Lists'!$M$2:$M$11,MATCH(L240,'00 - Lists'!$L$2:$L$11,0))/100000),"")</f>
        <v/>
      </c>
      <c r="Q240" s="31" t="str">
        <f aca="false">IFERROR(IF(M240="","",M240*INDEX('00 - Lists'!$N$2:$N$11,MATCH(L240,'00 - Lists'!$L$2:$L$11,0))),"")</f>
        <v/>
      </c>
      <c r="R240" s="31" t="str">
        <f aca="false">IFERROR(IF(N240="","",N240*INDEX('00 - Lists'!$N$2:$N$11,MATCH(L240,'00 - Lists'!$L$2:$L$11,0))),"")</f>
        <v/>
      </c>
      <c r="S240" s="32" t="str">
        <f aca="false">IF(O240="","",IF(O240&gt;=50,"Yes","No"))</f>
        <v/>
      </c>
      <c r="T240" s="32" t="str">
        <f aca="false">IF(Q240="","",IF(Q240&gt;=100000,"Yes","No"))</f>
        <v/>
      </c>
      <c r="U240" s="28"/>
      <c r="V240" s="28"/>
      <c r="W240" s="28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J240" s="34" t="str">
        <f aca="false">IF(OR($BD240&lt;&gt;"",$BF240&lt;&gt;"",$BH240&lt;&gt;""),"Yes","No")</f>
        <v>No</v>
      </c>
      <c r="BK240" s="35" t="str">
        <f aca="false">IFERROR(IF(BD240="","",BD240*INDEX('00 - Lists'!$M$2:$M$11,MATCH(L240,'00 - Lists'!$L$2:$L$11,0))/100000),"")</f>
        <v/>
      </c>
      <c r="BL240" s="35" t="str">
        <f aca="false">IFERROR(IF(BE240="","",BE240*INDEX('00 - Lists'!$M$2:$M$11,MATCH(L240,'00 - Lists'!$L$2:$L$11,0))/100000),"")</f>
        <v/>
      </c>
      <c r="BM240" s="35" t="str">
        <f aca="false">IFERROR(IF(BF240="","",BF240*INDEX('00 - Lists'!$M$2:$M$11,MATCH(L240,'00 - Lists'!$L$2:$L$11,0))/100000),"")</f>
        <v/>
      </c>
      <c r="BN240" s="35" t="str">
        <f aca="false">IFERROR(IF(BG240="","",BG240*INDEX('00 - Lists'!$M$2:$M$11,MATCH(L240,'00 - Lists'!$L$2:$L$11,0))/100000),"")</f>
        <v/>
      </c>
      <c r="BO240" s="35" t="str">
        <f aca="false">IFERROR(IF(BH240="","",BH240*INDEX('00 - Lists'!$M$2:$M$11,MATCH(L240,'00 - Lists'!$L$2:$L$11,0))/100000),"")</f>
        <v/>
      </c>
      <c r="BP240" s="35" t="str">
        <f aca="false">IFERROR(IF(BI240="","",BI240*INDEX('00 - Lists'!$M$2:$M$11,MATCH(L240,'00 - Lists'!$L$2:$L$11,0))/100000),"")</f>
        <v/>
      </c>
      <c r="BS240" s="36" t="str">
        <f aca="false">IF(O240="","",IF(O240&gt;=20,"Yes","No"))</f>
        <v/>
      </c>
      <c r="BT240" s="36" t="str">
        <f aca="false">IF(O240="","",IF(O240&gt;=30,"Yes","No"))</f>
        <v/>
      </c>
      <c r="BU240" s="36" t="str">
        <f aca="false">IF(O240="","",IF(O240&gt;=75,"Yes","No"))</f>
        <v/>
      </c>
      <c r="BV240" s="36" t="str">
        <f aca="false">IF(O240="","",IF(O240&gt;=100,"Yes","No"))</f>
        <v/>
      </c>
      <c r="BW240" s="36" t="str">
        <f aca="false">IF(O240="","",IF(O240&gt;=150,"Yes","No"))</f>
        <v/>
      </c>
      <c r="BX240" s="36" t="str">
        <f aca="false">IF(O240="","",IF(O240&gt;=200,"Yes","No"))</f>
        <v/>
      </c>
      <c r="BY240" s="36" t="str">
        <f aca="false">IF(Q240="","",IF(Q240&gt;=150000,"Yes","No"))</f>
        <v/>
      </c>
      <c r="BZ240" s="36" t="str">
        <f aca="false">IF(Q240="","",IF(Q240&gt;=200000,"Yes","No"))</f>
        <v/>
      </c>
      <c r="CA240" s="36" t="str">
        <f aca="false">IF(Q240="","",IF(Q240&gt;=250000,"Yes","No"))</f>
        <v/>
      </c>
      <c r="CB240" s="36" t="str">
        <f aca="false">IF(Q240="","",IF(Q240&gt;=300000,"Yes","No"))</f>
        <v/>
      </c>
      <c r="CC240" s="37"/>
      <c r="CD240" s="36" t="str">
        <f aca="true">IF(B240="","",IF(TODAY()-B240&lt;=7,"🟢 0-7d",IF(TODAY()-B240&lt;=30,"🟡 8-30d",IF(TODAY()-B240&lt;=60,"🟠 31-60d","🔴 60d+"))))</f>
        <v/>
      </c>
      <c r="CE240" s="36" t="str">
        <f aca="false">IF(G240="","",IF(G240&lt;&gt;"USA","N/A - Not USA Role",IF(J240="Yes",IF(OR(F240="Intern",F240="New Grad"),"🟡 Possible","🟢 Strong"),IF(J240="No","🔴 Difficult","⚪ Unknown"))))</f>
        <v/>
      </c>
      <c r="CF240" s="37"/>
      <c r="CG240" s="37"/>
      <c r="CH240" s="38"/>
      <c r="CI240" s="38"/>
      <c r="CJ240" s="38"/>
      <c r="CK240" s="38"/>
    </row>
    <row r="241" customFormat="false" ht="15" hidden="false" customHeight="true" outlineLevel="0" collapsed="false">
      <c r="A241" s="26" t="str">
        <f aca="false">IF($C241="","",ROW()-3)</f>
        <v/>
      </c>
      <c r="B241" s="27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9"/>
      <c r="N241" s="29"/>
      <c r="O241" s="30" t="str">
        <f aca="false">IFERROR(IF(M241="","",M241*INDEX('00 - Lists'!$M$2:$M$11,MATCH(L241,'00 - Lists'!$L$2:$L$11,0))/100000),"")</f>
        <v/>
      </c>
      <c r="P241" s="30" t="str">
        <f aca="false">IFERROR(IF(N241="","",N241*INDEX('00 - Lists'!$M$2:$M$11,MATCH(L241,'00 - Lists'!$L$2:$L$11,0))/100000),"")</f>
        <v/>
      </c>
      <c r="Q241" s="31" t="str">
        <f aca="false">IFERROR(IF(M241="","",M241*INDEX('00 - Lists'!$N$2:$N$11,MATCH(L241,'00 - Lists'!$L$2:$L$11,0))),"")</f>
        <v/>
      </c>
      <c r="R241" s="31" t="str">
        <f aca="false">IFERROR(IF(N241="","",N241*INDEX('00 - Lists'!$N$2:$N$11,MATCH(L241,'00 - Lists'!$L$2:$L$11,0))),"")</f>
        <v/>
      </c>
      <c r="S241" s="32" t="str">
        <f aca="false">IF(O241="","",IF(O241&gt;=50,"Yes","No"))</f>
        <v/>
      </c>
      <c r="T241" s="32" t="str">
        <f aca="false">IF(Q241="","",IF(Q241&gt;=100000,"Yes","No"))</f>
        <v/>
      </c>
      <c r="U241" s="28"/>
      <c r="V241" s="28"/>
      <c r="W241" s="28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J241" s="34" t="str">
        <f aca="false">IF(OR($BD241&lt;&gt;"",$BF241&lt;&gt;"",$BH241&lt;&gt;""),"Yes","No")</f>
        <v>No</v>
      </c>
      <c r="BK241" s="35" t="str">
        <f aca="false">IFERROR(IF(BD241="","",BD241*INDEX('00 - Lists'!$M$2:$M$11,MATCH(L241,'00 - Lists'!$L$2:$L$11,0))/100000),"")</f>
        <v/>
      </c>
      <c r="BL241" s="35" t="str">
        <f aca="false">IFERROR(IF(BE241="","",BE241*INDEX('00 - Lists'!$M$2:$M$11,MATCH(L241,'00 - Lists'!$L$2:$L$11,0))/100000),"")</f>
        <v/>
      </c>
      <c r="BM241" s="35" t="str">
        <f aca="false">IFERROR(IF(BF241="","",BF241*INDEX('00 - Lists'!$M$2:$M$11,MATCH(L241,'00 - Lists'!$L$2:$L$11,0))/100000),"")</f>
        <v/>
      </c>
      <c r="BN241" s="35" t="str">
        <f aca="false">IFERROR(IF(BG241="","",BG241*INDEX('00 - Lists'!$M$2:$M$11,MATCH(L241,'00 - Lists'!$L$2:$L$11,0))/100000),"")</f>
        <v/>
      </c>
      <c r="BO241" s="35" t="str">
        <f aca="false">IFERROR(IF(BH241="","",BH241*INDEX('00 - Lists'!$M$2:$M$11,MATCH(L241,'00 - Lists'!$L$2:$L$11,0))/100000),"")</f>
        <v/>
      </c>
      <c r="BP241" s="35" t="str">
        <f aca="false">IFERROR(IF(BI241="","",BI241*INDEX('00 - Lists'!$M$2:$M$11,MATCH(L241,'00 - Lists'!$L$2:$L$11,0))/100000),"")</f>
        <v/>
      </c>
      <c r="BS241" s="36" t="str">
        <f aca="false">IF(O241="","",IF(O241&gt;=20,"Yes","No"))</f>
        <v/>
      </c>
      <c r="BT241" s="36" t="str">
        <f aca="false">IF(O241="","",IF(O241&gt;=30,"Yes","No"))</f>
        <v/>
      </c>
      <c r="BU241" s="36" t="str">
        <f aca="false">IF(O241="","",IF(O241&gt;=75,"Yes","No"))</f>
        <v/>
      </c>
      <c r="BV241" s="36" t="str">
        <f aca="false">IF(O241="","",IF(O241&gt;=100,"Yes","No"))</f>
        <v/>
      </c>
      <c r="BW241" s="36" t="str">
        <f aca="false">IF(O241="","",IF(O241&gt;=150,"Yes","No"))</f>
        <v/>
      </c>
      <c r="BX241" s="36" t="str">
        <f aca="false">IF(O241="","",IF(O241&gt;=200,"Yes","No"))</f>
        <v/>
      </c>
      <c r="BY241" s="36" t="str">
        <f aca="false">IF(Q241="","",IF(Q241&gt;=150000,"Yes","No"))</f>
        <v/>
      </c>
      <c r="BZ241" s="36" t="str">
        <f aca="false">IF(Q241="","",IF(Q241&gt;=200000,"Yes","No"))</f>
        <v/>
      </c>
      <c r="CA241" s="36" t="str">
        <f aca="false">IF(Q241="","",IF(Q241&gt;=250000,"Yes","No"))</f>
        <v/>
      </c>
      <c r="CB241" s="36" t="str">
        <f aca="false">IF(Q241="","",IF(Q241&gt;=300000,"Yes","No"))</f>
        <v/>
      </c>
      <c r="CC241" s="37"/>
      <c r="CD241" s="36" t="str">
        <f aca="true">IF(B241="","",IF(TODAY()-B241&lt;=7,"🟢 0-7d",IF(TODAY()-B241&lt;=30,"🟡 8-30d",IF(TODAY()-B241&lt;=60,"🟠 31-60d","🔴 60d+"))))</f>
        <v/>
      </c>
      <c r="CE241" s="36" t="str">
        <f aca="false">IF(G241="","",IF(G241&lt;&gt;"USA","N/A - Not USA Role",IF(J241="Yes",IF(OR(F241="Intern",F241="New Grad"),"🟡 Possible","🟢 Strong"),IF(J241="No","🔴 Difficult","⚪ Unknown"))))</f>
        <v/>
      </c>
      <c r="CF241" s="37"/>
      <c r="CG241" s="37"/>
      <c r="CH241" s="38"/>
      <c r="CI241" s="38"/>
      <c r="CJ241" s="38"/>
      <c r="CK241" s="38"/>
    </row>
    <row r="242" customFormat="false" ht="15" hidden="false" customHeight="true" outlineLevel="0" collapsed="false">
      <c r="A242" s="26" t="str">
        <f aca="false">IF($C242="","",ROW()-3)</f>
        <v/>
      </c>
      <c r="B242" s="27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9"/>
      <c r="N242" s="29"/>
      <c r="O242" s="30" t="str">
        <f aca="false">IFERROR(IF(M242="","",M242*INDEX('00 - Lists'!$M$2:$M$11,MATCH(L242,'00 - Lists'!$L$2:$L$11,0))/100000),"")</f>
        <v/>
      </c>
      <c r="P242" s="30" t="str">
        <f aca="false">IFERROR(IF(N242="","",N242*INDEX('00 - Lists'!$M$2:$M$11,MATCH(L242,'00 - Lists'!$L$2:$L$11,0))/100000),"")</f>
        <v/>
      </c>
      <c r="Q242" s="31" t="str">
        <f aca="false">IFERROR(IF(M242="","",M242*INDEX('00 - Lists'!$N$2:$N$11,MATCH(L242,'00 - Lists'!$L$2:$L$11,0))),"")</f>
        <v/>
      </c>
      <c r="R242" s="31" t="str">
        <f aca="false">IFERROR(IF(N242="","",N242*INDEX('00 - Lists'!$N$2:$N$11,MATCH(L242,'00 - Lists'!$L$2:$L$11,0))),"")</f>
        <v/>
      </c>
      <c r="S242" s="32" t="str">
        <f aca="false">IF(O242="","",IF(O242&gt;=50,"Yes","No"))</f>
        <v/>
      </c>
      <c r="T242" s="32" t="str">
        <f aca="false">IF(Q242="","",IF(Q242&gt;=100000,"Yes","No"))</f>
        <v/>
      </c>
      <c r="U242" s="28"/>
      <c r="V242" s="28"/>
      <c r="W242" s="28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J242" s="34" t="str">
        <f aca="false">IF(OR($BD242&lt;&gt;"",$BF242&lt;&gt;"",$BH242&lt;&gt;""),"Yes","No")</f>
        <v>No</v>
      </c>
      <c r="BK242" s="35" t="str">
        <f aca="false">IFERROR(IF(BD242="","",BD242*INDEX('00 - Lists'!$M$2:$M$11,MATCH(L242,'00 - Lists'!$L$2:$L$11,0))/100000),"")</f>
        <v/>
      </c>
      <c r="BL242" s="35" t="str">
        <f aca="false">IFERROR(IF(BE242="","",BE242*INDEX('00 - Lists'!$M$2:$M$11,MATCH(L242,'00 - Lists'!$L$2:$L$11,0))/100000),"")</f>
        <v/>
      </c>
      <c r="BM242" s="35" t="str">
        <f aca="false">IFERROR(IF(BF242="","",BF242*INDEX('00 - Lists'!$M$2:$M$11,MATCH(L242,'00 - Lists'!$L$2:$L$11,0))/100000),"")</f>
        <v/>
      </c>
      <c r="BN242" s="35" t="str">
        <f aca="false">IFERROR(IF(BG242="","",BG242*INDEX('00 - Lists'!$M$2:$M$11,MATCH(L242,'00 - Lists'!$L$2:$L$11,0))/100000),"")</f>
        <v/>
      </c>
      <c r="BO242" s="35" t="str">
        <f aca="false">IFERROR(IF(BH242="","",BH242*INDEX('00 - Lists'!$M$2:$M$11,MATCH(L242,'00 - Lists'!$L$2:$L$11,0))/100000),"")</f>
        <v/>
      </c>
      <c r="BP242" s="35" t="str">
        <f aca="false">IFERROR(IF(BI242="","",BI242*INDEX('00 - Lists'!$M$2:$M$11,MATCH(L242,'00 - Lists'!$L$2:$L$11,0))/100000),"")</f>
        <v/>
      </c>
      <c r="BS242" s="36" t="str">
        <f aca="false">IF(O242="","",IF(O242&gt;=20,"Yes","No"))</f>
        <v/>
      </c>
      <c r="BT242" s="36" t="str">
        <f aca="false">IF(O242="","",IF(O242&gt;=30,"Yes","No"))</f>
        <v/>
      </c>
      <c r="BU242" s="36" t="str">
        <f aca="false">IF(O242="","",IF(O242&gt;=75,"Yes","No"))</f>
        <v/>
      </c>
      <c r="BV242" s="36" t="str">
        <f aca="false">IF(O242="","",IF(O242&gt;=100,"Yes","No"))</f>
        <v/>
      </c>
      <c r="BW242" s="36" t="str">
        <f aca="false">IF(O242="","",IF(O242&gt;=150,"Yes","No"))</f>
        <v/>
      </c>
      <c r="BX242" s="36" t="str">
        <f aca="false">IF(O242="","",IF(O242&gt;=200,"Yes","No"))</f>
        <v/>
      </c>
      <c r="BY242" s="36" t="str">
        <f aca="false">IF(Q242="","",IF(Q242&gt;=150000,"Yes","No"))</f>
        <v/>
      </c>
      <c r="BZ242" s="36" t="str">
        <f aca="false">IF(Q242="","",IF(Q242&gt;=200000,"Yes","No"))</f>
        <v/>
      </c>
      <c r="CA242" s="36" t="str">
        <f aca="false">IF(Q242="","",IF(Q242&gt;=250000,"Yes","No"))</f>
        <v/>
      </c>
      <c r="CB242" s="36" t="str">
        <f aca="false">IF(Q242="","",IF(Q242&gt;=300000,"Yes","No"))</f>
        <v/>
      </c>
      <c r="CC242" s="37"/>
      <c r="CD242" s="36" t="str">
        <f aca="true">IF(B242="","",IF(TODAY()-B242&lt;=7,"🟢 0-7d",IF(TODAY()-B242&lt;=30,"🟡 8-30d",IF(TODAY()-B242&lt;=60,"🟠 31-60d","🔴 60d+"))))</f>
        <v/>
      </c>
      <c r="CE242" s="36" t="str">
        <f aca="false">IF(G242="","",IF(G242&lt;&gt;"USA","N/A - Not USA Role",IF(J242="Yes",IF(OR(F242="Intern",F242="New Grad"),"🟡 Possible","🟢 Strong"),IF(J242="No","🔴 Difficult","⚪ Unknown"))))</f>
        <v/>
      </c>
      <c r="CF242" s="37"/>
      <c r="CG242" s="37"/>
      <c r="CH242" s="38"/>
      <c r="CI242" s="38"/>
      <c r="CJ242" s="38"/>
      <c r="CK242" s="38"/>
    </row>
    <row r="243" customFormat="false" ht="15" hidden="false" customHeight="true" outlineLevel="0" collapsed="false">
      <c r="A243" s="26" t="str">
        <f aca="false">IF($C243="","",ROW()-3)</f>
        <v/>
      </c>
      <c r="B243" s="27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9"/>
      <c r="N243" s="29"/>
      <c r="O243" s="30" t="str">
        <f aca="false">IFERROR(IF(M243="","",M243*INDEX('00 - Lists'!$M$2:$M$11,MATCH(L243,'00 - Lists'!$L$2:$L$11,0))/100000),"")</f>
        <v/>
      </c>
      <c r="P243" s="30" t="str">
        <f aca="false">IFERROR(IF(N243="","",N243*INDEX('00 - Lists'!$M$2:$M$11,MATCH(L243,'00 - Lists'!$L$2:$L$11,0))/100000),"")</f>
        <v/>
      </c>
      <c r="Q243" s="31" t="str">
        <f aca="false">IFERROR(IF(M243="","",M243*INDEX('00 - Lists'!$N$2:$N$11,MATCH(L243,'00 - Lists'!$L$2:$L$11,0))),"")</f>
        <v/>
      </c>
      <c r="R243" s="31" t="str">
        <f aca="false">IFERROR(IF(N243="","",N243*INDEX('00 - Lists'!$N$2:$N$11,MATCH(L243,'00 - Lists'!$L$2:$L$11,0))),"")</f>
        <v/>
      </c>
      <c r="S243" s="32" t="str">
        <f aca="false">IF(O243="","",IF(O243&gt;=50,"Yes","No"))</f>
        <v/>
      </c>
      <c r="T243" s="32" t="str">
        <f aca="false">IF(Q243="","",IF(Q243&gt;=100000,"Yes","No"))</f>
        <v/>
      </c>
      <c r="U243" s="28"/>
      <c r="V243" s="28"/>
      <c r="W243" s="28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J243" s="34" t="str">
        <f aca="false">IF(OR($BD243&lt;&gt;"",$BF243&lt;&gt;"",$BH243&lt;&gt;""),"Yes","No")</f>
        <v>No</v>
      </c>
      <c r="BK243" s="35" t="str">
        <f aca="false">IFERROR(IF(BD243="","",BD243*INDEX('00 - Lists'!$M$2:$M$11,MATCH(L243,'00 - Lists'!$L$2:$L$11,0))/100000),"")</f>
        <v/>
      </c>
      <c r="BL243" s="35" t="str">
        <f aca="false">IFERROR(IF(BE243="","",BE243*INDEX('00 - Lists'!$M$2:$M$11,MATCH(L243,'00 - Lists'!$L$2:$L$11,0))/100000),"")</f>
        <v/>
      </c>
      <c r="BM243" s="35" t="str">
        <f aca="false">IFERROR(IF(BF243="","",BF243*INDEX('00 - Lists'!$M$2:$M$11,MATCH(L243,'00 - Lists'!$L$2:$L$11,0))/100000),"")</f>
        <v/>
      </c>
      <c r="BN243" s="35" t="str">
        <f aca="false">IFERROR(IF(BG243="","",BG243*INDEX('00 - Lists'!$M$2:$M$11,MATCH(L243,'00 - Lists'!$L$2:$L$11,0))/100000),"")</f>
        <v/>
      </c>
      <c r="BO243" s="35" t="str">
        <f aca="false">IFERROR(IF(BH243="","",BH243*INDEX('00 - Lists'!$M$2:$M$11,MATCH(L243,'00 - Lists'!$L$2:$L$11,0))/100000),"")</f>
        <v/>
      </c>
      <c r="BP243" s="35" t="str">
        <f aca="false">IFERROR(IF(BI243="","",BI243*INDEX('00 - Lists'!$M$2:$M$11,MATCH(L243,'00 - Lists'!$L$2:$L$11,0))/100000),"")</f>
        <v/>
      </c>
      <c r="BS243" s="36" t="str">
        <f aca="false">IF(O243="","",IF(O243&gt;=20,"Yes","No"))</f>
        <v/>
      </c>
      <c r="BT243" s="36" t="str">
        <f aca="false">IF(O243="","",IF(O243&gt;=30,"Yes","No"))</f>
        <v/>
      </c>
      <c r="BU243" s="36" t="str">
        <f aca="false">IF(O243="","",IF(O243&gt;=75,"Yes","No"))</f>
        <v/>
      </c>
      <c r="BV243" s="36" t="str">
        <f aca="false">IF(O243="","",IF(O243&gt;=100,"Yes","No"))</f>
        <v/>
      </c>
      <c r="BW243" s="36" t="str">
        <f aca="false">IF(O243="","",IF(O243&gt;=150,"Yes","No"))</f>
        <v/>
      </c>
      <c r="BX243" s="36" t="str">
        <f aca="false">IF(O243="","",IF(O243&gt;=200,"Yes","No"))</f>
        <v/>
      </c>
      <c r="BY243" s="36" t="str">
        <f aca="false">IF(Q243="","",IF(Q243&gt;=150000,"Yes","No"))</f>
        <v/>
      </c>
      <c r="BZ243" s="36" t="str">
        <f aca="false">IF(Q243="","",IF(Q243&gt;=200000,"Yes","No"))</f>
        <v/>
      </c>
      <c r="CA243" s="36" t="str">
        <f aca="false">IF(Q243="","",IF(Q243&gt;=250000,"Yes","No"))</f>
        <v/>
      </c>
      <c r="CB243" s="36" t="str">
        <f aca="false">IF(Q243="","",IF(Q243&gt;=300000,"Yes","No"))</f>
        <v/>
      </c>
      <c r="CC243" s="37"/>
      <c r="CD243" s="36" t="str">
        <f aca="true">IF(B243="","",IF(TODAY()-B243&lt;=7,"🟢 0-7d",IF(TODAY()-B243&lt;=30,"🟡 8-30d",IF(TODAY()-B243&lt;=60,"🟠 31-60d","🔴 60d+"))))</f>
        <v/>
      </c>
      <c r="CE243" s="36" t="str">
        <f aca="false">IF(G243="","",IF(G243&lt;&gt;"USA","N/A - Not USA Role",IF(J243="Yes",IF(OR(F243="Intern",F243="New Grad"),"🟡 Possible","🟢 Strong"),IF(J243="No","🔴 Difficult","⚪ Unknown"))))</f>
        <v/>
      </c>
      <c r="CF243" s="37"/>
      <c r="CG243" s="37"/>
      <c r="CH243" s="38"/>
      <c r="CI243" s="38"/>
      <c r="CJ243" s="38"/>
      <c r="CK243" s="38"/>
    </row>
    <row r="244" customFormat="false" ht="15" hidden="false" customHeight="true" outlineLevel="0" collapsed="false">
      <c r="A244" s="26" t="str">
        <f aca="false">IF($C244="","",ROW()-3)</f>
        <v/>
      </c>
      <c r="B244" s="27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9"/>
      <c r="N244" s="29"/>
      <c r="O244" s="30" t="str">
        <f aca="false">IFERROR(IF(M244="","",M244*INDEX('00 - Lists'!$M$2:$M$11,MATCH(L244,'00 - Lists'!$L$2:$L$11,0))/100000),"")</f>
        <v/>
      </c>
      <c r="P244" s="30" t="str">
        <f aca="false">IFERROR(IF(N244="","",N244*INDEX('00 - Lists'!$M$2:$M$11,MATCH(L244,'00 - Lists'!$L$2:$L$11,0))/100000),"")</f>
        <v/>
      </c>
      <c r="Q244" s="31" t="str">
        <f aca="false">IFERROR(IF(M244="","",M244*INDEX('00 - Lists'!$N$2:$N$11,MATCH(L244,'00 - Lists'!$L$2:$L$11,0))),"")</f>
        <v/>
      </c>
      <c r="R244" s="31" t="str">
        <f aca="false">IFERROR(IF(N244="","",N244*INDEX('00 - Lists'!$N$2:$N$11,MATCH(L244,'00 - Lists'!$L$2:$L$11,0))),"")</f>
        <v/>
      </c>
      <c r="S244" s="32" t="str">
        <f aca="false">IF(O244="","",IF(O244&gt;=50,"Yes","No"))</f>
        <v/>
      </c>
      <c r="T244" s="32" t="str">
        <f aca="false">IF(Q244="","",IF(Q244&gt;=100000,"Yes","No"))</f>
        <v/>
      </c>
      <c r="U244" s="28"/>
      <c r="V244" s="28"/>
      <c r="W244" s="28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J244" s="34" t="str">
        <f aca="false">IF(OR($BD244&lt;&gt;"",$BF244&lt;&gt;"",$BH244&lt;&gt;""),"Yes","No")</f>
        <v>No</v>
      </c>
      <c r="BK244" s="35" t="str">
        <f aca="false">IFERROR(IF(BD244="","",BD244*INDEX('00 - Lists'!$M$2:$M$11,MATCH(L244,'00 - Lists'!$L$2:$L$11,0))/100000),"")</f>
        <v/>
      </c>
      <c r="BL244" s="35" t="str">
        <f aca="false">IFERROR(IF(BE244="","",BE244*INDEX('00 - Lists'!$M$2:$M$11,MATCH(L244,'00 - Lists'!$L$2:$L$11,0))/100000),"")</f>
        <v/>
      </c>
      <c r="BM244" s="35" t="str">
        <f aca="false">IFERROR(IF(BF244="","",BF244*INDEX('00 - Lists'!$M$2:$M$11,MATCH(L244,'00 - Lists'!$L$2:$L$11,0))/100000),"")</f>
        <v/>
      </c>
      <c r="BN244" s="35" t="str">
        <f aca="false">IFERROR(IF(BG244="","",BG244*INDEX('00 - Lists'!$M$2:$M$11,MATCH(L244,'00 - Lists'!$L$2:$L$11,0))/100000),"")</f>
        <v/>
      </c>
      <c r="BO244" s="35" t="str">
        <f aca="false">IFERROR(IF(BH244="","",BH244*INDEX('00 - Lists'!$M$2:$M$11,MATCH(L244,'00 - Lists'!$L$2:$L$11,0))/100000),"")</f>
        <v/>
      </c>
      <c r="BP244" s="35" t="str">
        <f aca="false">IFERROR(IF(BI244="","",BI244*INDEX('00 - Lists'!$M$2:$M$11,MATCH(L244,'00 - Lists'!$L$2:$L$11,0))/100000),"")</f>
        <v/>
      </c>
      <c r="BS244" s="36" t="str">
        <f aca="false">IF(O244="","",IF(O244&gt;=20,"Yes","No"))</f>
        <v/>
      </c>
      <c r="BT244" s="36" t="str">
        <f aca="false">IF(O244="","",IF(O244&gt;=30,"Yes","No"))</f>
        <v/>
      </c>
      <c r="BU244" s="36" t="str">
        <f aca="false">IF(O244="","",IF(O244&gt;=75,"Yes","No"))</f>
        <v/>
      </c>
      <c r="BV244" s="36" t="str">
        <f aca="false">IF(O244="","",IF(O244&gt;=100,"Yes","No"))</f>
        <v/>
      </c>
      <c r="BW244" s="36" t="str">
        <f aca="false">IF(O244="","",IF(O244&gt;=150,"Yes","No"))</f>
        <v/>
      </c>
      <c r="BX244" s="36" t="str">
        <f aca="false">IF(O244="","",IF(O244&gt;=200,"Yes","No"))</f>
        <v/>
      </c>
      <c r="BY244" s="36" t="str">
        <f aca="false">IF(Q244="","",IF(Q244&gt;=150000,"Yes","No"))</f>
        <v/>
      </c>
      <c r="BZ244" s="36" t="str">
        <f aca="false">IF(Q244="","",IF(Q244&gt;=200000,"Yes","No"))</f>
        <v/>
      </c>
      <c r="CA244" s="36" t="str">
        <f aca="false">IF(Q244="","",IF(Q244&gt;=250000,"Yes","No"))</f>
        <v/>
      </c>
      <c r="CB244" s="36" t="str">
        <f aca="false">IF(Q244="","",IF(Q244&gt;=300000,"Yes","No"))</f>
        <v/>
      </c>
      <c r="CC244" s="37"/>
      <c r="CD244" s="36" t="str">
        <f aca="true">IF(B244="","",IF(TODAY()-B244&lt;=7,"🟢 0-7d",IF(TODAY()-B244&lt;=30,"🟡 8-30d",IF(TODAY()-B244&lt;=60,"🟠 31-60d","🔴 60d+"))))</f>
        <v/>
      </c>
      <c r="CE244" s="36" t="str">
        <f aca="false">IF(G244="","",IF(G244&lt;&gt;"USA","N/A - Not USA Role",IF(J244="Yes",IF(OR(F244="Intern",F244="New Grad"),"🟡 Possible","🟢 Strong"),IF(J244="No","🔴 Difficult","⚪ Unknown"))))</f>
        <v/>
      </c>
      <c r="CF244" s="37"/>
      <c r="CG244" s="37"/>
      <c r="CH244" s="38"/>
      <c r="CI244" s="38"/>
      <c r="CJ244" s="38"/>
      <c r="CK244" s="38"/>
    </row>
    <row r="245" customFormat="false" ht="15" hidden="false" customHeight="true" outlineLevel="0" collapsed="false">
      <c r="A245" s="26" t="str">
        <f aca="false">IF($C245="","",ROW()-3)</f>
        <v/>
      </c>
      <c r="B245" s="27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9"/>
      <c r="N245" s="29"/>
      <c r="O245" s="30" t="str">
        <f aca="false">IFERROR(IF(M245="","",M245*INDEX('00 - Lists'!$M$2:$M$11,MATCH(L245,'00 - Lists'!$L$2:$L$11,0))/100000),"")</f>
        <v/>
      </c>
      <c r="P245" s="30" t="str">
        <f aca="false">IFERROR(IF(N245="","",N245*INDEX('00 - Lists'!$M$2:$M$11,MATCH(L245,'00 - Lists'!$L$2:$L$11,0))/100000),"")</f>
        <v/>
      </c>
      <c r="Q245" s="31" t="str">
        <f aca="false">IFERROR(IF(M245="","",M245*INDEX('00 - Lists'!$N$2:$N$11,MATCH(L245,'00 - Lists'!$L$2:$L$11,0))),"")</f>
        <v/>
      </c>
      <c r="R245" s="31" t="str">
        <f aca="false">IFERROR(IF(N245="","",N245*INDEX('00 - Lists'!$N$2:$N$11,MATCH(L245,'00 - Lists'!$L$2:$L$11,0))),"")</f>
        <v/>
      </c>
      <c r="S245" s="32" t="str">
        <f aca="false">IF(O245="","",IF(O245&gt;=50,"Yes","No"))</f>
        <v/>
      </c>
      <c r="T245" s="32" t="str">
        <f aca="false">IF(Q245="","",IF(Q245&gt;=100000,"Yes","No"))</f>
        <v/>
      </c>
      <c r="U245" s="28"/>
      <c r="V245" s="28"/>
      <c r="W245" s="28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J245" s="34" t="str">
        <f aca="false">IF(OR($BD245&lt;&gt;"",$BF245&lt;&gt;"",$BH245&lt;&gt;""),"Yes","No")</f>
        <v>No</v>
      </c>
      <c r="BK245" s="35" t="str">
        <f aca="false">IFERROR(IF(BD245="","",BD245*INDEX('00 - Lists'!$M$2:$M$11,MATCH(L245,'00 - Lists'!$L$2:$L$11,0))/100000),"")</f>
        <v/>
      </c>
      <c r="BL245" s="35" t="str">
        <f aca="false">IFERROR(IF(BE245="","",BE245*INDEX('00 - Lists'!$M$2:$M$11,MATCH(L245,'00 - Lists'!$L$2:$L$11,0))/100000),"")</f>
        <v/>
      </c>
      <c r="BM245" s="35" t="str">
        <f aca="false">IFERROR(IF(BF245="","",BF245*INDEX('00 - Lists'!$M$2:$M$11,MATCH(L245,'00 - Lists'!$L$2:$L$11,0))/100000),"")</f>
        <v/>
      </c>
      <c r="BN245" s="35" t="str">
        <f aca="false">IFERROR(IF(BG245="","",BG245*INDEX('00 - Lists'!$M$2:$M$11,MATCH(L245,'00 - Lists'!$L$2:$L$11,0))/100000),"")</f>
        <v/>
      </c>
      <c r="BO245" s="35" t="str">
        <f aca="false">IFERROR(IF(BH245="","",BH245*INDEX('00 - Lists'!$M$2:$M$11,MATCH(L245,'00 - Lists'!$L$2:$L$11,0))/100000),"")</f>
        <v/>
      </c>
      <c r="BP245" s="35" t="str">
        <f aca="false">IFERROR(IF(BI245="","",BI245*INDEX('00 - Lists'!$M$2:$M$11,MATCH(L245,'00 - Lists'!$L$2:$L$11,0))/100000),"")</f>
        <v/>
      </c>
      <c r="BS245" s="36" t="str">
        <f aca="false">IF(O245="","",IF(O245&gt;=20,"Yes","No"))</f>
        <v/>
      </c>
      <c r="BT245" s="36" t="str">
        <f aca="false">IF(O245="","",IF(O245&gt;=30,"Yes","No"))</f>
        <v/>
      </c>
      <c r="BU245" s="36" t="str">
        <f aca="false">IF(O245="","",IF(O245&gt;=75,"Yes","No"))</f>
        <v/>
      </c>
      <c r="BV245" s="36" t="str">
        <f aca="false">IF(O245="","",IF(O245&gt;=100,"Yes","No"))</f>
        <v/>
      </c>
      <c r="BW245" s="36" t="str">
        <f aca="false">IF(O245="","",IF(O245&gt;=150,"Yes","No"))</f>
        <v/>
      </c>
      <c r="BX245" s="36" t="str">
        <f aca="false">IF(O245="","",IF(O245&gt;=200,"Yes","No"))</f>
        <v/>
      </c>
      <c r="BY245" s="36" t="str">
        <f aca="false">IF(Q245="","",IF(Q245&gt;=150000,"Yes","No"))</f>
        <v/>
      </c>
      <c r="BZ245" s="36" t="str">
        <f aca="false">IF(Q245="","",IF(Q245&gt;=200000,"Yes","No"))</f>
        <v/>
      </c>
      <c r="CA245" s="36" t="str">
        <f aca="false">IF(Q245="","",IF(Q245&gt;=250000,"Yes","No"))</f>
        <v/>
      </c>
      <c r="CB245" s="36" t="str">
        <f aca="false">IF(Q245="","",IF(Q245&gt;=300000,"Yes","No"))</f>
        <v/>
      </c>
      <c r="CC245" s="37"/>
      <c r="CD245" s="36" t="str">
        <f aca="true">IF(B245="","",IF(TODAY()-B245&lt;=7,"🟢 0-7d",IF(TODAY()-B245&lt;=30,"🟡 8-30d",IF(TODAY()-B245&lt;=60,"🟠 31-60d","🔴 60d+"))))</f>
        <v/>
      </c>
      <c r="CE245" s="36" t="str">
        <f aca="false">IF(G245="","",IF(G245&lt;&gt;"USA","N/A - Not USA Role",IF(J245="Yes",IF(OR(F245="Intern",F245="New Grad"),"🟡 Possible","🟢 Strong"),IF(J245="No","🔴 Difficult","⚪ Unknown"))))</f>
        <v/>
      </c>
      <c r="CF245" s="37"/>
      <c r="CG245" s="37"/>
      <c r="CH245" s="38"/>
      <c r="CI245" s="38"/>
      <c r="CJ245" s="38"/>
      <c r="CK245" s="38"/>
    </row>
    <row r="246" customFormat="false" ht="15" hidden="false" customHeight="true" outlineLevel="0" collapsed="false">
      <c r="A246" s="26" t="str">
        <f aca="false">IF($C246="","",ROW()-3)</f>
        <v/>
      </c>
      <c r="B246" s="27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9"/>
      <c r="N246" s="29"/>
      <c r="O246" s="30" t="str">
        <f aca="false">IFERROR(IF(M246="","",M246*INDEX('00 - Lists'!$M$2:$M$11,MATCH(L246,'00 - Lists'!$L$2:$L$11,0))/100000),"")</f>
        <v/>
      </c>
      <c r="P246" s="30" t="str">
        <f aca="false">IFERROR(IF(N246="","",N246*INDEX('00 - Lists'!$M$2:$M$11,MATCH(L246,'00 - Lists'!$L$2:$L$11,0))/100000),"")</f>
        <v/>
      </c>
      <c r="Q246" s="31" t="str">
        <f aca="false">IFERROR(IF(M246="","",M246*INDEX('00 - Lists'!$N$2:$N$11,MATCH(L246,'00 - Lists'!$L$2:$L$11,0))),"")</f>
        <v/>
      </c>
      <c r="R246" s="31" t="str">
        <f aca="false">IFERROR(IF(N246="","",N246*INDEX('00 - Lists'!$N$2:$N$11,MATCH(L246,'00 - Lists'!$L$2:$L$11,0))),"")</f>
        <v/>
      </c>
      <c r="S246" s="32" t="str">
        <f aca="false">IF(O246="","",IF(O246&gt;=50,"Yes","No"))</f>
        <v/>
      </c>
      <c r="T246" s="32" t="str">
        <f aca="false">IF(Q246="","",IF(Q246&gt;=100000,"Yes","No"))</f>
        <v/>
      </c>
      <c r="U246" s="28"/>
      <c r="V246" s="28"/>
      <c r="W246" s="28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J246" s="34" t="str">
        <f aca="false">IF(OR($BD246&lt;&gt;"",$BF246&lt;&gt;"",$BH246&lt;&gt;""),"Yes","No")</f>
        <v>No</v>
      </c>
      <c r="BK246" s="35" t="str">
        <f aca="false">IFERROR(IF(BD246="","",BD246*INDEX('00 - Lists'!$M$2:$M$11,MATCH(L246,'00 - Lists'!$L$2:$L$11,0))/100000),"")</f>
        <v/>
      </c>
      <c r="BL246" s="35" t="str">
        <f aca="false">IFERROR(IF(BE246="","",BE246*INDEX('00 - Lists'!$M$2:$M$11,MATCH(L246,'00 - Lists'!$L$2:$L$11,0))/100000),"")</f>
        <v/>
      </c>
      <c r="BM246" s="35" t="str">
        <f aca="false">IFERROR(IF(BF246="","",BF246*INDEX('00 - Lists'!$M$2:$M$11,MATCH(L246,'00 - Lists'!$L$2:$L$11,0))/100000),"")</f>
        <v/>
      </c>
      <c r="BN246" s="35" t="str">
        <f aca="false">IFERROR(IF(BG246="","",BG246*INDEX('00 - Lists'!$M$2:$M$11,MATCH(L246,'00 - Lists'!$L$2:$L$11,0))/100000),"")</f>
        <v/>
      </c>
      <c r="BO246" s="35" t="str">
        <f aca="false">IFERROR(IF(BH246="","",BH246*INDEX('00 - Lists'!$M$2:$M$11,MATCH(L246,'00 - Lists'!$L$2:$L$11,0))/100000),"")</f>
        <v/>
      </c>
      <c r="BP246" s="35" t="str">
        <f aca="false">IFERROR(IF(BI246="","",BI246*INDEX('00 - Lists'!$M$2:$M$11,MATCH(L246,'00 - Lists'!$L$2:$L$11,0))/100000),"")</f>
        <v/>
      </c>
      <c r="BS246" s="36" t="str">
        <f aca="false">IF(O246="","",IF(O246&gt;=20,"Yes","No"))</f>
        <v/>
      </c>
      <c r="BT246" s="36" t="str">
        <f aca="false">IF(O246="","",IF(O246&gt;=30,"Yes","No"))</f>
        <v/>
      </c>
      <c r="BU246" s="36" t="str">
        <f aca="false">IF(O246="","",IF(O246&gt;=75,"Yes","No"))</f>
        <v/>
      </c>
      <c r="BV246" s="36" t="str">
        <f aca="false">IF(O246="","",IF(O246&gt;=100,"Yes","No"))</f>
        <v/>
      </c>
      <c r="BW246" s="36" t="str">
        <f aca="false">IF(O246="","",IF(O246&gt;=150,"Yes","No"))</f>
        <v/>
      </c>
      <c r="BX246" s="36" t="str">
        <f aca="false">IF(O246="","",IF(O246&gt;=200,"Yes","No"))</f>
        <v/>
      </c>
      <c r="BY246" s="36" t="str">
        <f aca="false">IF(Q246="","",IF(Q246&gt;=150000,"Yes","No"))</f>
        <v/>
      </c>
      <c r="BZ246" s="36" t="str">
        <f aca="false">IF(Q246="","",IF(Q246&gt;=200000,"Yes","No"))</f>
        <v/>
      </c>
      <c r="CA246" s="36" t="str">
        <f aca="false">IF(Q246="","",IF(Q246&gt;=250000,"Yes","No"))</f>
        <v/>
      </c>
      <c r="CB246" s="36" t="str">
        <f aca="false">IF(Q246="","",IF(Q246&gt;=300000,"Yes","No"))</f>
        <v/>
      </c>
      <c r="CC246" s="37"/>
      <c r="CD246" s="36" t="str">
        <f aca="true">IF(B246="","",IF(TODAY()-B246&lt;=7,"🟢 0-7d",IF(TODAY()-B246&lt;=30,"🟡 8-30d",IF(TODAY()-B246&lt;=60,"🟠 31-60d","🔴 60d+"))))</f>
        <v/>
      </c>
      <c r="CE246" s="36" t="str">
        <f aca="false">IF(G246="","",IF(G246&lt;&gt;"USA","N/A - Not USA Role",IF(J246="Yes",IF(OR(F246="Intern",F246="New Grad"),"🟡 Possible","🟢 Strong"),IF(J246="No","🔴 Difficult","⚪ Unknown"))))</f>
        <v/>
      </c>
      <c r="CF246" s="37"/>
      <c r="CG246" s="37"/>
      <c r="CH246" s="38"/>
      <c r="CI246" s="38"/>
      <c r="CJ246" s="38"/>
      <c r="CK246" s="38"/>
    </row>
    <row r="247" customFormat="false" ht="15" hidden="false" customHeight="true" outlineLevel="0" collapsed="false">
      <c r="A247" s="26" t="str">
        <f aca="false">IF($C247="","",ROW()-3)</f>
        <v/>
      </c>
      <c r="B247" s="27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9"/>
      <c r="N247" s="29"/>
      <c r="O247" s="30" t="str">
        <f aca="false">IFERROR(IF(M247="","",M247*INDEX('00 - Lists'!$M$2:$M$11,MATCH(L247,'00 - Lists'!$L$2:$L$11,0))/100000),"")</f>
        <v/>
      </c>
      <c r="P247" s="30" t="str">
        <f aca="false">IFERROR(IF(N247="","",N247*INDEX('00 - Lists'!$M$2:$M$11,MATCH(L247,'00 - Lists'!$L$2:$L$11,0))/100000),"")</f>
        <v/>
      </c>
      <c r="Q247" s="31" t="str">
        <f aca="false">IFERROR(IF(M247="","",M247*INDEX('00 - Lists'!$N$2:$N$11,MATCH(L247,'00 - Lists'!$L$2:$L$11,0))),"")</f>
        <v/>
      </c>
      <c r="R247" s="31" t="str">
        <f aca="false">IFERROR(IF(N247="","",N247*INDEX('00 - Lists'!$N$2:$N$11,MATCH(L247,'00 - Lists'!$L$2:$L$11,0))),"")</f>
        <v/>
      </c>
      <c r="S247" s="32" t="str">
        <f aca="false">IF(O247="","",IF(O247&gt;=50,"Yes","No"))</f>
        <v/>
      </c>
      <c r="T247" s="32" t="str">
        <f aca="false">IF(Q247="","",IF(Q247&gt;=100000,"Yes","No"))</f>
        <v/>
      </c>
      <c r="U247" s="28"/>
      <c r="V247" s="28"/>
      <c r="W247" s="28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J247" s="34" t="str">
        <f aca="false">IF(OR($BD247&lt;&gt;"",$BF247&lt;&gt;"",$BH247&lt;&gt;""),"Yes","No")</f>
        <v>No</v>
      </c>
      <c r="BK247" s="35" t="str">
        <f aca="false">IFERROR(IF(BD247="","",BD247*INDEX('00 - Lists'!$M$2:$M$11,MATCH(L247,'00 - Lists'!$L$2:$L$11,0))/100000),"")</f>
        <v/>
      </c>
      <c r="BL247" s="35" t="str">
        <f aca="false">IFERROR(IF(BE247="","",BE247*INDEX('00 - Lists'!$M$2:$M$11,MATCH(L247,'00 - Lists'!$L$2:$L$11,0))/100000),"")</f>
        <v/>
      </c>
      <c r="BM247" s="35" t="str">
        <f aca="false">IFERROR(IF(BF247="","",BF247*INDEX('00 - Lists'!$M$2:$M$11,MATCH(L247,'00 - Lists'!$L$2:$L$11,0))/100000),"")</f>
        <v/>
      </c>
      <c r="BN247" s="35" t="str">
        <f aca="false">IFERROR(IF(BG247="","",BG247*INDEX('00 - Lists'!$M$2:$M$11,MATCH(L247,'00 - Lists'!$L$2:$L$11,0))/100000),"")</f>
        <v/>
      </c>
      <c r="BO247" s="35" t="str">
        <f aca="false">IFERROR(IF(BH247="","",BH247*INDEX('00 - Lists'!$M$2:$M$11,MATCH(L247,'00 - Lists'!$L$2:$L$11,0))/100000),"")</f>
        <v/>
      </c>
      <c r="BP247" s="35" t="str">
        <f aca="false">IFERROR(IF(BI247="","",BI247*INDEX('00 - Lists'!$M$2:$M$11,MATCH(L247,'00 - Lists'!$L$2:$L$11,0))/100000),"")</f>
        <v/>
      </c>
      <c r="BS247" s="36" t="str">
        <f aca="false">IF(O247="","",IF(O247&gt;=20,"Yes","No"))</f>
        <v/>
      </c>
      <c r="BT247" s="36" t="str">
        <f aca="false">IF(O247="","",IF(O247&gt;=30,"Yes","No"))</f>
        <v/>
      </c>
      <c r="BU247" s="36" t="str">
        <f aca="false">IF(O247="","",IF(O247&gt;=75,"Yes","No"))</f>
        <v/>
      </c>
      <c r="BV247" s="36" t="str">
        <f aca="false">IF(O247="","",IF(O247&gt;=100,"Yes","No"))</f>
        <v/>
      </c>
      <c r="BW247" s="36" t="str">
        <f aca="false">IF(O247="","",IF(O247&gt;=150,"Yes","No"))</f>
        <v/>
      </c>
      <c r="BX247" s="36" t="str">
        <f aca="false">IF(O247="","",IF(O247&gt;=200,"Yes","No"))</f>
        <v/>
      </c>
      <c r="BY247" s="36" t="str">
        <f aca="false">IF(Q247="","",IF(Q247&gt;=150000,"Yes","No"))</f>
        <v/>
      </c>
      <c r="BZ247" s="36" t="str">
        <f aca="false">IF(Q247="","",IF(Q247&gt;=200000,"Yes","No"))</f>
        <v/>
      </c>
      <c r="CA247" s="36" t="str">
        <f aca="false">IF(Q247="","",IF(Q247&gt;=250000,"Yes","No"))</f>
        <v/>
      </c>
      <c r="CB247" s="36" t="str">
        <f aca="false">IF(Q247="","",IF(Q247&gt;=300000,"Yes","No"))</f>
        <v/>
      </c>
      <c r="CC247" s="37"/>
      <c r="CD247" s="36" t="str">
        <f aca="true">IF(B247="","",IF(TODAY()-B247&lt;=7,"🟢 0-7d",IF(TODAY()-B247&lt;=30,"🟡 8-30d",IF(TODAY()-B247&lt;=60,"🟠 31-60d","🔴 60d+"))))</f>
        <v/>
      </c>
      <c r="CE247" s="36" t="str">
        <f aca="false">IF(G247="","",IF(G247&lt;&gt;"USA","N/A - Not USA Role",IF(J247="Yes",IF(OR(F247="Intern",F247="New Grad"),"🟡 Possible","🟢 Strong"),IF(J247="No","🔴 Difficult","⚪ Unknown"))))</f>
        <v/>
      </c>
      <c r="CF247" s="37"/>
      <c r="CG247" s="37"/>
      <c r="CH247" s="38"/>
      <c r="CI247" s="38"/>
      <c r="CJ247" s="38"/>
      <c r="CK247" s="38"/>
    </row>
    <row r="248" customFormat="false" ht="15" hidden="false" customHeight="true" outlineLevel="0" collapsed="false">
      <c r="A248" s="26" t="str">
        <f aca="false">IF($C248="","",ROW()-3)</f>
        <v/>
      </c>
      <c r="B248" s="27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9"/>
      <c r="N248" s="29"/>
      <c r="O248" s="30" t="str">
        <f aca="false">IFERROR(IF(M248="","",M248*INDEX('00 - Lists'!$M$2:$M$11,MATCH(L248,'00 - Lists'!$L$2:$L$11,0))/100000),"")</f>
        <v/>
      </c>
      <c r="P248" s="30" t="str">
        <f aca="false">IFERROR(IF(N248="","",N248*INDEX('00 - Lists'!$M$2:$M$11,MATCH(L248,'00 - Lists'!$L$2:$L$11,0))/100000),"")</f>
        <v/>
      </c>
      <c r="Q248" s="31" t="str">
        <f aca="false">IFERROR(IF(M248="","",M248*INDEX('00 - Lists'!$N$2:$N$11,MATCH(L248,'00 - Lists'!$L$2:$L$11,0))),"")</f>
        <v/>
      </c>
      <c r="R248" s="31" t="str">
        <f aca="false">IFERROR(IF(N248="","",N248*INDEX('00 - Lists'!$N$2:$N$11,MATCH(L248,'00 - Lists'!$L$2:$L$11,0))),"")</f>
        <v/>
      </c>
      <c r="S248" s="32" t="str">
        <f aca="false">IF(O248="","",IF(O248&gt;=50,"Yes","No"))</f>
        <v/>
      </c>
      <c r="T248" s="32" t="str">
        <f aca="false">IF(Q248="","",IF(Q248&gt;=100000,"Yes","No"))</f>
        <v/>
      </c>
      <c r="U248" s="28"/>
      <c r="V248" s="28"/>
      <c r="W248" s="28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J248" s="34" t="str">
        <f aca="false">IF(OR($BD248&lt;&gt;"",$BF248&lt;&gt;"",$BH248&lt;&gt;""),"Yes","No")</f>
        <v>No</v>
      </c>
      <c r="BK248" s="35" t="str">
        <f aca="false">IFERROR(IF(BD248="","",BD248*INDEX('00 - Lists'!$M$2:$M$11,MATCH(L248,'00 - Lists'!$L$2:$L$11,0))/100000),"")</f>
        <v/>
      </c>
      <c r="BL248" s="35" t="str">
        <f aca="false">IFERROR(IF(BE248="","",BE248*INDEX('00 - Lists'!$M$2:$M$11,MATCH(L248,'00 - Lists'!$L$2:$L$11,0))/100000),"")</f>
        <v/>
      </c>
      <c r="BM248" s="35" t="str">
        <f aca="false">IFERROR(IF(BF248="","",BF248*INDEX('00 - Lists'!$M$2:$M$11,MATCH(L248,'00 - Lists'!$L$2:$L$11,0))/100000),"")</f>
        <v/>
      </c>
      <c r="BN248" s="35" t="str">
        <f aca="false">IFERROR(IF(BG248="","",BG248*INDEX('00 - Lists'!$M$2:$M$11,MATCH(L248,'00 - Lists'!$L$2:$L$11,0))/100000),"")</f>
        <v/>
      </c>
      <c r="BO248" s="35" t="str">
        <f aca="false">IFERROR(IF(BH248="","",BH248*INDEX('00 - Lists'!$M$2:$M$11,MATCH(L248,'00 - Lists'!$L$2:$L$11,0))/100000),"")</f>
        <v/>
      </c>
      <c r="BP248" s="35" t="str">
        <f aca="false">IFERROR(IF(BI248="","",BI248*INDEX('00 - Lists'!$M$2:$M$11,MATCH(L248,'00 - Lists'!$L$2:$L$11,0))/100000),"")</f>
        <v/>
      </c>
      <c r="BS248" s="36" t="str">
        <f aca="false">IF(O248="","",IF(O248&gt;=20,"Yes","No"))</f>
        <v/>
      </c>
      <c r="BT248" s="36" t="str">
        <f aca="false">IF(O248="","",IF(O248&gt;=30,"Yes","No"))</f>
        <v/>
      </c>
      <c r="BU248" s="36" t="str">
        <f aca="false">IF(O248="","",IF(O248&gt;=75,"Yes","No"))</f>
        <v/>
      </c>
      <c r="BV248" s="36" t="str">
        <f aca="false">IF(O248="","",IF(O248&gt;=100,"Yes","No"))</f>
        <v/>
      </c>
      <c r="BW248" s="36" t="str">
        <f aca="false">IF(O248="","",IF(O248&gt;=150,"Yes","No"))</f>
        <v/>
      </c>
      <c r="BX248" s="36" t="str">
        <f aca="false">IF(O248="","",IF(O248&gt;=200,"Yes","No"))</f>
        <v/>
      </c>
      <c r="BY248" s="36" t="str">
        <f aca="false">IF(Q248="","",IF(Q248&gt;=150000,"Yes","No"))</f>
        <v/>
      </c>
      <c r="BZ248" s="36" t="str">
        <f aca="false">IF(Q248="","",IF(Q248&gt;=200000,"Yes","No"))</f>
        <v/>
      </c>
      <c r="CA248" s="36" t="str">
        <f aca="false">IF(Q248="","",IF(Q248&gt;=250000,"Yes","No"))</f>
        <v/>
      </c>
      <c r="CB248" s="36" t="str">
        <f aca="false">IF(Q248="","",IF(Q248&gt;=300000,"Yes","No"))</f>
        <v/>
      </c>
      <c r="CC248" s="37"/>
      <c r="CD248" s="36" t="str">
        <f aca="true">IF(B248="","",IF(TODAY()-B248&lt;=7,"🟢 0-7d",IF(TODAY()-B248&lt;=30,"🟡 8-30d",IF(TODAY()-B248&lt;=60,"🟠 31-60d","🔴 60d+"))))</f>
        <v/>
      </c>
      <c r="CE248" s="36" t="str">
        <f aca="false">IF(G248="","",IF(G248&lt;&gt;"USA","N/A - Not USA Role",IF(J248="Yes",IF(OR(F248="Intern",F248="New Grad"),"🟡 Possible","🟢 Strong"),IF(J248="No","🔴 Difficult","⚪ Unknown"))))</f>
        <v/>
      </c>
      <c r="CF248" s="37"/>
      <c r="CG248" s="37"/>
      <c r="CH248" s="38"/>
      <c r="CI248" s="38"/>
      <c r="CJ248" s="38"/>
      <c r="CK248" s="38"/>
    </row>
    <row r="249" customFormat="false" ht="15" hidden="false" customHeight="true" outlineLevel="0" collapsed="false">
      <c r="A249" s="26" t="str">
        <f aca="false">IF($C249="","",ROW()-3)</f>
        <v/>
      </c>
      <c r="B249" s="27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9"/>
      <c r="N249" s="29"/>
      <c r="O249" s="30" t="str">
        <f aca="false">IFERROR(IF(M249="","",M249*INDEX('00 - Lists'!$M$2:$M$11,MATCH(L249,'00 - Lists'!$L$2:$L$11,0))/100000),"")</f>
        <v/>
      </c>
      <c r="P249" s="30" t="str">
        <f aca="false">IFERROR(IF(N249="","",N249*INDEX('00 - Lists'!$M$2:$M$11,MATCH(L249,'00 - Lists'!$L$2:$L$11,0))/100000),"")</f>
        <v/>
      </c>
      <c r="Q249" s="31" t="str">
        <f aca="false">IFERROR(IF(M249="","",M249*INDEX('00 - Lists'!$N$2:$N$11,MATCH(L249,'00 - Lists'!$L$2:$L$11,0))),"")</f>
        <v/>
      </c>
      <c r="R249" s="31" t="str">
        <f aca="false">IFERROR(IF(N249="","",N249*INDEX('00 - Lists'!$N$2:$N$11,MATCH(L249,'00 - Lists'!$L$2:$L$11,0))),"")</f>
        <v/>
      </c>
      <c r="S249" s="32" t="str">
        <f aca="false">IF(O249="","",IF(O249&gt;=50,"Yes","No"))</f>
        <v/>
      </c>
      <c r="T249" s="32" t="str">
        <f aca="false">IF(Q249="","",IF(Q249&gt;=100000,"Yes","No"))</f>
        <v/>
      </c>
      <c r="U249" s="28"/>
      <c r="V249" s="28"/>
      <c r="W249" s="28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J249" s="34" t="str">
        <f aca="false">IF(OR($BD249&lt;&gt;"",$BF249&lt;&gt;"",$BH249&lt;&gt;""),"Yes","No")</f>
        <v>No</v>
      </c>
      <c r="BK249" s="35" t="str">
        <f aca="false">IFERROR(IF(BD249="","",BD249*INDEX('00 - Lists'!$M$2:$M$11,MATCH(L249,'00 - Lists'!$L$2:$L$11,0))/100000),"")</f>
        <v/>
      </c>
      <c r="BL249" s="35" t="str">
        <f aca="false">IFERROR(IF(BE249="","",BE249*INDEX('00 - Lists'!$M$2:$M$11,MATCH(L249,'00 - Lists'!$L$2:$L$11,0))/100000),"")</f>
        <v/>
      </c>
      <c r="BM249" s="35" t="str">
        <f aca="false">IFERROR(IF(BF249="","",BF249*INDEX('00 - Lists'!$M$2:$M$11,MATCH(L249,'00 - Lists'!$L$2:$L$11,0))/100000),"")</f>
        <v/>
      </c>
      <c r="BN249" s="35" t="str">
        <f aca="false">IFERROR(IF(BG249="","",BG249*INDEX('00 - Lists'!$M$2:$M$11,MATCH(L249,'00 - Lists'!$L$2:$L$11,0))/100000),"")</f>
        <v/>
      </c>
      <c r="BO249" s="35" t="str">
        <f aca="false">IFERROR(IF(BH249="","",BH249*INDEX('00 - Lists'!$M$2:$M$11,MATCH(L249,'00 - Lists'!$L$2:$L$11,0))/100000),"")</f>
        <v/>
      </c>
      <c r="BP249" s="35" t="str">
        <f aca="false">IFERROR(IF(BI249="","",BI249*INDEX('00 - Lists'!$M$2:$M$11,MATCH(L249,'00 - Lists'!$L$2:$L$11,0))/100000),"")</f>
        <v/>
      </c>
      <c r="BS249" s="36" t="str">
        <f aca="false">IF(O249="","",IF(O249&gt;=20,"Yes","No"))</f>
        <v/>
      </c>
      <c r="BT249" s="36" t="str">
        <f aca="false">IF(O249="","",IF(O249&gt;=30,"Yes","No"))</f>
        <v/>
      </c>
      <c r="BU249" s="36" t="str">
        <f aca="false">IF(O249="","",IF(O249&gt;=75,"Yes","No"))</f>
        <v/>
      </c>
      <c r="BV249" s="36" t="str">
        <f aca="false">IF(O249="","",IF(O249&gt;=100,"Yes","No"))</f>
        <v/>
      </c>
      <c r="BW249" s="36" t="str">
        <f aca="false">IF(O249="","",IF(O249&gt;=150,"Yes","No"))</f>
        <v/>
      </c>
      <c r="BX249" s="36" t="str">
        <f aca="false">IF(O249="","",IF(O249&gt;=200,"Yes","No"))</f>
        <v/>
      </c>
      <c r="BY249" s="36" t="str">
        <f aca="false">IF(Q249="","",IF(Q249&gt;=150000,"Yes","No"))</f>
        <v/>
      </c>
      <c r="BZ249" s="36" t="str">
        <f aca="false">IF(Q249="","",IF(Q249&gt;=200000,"Yes","No"))</f>
        <v/>
      </c>
      <c r="CA249" s="36" t="str">
        <f aca="false">IF(Q249="","",IF(Q249&gt;=250000,"Yes","No"))</f>
        <v/>
      </c>
      <c r="CB249" s="36" t="str">
        <f aca="false">IF(Q249="","",IF(Q249&gt;=300000,"Yes","No"))</f>
        <v/>
      </c>
      <c r="CC249" s="37"/>
      <c r="CD249" s="36" t="str">
        <f aca="true">IF(B249="","",IF(TODAY()-B249&lt;=7,"🟢 0-7d",IF(TODAY()-B249&lt;=30,"🟡 8-30d",IF(TODAY()-B249&lt;=60,"🟠 31-60d","🔴 60d+"))))</f>
        <v/>
      </c>
      <c r="CE249" s="36" t="str">
        <f aca="false">IF(G249="","",IF(G249&lt;&gt;"USA","N/A - Not USA Role",IF(J249="Yes",IF(OR(F249="Intern",F249="New Grad"),"🟡 Possible","🟢 Strong"),IF(J249="No","🔴 Difficult","⚪ Unknown"))))</f>
        <v/>
      </c>
      <c r="CF249" s="37"/>
      <c r="CG249" s="37"/>
      <c r="CH249" s="38"/>
      <c r="CI249" s="38"/>
      <c r="CJ249" s="38"/>
      <c r="CK249" s="38"/>
    </row>
    <row r="250" customFormat="false" ht="15" hidden="false" customHeight="true" outlineLevel="0" collapsed="false">
      <c r="A250" s="26" t="str">
        <f aca="false">IF($C250="","",ROW()-3)</f>
        <v/>
      </c>
      <c r="B250" s="27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9"/>
      <c r="N250" s="29"/>
      <c r="O250" s="30" t="str">
        <f aca="false">IFERROR(IF(M250="","",M250*INDEX('00 - Lists'!$M$2:$M$11,MATCH(L250,'00 - Lists'!$L$2:$L$11,0))/100000),"")</f>
        <v/>
      </c>
      <c r="P250" s="30" t="str">
        <f aca="false">IFERROR(IF(N250="","",N250*INDEX('00 - Lists'!$M$2:$M$11,MATCH(L250,'00 - Lists'!$L$2:$L$11,0))/100000),"")</f>
        <v/>
      </c>
      <c r="Q250" s="31" t="str">
        <f aca="false">IFERROR(IF(M250="","",M250*INDEX('00 - Lists'!$N$2:$N$11,MATCH(L250,'00 - Lists'!$L$2:$L$11,0))),"")</f>
        <v/>
      </c>
      <c r="R250" s="31" t="str">
        <f aca="false">IFERROR(IF(N250="","",N250*INDEX('00 - Lists'!$N$2:$N$11,MATCH(L250,'00 - Lists'!$L$2:$L$11,0))),"")</f>
        <v/>
      </c>
      <c r="S250" s="32" t="str">
        <f aca="false">IF(O250="","",IF(O250&gt;=50,"Yes","No"))</f>
        <v/>
      </c>
      <c r="T250" s="32" t="str">
        <f aca="false">IF(Q250="","",IF(Q250&gt;=100000,"Yes","No"))</f>
        <v/>
      </c>
      <c r="U250" s="28"/>
      <c r="V250" s="28"/>
      <c r="W250" s="28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J250" s="34" t="str">
        <f aca="false">IF(OR($BD250&lt;&gt;"",$BF250&lt;&gt;"",$BH250&lt;&gt;""),"Yes","No")</f>
        <v>No</v>
      </c>
      <c r="BK250" s="35" t="str">
        <f aca="false">IFERROR(IF(BD250="","",BD250*INDEX('00 - Lists'!$M$2:$M$11,MATCH(L250,'00 - Lists'!$L$2:$L$11,0))/100000),"")</f>
        <v/>
      </c>
      <c r="BL250" s="35" t="str">
        <f aca="false">IFERROR(IF(BE250="","",BE250*INDEX('00 - Lists'!$M$2:$M$11,MATCH(L250,'00 - Lists'!$L$2:$L$11,0))/100000),"")</f>
        <v/>
      </c>
      <c r="BM250" s="35" t="str">
        <f aca="false">IFERROR(IF(BF250="","",BF250*INDEX('00 - Lists'!$M$2:$M$11,MATCH(L250,'00 - Lists'!$L$2:$L$11,0))/100000),"")</f>
        <v/>
      </c>
      <c r="BN250" s="35" t="str">
        <f aca="false">IFERROR(IF(BG250="","",BG250*INDEX('00 - Lists'!$M$2:$M$11,MATCH(L250,'00 - Lists'!$L$2:$L$11,0))/100000),"")</f>
        <v/>
      </c>
      <c r="BO250" s="35" t="str">
        <f aca="false">IFERROR(IF(BH250="","",BH250*INDEX('00 - Lists'!$M$2:$M$11,MATCH(L250,'00 - Lists'!$L$2:$L$11,0))/100000),"")</f>
        <v/>
      </c>
      <c r="BP250" s="35" t="str">
        <f aca="false">IFERROR(IF(BI250="","",BI250*INDEX('00 - Lists'!$M$2:$M$11,MATCH(L250,'00 - Lists'!$L$2:$L$11,0))/100000),"")</f>
        <v/>
      </c>
      <c r="BS250" s="36" t="str">
        <f aca="false">IF(O250="","",IF(O250&gt;=20,"Yes","No"))</f>
        <v/>
      </c>
      <c r="BT250" s="36" t="str">
        <f aca="false">IF(O250="","",IF(O250&gt;=30,"Yes","No"))</f>
        <v/>
      </c>
      <c r="BU250" s="36" t="str">
        <f aca="false">IF(O250="","",IF(O250&gt;=75,"Yes","No"))</f>
        <v/>
      </c>
      <c r="BV250" s="36" t="str">
        <f aca="false">IF(O250="","",IF(O250&gt;=100,"Yes","No"))</f>
        <v/>
      </c>
      <c r="BW250" s="36" t="str">
        <f aca="false">IF(O250="","",IF(O250&gt;=150,"Yes","No"))</f>
        <v/>
      </c>
      <c r="BX250" s="36" t="str">
        <f aca="false">IF(O250="","",IF(O250&gt;=200,"Yes","No"))</f>
        <v/>
      </c>
      <c r="BY250" s="36" t="str">
        <f aca="false">IF(Q250="","",IF(Q250&gt;=150000,"Yes","No"))</f>
        <v/>
      </c>
      <c r="BZ250" s="36" t="str">
        <f aca="false">IF(Q250="","",IF(Q250&gt;=200000,"Yes","No"))</f>
        <v/>
      </c>
      <c r="CA250" s="36" t="str">
        <f aca="false">IF(Q250="","",IF(Q250&gt;=250000,"Yes","No"))</f>
        <v/>
      </c>
      <c r="CB250" s="36" t="str">
        <f aca="false">IF(Q250="","",IF(Q250&gt;=300000,"Yes","No"))</f>
        <v/>
      </c>
      <c r="CC250" s="37"/>
      <c r="CD250" s="36" t="str">
        <f aca="true">IF(B250="","",IF(TODAY()-B250&lt;=7,"🟢 0-7d",IF(TODAY()-B250&lt;=30,"🟡 8-30d",IF(TODAY()-B250&lt;=60,"🟠 31-60d","🔴 60d+"))))</f>
        <v/>
      </c>
      <c r="CE250" s="36" t="str">
        <f aca="false">IF(G250="","",IF(G250&lt;&gt;"USA","N/A - Not USA Role",IF(J250="Yes",IF(OR(F250="Intern",F250="New Grad"),"🟡 Possible","🟢 Strong"),IF(J250="No","🔴 Difficult","⚪ Unknown"))))</f>
        <v/>
      </c>
      <c r="CF250" s="37"/>
      <c r="CG250" s="37"/>
      <c r="CH250" s="38"/>
      <c r="CI250" s="38"/>
      <c r="CJ250" s="38"/>
      <c r="CK250" s="38"/>
    </row>
    <row r="251" customFormat="false" ht="15" hidden="false" customHeight="true" outlineLevel="0" collapsed="false">
      <c r="A251" s="26" t="str">
        <f aca="false">IF($C251="","",ROW()-3)</f>
        <v/>
      </c>
      <c r="B251" s="27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9"/>
      <c r="N251" s="29"/>
      <c r="O251" s="30" t="str">
        <f aca="false">IFERROR(IF(M251="","",M251*INDEX('00 - Lists'!$M$2:$M$11,MATCH(L251,'00 - Lists'!$L$2:$L$11,0))/100000),"")</f>
        <v/>
      </c>
      <c r="P251" s="30" t="str">
        <f aca="false">IFERROR(IF(N251="","",N251*INDEX('00 - Lists'!$M$2:$M$11,MATCH(L251,'00 - Lists'!$L$2:$L$11,0))/100000),"")</f>
        <v/>
      </c>
      <c r="Q251" s="31" t="str">
        <f aca="false">IFERROR(IF(M251="","",M251*INDEX('00 - Lists'!$N$2:$N$11,MATCH(L251,'00 - Lists'!$L$2:$L$11,0))),"")</f>
        <v/>
      </c>
      <c r="R251" s="31" t="str">
        <f aca="false">IFERROR(IF(N251="","",N251*INDEX('00 - Lists'!$N$2:$N$11,MATCH(L251,'00 - Lists'!$L$2:$L$11,0))),"")</f>
        <v/>
      </c>
      <c r="S251" s="32" t="str">
        <f aca="false">IF(O251="","",IF(O251&gt;=50,"Yes","No"))</f>
        <v/>
      </c>
      <c r="T251" s="32" t="str">
        <f aca="false">IF(Q251="","",IF(Q251&gt;=100000,"Yes","No"))</f>
        <v/>
      </c>
      <c r="U251" s="28"/>
      <c r="V251" s="28"/>
      <c r="W251" s="28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J251" s="34" t="str">
        <f aca="false">IF(OR($BD251&lt;&gt;"",$BF251&lt;&gt;"",$BH251&lt;&gt;""),"Yes","No")</f>
        <v>No</v>
      </c>
      <c r="BK251" s="35" t="str">
        <f aca="false">IFERROR(IF(BD251="","",BD251*INDEX('00 - Lists'!$M$2:$M$11,MATCH(L251,'00 - Lists'!$L$2:$L$11,0))/100000),"")</f>
        <v/>
      </c>
      <c r="BL251" s="35" t="str">
        <f aca="false">IFERROR(IF(BE251="","",BE251*INDEX('00 - Lists'!$M$2:$M$11,MATCH(L251,'00 - Lists'!$L$2:$L$11,0))/100000),"")</f>
        <v/>
      </c>
      <c r="BM251" s="35" t="str">
        <f aca="false">IFERROR(IF(BF251="","",BF251*INDEX('00 - Lists'!$M$2:$M$11,MATCH(L251,'00 - Lists'!$L$2:$L$11,0))/100000),"")</f>
        <v/>
      </c>
      <c r="BN251" s="35" t="str">
        <f aca="false">IFERROR(IF(BG251="","",BG251*INDEX('00 - Lists'!$M$2:$M$11,MATCH(L251,'00 - Lists'!$L$2:$L$11,0))/100000),"")</f>
        <v/>
      </c>
      <c r="BO251" s="35" t="str">
        <f aca="false">IFERROR(IF(BH251="","",BH251*INDEX('00 - Lists'!$M$2:$M$11,MATCH(L251,'00 - Lists'!$L$2:$L$11,0))/100000),"")</f>
        <v/>
      </c>
      <c r="BP251" s="35" t="str">
        <f aca="false">IFERROR(IF(BI251="","",BI251*INDEX('00 - Lists'!$M$2:$M$11,MATCH(L251,'00 - Lists'!$L$2:$L$11,0))/100000),"")</f>
        <v/>
      </c>
      <c r="BS251" s="36" t="str">
        <f aca="false">IF(O251="","",IF(O251&gt;=20,"Yes","No"))</f>
        <v/>
      </c>
      <c r="BT251" s="36" t="str">
        <f aca="false">IF(O251="","",IF(O251&gt;=30,"Yes","No"))</f>
        <v/>
      </c>
      <c r="BU251" s="36" t="str">
        <f aca="false">IF(O251="","",IF(O251&gt;=75,"Yes","No"))</f>
        <v/>
      </c>
      <c r="BV251" s="36" t="str">
        <f aca="false">IF(O251="","",IF(O251&gt;=100,"Yes","No"))</f>
        <v/>
      </c>
      <c r="BW251" s="36" t="str">
        <f aca="false">IF(O251="","",IF(O251&gt;=150,"Yes","No"))</f>
        <v/>
      </c>
      <c r="BX251" s="36" t="str">
        <f aca="false">IF(O251="","",IF(O251&gt;=200,"Yes","No"))</f>
        <v/>
      </c>
      <c r="BY251" s="36" t="str">
        <f aca="false">IF(Q251="","",IF(Q251&gt;=150000,"Yes","No"))</f>
        <v/>
      </c>
      <c r="BZ251" s="36" t="str">
        <f aca="false">IF(Q251="","",IF(Q251&gt;=200000,"Yes","No"))</f>
        <v/>
      </c>
      <c r="CA251" s="36" t="str">
        <f aca="false">IF(Q251="","",IF(Q251&gt;=250000,"Yes","No"))</f>
        <v/>
      </c>
      <c r="CB251" s="36" t="str">
        <f aca="false">IF(Q251="","",IF(Q251&gt;=300000,"Yes","No"))</f>
        <v/>
      </c>
      <c r="CC251" s="37"/>
      <c r="CD251" s="36" t="str">
        <f aca="true">IF(B251="","",IF(TODAY()-B251&lt;=7,"🟢 0-7d",IF(TODAY()-B251&lt;=30,"🟡 8-30d",IF(TODAY()-B251&lt;=60,"🟠 31-60d","🔴 60d+"))))</f>
        <v/>
      </c>
      <c r="CE251" s="36" t="str">
        <f aca="false">IF(G251="","",IF(G251&lt;&gt;"USA","N/A - Not USA Role",IF(J251="Yes",IF(OR(F251="Intern",F251="New Grad"),"🟡 Possible","🟢 Strong"),IF(J251="No","🔴 Difficult","⚪ Unknown"))))</f>
        <v/>
      </c>
      <c r="CF251" s="37"/>
      <c r="CG251" s="37"/>
      <c r="CH251" s="38"/>
      <c r="CI251" s="38"/>
      <c r="CJ251" s="38"/>
      <c r="CK251" s="38"/>
    </row>
    <row r="252" customFormat="false" ht="15" hidden="false" customHeight="true" outlineLevel="0" collapsed="false">
      <c r="A252" s="26" t="str">
        <f aca="false">IF($C252="","",ROW()-3)</f>
        <v/>
      </c>
      <c r="B252" s="27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9"/>
      <c r="N252" s="29"/>
      <c r="O252" s="30" t="str">
        <f aca="false">IFERROR(IF(M252="","",M252*INDEX('00 - Lists'!$M$2:$M$11,MATCH(L252,'00 - Lists'!$L$2:$L$11,0))/100000),"")</f>
        <v/>
      </c>
      <c r="P252" s="30" t="str">
        <f aca="false">IFERROR(IF(N252="","",N252*INDEX('00 - Lists'!$M$2:$M$11,MATCH(L252,'00 - Lists'!$L$2:$L$11,0))/100000),"")</f>
        <v/>
      </c>
      <c r="Q252" s="31" t="str">
        <f aca="false">IFERROR(IF(M252="","",M252*INDEX('00 - Lists'!$N$2:$N$11,MATCH(L252,'00 - Lists'!$L$2:$L$11,0))),"")</f>
        <v/>
      </c>
      <c r="R252" s="31" t="str">
        <f aca="false">IFERROR(IF(N252="","",N252*INDEX('00 - Lists'!$N$2:$N$11,MATCH(L252,'00 - Lists'!$L$2:$L$11,0))),"")</f>
        <v/>
      </c>
      <c r="S252" s="32" t="str">
        <f aca="false">IF(O252="","",IF(O252&gt;=50,"Yes","No"))</f>
        <v/>
      </c>
      <c r="T252" s="32" t="str">
        <f aca="false">IF(Q252="","",IF(Q252&gt;=100000,"Yes","No"))</f>
        <v/>
      </c>
      <c r="U252" s="28"/>
      <c r="V252" s="28"/>
      <c r="W252" s="28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J252" s="34" t="str">
        <f aca="false">IF(OR($BD252&lt;&gt;"",$BF252&lt;&gt;"",$BH252&lt;&gt;""),"Yes","No")</f>
        <v>No</v>
      </c>
      <c r="BK252" s="35" t="str">
        <f aca="false">IFERROR(IF(BD252="","",BD252*INDEX('00 - Lists'!$M$2:$M$11,MATCH(L252,'00 - Lists'!$L$2:$L$11,0))/100000),"")</f>
        <v/>
      </c>
      <c r="BL252" s="35" t="str">
        <f aca="false">IFERROR(IF(BE252="","",BE252*INDEX('00 - Lists'!$M$2:$M$11,MATCH(L252,'00 - Lists'!$L$2:$L$11,0))/100000),"")</f>
        <v/>
      </c>
      <c r="BM252" s="35" t="str">
        <f aca="false">IFERROR(IF(BF252="","",BF252*INDEX('00 - Lists'!$M$2:$M$11,MATCH(L252,'00 - Lists'!$L$2:$L$11,0))/100000),"")</f>
        <v/>
      </c>
      <c r="BN252" s="35" t="str">
        <f aca="false">IFERROR(IF(BG252="","",BG252*INDEX('00 - Lists'!$M$2:$M$11,MATCH(L252,'00 - Lists'!$L$2:$L$11,0))/100000),"")</f>
        <v/>
      </c>
      <c r="BO252" s="35" t="str">
        <f aca="false">IFERROR(IF(BH252="","",BH252*INDEX('00 - Lists'!$M$2:$M$11,MATCH(L252,'00 - Lists'!$L$2:$L$11,0))/100000),"")</f>
        <v/>
      </c>
      <c r="BP252" s="35" t="str">
        <f aca="false">IFERROR(IF(BI252="","",BI252*INDEX('00 - Lists'!$M$2:$M$11,MATCH(L252,'00 - Lists'!$L$2:$L$11,0))/100000),"")</f>
        <v/>
      </c>
      <c r="BS252" s="36" t="str">
        <f aca="false">IF(O252="","",IF(O252&gt;=20,"Yes","No"))</f>
        <v/>
      </c>
      <c r="BT252" s="36" t="str">
        <f aca="false">IF(O252="","",IF(O252&gt;=30,"Yes","No"))</f>
        <v/>
      </c>
      <c r="BU252" s="36" t="str">
        <f aca="false">IF(O252="","",IF(O252&gt;=75,"Yes","No"))</f>
        <v/>
      </c>
      <c r="BV252" s="36" t="str">
        <f aca="false">IF(O252="","",IF(O252&gt;=100,"Yes","No"))</f>
        <v/>
      </c>
      <c r="BW252" s="36" t="str">
        <f aca="false">IF(O252="","",IF(O252&gt;=150,"Yes","No"))</f>
        <v/>
      </c>
      <c r="BX252" s="36" t="str">
        <f aca="false">IF(O252="","",IF(O252&gt;=200,"Yes","No"))</f>
        <v/>
      </c>
      <c r="BY252" s="36" t="str">
        <f aca="false">IF(Q252="","",IF(Q252&gt;=150000,"Yes","No"))</f>
        <v/>
      </c>
      <c r="BZ252" s="36" t="str">
        <f aca="false">IF(Q252="","",IF(Q252&gt;=200000,"Yes","No"))</f>
        <v/>
      </c>
      <c r="CA252" s="36" t="str">
        <f aca="false">IF(Q252="","",IF(Q252&gt;=250000,"Yes","No"))</f>
        <v/>
      </c>
      <c r="CB252" s="36" t="str">
        <f aca="false">IF(Q252="","",IF(Q252&gt;=300000,"Yes","No"))</f>
        <v/>
      </c>
      <c r="CC252" s="37"/>
      <c r="CD252" s="36" t="str">
        <f aca="true">IF(B252="","",IF(TODAY()-B252&lt;=7,"🟢 0-7d",IF(TODAY()-B252&lt;=30,"🟡 8-30d",IF(TODAY()-B252&lt;=60,"🟠 31-60d","🔴 60d+"))))</f>
        <v/>
      </c>
      <c r="CE252" s="36" t="str">
        <f aca="false">IF(G252="","",IF(G252&lt;&gt;"USA","N/A - Not USA Role",IF(J252="Yes",IF(OR(F252="Intern",F252="New Grad"),"🟡 Possible","🟢 Strong"),IF(J252="No","🔴 Difficult","⚪ Unknown"))))</f>
        <v/>
      </c>
      <c r="CF252" s="37"/>
      <c r="CG252" s="37"/>
      <c r="CH252" s="38"/>
      <c r="CI252" s="38"/>
      <c r="CJ252" s="38"/>
      <c r="CK252" s="38"/>
    </row>
    <row r="253" customFormat="false" ht="15" hidden="false" customHeight="true" outlineLevel="0" collapsed="false">
      <c r="A253" s="26" t="str">
        <f aca="false">IF($C253="","",ROW()-3)</f>
        <v/>
      </c>
      <c r="B253" s="27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9"/>
      <c r="N253" s="29"/>
      <c r="O253" s="30" t="str">
        <f aca="false">IFERROR(IF(M253="","",M253*INDEX('00 - Lists'!$M$2:$M$11,MATCH(L253,'00 - Lists'!$L$2:$L$11,0))/100000),"")</f>
        <v/>
      </c>
      <c r="P253" s="30" t="str">
        <f aca="false">IFERROR(IF(N253="","",N253*INDEX('00 - Lists'!$M$2:$M$11,MATCH(L253,'00 - Lists'!$L$2:$L$11,0))/100000),"")</f>
        <v/>
      </c>
      <c r="Q253" s="31" t="str">
        <f aca="false">IFERROR(IF(M253="","",M253*INDEX('00 - Lists'!$N$2:$N$11,MATCH(L253,'00 - Lists'!$L$2:$L$11,0))),"")</f>
        <v/>
      </c>
      <c r="R253" s="31" t="str">
        <f aca="false">IFERROR(IF(N253="","",N253*INDEX('00 - Lists'!$N$2:$N$11,MATCH(L253,'00 - Lists'!$L$2:$L$11,0))),"")</f>
        <v/>
      </c>
      <c r="S253" s="32" t="str">
        <f aca="false">IF(O253="","",IF(O253&gt;=50,"Yes","No"))</f>
        <v/>
      </c>
      <c r="T253" s="32" t="str">
        <f aca="false">IF(Q253="","",IF(Q253&gt;=100000,"Yes","No"))</f>
        <v/>
      </c>
      <c r="U253" s="28"/>
      <c r="V253" s="28"/>
      <c r="W253" s="28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J253" s="34" t="str">
        <f aca="false">IF(OR($BD253&lt;&gt;"",$BF253&lt;&gt;"",$BH253&lt;&gt;""),"Yes","No")</f>
        <v>No</v>
      </c>
      <c r="BK253" s="35" t="str">
        <f aca="false">IFERROR(IF(BD253="","",BD253*INDEX('00 - Lists'!$M$2:$M$11,MATCH(L253,'00 - Lists'!$L$2:$L$11,0))/100000),"")</f>
        <v/>
      </c>
      <c r="BL253" s="35" t="str">
        <f aca="false">IFERROR(IF(BE253="","",BE253*INDEX('00 - Lists'!$M$2:$M$11,MATCH(L253,'00 - Lists'!$L$2:$L$11,0))/100000),"")</f>
        <v/>
      </c>
      <c r="BM253" s="35" t="str">
        <f aca="false">IFERROR(IF(BF253="","",BF253*INDEX('00 - Lists'!$M$2:$M$11,MATCH(L253,'00 - Lists'!$L$2:$L$11,0))/100000),"")</f>
        <v/>
      </c>
      <c r="BN253" s="35" t="str">
        <f aca="false">IFERROR(IF(BG253="","",BG253*INDEX('00 - Lists'!$M$2:$M$11,MATCH(L253,'00 - Lists'!$L$2:$L$11,0))/100000),"")</f>
        <v/>
      </c>
      <c r="BO253" s="35" t="str">
        <f aca="false">IFERROR(IF(BH253="","",BH253*INDEX('00 - Lists'!$M$2:$M$11,MATCH(L253,'00 - Lists'!$L$2:$L$11,0))/100000),"")</f>
        <v/>
      </c>
      <c r="BP253" s="35" t="str">
        <f aca="false">IFERROR(IF(BI253="","",BI253*INDEX('00 - Lists'!$M$2:$M$11,MATCH(L253,'00 - Lists'!$L$2:$L$11,0))/100000),"")</f>
        <v/>
      </c>
      <c r="BS253" s="36" t="str">
        <f aca="false">IF(O253="","",IF(O253&gt;=20,"Yes","No"))</f>
        <v/>
      </c>
      <c r="BT253" s="36" t="str">
        <f aca="false">IF(O253="","",IF(O253&gt;=30,"Yes","No"))</f>
        <v/>
      </c>
      <c r="BU253" s="36" t="str">
        <f aca="false">IF(O253="","",IF(O253&gt;=75,"Yes","No"))</f>
        <v/>
      </c>
      <c r="BV253" s="36" t="str">
        <f aca="false">IF(O253="","",IF(O253&gt;=100,"Yes","No"))</f>
        <v/>
      </c>
      <c r="BW253" s="36" t="str">
        <f aca="false">IF(O253="","",IF(O253&gt;=150,"Yes","No"))</f>
        <v/>
      </c>
      <c r="BX253" s="36" t="str">
        <f aca="false">IF(O253="","",IF(O253&gt;=200,"Yes","No"))</f>
        <v/>
      </c>
      <c r="BY253" s="36" t="str">
        <f aca="false">IF(Q253="","",IF(Q253&gt;=150000,"Yes","No"))</f>
        <v/>
      </c>
      <c r="BZ253" s="36" t="str">
        <f aca="false">IF(Q253="","",IF(Q253&gt;=200000,"Yes","No"))</f>
        <v/>
      </c>
      <c r="CA253" s="36" t="str">
        <f aca="false">IF(Q253="","",IF(Q253&gt;=250000,"Yes","No"))</f>
        <v/>
      </c>
      <c r="CB253" s="36" t="str">
        <f aca="false">IF(Q253="","",IF(Q253&gt;=300000,"Yes","No"))</f>
        <v/>
      </c>
      <c r="CC253" s="37"/>
      <c r="CD253" s="36" t="str">
        <f aca="true">IF(B253="","",IF(TODAY()-B253&lt;=7,"🟢 0-7d",IF(TODAY()-B253&lt;=30,"🟡 8-30d",IF(TODAY()-B253&lt;=60,"🟠 31-60d","🔴 60d+"))))</f>
        <v/>
      </c>
      <c r="CE253" s="36" t="str">
        <f aca="false">IF(G253="","",IF(G253&lt;&gt;"USA","N/A - Not USA Role",IF(J253="Yes",IF(OR(F253="Intern",F253="New Grad"),"🟡 Possible","🟢 Strong"),IF(J253="No","🔴 Difficult","⚪ Unknown"))))</f>
        <v/>
      </c>
      <c r="CF253" s="37"/>
      <c r="CG253" s="37"/>
      <c r="CH253" s="38"/>
      <c r="CI253" s="38"/>
      <c r="CJ253" s="38"/>
      <c r="CK253" s="38"/>
    </row>
    <row r="254" customFormat="false" ht="15" hidden="false" customHeight="true" outlineLevel="0" collapsed="false">
      <c r="A254" s="26" t="str">
        <f aca="false">IF($C254="","",ROW()-3)</f>
        <v/>
      </c>
      <c r="B254" s="27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9"/>
      <c r="N254" s="29"/>
      <c r="O254" s="30" t="str">
        <f aca="false">IFERROR(IF(M254="","",M254*INDEX('00 - Lists'!$M$2:$M$11,MATCH(L254,'00 - Lists'!$L$2:$L$11,0))/100000),"")</f>
        <v/>
      </c>
      <c r="P254" s="30" t="str">
        <f aca="false">IFERROR(IF(N254="","",N254*INDEX('00 - Lists'!$M$2:$M$11,MATCH(L254,'00 - Lists'!$L$2:$L$11,0))/100000),"")</f>
        <v/>
      </c>
      <c r="Q254" s="31" t="str">
        <f aca="false">IFERROR(IF(M254="","",M254*INDEX('00 - Lists'!$N$2:$N$11,MATCH(L254,'00 - Lists'!$L$2:$L$11,0))),"")</f>
        <v/>
      </c>
      <c r="R254" s="31" t="str">
        <f aca="false">IFERROR(IF(N254="","",N254*INDEX('00 - Lists'!$N$2:$N$11,MATCH(L254,'00 - Lists'!$L$2:$L$11,0))),"")</f>
        <v/>
      </c>
      <c r="S254" s="32" t="str">
        <f aca="false">IF(O254="","",IF(O254&gt;=50,"Yes","No"))</f>
        <v/>
      </c>
      <c r="T254" s="32" t="str">
        <f aca="false">IF(Q254="","",IF(Q254&gt;=100000,"Yes","No"))</f>
        <v/>
      </c>
      <c r="U254" s="28"/>
      <c r="V254" s="28"/>
      <c r="W254" s="28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J254" s="34" t="str">
        <f aca="false">IF(OR($BD254&lt;&gt;"",$BF254&lt;&gt;"",$BH254&lt;&gt;""),"Yes","No")</f>
        <v>No</v>
      </c>
      <c r="BK254" s="35" t="str">
        <f aca="false">IFERROR(IF(BD254="","",BD254*INDEX('00 - Lists'!$M$2:$M$11,MATCH(L254,'00 - Lists'!$L$2:$L$11,0))/100000),"")</f>
        <v/>
      </c>
      <c r="BL254" s="35" t="str">
        <f aca="false">IFERROR(IF(BE254="","",BE254*INDEX('00 - Lists'!$M$2:$M$11,MATCH(L254,'00 - Lists'!$L$2:$L$11,0))/100000),"")</f>
        <v/>
      </c>
      <c r="BM254" s="35" t="str">
        <f aca="false">IFERROR(IF(BF254="","",BF254*INDEX('00 - Lists'!$M$2:$M$11,MATCH(L254,'00 - Lists'!$L$2:$L$11,0))/100000),"")</f>
        <v/>
      </c>
      <c r="BN254" s="35" t="str">
        <f aca="false">IFERROR(IF(BG254="","",BG254*INDEX('00 - Lists'!$M$2:$M$11,MATCH(L254,'00 - Lists'!$L$2:$L$11,0))/100000),"")</f>
        <v/>
      </c>
      <c r="BO254" s="35" t="str">
        <f aca="false">IFERROR(IF(BH254="","",BH254*INDEX('00 - Lists'!$M$2:$M$11,MATCH(L254,'00 - Lists'!$L$2:$L$11,0))/100000),"")</f>
        <v/>
      </c>
      <c r="BP254" s="35" t="str">
        <f aca="false">IFERROR(IF(BI254="","",BI254*INDEX('00 - Lists'!$M$2:$M$11,MATCH(L254,'00 - Lists'!$L$2:$L$11,0))/100000),"")</f>
        <v/>
      </c>
      <c r="BS254" s="36" t="str">
        <f aca="false">IF(O254="","",IF(O254&gt;=20,"Yes","No"))</f>
        <v/>
      </c>
      <c r="BT254" s="36" t="str">
        <f aca="false">IF(O254="","",IF(O254&gt;=30,"Yes","No"))</f>
        <v/>
      </c>
      <c r="BU254" s="36" t="str">
        <f aca="false">IF(O254="","",IF(O254&gt;=75,"Yes","No"))</f>
        <v/>
      </c>
      <c r="BV254" s="36" t="str">
        <f aca="false">IF(O254="","",IF(O254&gt;=100,"Yes","No"))</f>
        <v/>
      </c>
      <c r="BW254" s="36" t="str">
        <f aca="false">IF(O254="","",IF(O254&gt;=150,"Yes","No"))</f>
        <v/>
      </c>
      <c r="BX254" s="36" t="str">
        <f aca="false">IF(O254="","",IF(O254&gt;=200,"Yes","No"))</f>
        <v/>
      </c>
      <c r="BY254" s="36" t="str">
        <f aca="false">IF(Q254="","",IF(Q254&gt;=150000,"Yes","No"))</f>
        <v/>
      </c>
      <c r="BZ254" s="36" t="str">
        <f aca="false">IF(Q254="","",IF(Q254&gt;=200000,"Yes","No"))</f>
        <v/>
      </c>
      <c r="CA254" s="36" t="str">
        <f aca="false">IF(Q254="","",IF(Q254&gt;=250000,"Yes","No"))</f>
        <v/>
      </c>
      <c r="CB254" s="36" t="str">
        <f aca="false">IF(Q254="","",IF(Q254&gt;=300000,"Yes","No"))</f>
        <v/>
      </c>
      <c r="CC254" s="37"/>
      <c r="CD254" s="36" t="str">
        <f aca="true">IF(B254="","",IF(TODAY()-B254&lt;=7,"🟢 0-7d",IF(TODAY()-B254&lt;=30,"🟡 8-30d",IF(TODAY()-B254&lt;=60,"🟠 31-60d","🔴 60d+"))))</f>
        <v/>
      </c>
      <c r="CE254" s="36" t="str">
        <f aca="false">IF(G254="","",IF(G254&lt;&gt;"USA","N/A - Not USA Role",IF(J254="Yes",IF(OR(F254="Intern",F254="New Grad"),"🟡 Possible","🟢 Strong"),IF(J254="No","🔴 Difficult","⚪ Unknown"))))</f>
        <v/>
      </c>
      <c r="CF254" s="37"/>
      <c r="CG254" s="37"/>
      <c r="CH254" s="38"/>
      <c r="CI254" s="38"/>
      <c r="CJ254" s="38"/>
      <c r="CK254" s="38"/>
    </row>
    <row r="255" customFormat="false" ht="15" hidden="false" customHeight="true" outlineLevel="0" collapsed="false">
      <c r="A255" s="26" t="str">
        <f aca="false">IF($C255="","",ROW()-3)</f>
        <v/>
      </c>
      <c r="B255" s="27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9"/>
      <c r="N255" s="29"/>
      <c r="O255" s="30" t="str">
        <f aca="false">IFERROR(IF(M255="","",M255*INDEX('00 - Lists'!$M$2:$M$11,MATCH(L255,'00 - Lists'!$L$2:$L$11,0))/100000),"")</f>
        <v/>
      </c>
      <c r="P255" s="30" t="str">
        <f aca="false">IFERROR(IF(N255="","",N255*INDEX('00 - Lists'!$M$2:$M$11,MATCH(L255,'00 - Lists'!$L$2:$L$11,0))/100000),"")</f>
        <v/>
      </c>
      <c r="Q255" s="31" t="str">
        <f aca="false">IFERROR(IF(M255="","",M255*INDEX('00 - Lists'!$N$2:$N$11,MATCH(L255,'00 - Lists'!$L$2:$L$11,0))),"")</f>
        <v/>
      </c>
      <c r="R255" s="31" t="str">
        <f aca="false">IFERROR(IF(N255="","",N255*INDEX('00 - Lists'!$N$2:$N$11,MATCH(L255,'00 - Lists'!$L$2:$L$11,0))),"")</f>
        <v/>
      </c>
      <c r="S255" s="32" t="str">
        <f aca="false">IF(O255="","",IF(O255&gt;=50,"Yes","No"))</f>
        <v/>
      </c>
      <c r="T255" s="32" t="str">
        <f aca="false">IF(Q255="","",IF(Q255&gt;=100000,"Yes","No"))</f>
        <v/>
      </c>
      <c r="U255" s="28"/>
      <c r="V255" s="28"/>
      <c r="W255" s="28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J255" s="34" t="str">
        <f aca="false">IF(OR($BD255&lt;&gt;"",$BF255&lt;&gt;"",$BH255&lt;&gt;""),"Yes","No")</f>
        <v>No</v>
      </c>
      <c r="BK255" s="35" t="str">
        <f aca="false">IFERROR(IF(BD255="","",BD255*INDEX('00 - Lists'!$M$2:$M$11,MATCH(L255,'00 - Lists'!$L$2:$L$11,0))/100000),"")</f>
        <v/>
      </c>
      <c r="BL255" s="35" t="str">
        <f aca="false">IFERROR(IF(BE255="","",BE255*INDEX('00 - Lists'!$M$2:$M$11,MATCH(L255,'00 - Lists'!$L$2:$L$11,0))/100000),"")</f>
        <v/>
      </c>
      <c r="BM255" s="35" t="str">
        <f aca="false">IFERROR(IF(BF255="","",BF255*INDEX('00 - Lists'!$M$2:$M$11,MATCH(L255,'00 - Lists'!$L$2:$L$11,0))/100000),"")</f>
        <v/>
      </c>
      <c r="BN255" s="35" t="str">
        <f aca="false">IFERROR(IF(BG255="","",BG255*INDEX('00 - Lists'!$M$2:$M$11,MATCH(L255,'00 - Lists'!$L$2:$L$11,0))/100000),"")</f>
        <v/>
      </c>
      <c r="BO255" s="35" t="str">
        <f aca="false">IFERROR(IF(BH255="","",BH255*INDEX('00 - Lists'!$M$2:$M$11,MATCH(L255,'00 - Lists'!$L$2:$L$11,0))/100000),"")</f>
        <v/>
      </c>
      <c r="BP255" s="35" t="str">
        <f aca="false">IFERROR(IF(BI255="","",BI255*INDEX('00 - Lists'!$M$2:$M$11,MATCH(L255,'00 - Lists'!$L$2:$L$11,0))/100000),"")</f>
        <v/>
      </c>
      <c r="BS255" s="36" t="str">
        <f aca="false">IF(O255="","",IF(O255&gt;=20,"Yes","No"))</f>
        <v/>
      </c>
      <c r="BT255" s="36" t="str">
        <f aca="false">IF(O255="","",IF(O255&gt;=30,"Yes","No"))</f>
        <v/>
      </c>
      <c r="BU255" s="36" t="str">
        <f aca="false">IF(O255="","",IF(O255&gt;=75,"Yes","No"))</f>
        <v/>
      </c>
      <c r="BV255" s="36" t="str">
        <f aca="false">IF(O255="","",IF(O255&gt;=100,"Yes","No"))</f>
        <v/>
      </c>
      <c r="BW255" s="36" t="str">
        <f aca="false">IF(O255="","",IF(O255&gt;=150,"Yes","No"))</f>
        <v/>
      </c>
      <c r="BX255" s="36" t="str">
        <f aca="false">IF(O255="","",IF(O255&gt;=200,"Yes","No"))</f>
        <v/>
      </c>
      <c r="BY255" s="36" t="str">
        <f aca="false">IF(Q255="","",IF(Q255&gt;=150000,"Yes","No"))</f>
        <v/>
      </c>
      <c r="BZ255" s="36" t="str">
        <f aca="false">IF(Q255="","",IF(Q255&gt;=200000,"Yes","No"))</f>
        <v/>
      </c>
      <c r="CA255" s="36" t="str">
        <f aca="false">IF(Q255="","",IF(Q255&gt;=250000,"Yes","No"))</f>
        <v/>
      </c>
      <c r="CB255" s="36" t="str">
        <f aca="false">IF(Q255="","",IF(Q255&gt;=300000,"Yes","No"))</f>
        <v/>
      </c>
      <c r="CC255" s="37"/>
      <c r="CD255" s="36" t="str">
        <f aca="true">IF(B255="","",IF(TODAY()-B255&lt;=7,"🟢 0-7d",IF(TODAY()-B255&lt;=30,"🟡 8-30d",IF(TODAY()-B255&lt;=60,"🟠 31-60d","🔴 60d+"))))</f>
        <v/>
      </c>
      <c r="CE255" s="36" t="str">
        <f aca="false">IF(G255="","",IF(G255&lt;&gt;"USA","N/A - Not USA Role",IF(J255="Yes",IF(OR(F255="Intern",F255="New Grad"),"🟡 Possible","🟢 Strong"),IF(J255="No","🔴 Difficult","⚪ Unknown"))))</f>
        <v/>
      </c>
      <c r="CF255" s="37"/>
      <c r="CG255" s="37"/>
      <c r="CH255" s="38"/>
      <c r="CI255" s="38"/>
      <c r="CJ255" s="38"/>
      <c r="CK255" s="38"/>
    </row>
    <row r="256" customFormat="false" ht="15" hidden="false" customHeight="true" outlineLevel="0" collapsed="false">
      <c r="A256" s="26" t="str">
        <f aca="false">IF($C256="","",ROW()-3)</f>
        <v/>
      </c>
      <c r="B256" s="27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9"/>
      <c r="N256" s="29"/>
      <c r="O256" s="30" t="str">
        <f aca="false">IFERROR(IF(M256="","",M256*INDEX('00 - Lists'!$M$2:$M$11,MATCH(L256,'00 - Lists'!$L$2:$L$11,0))/100000),"")</f>
        <v/>
      </c>
      <c r="P256" s="30" t="str">
        <f aca="false">IFERROR(IF(N256="","",N256*INDEX('00 - Lists'!$M$2:$M$11,MATCH(L256,'00 - Lists'!$L$2:$L$11,0))/100000),"")</f>
        <v/>
      </c>
      <c r="Q256" s="31" t="str">
        <f aca="false">IFERROR(IF(M256="","",M256*INDEX('00 - Lists'!$N$2:$N$11,MATCH(L256,'00 - Lists'!$L$2:$L$11,0))),"")</f>
        <v/>
      </c>
      <c r="R256" s="31" t="str">
        <f aca="false">IFERROR(IF(N256="","",N256*INDEX('00 - Lists'!$N$2:$N$11,MATCH(L256,'00 - Lists'!$L$2:$L$11,0))),"")</f>
        <v/>
      </c>
      <c r="S256" s="32" t="str">
        <f aca="false">IF(O256="","",IF(O256&gt;=50,"Yes","No"))</f>
        <v/>
      </c>
      <c r="T256" s="32" t="str">
        <f aca="false">IF(Q256="","",IF(Q256&gt;=100000,"Yes","No"))</f>
        <v/>
      </c>
      <c r="U256" s="28"/>
      <c r="V256" s="28"/>
      <c r="W256" s="28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J256" s="34" t="str">
        <f aca="false">IF(OR($BD256&lt;&gt;"",$BF256&lt;&gt;"",$BH256&lt;&gt;""),"Yes","No")</f>
        <v>No</v>
      </c>
      <c r="BK256" s="35" t="str">
        <f aca="false">IFERROR(IF(BD256="","",BD256*INDEX('00 - Lists'!$M$2:$M$11,MATCH(L256,'00 - Lists'!$L$2:$L$11,0))/100000),"")</f>
        <v/>
      </c>
      <c r="BL256" s="35" t="str">
        <f aca="false">IFERROR(IF(BE256="","",BE256*INDEX('00 - Lists'!$M$2:$M$11,MATCH(L256,'00 - Lists'!$L$2:$L$11,0))/100000),"")</f>
        <v/>
      </c>
      <c r="BM256" s="35" t="str">
        <f aca="false">IFERROR(IF(BF256="","",BF256*INDEX('00 - Lists'!$M$2:$M$11,MATCH(L256,'00 - Lists'!$L$2:$L$11,0))/100000),"")</f>
        <v/>
      </c>
      <c r="BN256" s="35" t="str">
        <f aca="false">IFERROR(IF(BG256="","",BG256*INDEX('00 - Lists'!$M$2:$M$11,MATCH(L256,'00 - Lists'!$L$2:$L$11,0))/100000),"")</f>
        <v/>
      </c>
      <c r="BO256" s="35" t="str">
        <f aca="false">IFERROR(IF(BH256="","",BH256*INDEX('00 - Lists'!$M$2:$M$11,MATCH(L256,'00 - Lists'!$L$2:$L$11,0))/100000),"")</f>
        <v/>
      </c>
      <c r="BP256" s="35" t="str">
        <f aca="false">IFERROR(IF(BI256="","",BI256*INDEX('00 - Lists'!$M$2:$M$11,MATCH(L256,'00 - Lists'!$L$2:$L$11,0))/100000),"")</f>
        <v/>
      </c>
      <c r="BS256" s="36" t="str">
        <f aca="false">IF(O256="","",IF(O256&gt;=20,"Yes","No"))</f>
        <v/>
      </c>
      <c r="BT256" s="36" t="str">
        <f aca="false">IF(O256="","",IF(O256&gt;=30,"Yes","No"))</f>
        <v/>
      </c>
      <c r="BU256" s="36" t="str">
        <f aca="false">IF(O256="","",IF(O256&gt;=75,"Yes","No"))</f>
        <v/>
      </c>
      <c r="BV256" s="36" t="str">
        <f aca="false">IF(O256="","",IF(O256&gt;=100,"Yes","No"))</f>
        <v/>
      </c>
      <c r="BW256" s="36" t="str">
        <f aca="false">IF(O256="","",IF(O256&gt;=150,"Yes","No"))</f>
        <v/>
      </c>
      <c r="BX256" s="36" t="str">
        <f aca="false">IF(O256="","",IF(O256&gt;=200,"Yes","No"))</f>
        <v/>
      </c>
      <c r="BY256" s="36" t="str">
        <f aca="false">IF(Q256="","",IF(Q256&gt;=150000,"Yes","No"))</f>
        <v/>
      </c>
      <c r="BZ256" s="36" t="str">
        <f aca="false">IF(Q256="","",IF(Q256&gt;=200000,"Yes","No"))</f>
        <v/>
      </c>
      <c r="CA256" s="36" t="str">
        <f aca="false">IF(Q256="","",IF(Q256&gt;=250000,"Yes","No"))</f>
        <v/>
      </c>
      <c r="CB256" s="36" t="str">
        <f aca="false">IF(Q256="","",IF(Q256&gt;=300000,"Yes","No"))</f>
        <v/>
      </c>
      <c r="CC256" s="37"/>
      <c r="CD256" s="36" t="str">
        <f aca="true">IF(B256="","",IF(TODAY()-B256&lt;=7,"🟢 0-7d",IF(TODAY()-B256&lt;=30,"🟡 8-30d",IF(TODAY()-B256&lt;=60,"🟠 31-60d","🔴 60d+"))))</f>
        <v/>
      </c>
      <c r="CE256" s="36" t="str">
        <f aca="false">IF(G256="","",IF(G256&lt;&gt;"USA","N/A - Not USA Role",IF(J256="Yes",IF(OR(F256="Intern",F256="New Grad"),"🟡 Possible","🟢 Strong"),IF(J256="No","🔴 Difficult","⚪ Unknown"))))</f>
        <v/>
      </c>
      <c r="CF256" s="37"/>
      <c r="CG256" s="37"/>
      <c r="CH256" s="38"/>
      <c r="CI256" s="38"/>
      <c r="CJ256" s="38"/>
      <c r="CK256" s="38"/>
    </row>
    <row r="257" customFormat="false" ht="15" hidden="false" customHeight="true" outlineLevel="0" collapsed="false">
      <c r="A257" s="26" t="str">
        <f aca="false">IF($C257="","",ROW()-3)</f>
        <v/>
      </c>
      <c r="B257" s="27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9"/>
      <c r="N257" s="29"/>
      <c r="O257" s="30" t="str">
        <f aca="false">IFERROR(IF(M257="","",M257*INDEX('00 - Lists'!$M$2:$M$11,MATCH(L257,'00 - Lists'!$L$2:$L$11,0))/100000),"")</f>
        <v/>
      </c>
      <c r="P257" s="30" t="str">
        <f aca="false">IFERROR(IF(N257="","",N257*INDEX('00 - Lists'!$M$2:$M$11,MATCH(L257,'00 - Lists'!$L$2:$L$11,0))/100000),"")</f>
        <v/>
      </c>
      <c r="Q257" s="31" t="str">
        <f aca="false">IFERROR(IF(M257="","",M257*INDEX('00 - Lists'!$N$2:$N$11,MATCH(L257,'00 - Lists'!$L$2:$L$11,0))),"")</f>
        <v/>
      </c>
      <c r="R257" s="31" t="str">
        <f aca="false">IFERROR(IF(N257="","",N257*INDEX('00 - Lists'!$N$2:$N$11,MATCH(L257,'00 - Lists'!$L$2:$L$11,0))),"")</f>
        <v/>
      </c>
      <c r="S257" s="32" t="str">
        <f aca="false">IF(O257="","",IF(O257&gt;=50,"Yes","No"))</f>
        <v/>
      </c>
      <c r="T257" s="32" t="str">
        <f aca="false">IF(Q257="","",IF(Q257&gt;=100000,"Yes","No"))</f>
        <v/>
      </c>
      <c r="U257" s="28"/>
      <c r="V257" s="28"/>
      <c r="W257" s="28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J257" s="34" t="str">
        <f aca="false">IF(OR($BD257&lt;&gt;"",$BF257&lt;&gt;"",$BH257&lt;&gt;""),"Yes","No")</f>
        <v>No</v>
      </c>
      <c r="BK257" s="35" t="str">
        <f aca="false">IFERROR(IF(BD257="","",BD257*INDEX('00 - Lists'!$M$2:$M$11,MATCH(L257,'00 - Lists'!$L$2:$L$11,0))/100000),"")</f>
        <v/>
      </c>
      <c r="BL257" s="35" t="str">
        <f aca="false">IFERROR(IF(BE257="","",BE257*INDEX('00 - Lists'!$M$2:$M$11,MATCH(L257,'00 - Lists'!$L$2:$L$11,0))/100000),"")</f>
        <v/>
      </c>
      <c r="BM257" s="35" t="str">
        <f aca="false">IFERROR(IF(BF257="","",BF257*INDEX('00 - Lists'!$M$2:$M$11,MATCH(L257,'00 - Lists'!$L$2:$L$11,0))/100000),"")</f>
        <v/>
      </c>
      <c r="BN257" s="35" t="str">
        <f aca="false">IFERROR(IF(BG257="","",BG257*INDEX('00 - Lists'!$M$2:$M$11,MATCH(L257,'00 - Lists'!$L$2:$L$11,0))/100000),"")</f>
        <v/>
      </c>
      <c r="BO257" s="35" t="str">
        <f aca="false">IFERROR(IF(BH257="","",BH257*INDEX('00 - Lists'!$M$2:$M$11,MATCH(L257,'00 - Lists'!$L$2:$L$11,0))/100000),"")</f>
        <v/>
      </c>
      <c r="BP257" s="35" t="str">
        <f aca="false">IFERROR(IF(BI257="","",BI257*INDEX('00 - Lists'!$M$2:$M$11,MATCH(L257,'00 - Lists'!$L$2:$L$11,0))/100000),"")</f>
        <v/>
      </c>
      <c r="BS257" s="36" t="str">
        <f aca="false">IF(O257="","",IF(O257&gt;=20,"Yes","No"))</f>
        <v/>
      </c>
      <c r="BT257" s="36" t="str">
        <f aca="false">IF(O257="","",IF(O257&gt;=30,"Yes","No"))</f>
        <v/>
      </c>
      <c r="BU257" s="36" t="str">
        <f aca="false">IF(O257="","",IF(O257&gt;=75,"Yes","No"))</f>
        <v/>
      </c>
      <c r="BV257" s="36" t="str">
        <f aca="false">IF(O257="","",IF(O257&gt;=100,"Yes","No"))</f>
        <v/>
      </c>
      <c r="BW257" s="36" t="str">
        <f aca="false">IF(O257="","",IF(O257&gt;=150,"Yes","No"))</f>
        <v/>
      </c>
      <c r="BX257" s="36" t="str">
        <f aca="false">IF(O257="","",IF(O257&gt;=200,"Yes","No"))</f>
        <v/>
      </c>
      <c r="BY257" s="36" t="str">
        <f aca="false">IF(Q257="","",IF(Q257&gt;=150000,"Yes","No"))</f>
        <v/>
      </c>
      <c r="BZ257" s="36" t="str">
        <f aca="false">IF(Q257="","",IF(Q257&gt;=200000,"Yes","No"))</f>
        <v/>
      </c>
      <c r="CA257" s="36" t="str">
        <f aca="false">IF(Q257="","",IF(Q257&gt;=250000,"Yes","No"))</f>
        <v/>
      </c>
      <c r="CB257" s="36" t="str">
        <f aca="false">IF(Q257="","",IF(Q257&gt;=300000,"Yes","No"))</f>
        <v/>
      </c>
      <c r="CC257" s="37"/>
      <c r="CD257" s="36" t="str">
        <f aca="true">IF(B257="","",IF(TODAY()-B257&lt;=7,"🟢 0-7d",IF(TODAY()-B257&lt;=30,"🟡 8-30d",IF(TODAY()-B257&lt;=60,"🟠 31-60d","🔴 60d+"))))</f>
        <v/>
      </c>
      <c r="CE257" s="36" t="str">
        <f aca="false">IF(G257="","",IF(G257&lt;&gt;"USA","N/A - Not USA Role",IF(J257="Yes",IF(OR(F257="Intern",F257="New Grad"),"🟡 Possible","🟢 Strong"),IF(J257="No","🔴 Difficult","⚪ Unknown"))))</f>
        <v/>
      </c>
      <c r="CF257" s="37"/>
      <c r="CG257" s="37"/>
      <c r="CH257" s="38"/>
      <c r="CI257" s="38"/>
      <c r="CJ257" s="38"/>
      <c r="CK257" s="38"/>
    </row>
    <row r="258" customFormat="false" ht="15" hidden="false" customHeight="true" outlineLevel="0" collapsed="false">
      <c r="A258" s="26" t="str">
        <f aca="false">IF($C258="","",ROW()-3)</f>
        <v/>
      </c>
      <c r="B258" s="27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9"/>
      <c r="N258" s="29"/>
      <c r="O258" s="30" t="str">
        <f aca="false">IFERROR(IF(M258="","",M258*INDEX('00 - Lists'!$M$2:$M$11,MATCH(L258,'00 - Lists'!$L$2:$L$11,0))/100000),"")</f>
        <v/>
      </c>
      <c r="P258" s="30" t="str">
        <f aca="false">IFERROR(IF(N258="","",N258*INDEX('00 - Lists'!$M$2:$M$11,MATCH(L258,'00 - Lists'!$L$2:$L$11,0))/100000),"")</f>
        <v/>
      </c>
      <c r="Q258" s="31" t="str">
        <f aca="false">IFERROR(IF(M258="","",M258*INDEX('00 - Lists'!$N$2:$N$11,MATCH(L258,'00 - Lists'!$L$2:$L$11,0))),"")</f>
        <v/>
      </c>
      <c r="R258" s="31" t="str">
        <f aca="false">IFERROR(IF(N258="","",N258*INDEX('00 - Lists'!$N$2:$N$11,MATCH(L258,'00 - Lists'!$L$2:$L$11,0))),"")</f>
        <v/>
      </c>
      <c r="S258" s="32" t="str">
        <f aca="false">IF(O258="","",IF(O258&gt;=50,"Yes","No"))</f>
        <v/>
      </c>
      <c r="T258" s="32" t="str">
        <f aca="false">IF(Q258="","",IF(Q258&gt;=100000,"Yes","No"))</f>
        <v/>
      </c>
      <c r="U258" s="28"/>
      <c r="V258" s="28"/>
      <c r="W258" s="28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J258" s="34" t="str">
        <f aca="false">IF(OR($BD258&lt;&gt;"",$BF258&lt;&gt;"",$BH258&lt;&gt;""),"Yes","No")</f>
        <v>No</v>
      </c>
      <c r="BK258" s="35" t="str">
        <f aca="false">IFERROR(IF(BD258="","",BD258*INDEX('00 - Lists'!$M$2:$M$11,MATCH(L258,'00 - Lists'!$L$2:$L$11,0))/100000),"")</f>
        <v/>
      </c>
      <c r="BL258" s="35" t="str">
        <f aca="false">IFERROR(IF(BE258="","",BE258*INDEX('00 - Lists'!$M$2:$M$11,MATCH(L258,'00 - Lists'!$L$2:$L$11,0))/100000),"")</f>
        <v/>
      </c>
      <c r="BM258" s="35" t="str">
        <f aca="false">IFERROR(IF(BF258="","",BF258*INDEX('00 - Lists'!$M$2:$M$11,MATCH(L258,'00 - Lists'!$L$2:$L$11,0))/100000),"")</f>
        <v/>
      </c>
      <c r="BN258" s="35" t="str">
        <f aca="false">IFERROR(IF(BG258="","",BG258*INDEX('00 - Lists'!$M$2:$M$11,MATCH(L258,'00 - Lists'!$L$2:$L$11,0))/100000),"")</f>
        <v/>
      </c>
      <c r="BO258" s="35" t="str">
        <f aca="false">IFERROR(IF(BH258="","",BH258*INDEX('00 - Lists'!$M$2:$M$11,MATCH(L258,'00 - Lists'!$L$2:$L$11,0))/100000),"")</f>
        <v/>
      </c>
      <c r="BP258" s="35" t="str">
        <f aca="false">IFERROR(IF(BI258="","",BI258*INDEX('00 - Lists'!$M$2:$M$11,MATCH(L258,'00 - Lists'!$L$2:$L$11,0))/100000),"")</f>
        <v/>
      </c>
      <c r="BS258" s="36" t="str">
        <f aca="false">IF(O258="","",IF(O258&gt;=20,"Yes","No"))</f>
        <v/>
      </c>
      <c r="BT258" s="36" t="str">
        <f aca="false">IF(O258="","",IF(O258&gt;=30,"Yes","No"))</f>
        <v/>
      </c>
      <c r="BU258" s="36" t="str">
        <f aca="false">IF(O258="","",IF(O258&gt;=75,"Yes","No"))</f>
        <v/>
      </c>
      <c r="BV258" s="36" t="str">
        <f aca="false">IF(O258="","",IF(O258&gt;=100,"Yes","No"))</f>
        <v/>
      </c>
      <c r="BW258" s="36" t="str">
        <f aca="false">IF(O258="","",IF(O258&gt;=150,"Yes","No"))</f>
        <v/>
      </c>
      <c r="BX258" s="36" t="str">
        <f aca="false">IF(O258="","",IF(O258&gt;=200,"Yes","No"))</f>
        <v/>
      </c>
      <c r="BY258" s="36" t="str">
        <f aca="false">IF(Q258="","",IF(Q258&gt;=150000,"Yes","No"))</f>
        <v/>
      </c>
      <c r="BZ258" s="36" t="str">
        <f aca="false">IF(Q258="","",IF(Q258&gt;=200000,"Yes","No"))</f>
        <v/>
      </c>
      <c r="CA258" s="36" t="str">
        <f aca="false">IF(Q258="","",IF(Q258&gt;=250000,"Yes","No"))</f>
        <v/>
      </c>
      <c r="CB258" s="36" t="str">
        <f aca="false">IF(Q258="","",IF(Q258&gt;=300000,"Yes","No"))</f>
        <v/>
      </c>
      <c r="CC258" s="37"/>
      <c r="CD258" s="36" t="str">
        <f aca="true">IF(B258="","",IF(TODAY()-B258&lt;=7,"🟢 0-7d",IF(TODAY()-B258&lt;=30,"🟡 8-30d",IF(TODAY()-B258&lt;=60,"🟠 31-60d","🔴 60d+"))))</f>
        <v/>
      </c>
      <c r="CE258" s="36" t="str">
        <f aca="false">IF(G258="","",IF(G258&lt;&gt;"USA","N/A - Not USA Role",IF(J258="Yes",IF(OR(F258="Intern",F258="New Grad"),"🟡 Possible","🟢 Strong"),IF(J258="No","🔴 Difficult","⚪ Unknown"))))</f>
        <v/>
      </c>
      <c r="CF258" s="37"/>
      <c r="CG258" s="37"/>
      <c r="CH258" s="38"/>
      <c r="CI258" s="38"/>
      <c r="CJ258" s="38"/>
      <c r="CK258" s="38"/>
    </row>
    <row r="259" customFormat="false" ht="15" hidden="false" customHeight="true" outlineLevel="0" collapsed="false">
      <c r="A259" s="26" t="str">
        <f aca="false">IF($C259="","",ROW()-3)</f>
        <v/>
      </c>
      <c r="B259" s="27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9"/>
      <c r="N259" s="29"/>
      <c r="O259" s="30" t="str">
        <f aca="false">IFERROR(IF(M259="","",M259*INDEX('00 - Lists'!$M$2:$M$11,MATCH(L259,'00 - Lists'!$L$2:$L$11,0))/100000),"")</f>
        <v/>
      </c>
      <c r="P259" s="30" t="str">
        <f aca="false">IFERROR(IF(N259="","",N259*INDEX('00 - Lists'!$M$2:$M$11,MATCH(L259,'00 - Lists'!$L$2:$L$11,0))/100000),"")</f>
        <v/>
      </c>
      <c r="Q259" s="31" t="str">
        <f aca="false">IFERROR(IF(M259="","",M259*INDEX('00 - Lists'!$N$2:$N$11,MATCH(L259,'00 - Lists'!$L$2:$L$11,0))),"")</f>
        <v/>
      </c>
      <c r="R259" s="31" t="str">
        <f aca="false">IFERROR(IF(N259="","",N259*INDEX('00 - Lists'!$N$2:$N$11,MATCH(L259,'00 - Lists'!$L$2:$L$11,0))),"")</f>
        <v/>
      </c>
      <c r="S259" s="32" t="str">
        <f aca="false">IF(O259="","",IF(O259&gt;=50,"Yes","No"))</f>
        <v/>
      </c>
      <c r="T259" s="32" t="str">
        <f aca="false">IF(Q259="","",IF(Q259&gt;=100000,"Yes","No"))</f>
        <v/>
      </c>
      <c r="U259" s="28"/>
      <c r="V259" s="28"/>
      <c r="W259" s="28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J259" s="34" t="str">
        <f aca="false">IF(OR($BD259&lt;&gt;"",$BF259&lt;&gt;"",$BH259&lt;&gt;""),"Yes","No")</f>
        <v>No</v>
      </c>
      <c r="BK259" s="35" t="str">
        <f aca="false">IFERROR(IF(BD259="","",BD259*INDEX('00 - Lists'!$M$2:$M$11,MATCH(L259,'00 - Lists'!$L$2:$L$11,0))/100000),"")</f>
        <v/>
      </c>
      <c r="BL259" s="35" t="str">
        <f aca="false">IFERROR(IF(BE259="","",BE259*INDEX('00 - Lists'!$M$2:$M$11,MATCH(L259,'00 - Lists'!$L$2:$L$11,0))/100000),"")</f>
        <v/>
      </c>
      <c r="BM259" s="35" t="str">
        <f aca="false">IFERROR(IF(BF259="","",BF259*INDEX('00 - Lists'!$M$2:$M$11,MATCH(L259,'00 - Lists'!$L$2:$L$11,0))/100000),"")</f>
        <v/>
      </c>
      <c r="BN259" s="35" t="str">
        <f aca="false">IFERROR(IF(BG259="","",BG259*INDEX('00 - Lists'!$M$2:$M$11,MATCH(L259,'00 - Lists'!$L$2:$L$11,0))/100000),"")</f>
        <v/>
      </c>
      <c r="BO259" s="35" t="str">
        <f aca="false">IFERROR(IF(BH259="","",BH259*INDEX('00 - Lists'!$M$2:$M$11,MATCH(L259,'00 - Lists'!$L$2:$L$11,0))/100000),"")</f>
        <v/>
      </c>
      <c r="BP259" s="35" t="str">
        <f aca="false">IFERROR(IF(BI259="","",BI259*INDEX('00 - Lists'!$M$2:$M$11,MATCH(L259,'00 - Lists'!$L$2:$L$11,0))/100000),"")</f>
        <v/>
      </c>
      <c r="BS259" s="36" t="str">
        <f aca="false">IF(O259="","",IF(O259&gt;=20,"Yes","No"))</f>
        <v/>
      </c>
      <c r="BT259" s="36" t="str">
        <f aca="false">IF(O259="","",IF(O259&gt;=30,"Yes","No"))</f>
        <v/>
      </c>
      <c r="BU259" s="36" t="str">
        <f aca="false">IF(O259="","",IF(O259&gt;=75,"Yes","No"))</f>
        <v/>
      </c>
      <c r="BV259" s="36" t="str">
        <f aca="false">IF(O259="","",IF(O259&gt;=100,"Yes","No"))</f>
        <v/>
      </c>
      <c r="BW259" s="36" t="str">
        <f aca="false">IF(O259="","",IF(O259&gt;=150,"Yes","No"))</f>
        <v/>
      </c>
      <c r="BX259" s="36" t="str">
        <f aca="false">IF(O259="","",IF(O259&gt;=200,"Yes","No"))</f>
        <v/>
      </c>
      <c r="BY259" s="36" t="str">
        <f aca="false">IF(Q259="","",IF(Q259&gt;=150000,"Yes","No"))</f>
        <v/>
      </c>
      <c r="BZ259" s="36" t="str">
        <f aca="false">IF(Q259="","",IF(Q259&gt;=200000,"Yes","No"))</f>
        <v/>
      </c>
      <c r="CA259" s="36" t="str">
        <f aca="false">IF(Q259="","",IF(Q259&gt;=250000,"Yes","No"))</f>
        <v/>
      </c>
      <c r="CB259" s="36" t="str">
        <f aca="false">IF(Q259="","",IF(Q259&gt;=300000,"Yes","No"))</f>
        <v/>
      </c>
      <c r="CC259" s="37"/>
      <c r="CD259" s="36" t="str">
        <f aca="true">IF(B259="","",IF(TODAY()-B259&lt;=7,"🟢 0-7d",IF(TODAY()-B259&lt;=30,"🟡 8-30d",IF(TODAY()-B259&lt;=60,"🟠 31-60d","🔴 60d+"))))</f>
        <v/>
      </c>
      <c r="CE259" s="36" t="str">
        <f aca="false">IF(G259="","",IF(G259&lt;&gt;"USA","N/A - Not USA Role",IF(J259="Yes",IF(OR(F259="Intern",F259="New Grad"),"🟡 Possible","🟢 Strong"),IF(J259="No","🔴 Difficult","⚪ Unknown"))))</f>
        <v/>
      </c>
      <c r="CF259" s="37"/>
      <c r="CG259" s="37"/>
      <c r="CH259" s="38"/>
      <c r="CI259" s="38"/>
      <c r="CJ259" s="38"/>
      <c r="CK259" s="38"/>
    </row>
    <row r="260" customFormat="false" ht="15" hidden="false" customHeight="true" outlineLevel="0" collapsed="false">
      <c r="A260" s="26" t="str">
        <f aca="false">IF($C260="","",ROW()-3)</f>
        <v/>
      </c>
      <c r="B260" s="27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9"/>
      <c r="N260" s="29"/>
      <c r="O260" s="30" t="str">
        <f aca="false">IFERROR(IF(M260="","",M260*INDEX('00 - Lists'!$M$2:$M$11,MATCH(L260,'00 - Lists'!$L$2:$L$11,0))/100000),"")</f>
        <v/>
      </c>
      <c r="P260" s="30" t="str">
        <f aca="false">IFERROR(IF(N260="","",N260*INDEX('00 - Lists'!$M$2:$M$11,MATCH(L260,'00 - Lists'!$L$2:$L$11,0))/100000),"")</f>
        <v/>
      </c>
      <c r="Q260" s="31" t="str">
        <f aca="false">IFERROR(IF(M260="","",M260*INDEX('00 - Lists'!$N$2:$N$11,MATCH(L260,'00 - Lists'!$L$2:$L$11,0))),"")</f>
        <v/>
      </c>
      <c r="R260" s="31" t="str">
        <f aca="false">IFERROR(IF(N260="","",N260*INDEX('00 - Lists'!$N$2:$N$11,MATCH(L260,'00 - Lists'!$L$2:$L$11,0))),"")</f>
        <v/>
      </c>
      <c r="S260" s="32" t="str">
        <f aca="false">IF(O260="","",IF(O260&gt;=50,"Yes","No"))</f>
        <v/>
      </c>
      <c r="T260" s="32" t="str">
        <f aca="false">IF(Q260="","",IF(Q260&gt;=100000,"Yes","No"))</f>
        <v/>
      </c>
      <c r="U260" s="28"/>
      <c r="V260" s="28"/>
      <c r="W260" s="28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J260" s="34" t="str">
        <f aca="false">IF(OR($BD260&lt;&gt;"",$BF260&lt;&gt;"",$BH260&lt;&gt;""),"Yes","No")</f>
        <v>No</v>
      </c>
      <c r="BK260" s="35" t="str">
        <f aca="false">IFERROR(IF(BD260="","",BD260*INDEX('00 - Lists'!$M$2:$M$11,MATCH(L260,'00 - Lists'!$L$2:$L$11,0))/100000),"")</f>
        <v/>
      </c>
      <c r="BL260" s="35" t="str">
        <f aca="false">IFERROR(IF(BE260="","",BE260*INDEX('00 - Lists'!$M$2:$M$11,MATCH(L260,'00 - Lists'!$L$2:$L$11,0))/100000),"")</f>
        <v/>
      </c>
      <c r="BM260" s="35" t="str">
        <f aca="false">IFERROR(IF(BF260="","",BF260*INDEX('00 - Lists'!$M$2:$M$11,MATCH(L260,'00 - Lists'!$L$2:$L$11,0))/100000),"")</f>
        <v/>
      </c>
      <c r="BN260" s="35" t="str">
        <f aca="false">IFERROR(IF(BG260="","",BG260*INDEX('00 - Lists'!$M$2:$M$11,MATCH(L260,'00 - Lists'!$L$2:$L$11,0))/100000),"")</f>
        <v/>
      </c>
      <c r="BO260" s="35" t="str">
        <f aca="false">IFERROR(IF(BH260="","",BH260*INDEX('00 - Lists'!$M$2:$M$11,MATCH(L260,'00 - Lists'!$L$2:$L$11,0))/100000),"")</f>
        <v/>
      </c>
      <c r="BP260" s="35" t="str">
        <f aca="false">IFERROR(IF(BI260="","",BI260*INDEX('00 - Lists'!$M$2:$M$11,MATCH(L260,'00 - Lists'!$L$2:$L$11,0))/100000),"")</f>
        <v/>
      </c>
      <c r="BS260" s="36" t="str">
        <f aca="false">IF(O260="","",IF(O260&gt;=20,"Yes","No"))</f>
        <v/>
      </c>
      <c r="BT260" s="36" t="str">
        <f aca="false">IF(O260="","",IF(O260&gt;=30,"Yes","No"))</f>
        <v/>
      </c>
      <c r="BU260" s="36" t="str">
        <f aca="false">IF(O260="","",IF(O260&gt;=75,"Yes","No"))</f>
        <v/>
      </c>
      <c r="BV260" s="36" t="str">
        <f aca="false">IF(O260="","",IF(O260&gt;=100,"Yes","No"))</f>
        <v/>
      </c>
      <c r="BW260" s="36" t="str">
        <f aca="false">IF(O260="","",IF(O260&gt;=150,"Yes","No"))</f>
        <v/>
      </c>
      <c r="BX260" s="36" t="str">
        <f aca="false">IF(O260="","",IF(O260&gt;=200,"Yes","No"))</f>
        <v/>
      </c>
      <c r="BY260" s="36" t="str">
        <f aca="false">IF(Q260="","",IF(Q260&gt;=150000,"Yes","No"))</f>
        <v/>
      </c>
      <c r="BZ260" s="36" t="str">
        <f aca="false">IF(Q260="","",IF(Q260&gt;=200000,"Yes","No"))</f>
        <v/>
      </c>
      <c r="CA260" s="36" t="str">
        <f aca="false">IF(Q260="","",IF(Q260&gt;=250000,"Yes","No"))</f>
        <v/>
      </c>
      <c r="CB260" s="36" t="str">
        <f aca="false">IF(Q260="","",IF(Q260&gt;=300000,"Yes","No"))</f>
        <v/>
      </c>
      <c r="CC260" s="37"/>
      <c r="CD260" s="36" t="str">
        <f aca="true">IF(B260="","",IF(TODAY()-B260&lt;=7,"🟢 0-7d",IF(TODAY()-B260&lt;=30,"🟡 8-30d",IF(TODAY()-B260&lt;=60,"🟠 31-60d","🔴 60d+"))))</f>
        <v/>
      </c>
      <c r="CE260" s="36" t="str">
        <f aca="false">IF(G260="","",IF(G260&lt;&gt;"USA","N/A - Not USA Role",IF(J260="Yes",IF(OR(F260="Intern",F260="New Grad"),"🟡 Possible","🟢 Strong"),IF(J260="No","🔴 Difficult","⚪ Unknown"))))</f>
        <v/>
      </c>
      <c r="CF260" s="37"/>
      <c r="CG260" s="37"/>
      <c r="CH260" s="38"/>
      <c r="CI260" s="38"/>
      <c r="CJ260" s="38"/>
      <c r="CK260" s="38"/>
    </row>
    <row r="261" customFormat="false" ht="15" hidden="false" customHeight="true" outlineLevel="0" collapsed="false">
      <c r="A261" s="26" t="str">
        <f aca="false">IF($C261="","",ROW()-3)</f>
        <v/>
      </c>
      <c r="B261" s="27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9"/>
      <c r="N261" s="29"/>
      <c r="O261" s="30" t="str">
        <f aca="false">IFERROR(IF(M261="","",M261*INDEX('00 - Lists'!$M$2:$M$11,MATCH(L261,'00 - Lists'!$L$2:$L$11,0))/100000),"")</f>
        <v/>
      </c>
      <c r="P261" s="30" t="str">
        <f aca="false">IFERROR(IF(N261="","",N261*INDEX('00 - Lists'!$M$2:$M$11,MATCH(L261,'00 - Lists'!$L$2:$L$11,0))/100000),"")</f>
        <v/>
      </c>
      <c r="Q261" s="31" t="str">
        <f aca="false">IFERROR(IF(M261="","",M261*INDEX('00 - Lists'!$N$2:$N$11,MATCH(L261,'00 - Lists'!$L$2:$L$11,0))),"")</f>
        <v/>
      </c>
      <c r="R261" s="31" t="str">
        <f aca="false">IFERROR(IF(N261="","",N261*INDEX('00 - Lists'!$N$2:$N$11,MATCH(L261,'00 - Lists'!$L$2:$L$11,0))),"")</f>
        <v/>
      </c>
      <c r="S261" s="32" t="str">
        <f aca="false">IF(O261="","",IF(O261&gt;=50,"Yes","No"))</f>
        <v/>
      </c>
      <c r="T261" s="32" t="str">
        <f aca="false">IF(Q261="","",IF(Q261&gt;=100000,"Yes","No"))</f>
        <v/>
      </c>
      <c r="U261" s="28"/>
      <c r="V261" s="28"/>
      <c r="W261" s="28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J261" s="34" t="str">
        <f aca="false">IF(OR($BD261&lt;&gt;"",$BF261&lt;&gt;"",$BH261&lt;&gt;""),"Yes","No")</f>
        <v>No</v>
      </c>
      <c r="BK261" s="35" t="str">
        <f aca="false">IFERROR(IF(BD261="","",BD261*INDEX('00 - Lists'!$M$2:$M$11,MATCH(L261,'00 - Lists'!$L$2:$L$11,0))/100000),"")</f>
        <v/>
      </c>
      <c r="BL261" s="35" t="str">
        <f aca="false">IFERROR(IF(BE261="","",BE261*INDEX('00 - Lists'!$M$2:$M$11,MATCH(L261,'00 - Lists'!$L$2:$L$11,0))/100000),"")</f>
        <v/>
      </c>
      <c r="BM261" s="35" t="str">
        <f aca="false">IFERROR(IF(BF261="","",BF261*INDEX('00 - Lists'!$M$2:$M$11,MATCH(L261,'00 - Lists'!$L$2:$L$11,0))/100000),"")</f>
        <v/>
      </c>
      <c r="BN261" s="35" t="str">
        <f aca="false">IFERROR(IF(BG261="","",BG261*INDEX('00 - Lists'!$M$2:$M$11,MATCH(L261,'00 - Lists'!$L$2:$L$11,0))/100000),"")</f>
        <v/>
      </c>
      <c r="BO261" s="35" t="str">
        <f aca="false">IFERROR(IF(BH261="","",BH261*INDEX('00 - Lists'!$M$2:$M$11,MATCH(L261,'00 - Lists'!$L$2:$L$11,0))/100000),"")</f>
        <v/>
      </c>
      <c r="BP261" s="35" t="str">
        <f aca="false">IFERROR(IF(BI261="","",BI261*INDEX('00 - Lists'!$M$2:$M$11,MATCH(L261,'00 - Lists'!$L$2:$L$11,0))/100000),"")</f>
        <v/>
      </c>
      <c r="BS261" s="36" t="str">
        <f aca="false">IF(O261="","",IF(O261&gt;=20,"Yes","No"))</f>
        <v/>
      </c>
      <c r="BT261" s="36" t="str">
        <f aca="false">IF(O261="","",IF(O261&gt;=30,"Yes","No"))</f>
        <v/>
      </c>
      <c r="BU261" s="36" t="str">
        <f aca="false">IF(O261="","",IF(O261&gt;=75,"Yes","No"))</f>
        <v/>
      </c>
      <c r="BV261" s="36" t="str">
        <f aca="false">IF(O261="","",IF(O261&gt;=100,"Yes","No"))</f>
        <v/>
      </c>
      <c r="BW261" s="36" t="str">
        <f aca="false">IF(O261="","",IF(O261&gt;=150,"Yes","No"))</f>
        <v/>
      </c>
      <c r="BX261" s="36" t="str">
        <f aca="false">IF(O261="","",IF(O261&gt;=200,"Yes","No"))</f>
        <v/>
      </c>
      <c r="BY261" s="36" t="str">
        <f aca="false">IF(Q261="","",IF(Q261&gt;=150000,"Yes","No"))</f>
        <v/>
      </c>
      <c r="BZ261" s="36" t="str">
        <f aca="false">IF(Q261="","",IF(Q261&gt;=200000,"Yes","No"))</f>
        <v/>
      </c>
      <c r="CA261" s="36" t="str">
        <f aca="false">IF(Q261="","",IF(Q261&gt;=250000,"Yes","No"))</f>
        <v/>
      </c>
      <c r="CB261" s="36" t="str">
        <f aca="false">IF(Q261="","",IF(Q261&gt;=300000,"Yes","No"))</f>
        <v/>
      </c>
      <c r="CC261" s="37"/>
      <c r="CD261" s="36" t="str">
        <f aca="true">IF(B261="","",IF(TODAY()-B261&lt;=7,"🟢 0-7d",IF(TODAY()-B261&lt;=30,"🟡 8-30d",IF(TODAY()-B261&lt;=60,"🟠 31-60d","🔴 60d+"))))</f>
        <v/>
      </c>
      <c r="CE261" s="36" t="str">
        <f aca="false">IF(G261="","",IF(G261&lt;&gt;"USA","N/A - Not USA Role",IF(J261="Yes",IF(OR(F261="Intern",F261="New Grad"),"🟡 Possible","🟢 Strong"),IF(J261="No","🔴 Difficult","⚪ Unknown"))))</f>
        <v/>
      </c>
      <c r="CF261" s="37"/>
      <c r="CG261" s="37"/>
      <c r="CH261" s="38"/>
      <c r="CI261" s="38"/>
      <c r="CJ261" s="38"/>
      <c r="CK261" s="38"/>
    </row>
    <row r="262" customFormat="false" ht="15" hidden="false" customHeight="true" outlineLevel="0" collapsed="false">
      <c r="A262" s="26" t="str">
        <f aca="false">IF($C262="","",ROW()-3)</f>
        <v/>
      </c>
      <c r="B262" s="27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9"/>
      <c r="N262" s="29"/>
      <c r="O262" s="30" t="str">
        <f aca="false">IFERROR(IF(M262="","",M262*INDEX('00 - Lists'!$M$2:$M$11,MATCH(L262,'00 - Lists'!$L$2:$L$11,0))/100000),"")</f>
        <v/>
      </c>
      <c r="P262" s="30" t="str">
        <f aca="false">IFERROR(IF(N262="","",N262*INDEX('00 - Lists'!$M$2:$M$11,MATCH(L262,'00 - Lists'!$L$2:$L$11,0))/100000),"")</f>
        <v/>
      </c>
      <c r="Q262" s="31" t="str">
        <f aca="false">IFERROR(IF(M262="","",M262*INDEX('00 - Lists'!$N$2:$N$11,MATCH(L262,'00 - Lists'!$L$2:$L$11,0))),"")</f>
        <v/>
      </c>
      <c r="R262" s="31" t="str">
        <f aca="false">IFERROR(IF(N262="","",N262*INDEX('00 - Lists'!$N$2:$N$11,MATCH(L262,'00 - Lists'!$L$2:$L$11,0))),"")</f>
        <v/>
      </c>
      <c r="S262" s="32" t="str">
        <f aca="false">IF(O262="","",IF(O262&gt;=50,"Yes","No"))</f>
        <v/>
      </c>
      <c r="T262" s="32" t="str">
        <f aca="false">IF(Q262="","",IF(Q262&gt;=100000,"Yes","No"))</f>
        <v/>
      </c>
      <c r="U262" s="28"/>
      <c r="V262" s="28"/>
      <c r="W262" s="28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J262" s="34" t="str">
        <f aca="false">IF(OR($BD262&lt;&gt;"",$BF262&lt;&gt;"",$BH262&lt;&gt;""),"Yes","No")</f>
        <v>No</v>
      </c>
      <c r="BK262" s="35" t="str">
        <f aca="false">IFERROR(IF(BD262="","",BD262*INDEX('00 - Lists'!$M$2:$M$11,MATCH(L262,'00 - Lists'!$L$2:$L$11,0))/100000),"")</f>
        <v/>
      </c>
      <c r="BL262" s="35" t="str">
        <f aca="false">IFERROR(IF(BE262="","",BE262*INDEX('00 - Lists'!$M$2:$M$11,MATCH(L262,'00 - Lists'!$L$2:$L$11,0))/100000),"")</f>
        <v/>
      </c>
      <c r="BM262" s="35" t="str">
        <f aca="false">IFERROR(IF(BF262="","",BF262*INDEX('00 - Lists'!$M$2:$M$11,MATCH(L262,'00 - Lists'!$L$2:$L$11,0))/100000),"")</f>
        <v/>
      </c>
      <c r="BN262" s="35" t="str">
        <f aca="false">IFERROR(IF(BG262="","",BG262*INDEX('00 - Lists'!$M$2:$M$11,MATCH(L262,'00 - Lists'!$L$2:$L$11,0))/100000),"")</f>
        <v/>
      </c>
      <c r="BO262" s="35" t="str">
        <f aca="false">IFERROR(IF(BH262="","",BH262*INDEX('00 - Lists'!$M$2:$M$11,MATCH(L262,'00 - Lists'!$L$2:$L$11,0))/100000),"")</f>
        <v/>
      </c>
      <c r="BP262" s="35" t="str">
        <f aca="false">IFERROR(IF(BI262="","",BI262*INDEX('00 - Lists'!$M$2:$M$11,MATCH(L262,'00 - Lists'!$L$2:$L$11,0))/100000),"")</f>
        <v/>
      </c>
      <c r="BS262" s="36" t="str">
        <f aca="false">IF(O262="","",IF(O262&gt;=20,"Yes","No"))</f>
        <v/>
      </c>
      <c r="BT262" s="36" t="str">
        <f aca="false">IF(O262="","",IF(O262&gt;=30,"Yes","No"))</f>
        <v/>
      </c>
      <c r="BU262" s="36" t="str">
        <f aca="false">IF(O262="","",IF(O262&gt;=75,"Yes","No"))</f>
        <v/>
      </c>
      <c r="BV262" s="36" t="str">
        <f aca="false">IF(O262="","",IF(O262&gt;=100,"Yes","No"))</f>
        <v/>
      </c>
      <c r="BW262" s="36" t="str">
        <f aca="false">IF(O262="","",IF(O262&gt;=150,"Yes","No"))</f>
        <v/>
      </c>
      <c r="BX262" s="36" t="str">
        <f aca="false">IF(O262="","",IF(O262&gt;=200,"Yes","No"))</f>
        <v/>
      </c>
      <c r="BY262" s="36" t="str">
        <f aca="false">IF(Q262="","",IF(Q262&gt;=150000,"Yes","No"))</f>
        <v/>
      </c>
      <c r="BZ262" s="36" t="str">
        <f aca="false">IF(Q262="","",IF(Q262&gt;=200000,"Yes","No"))</f>
        <v/>
      </c>
      <c r="CA262" s="36" t="str">
        <f aca="false">IF(Q262="","",IF(Q262&gt;=250000,"Yes","No"))</f>
        <v/>
      </c>
      <c r="CB262" s="36" t="str">
        <f aca="false">IF(Q262="","",IF(Q262&gt;=300000,"Yes","No"))</f>
        <v/>
      </c>
      <c r="CC262" s="37"/>
      <c r="CD262" s="36" t="str">
        <f aca="true">IF(B262="","",IF(TODAY()-B262&lt;=7,"🟢 0-7d",IF(TODAY()-B262&lt;=30,"🟡 8-30d",IF(TODAY()-B262&lt;=60,"🟠 31-60d","🔴 60d+"))))</f>
        <v/>
      </c>
      <c r="CE262" s="36" t="str">
        <f aca="false">IF(G262="","",IF(G262&lt;&gt;"USA","N/A - Not USA Role",IF(J262="Yes",IF(OR(F262="Intern",F262="New Grad"),"🟡 Possible","🟢 Strong"),IF(J262="No","🔴 Difficult","⚪ Unknown"))))</f>
        <v/>
      </c>
      <c r="CF262" s="37"/>
      <c r="CG262" s="37"/>
      <c r="CH262" s="38"/>
      <c r="CI262" s="38"/>
      <c r="CJ262" s="38"/>
      <c r="CK262" s="38"/>
    </row>
    <row r="263" customFormat="false" ht="15" hidden="false" customHeight="true" outlineLevel="0" collapsed="false">
      <c r="A263" s="26" t="str">
        <f aca="false">IF($C263="","",ROW()-3)</f>
        <v/>
      </c>
      <c r="B263" s="27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9"/>
      <c r="N263" s="29"/>
      <c r="O263" s="30" t="str">
        <f aca="false">IFERROR(IF(M263="","",M263*INDEX('00 - Lists'!$M$2:$M$11,MATCH(L263,'00 - Lists'!$L$2:$L$11,0))/100000),"")</f>
        <v/>
      </c>
      <c r="P263" s="30" t="str">
        <f aca="false">IFERROR(IF(N263="","",N263*INDEX('00 - Lists'!$M$2:$M$11,MATCH(L263,'00 - Lists'!$L$2:$L$11,0))/100000),"")</f>
        <v/>
      </c>
      <c r="Q263" s="31" t="str">
        <f aca="false">IFERROR(IF(M263="","",M263*INDEX('00 - Lists'!$N$2:$N$11,MATCH(L263,'00 - Lists'!$L$2:$L$11,0))),"")</f>
        <v/>
      </c>
      <c r="R263" s="31" t="str">
        <f aca="false">IFERROR(IF(N263="","",N263*INDEX('00 - Lists'!$N$2:$N$11,MATCH(L263,'00 - Lists'!$L$2:$L$11,0))),"")</f>
        <v/>
      </c>
      <c r="S263" s="32" t="str">
        <f aca="false">IF(O263="","",IF(O263&gt;=50,"Yes","No"))</f>
        <v/>
      </c>
      <c r="T263" s="32" t="str">
        <f aca="false">IF(Q263="","",IF(Q263&gt;=100000,"Yes","No"))</f>
        <v/>
      </c>
      <c r="U263" s="28"/>
      <c r="V263" s="28"/>
      <c r="W263" s="28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J263" s="34" t="str">
        <f aca="false">IF(OR($BD263&lt;&gt;"",$BF263&lt;&gt;"",$BH263&lt;&gt;""),"Yes","No")</f>
        <v>No</v>
      </c>
      <c r="BK263" s="35" t="str">
        <f aca="false">IFERROR(IF(BD263="","",BD263*INDEX('00 - Lists'!$M$2:$M$11,MATCH(L263,'00 - Lists'!$L$2:$L$11,0))/100000),"")</f>
        <v/>
      </c>
      <c r="BL263" s="35" t="str">
        <f aca="false">IFERROR(IF(BE263="","",BE263*INDEX('00 - Lists'!$M$2:$M$11,MATCH(L263,'00 - Lists'!$L$2:$L$11,0))/100000),"")</f>
        <v/>
      </c>
      <c r="BM263" s="35" t="str">
        <f aca="false">IFERROR(IF(BF263="","",BF263*INDEX('00 - Lists'!$M$2:$M$11,MATCH(L263,'00 - Lists'!$L$2:$L$11,0))/100000),"")</f>
        <v/>
      </c>
      <c r="BN263" s="35" t="str">
        <f aca="false">IFERROR(IF(BG263="","",BG263*INDEX('00 - Lists'!$M$2:$M$11,MATCH(L263,'00 - Lists'!$L$2:$L$11,0))/100000),"")</f>
        <v/>
      </c>
      <c r="BO263" s="35" t="str">
        <f aca="false">IFERROR(IF(BH263="","",BH263*INDEX('00 - Lists'!$M$2:$M$11,MATCH(L263,'00 - Lists'!$L$2:$L$11,0))/100000),"")</f>
        <v/>
      </c>
      <c r="BP263" s="35" t="str">
        <f aca="false">IFERROR(IF(BI263="","",BI263*INDEX('00 - Lists'!$M$2:$M$11,MATCH(L263,'00 - Lists'!$L$2:$L$11,0))/100000),"")</f>
        <v/>
      </c>
      <c r="BS263" s="36" t="str">
        <f aca="false">IF(O263="","",IF(O263&gt;=20,"Yes","No"))</f>
        <v/>
      </c>
      <c r="BT263" s="36" t="str">
        <f aca="false">IF(O263="","",IF(O263&gt;=30,"Yes","No"))</f>
        <v/>
      </c>
      <c r="BU263" s="36" t="str">
        <f aca="false">IF(O263="","",IF(O263&gt;=75,"Yes","No"))</f>
        <v/>
      </c>
      <c r="BV263" s="36" t="str">
        <f aca="false">IF(O263="","",IF(O263&gt;=100,"Yes","No"))</f>
        <v/>
      </c>
      <c r="BW263" s="36" t="str">
        <f aca="false">IF(O263="","",IF(O263&gt;=150,"Yes","No"))</f>
        <v/>
      </c>
      <c r="BX263" s="36" t="str">
        <f aca="false">IF(O263="","",IF(O263&gt;=200,"Yes","No"))</f>
        <v/>
      </c>
      <c r="BY263" s="36" t="str">
        <f aca="false">IF(Q263="","",IF(Q263&gt;=150000,"Yes","No"))</f>
        <v/>
      </c>
      <c r="BZ263" s="36" t="str">
        <f aca="false">IF(Q263="","",IF(Q263&gt;=200000,"Yes","No"))</f>
        <v/>
      </c>
      <c r="CA263" s="36" t="str">
        <f aca="false">IF(Q263="","",IF(Q263&gt;=250000,"Yes","No"))</f>
        <v/>
      </c>
      <c r="CB263" s="36" t="str">
        <f aca="false">IF(Q263="","",IF(Q263&gt;=300000,"Yes","No"))</f>
        <v/>
      </c>
      <c r="CC263" s="37"/>
      <c r="CD263" s="36" t="str">
        <f aca="true">IF(B263="","",IF(TODAY()-B263&lt;=7,"🟢 0-7d",IF(TODAY()-B263&lt;=30,"🟡 8-30d",IF(TODAY()-B263&lt;=60,"🟠 31-60d","🔴 60d+"))))</f>
        <v/>
      </c>
      <c r="CE263" s="36" t="str">
        <f aca="false">IF(G263="","",IF(G263&lt;&gt;"USA","N/A - Not USA Role",IF(J263="Yes",IF(OR(F263="Intern",F263="New Grad"),"🟡 Possible","🟢 Strong"),IF(J263="No","🔴 Difficult","⚪ Unknown"))))</f>
        <v/>
      </c>
      <c r="CF263" s="37"/>
      <c r="CG263" s="37"/>
      <c r="CH263" s="38"/>
      <c r="CI263" s="38"/>
      <c r="CJ263" s="38"/>
      <c r="CK263" s="38"/>
    </row>
    <row r="264" customFormat="false" ht="15" hidden="false" customHeight="true" outlineLevel="0" collapsed="false">
      <c r="A264" s="26" t="str">
        <f aca="false">IF($C264="","",ROW()-3)</f>
        <v/>
      </c>
      <c r="B264" s="27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9"/>
      <c r="N264" s="29"/>
      <c r="O264" s="30" t="str">
        <f aca="false">IFERROR(IF(M264="","",M264*INDEX('00 - Lists'!$M$2:$M$11,MATCH(L264,'00 - Lists'!$L$2:$L$11,0))/100000),"")</f>
        <v/>
      </c>
      <c r="P264" s="30" t="str">
        <f aca="false">IFERROR(IF(N264="","",N264*INDEX('00 - Lists'!$M$2:$M$11,MATCH(L264,'00 - Lists'!$L$2:$L$11,0))/100000),"")</f>
        <v/>
      </c>
      <c r="Q264" s="31" t="str">
        <f aca="false">IFERROR(IF(M264="","",M264*INDEX('00 - Lists'!$N$2:$N$11,MATCH(L264,'00 - Lists'!$L$2:$L$11,0))),"")</f>
        <v/>
      </c>
      <c r="R264" s="31" t="str">
        <f aca="false">IFERROR(IF(N264="","",N264*INDEX('00 - Lists'!$N$2:$N$11,MATCH(L264,'00 - Lists'!$L$2:$L$11,0))),"")</f>
        <v/>
      </c>
      <c r="S264" s="32" t="str">
        <f aca="false">IF(O264="","",IF(O264&gt;=50,"Yes","No"))</f>
        <v/>
      </c>
      <c r="T264" s="32" t="str">
        <f aca="false">IF(Q264="","",IF(Q264&gt;=100000,"Yes","No"))</f>
        <v/>
      </c>
      <c r="U264" s="28"/>
      <c r="V264" s="28"/>
      <c r="W264" s="28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J264" s="34" t="str">
        <f aca="false">IF(OR($BD264&lt;&gt;"",$BF264&lt;&gt;"",$BH264&lt;&gt;""),"Yes","No")</f>
        <v>No</v>
      </c>
      <c r="BK264" s="35" t="str">
        <f aca="false">IFERROR(IF(BD264="","",BD264*INDEX('00 - Lists'!$M$2:$M$11,MATCH(L264,'00 - Lists'!$L$2:$L$11,0))/100000),"")</f>
        <v/>
      </c>
      <c r="BL264" s="35" t="str">
        <f aca="false">IFERROR(IF(BE264="","",BE264*INDEX('00 - Lists'!$M$2:$M$11,MATCH(L264,'00 - Lists'!$L$2:$L$11,0))/100000),"")</f>
        <v/>
      </c>
      <c r="BM264" s="35" t="str">
        <f aca="false">IFERROR(IF(BF264="","",BF264*INDEX('00 - Lists'!$M$2:$M$11,MATCH(L264,'00 - Lists'!$L$2:$L$11,0))/100000),"")</f>
        <v/>
      </c>
      <c r="BN264" s="35" t="str">
        <f aca="false">IFERROR(IF(BG264="","",BG264*INDEX('00 - Lists'!$M$2:$M$11,MATCH(L264,'00 - Lists'!$L$2:$L$11,0))/100000),"")</f>
        <v/>
      </c>
      <c r="BO264" s="35" t="str">
        <f aca="false">IFERROR(IF(BH264="","",BH264*INDEX('00 - Lists'!$M$2:$M$11,MATCH(L264,'00 - Lists'!$L$2:$L$11,0))/100000),"")</f>
        <v/>
      </c>
      <c r="BP264" s="35" t="str">
        <f aca="false">IFERROR(IF(BI264="","",BI264*INDEX('00 - Lists'!$M$2:$M$11,MATCH(L264,'00 - Lists'!$L$2:$L$11,0))/100000),"")</f>
        <v/>
      </c>
      <c r="BS264" s="36" t="str">
        <f aca="false">IF(O264="","",IF(O264&gt;=20,"Yes","No"))</f>
        <v/>
      </c>
      <c r="BT264" s="36" t="str">
        <f aca="false">IF(O264="","",IF(O264&gt;=30,"Yes","No"))</f>
        <v/>
      </c>
      <c r="BU264" s="36" t="str">
        <f aca="false">IF(O264="","",IF(O264&gt;=75,"Yes","No"))</f>
        <v/>
      </c>
      <c r="BV264" s="36" t="str">
        <f aca="false">IF(O264="","",IF(O264&gt;=100,"Yes","No"))</f>
        <v/>
      </c>
      <c r="BW264" s="36" t="str">
        <f aca="false">IF(O264="","",IF(O264&gt;=150,"Yes","No"))</f>
        <v/>
      </c>
      <c r="BX264" s="36" t="str">
        <f aca="false">IF(O264="","",IF(O264&gt;=200,"Yes","No"))</f>
        <v/>
      </c>
      <c r="BY264" s="36" t="str">
        <f aca="false">IF(Q264="","",IF(Q264&gt;=150000,"Yes","No"))</f>
        <v/>
      </c>
      <c r="BZ264" s="36" t="str">
        <f aca="false">IF(Q264="","",IF(Q264&gt;=200000,"Yes","No"))</f>
        <v/>
      </c>
      <c r="CA264" s="36" t="str">
        <f aca="false">IF(Q264="","",IF(Q264&gt;=250000,"Yes","No"))</f>
        <v/>
      </c>
      <c r="CB264" s="36" t="str">
        <f aca="false">IF(Q264="","",IF(Q264&gt;=300000,"Yes","No"))</f>
        <v/>
      </c>
      <c r="CC264" s="37"/>
      <c r="CD264" s="36" t="str">
        <f aca="true">IF(B264="","",IF(TODAY()-B264&lt;=7,"🟢 0-7d",IF(TODAY()-B264&lt;=30,"🟡 8-30d",IF(TODAY()-B264&lt;=60,"🟠 31-60d","🔴 60d+"))))</f>
        <v/>
      </c>
      <c r="CE264" s="36" t="str">
        <f aca="false">IF(G264="","",IF(G264&lt;&gt;"USA","N/A - Not USA Role",IF(J264="Yes",IF(OR(F264="Intern",F264="New Grad"),"🟡 Possible","🟢 Strong"),IF(J264="No","🔴 Difficult","⚪ Unknown"))))</f>
        <v/>
      </c>
      <c r="CF264" s="37"/>
      <c r="CG264" s="37"/>
      <c r="CH264" s="38"/>
      <c r="CI264" s="38"/>
      <c r="CJ264" s="38"/>
      <c r="CK264" s="38"/>
    </row>
    <row r="265" customFormat="false" ht="15" hidden="false" customHeight="true" outlineLevel="0" collapsed="false">
      <c r="A265" s="26" t="str">
        <f aca="false">IF($C265="","",ROW()-3)</f>
        <v/>
      </c>
      <c r="B265" s="27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9"/>
      <c r="N265" s="29"/>
      <c r="O265" s="30" t="str">
        <f aca="false">IFERROR(IF(M265="","",M265*INDEX('00 - Lists'!$M$2:$M$11,MATCH(L265,'00 - Lists'!$L$2:$L$11,0))/100000),"")</f>
        <v/>
      </c>
      <c r="P265" s="30" t="str">
        <f aca="false">IFERROR(IF(N265="","",N265*INDEX('00 - Lists'!$M$2:$M$11,MATCH(L265,'00 - Lists'!$L$2:$L$11,0))/100000),"")</f>
        <v/>
      </c>
      <c r="Q265" s="31" t="str">
        <f aca="false">IFERROR(IF(M265="","",M265*INDEX('00 - Lists'!$N$2:$N$11,MATCH(L265,'00 - Lists'!$L$2:$L$11,0))),"")</f>
        <v/>
      </c>
      <c r="R265" s="31" t="str">
        <f aca="false">IFERROR(IF(N265="","",N265*INDEX('00 - Lists'!$N$2:$N$11,MATCH(L265,'00 - Lists'!$L$2:$L$11,0))),"")</f>
        <v/>
      </c>
      <c r="S265" s="32" t="str">
        <f aca="false">IF(O265="","",IF(O265&gt;=50,"Yes","No"))</f>
        <v/>
      </c>
      <c r="T265" s="32" t="str">
        <f aca="false">IF(Q265="","",IF(Q265&gt;=100000,"Yes","No"))</f>
        <v/>
      </c>
      <c r="U265" s="28"/>
      <c r="V265" s="28"/>
      <c r="W265" s="28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J265" s="34" t="str">
        <f aca="false">IF(OR($BD265&lt;&gt;"",$BF265&lt;&gt;"",$BH265&lt;&gt;""),"Yes","No")</f>
        <v>No</v>
      </c>
      <c r="BK265" s="35" t="str">
        <f aca="false">IFERROR(IF(BD265="","",BD265*INDEX('00 - Lists'!$M$2:$M$11,MATCH(L265,'00 - Lists'!$L$2:$L$11,0))/100000),"")</f>
        <v/>
      </c>
      <c r="BL265" s="35" t="str">
        <f aca="false">IFERROR(IF(BE265="","",BE265*INDEX('00 - Lists'!$M$2:$M$11,MATCH(L265,'00 - Lists'!$L$2:$L$11,0))/100000),"")</f>
        <v/>
      </c>
      <c r="BM265" s="35" t="str">
        <f aca="false">IFERROR(IF(BF265="","",BF265*INDEX('00 - Lists'!$M$2:$M$11,MATCH(L265,'00 - Lists'!$L$2:$L$11,0))/100000),"")</f>
        <v/>
      </c>
      <c r="BN265" s="35" t="str">
        <f aca="false">IFERROR(IF(BG265="","",BG265*INDEX('00 - Lists'!$M$2:$M$11,MATCH(L265,'00 - Lists'!$L$2:$L$11,0))/100000),"")</f>
        <v/>
      </c>
      <c r="BO265" s="35" t="str">
        <f aca="false">IFERROR(IF(BH265="","",BH265*INDEX('00 - Lists'!$M$2:$M$11,MATCH(L265,'00 - Lists'!$L$2:$L$11,0))/100000),"")</f>
        <v/>
      </c>
      <c r="BP265" s="35" t="str">
        <f aca="false">IFERROR(IF(BI265="","",BI265*INDEX('00 - Lists'!$M$2:$M$11,MATCH(L265,'00 - Lists'!$L$2:$L$11,0))/100000),"")</f>
        <v/>
      </c>
      <c r="BS265" s="36" t="str">
        <f aca="false">IF(O265="","",IF(O265&gt;=20,"Yes","No"))</f>
        <v/>
      </c>
      <c r="BT265" s="36" t="str">
        <f aca="false">IF(O265="","",IF(O265&gt;=30,"Yes","No"))</f>
        <v/>
      </c>
      <c r="BU265" s="36" t="str">
        <f aca="false">IF(O265="","",IF(O265&gt;=75,"Yes","No"))</f>
        <v/>
      </c>
      <c r="BV265" s="36" t="str">
        <f aca="false">IF(O265="","",IF(O265&gt;=100,"Yes","No"))</f>
        <v/>
      </c>
      <c r="BW265" s="36" t="str">
        <f aca="false">IF(O265="","",IF(O265&gt;=150,"Yes","No"))</f>
        <v/>
      </c>
      <c r="BX265" s="36" t="str">
        <f aca="false">IF(O265="","",IF(O265&gt;=200,"Yes","No"))</f>
        <v/>
      </c>
      <c r="BY265" s="36" t="str">
        <f aca="false">IF(Q265="","",IF(Q265&gt;=150000,"Yes","No"))</f>
        <v/>
      </c>
      <c r="BZ265" s="36" t="str">
        <f aca="false">IF(Q265="","",IF(Q265&gt;=200000,"Yes","No"))</f>
        <v/>
      </c>
      <c r="CA265" s="36" t="str">
        <f aca="false">IF(Q265="","",IF(Q265&gt;=250000,"Yes","No"))</f>
        <v/>
      </c>
      <c r="CB265" s="36" t="str">
        <f aca="false">IF(Q265="","",IF(Q265&gt;=300000,"Yes","No"))</f>
        <v/>
      </c>
      <c r="CC265" s="37"/>
      <c r="CD265" s="36" t="str">
        <f aca="true">IF(B265="","",IF(TODAY()-B265&lt;=7,"🟢 0-7d",IF(TODAY()-B265&lt;=30,"🟡 8-30d",IF(TODAY()-B265&lt;=60,"🟠 31-60d","🔴 60d+"))))</f>
        <v/>
      </c>
      <c r="CE265" s="36" t="str">
        <f aca="false">IF(G265="","",IF(G265&lt;&gt;"USA","N/A - Not USA Role",IF(J265="Yes",IF(OR(F265="Intern",F265="New Grad"),"🟡 Possible","🟢 Strong"),IF(J265="No","🔴 Difficult","⚪ Unknown"))))</f>
        <v/>
      </c>
      <c r="CF265" s="37"/>
      <c r="CG265" s="37"/>
      <c r="CH265" s="38"/>
      <c r="CI265" s="38"/>
      <c r="CJ265" s="38"/>
      <c r="CK265" s="38"/>
    </row>
    <row r="266" customFormat="false" ht="15" hidden="false" customHeight="true" outlineLevel="0" collapsed="false">
      <c r="A266" s="26" t="str">
        <f aca="false">IF($C266="","",ROW()-3)</f>
        <v/>
      </c>
      <c r="B266" s="27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9"/>
      <c r="N266" s="29"/>
      <c r="O266" s="30" t="str">
        <f aca="false">IFERROR(IF(M266="","",M266*INDEX('00 - Lists'!$M$2:$M$11,MATCH(L266,'00 - Lists'!$L$2:$L$11,0))/100000),"")</f>
        <v/>
      </c>
      <c r="P266" s="30" t="str">
        <f aca="false">IFERROR(IF(N266="","",N266*INDEX('00 - Lists'!$M$2:$M$11,MATCH(L266,'00 - Lists'!$L$2:$L$11,0))/100000),"")</f>
        <v/>
      </c>
      <c r="Q266" s="31" t="str">
        <f aca="false">IFERROR(IF(M266="","",M266*INDEX('00 - Lists'!$N$2:$N$11,MATCH(L266,'00 - Lists'!$L$2:$L$11,0))),"")</f>
        <v/>
      </c>
      <c r="R266" s="31" t="str">
        <f aca="false">IFERROR(IF(N266="","",N266*INDEX('00 - Lists'!$N$2:$N$11,MATCH(L266,'00 - Lists'!$L$2:$L$11,0))),"")</f>
        <v/>
      </c>
      <c r="S266" s="32" t="str">
        <f aca="false">IF(O266="","",IF(O266&gt;=50,"Yes","No"))</f>
        <v/>
      </c>
      <c r="T266" s="32" t="str">
        <f aca="false">IF(Q266="","",IF(Q266&gt;=100000,"Yes","No"))</f>
        <v/>
      </c>
      <c r="U266" s="28"/>
      <c r="V266" s="28"/>
      <c r="W266" s="28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J266" s="34" t="str">
        <f aca="false">IF(OR($BD266&lt;&gt;"",$BF266&lt;&gt;"",$BH266&lt;&gt;""),"Yes","No")</f>
        <v>No</v>
      </c>
      <c r="BK266" s="35" t="str">
        <f aca="false">IFERROR(IF(BD266="","",BD266*INDEX('00 - Lists'!$M$2:$M$11,MATCH(L266,'00 - Lists'!$L$2:$L$11,0))/100000),"")</f>
        <v/>
      </c>
      <c r="BL266" s="35" t="str">
        <f aca="false">IFERROR(IF(BE266="","",BE266*INDEX('00 - Lists'!$M$2:$M$11,MATCH(L266,'00 - Lists'!$L$2:$L$11,0))/100000),"")</f>
        <v/>
      </c>
      <c r="BM266" s="35" t="str">
        <f aca="false">IFERROR(IF(BF266="","",BF266*INDEX('00 - Lists'!$M$2:$M$11,MATCH(L266,'00 - Lists'!$L$2:$L$11,0))/100000),"")</f>
        <v/>
      </c>
      <c r="BN266" s="35" t="str">
        <f aca="false">IFERROR(IF(BG266="","",BG266*INDEX('00 - Lists'!$M$2:$M$11,MATCH(L266,'00 - Lists'!$L$2:$L$11,0))/100000),"")</f>
        <v/>
      </c>
      <c r="BO266" s="35" t="str">
        <f aca="false">IFERROR(IF(BH266="","",BH266*INDEX('00 - Lists'!$M$2:$M$11,MATCH(L266,'00 - Lists'!$L$2:$L$11,0))/100000),"")</f>
        <v/>
      </c>
      <c r="BP266" s="35" t="str">
        <f aca="false">IFERROR(IF(BI266="","",BI266*INDEX('00 - Lists'!$M$2:$M$11,MATCH(L266,'00 - Lists'!$L$2:$L$11,0))/100000),"")</f>
        <v/>
      </c>
      <c r="BS266" s="36" t="str">
        <f aca="false">IF(O266="","",IF(O266&gt;=20,"Yes","No"))</f>
        <v/>
      </c>
      <c r="BT266" s="36" t="str">
        <f aca="false">IF(O266="","",IF(O266&gt;=30,"Yes","No"))</f>
        <v/>
      </c>
      <c r="BU266" s="36" t="str">
        <f aca="false">IF(O266="","",IF(O266&gt;=75,"Yes","No"))</f>
        <v/>
      </c>
      <c r="BV266" s="36" t="str">
        <f aca="false">IF(O266="","",IF(O266&gt;=100,"Yes","No"))</f>
        <v/>
      </c>
      <c r="BW266" s="36" t="str">
        <f aca="false">IF(O266="","",IF(O266&gt;=150,"Yes","No"))</f>
        <v/>
      </c>
      <c r="BX266" s="36" t="str">
        <f aca="false">IF(O266="","",IF(O266&gt;=200,"Yes","No"))</f>
        <v/>
      </c>
      <c r="BY266" s="36" t="str">
        <f aca="false">IF(Q266="","",IF(Q266&gt;=150000,"Yes","No"))</f>
        <v/>
      </c>
      <c r="BZ266" s="36" t="str">
        <f aca="false">IF(Q266="","",IF(Q266&gt;=200000,"Yes","No"))</f>
        <v/>
      </c>
      <c r="CA266" s="36" t="str">
        <f aca="false">IF(Q266="","",IF(Q266&gt;=250000,"Yes","No"))</f>
        <v/>
      </c>
      <c r="CB266" s="36" t="str">
        <f aca="false">IF(Q266="","",IF(Q266&gt;=300000,"Yes","No"))</f>
        <v/>
      </c>
      <c r="CC266" s="37"/>
      <c r="CD266" s="36" t="str">
        <f aca="true">IF(B266="","",IF(TODAY()-B266&lt;=7,"🟢 0-7d",IF(TODAY()-B266&lt;=30,"🟡 8-30d",IF(TODAY()-B266&lt;=60,"🟠 31-60d","🔴 60d+"))))</f>
        <v/>
      </c>
      <c r="CE266" s="36" t="str">
        <f aca="false">IF(G266="","",IF(G266&lt;&gt;"USA","N/A - Not USA Role",IF(J266="Yes",IF(OR(F266="Intern",F266="New Grad"),"🟡 Possible","🟢 Strong"),IF(J266="No","🔴 Difficult","⚪ Unknown"))))</f>
        <v/>
      </c>
      <c r="CF266" s="37"/>
      <c r="CG266" s="37"/>
      <c r="CH266" s="38"/>
      <c r="CI266" s="38"/>
      <c r="CJ266" s="38"/>
      <c r="CK266" s="38"/>
    </row>
    <row r="267" customFormat="false" ht="15" hidden="false" customHeight="true" outlineLevel="0" collapsed="false">
      <c r="A267" s="26" t="str">
        <f aca="false">IF($C267="","",ROW()-3)</f>
        <v/>
      </c>
      <c r="B267" s="27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9"/>
      <c r="N267" s="29"/>
      <c r="O267" s="30" t="str">
        <f aca="false">IFERROR(IF(M267="","",M267*INDEX('00 - Lists'!$M$2:$M$11,MATCH(L267,'00 - Lists'!$L$2:$L$11,0))/100000),"")</f>
        <v/>
      </c>
      <c r="P267" s="30" t="str">
        <f aca="false">IFERROR(IF(N267="","",N267*INDEX('00 - Lists'!$M$2:$M$11,MATCH(L267,'00 - Lists'!$L$2:$L$11,0))/100000),"")</f>
        <v/>
      </c>
      <c r="Q267" s="31" t="str">
        <f aca="false">IFERROR(IF(M267="","",M267*INDEX('00 - Lists'!$N$2:$N$11,MATCH(L267,'00 - Lists'!$L$2:$L$11,0))),"")</f>
        <v/>
      </c>
      <c r="R267" s="31" t="str">
        <f aca="false">IFERROR(IF(N267="","",N267*INDEX('00 - Lists'!$N$2:$N$11,MATCH(L267,'00 - Lists'!$L$2:$L$11,0))),"")</f>
        <v/>
      </c>
      <c r="S267" s="32" t="str">
        <f aca="false">IF(O267="","",IF(O267&gt;=50,"Yes","No"))</f>
        <v/>
      </c>
      <c r="T267" s="32" t="str">
        <f aca="false">IF(Q267="","",IF(Q267&gt;=100000,"Yes","No"))</f>
        <v/>
      </c>
      <c r="U267" s="28"/>
      <c r="V267" s="28"/>
      <c r="W267" s="28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J267" s="34" t="str">
        <f aca="false">IF(OR($BD267&lt;&gt;"",$BF267&lt;&gt;"",$BH267&lt;&gt;""),"Yes","No")</f>
        <v>No</v>
      </c>
      <c r="BK267" s="35" t="str">
        <f aca="false">IFERROR(IF(BD267="","",BD267*INDEX('00 - Lists'!$M$2:$M$11,MATCH(L267,'00 - Lists'!$L$2:$L$11,0))/100000),"")</f>
        <v/>
      </c>
      <c r="BL267" s="35" t="str">
        <f aca="false">IFERROR(IF(BE267="","",BE267*INDEX('00 - Lists'!$M$2:$M$11,MATCH(L267,'00 - Lists'!$L$2:$L$11,0))/100000),"")</f>
        <v/>
      </c>
      <c r="BM267" s="35" t="str">
        <f aca="false">IFERROR(IF(BF267="","",BF267*INDEX('00 - Lists'!$M$2:$M$11,MATCH(L267,'00 - Lists'!$L$2:$L$11,0))/100000),"")</f>
        <v/>
      </c>
      <c r="BN267" s="35" t="str">
        <f aca="false">IFERROR(IF(BG267="","",BG267*INDEX('00 - Lists'!$M$2:$M$11,MATCH(L267,'00 - Lists'!$L$2:$L$11,0))/100000),"")</f>
        <v/>
      </c>
      <c r="BO267" s="35" t="str">
        <f aca="false">IFERROR(IF(BH267="","",BH267*INDEX('00 - Lists'!$M$2:$M$11,MATCH(L267,'00 - Lists'!$L$2:$L$11,0))/100000),"")</f>
        <v/>
      </c>
      <c r="BP267" s="35" t="str">
        <f aca="false">IFERROR(IF(BI267="","",BI267*INDEX('00 - Lists'!$M$2:$M$11,MATCH(L267,'00 - Lists'!$L$2:$L$11,0))/100000),"")</f>
        <v/>
      </c>
      <c r="BS267" s="36" t="str">
        <f aca="false">IF(O267="","",IF(O267&gt;=20,"Yes","No"))</f>
        <v/>
      </c>
      <c r="BT267" s="36" t="str">
        <f aca="false">IF(O267="","",IF(O267&gt;=30,"Yes","No"))</f>
        <v/>
      </c>
      <c r="BU267" s="36" t="str">
        <f aca="false">IF(O267="","",IF(O267&gt;=75,"Yes","No"))</f>
        <v/>
      </c>
      <c r="BV267" s="36" t="str">
        <f aca="false">IF(O267="","",IF(O267&gt;=100,"Yes","No"))</f>
        <v/>
      </c>
      <c r="BW267" s="36" t="str">
        <f aca="false">IF(O267="","",IF(O267&gt;=150,"Yes","No"))</f>
        <v/>
      </c>
      <c r="BX267" s="36" t="str">
        <f aca="false">IF(O267="","",IF(O267&gt;=200,"Yes","No"))</f>
        <v/>
      </c>
      <c r="BY267" s="36" t="str">
        <f aca="false">IF(Q267="","",IF(Q267&gt;=150000,"Yes","No"))</f>
        <v/>
      </c>
      <c r="BZ267" s="36" t="str">
        <f aca="false">IF(Q267="","",IF(Q267&gt;=200000,"Yes","No"))</f>
        <v/>
      </c>
      <c r="CA267" s="36" t="str">
        <f aca="false">IF(Q267="","",IF(Q267&gt;=250000,"Yes","No"))</f>
        <v/>
      </c>
      <c r="CB267" s="36" t="str">
        <f aca="false">IF(Q267="","",IF(Q267&gt;=300000,"Yes","No"))</f>
        <v/>
      </c>
      <c r="CC267" s="37"/>
      <c r="CD267" s="36" t="str">
        <f aca="true">IF(B267="","",IF(TODAY()-B267&lt;=7,"🟢 0-7d",IF(TODAY()-B267&lt;=30,"🟡 8-30d",IF(TODAY()-B267&lt;=60,"🟠 31-60d","🔴 60d+"))))</f>
        <v/>
      </c>
      <c r="CE267" s="36" t="str">
        <f aca="false">IF(G267="","",IF(G267&lt;&gt;"USA","N/A - Not USA Role",IF(J267="Yes",IF(OR(F267="Intern",F267="New Grad"),"🟡 Possible","🟢 Strong"),IF(J267="No","🔴 Difficult","⚪ Unknown"))))</f>
        <v/>
      </c>
      <c r="CF267" s="37"/>
      <c r="CG267" s="37"/>
      <c r="CH267" s="38"/>
      <c r="CI267" s="38"/>
      <c r="CJ267" s="38"/>
      <c r="CK267" s="38"/>
    </row>
    <row r="268" customFormat="false" ht="15" hidden="false" customHeight="true" outlineLevel="0" collapsed="false">
      <c r="A268" s="26" t="str">
        <f aca="false">IF($C268="","",ROW()-3)</f>
        <v/>
      </c>
      <c r="B268" s="27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9"/>
      <c r="N268" s="29"/>
      <c r="O268" s="30" t="str">
        <f aca="false">IFERROR(IF(M268="","",M268*INDEX('00 - Lists'!$M$2:$M$11,MATCH(L268,'00 - Lists'!$L$2:$L$11,0))/100000),"")</f>
        <v/>
      </c>
      <c r="P268" s="30" t="str">
        <f aca="false">IFERROR(IF(N268="","",N268*INDEX('00 - Lists'!$M$2:$M$11,MATCH(L268,'00 - Lists'!$L$2:$L$11,0))/100000),"")</f>
        <v/>
      </c>
      <c r="Q268" s="31" t="str">
        <f aca="false">IFERROR(IF(M268="","",M268*INDEX('00 - Lists'!$N$2:$N$11,MATCH(L268,'00 - Lists'!$L$2:$L$11,0))),"")</f>
        <v/>
      </c>
      <c r="R268" s="31" t="str">
        <f aca="false">IFERROR(IF(N268="","",N268*INDEX('00 - Lists'!$N$2:$N$11,MATCH(L268,'00 - Lists'!$L$2:$L$11,0))),"")</f>
        <v/>
      </c>
      <c r="S268" s="32" t="str">
        <f aca="false">IF(O268="","",IF(O268&gt;=50,"Yes","No"))</f>
        <v/>
      </c>
      <c r="T268" s="32" t="str">
        <f aca="false">IF(Q268="","",IF(Q268&gt;=100000,"Yes","No"))</f>
        <v/>
      </c>
      <c r="U268" s="28"/>
      <c r="V268" s="28"/>
      <c r="W268" s="28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J268" s="34" t="str">
        <f aca="false">IF(OR($BD268&lt;&gt;"",$BF268&lt;&gt;"",$BH268&lt;&gt;""),"Yes","No")</f>
        <v>No</v>
      </c>
      <c r="BK268" s="35" t="str">
        <f aca="false">IFERROR(IF(BD268="","",BD268*INDEX('00 - Lists'!$M$2:$M$11,MATCH(L268,'00 - Lists'!$L$2:$L$11,0))/100000),"")</f>
        <v/>
      </c>
      <c r="BL268" s="35" t="str">
        <f aca="false">IFERROR(IF(BE268="","",BE268*INDEX('00 - Lists'!$M$2:$M$11,MATCH(L268,'00 - Lists'!$L$2:$L$11,0))/100000),"")</f>
        <v/>
      </c>
      <c r="BM268" s="35" t="str">
        <f aca="false">IFERROR(IF(BF268="","",BF268*INDEX('00 - Lists'!$M$2:$M$11,MATCH(L268,'00 - Lists'!$L$2:$L$11,0))/100000),"")</f>
        <v/>
      </c>
      <c r="BN268" s="35" t="str">
        <f aca="false">IFERROR(IF(BG268="","",BG268*INDEX('00 - Lists'!$M$2:$M$11,MATCH(L268,'00 - Lists'!$L$2:$L$11,0))/100000),"")</f>
        <v/>
      </c>
      <c r="BO268" s="35" t="str">
        <f aca="false">IFERROR(IF(BH268="","",BH268*INDEX('00 - Lists'!$M$2:$M$11,MATCH(L268,'00 - Lists'!$L$2:$L$11,0))/100000),"")</f>
        <v/>
      </c>
      <c r="BP268" s="35" t="str">
        <f aca="false">IFERROR(IF(BI268="","",BI268*INDEX('00 - Lists'!$M$2:$M$11,MATCH(L268,'00 - Lists'!$L$2:$L$11,0))/100000),"")</f>
        <v/>
      </c>
      <c r="BS268" s="36" t="str">
        <f aca="false">IF(O268="","",IF(O268&gt;=20,"Yes","No"))</f>
        <v/>
      </c>
      <c r="BT268" s="36" t="str">
        <f aca="false">IF(O268="","",IF(O268&gt;=30,"Yes","No"))</f>
        <v/>
      </c>
      <c r="BU268" s="36" t="str">
        <f aca="false">IF(O268="","",IF(O268&gt;=75,"Yes","No"))</f>
        <v/>
      </c>
      <c r="BV268" s="36" t="str">
        <f aca="false">IF(O268="","",IF(O268&gt;=100,"Yes","No"))</f>
        <v/>
      </c>
      <c r="BW268" s="36" t="str">
        <f aca="false">IF(O268="","",IF(O268&gt;=150,"Yes","No"))</f>
        <v/>
      </c>
      <c r="BX268" s="36" t="str">
        <f aca="false">IF(O268="","",IF(O268&gt;=200,"Yes","No"))</f>
        <v/>
      </c>
      <c r="BY268" s="36" t="str">
        <f aca="false">IF(Q268="","",IF(Q268&gt;=150000,"Yes","No"))</f>
        <v/>
      </c>
      <c r="BZ268" s="36" t="str">
        <f aca="false">IF(Q268="","",IF(Q268&gt;=200000,"Yes","No"))</f>
        <v/>
      </c>
      <c r="CA268" s="36" t="str">
        <f aca="false">IF(Q268="","",IF(Q268&gt;=250000,"Yes","No"))</f>
        <v/>
      </c>
      <c r="CB268" s="36" t="str">
        <f aca="false">IF(Q268="","",IF(Q268&gt;=300000,"Yes","No"))</f>
        <v/>
      </c>
      <c r="CC268" s="37"/>
      <c r="CD268" s="36" t="str">
        <f aca="true">IF(B268="","",IF(TODAY()-B268&lt;=7,"🟢 0-7d",IF(TODAY()-B268&lt;=30,"🟡 8-30d",IF(TODAY()-B268&lt;=60,"🟠 31-60d","🔴 60d+"))))</f>
        <v/>
      </c>
      <c r="CE268" s="36" t="str">
        <f aca="false">IF(G268="","",IF(G268&lt;&gt;"USA","N/A - Not USA Role",IF(J268="Yes",IF(OR(F268="Intern",F268="New Grad"),"🟡 Possible","🟢 Strong"),IF(J268="No","🔴 Difficult","⚪ Unknown"))))</f>
        <v/>
      </c>
      <c r="CF268" s="37"/>
      <c r="CG268" s="37"/>
      <c r="CH268" s="38"/>
      <c r="CI268" s="38"/>
      <c r="CJ268" s="38"/>
      <c r="CK268" s="38"/>
    </row>
    <row r="269" customFormat="false" ht="15" hidden="false" customHeight="true" outlineLevel="0" collapsed="false">
      <c r="A269" s="26" t="str">
        <f aca="false">IF($C269="","",ROW()-3)</f>
        <v/>
      </c>
      <c r="B269" s="27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9"/>
      <c r="N269" s="29"/>
      <c r="O269" s="30" t="str">
        <f aca="false">IFERROR(IF(M269="","",M269*INDEX('00 - Lists'!$M$2:$M$11,MATCH(L269,'00 - Lists'!$L$2:$L$11,0))/100000),"")</f>
        <v/>
      </c>
      <c r="P269" s="30" t="str">
        <f aca="false">IFERROR(IF(N269="","",N269*INDEX('00 - Lists'!$M$2:$M$11,MATCH(L269,'00 - Lists'!$L$2:$L$11,0))/100000),"")</f>
        <v/>
      </c>
      <c r="Q269" s="31" t="str">
        <f aca="false">IFERROR(IF(M269="","",M269*INDEX('00 - Lists'!$N$2:$N$11,MATCH(L269,'00 - Lists'!$L$2:$L$11,0))),"")</f>
        <v/>
      </c>
      <c r="R269" s="31" t="str">
        <f aca="false">IFERROR(IF(N269="","",N269*INDEX('00 - Lists'!$N$2:$N$11,MATCH(L269,'00 - Lists'!$L$2:$L$11,0))),"")</f>
        <v/>
      </c>
      <c r="S269" s="32" t="str">
        <f aca="false">IF(O269="","",IF(O269&gt;=50,"Yes","No"))</f>
        <v/>
      </c>
      <c r="T269" s="32" t="str">
        <f aca="false">IF(Q269="","",IF(Q269&gt;=100000,"Yes","No"))</f>
        <v/>
      </c>
      <c r="U269" s="28"/>
      <c r="V269" s="28"/>
      <c r="W269" s="28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J269" s="34" t="str">
        <f aca="false">IF(OR($BD269&lt;&gt;"",$BF269&lt;&gt;"",$BH269&lt;&gt;""),"Yes","No")</f>
        <v>No</v>
      </c>
      <c r="BK269" s="35" t="str">
        <f aca="false">IFERROR(IF(BD269="","",BD269*INDEX('00 - Lists'!$M$2:$M$11,MATCH(L269,'00 - Lists'!$L$2:$L$11,0))/100000),"")</f>
        <v/>
      </c>
      <c r="BL269" s="35" t="str">
        <f aca="false">IFERROR(IF(BE269="","",BE269*INDEX('00 - Lists'!$M$2:$M$11,MATCH(L269,'00 - Lists'!$L$2:$L$11,0))/100000),"")</f>
        <v/>
      </c>
      <c r="BM269" s="35" t="str">
        <f aca="false">IFERROR(IF(BF269="","",BF269*INDEX('00 - Lists'!$M$2:$M$11,MATCH(L269,'00 - Lists'!$L$2:$L$11,0))/100000),"")</f>
        <v/>
      </c>
      <c r="BN269" s="35" t="str">
        <f aca="false">IFERROR(IF(BG269="","",BG269*INDEX('00 - Lists'!$M$2:$M$11,MATCH(L269,'00 - Lists'!$L$2:$L$11,0))/100000),"")</f>
        <v/>
      </c>
      <c r="BO269" s="35" t="str">
        <f aca="false">IFERROR(IF(BH269="","",BH269*INDEX('00 - Lists'!$M$2:$M$11,MATCH(L269,'00 - Lists'!$L$2:$L$11,0))/100000),"")</f>
        <v/>
      </c>
      <c r="BP269" s="35" t="str">
        <f aca="false">IFERROR(IF(BI269="","",BI269*INDEX('00 - Lists'!$M$2:$M$11,MATCH(L269,'00 - Lists'!$L$2:$L$11,0))/100000),"")</f>
        <v/>
      </c>
      <c r="BS269" s="36" t="str">
        <f aca="false">IF(O269="","",IF(O269&gt;=20,"Yes","No"))</f>
        <v/>
      </c>
      <c r="BT269" s="36" t="str">
        <f aca="false">IF(O269="","",IF(O269&gt;=30,"Yes","No"))</f>
        <v/>
      </c>
      <c r="BU269" s="36" t="str">
        <f aca="false">IF(O269="","",IF(O269&gt;=75,"Yes","No"))</f>
        <v/>
      </c>
      <c r="BV269" s="36" t="str">
        <f aca="false">IF(O269="","",IF(O269&gt;=100,"Yes","No"))</f>
        <v/>
      </c>
      <c r="BW269" s="36" t="str">
        <f aca="false">IF(O269="","",IF(O269&gt;=150,"Yes","No"))</f>
        <v/>
      </c>
      <c r="BX269" s="36" t="str">
        <f aca="false">IF(O269="","",IF(O269&gt;=200,"Yes","No"))</f>
        <v/>
      </c>
      <c r="BY269" s="36" t="str">
        <f aca="false">IF(Q269="","",IF(Q269&gt;=150000,"Yes","No"))</f>
        <v/>
      </c>
      <c r="BZ269" s="36" t="str">
        <f aca="false">IF(Q269="","",IF(Q269&gt;=200000,"Yes","No"))</f>
        <v/>
      </c>
      <c r="CA269" s="36" t="str">
        <f aca="false">IF(Q269="","",IF(Q269&gt;=250000,"Yes","No"))</f>
        <v/>
      </c>
      <c r="CB269" s="36" t="str">
        <f aca="false">IF(Q269="","",IF(Q269&gt;=300000,"Yes","No"))</f>
        <v/>
      </c>
      <c r="CC269" s="37"/>
      <c r="CD269" s="36" t="str">
        <f aca="true">IF(B269="","",IF(TODAY()-B269&lt;=7,"🟢 0-7d",IF(TODAY()-B269&lt;=30,"🟡 8-30d",IF(TODAY()-B269&lt;=60,"🟠 31-60d","🔴 60d+"))))</f>
        <v/>
      </c>
      <c r="CE269" s="36" t="str">
        <f aca="false">IF(G269="","",IF(G269&lt;&gt;"USA","N/A - Not USA Role",IF(J269="Yes",IF(OR(F269="Intern",F269="New Grad"),"🟡 Possible","🟢 Strong"),IF(J269="No","🔴 Difficult","⚪ Unknown"))))</f>
        <v/>
      </c>
      <c r="CF269" s="37"/>
      <c r="CG269" s="37"/>
      <c r="CH269" s="38"/>
      <c r="CI269" s="38"/>
      <c r="CJ269" s="38"/>
      <c r="CK269" s="38"/>
    </row>
    <row r="270" customFormat="false" ht="15" hidden="false" customHeight="true" outlineLevel="0" collapsed="false">
      <c r="A270" s="26" t="str">
        <f aca="false">IF($C270="","",ROW()-3)</f>
        <v/>
      </c>
      <c r="B270" s="27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9"/>
      <c r="N270" s="29"/>
      <c r="O270" s="30" t="str">
        <f aca="false">IFERROR(IF(M270="","",M270*INDEX('00 - Lists'!$M$2:$M$11,MATCH(L270,'00 - Lists'!$L$2:$L$11,0))/100000),"")</f>
        <v/>
      </c>
      <c r="P270" s="30" t="str">
        <f aca="false">IFERROR(IF(N270="","",N270*INDEX('00 - Lists'!$M$2:$M$11,MATCH(L270,'00 - Lists'!$L$2:$L$11,0))/100000),"")</f>
        <v/>
      </c>
      <c r="Q270" s="31" t="str">
        <f aca="false">IFERROR(IF(M270="","",M270*INDEX('00 - Lists'!$N$2:$N$11,MATCH(L270,'00 - Lists'!$L$2:$L$11,0))),"")</f>
        <v/>
      </c>
      <c r="R270" s="31" t="str">
        <f aca="false">IFERROR(IF(N270="","",N270*INDEX('00 - Lists'!$N$2:$N$11,MATCH(L270,'00 - Lists'!$L$2:$L$11,0))),"")</f>
        <v/>
      </c>
      <c r="S270" s="32" t="str">
        <f aca="false">IF(O270="","",IF(O270&gt;=50,"Yes","No"))</f>
        <v/>
      </c>
      <c r="T270" s="32" t="str">
        <f aca="false">IF(Q270="","",IF(Q270&gt;=100000,"Yes","No"))</f>
        <v/>
      </c>
      <c r="U270" s="28"/>
      <c r="V270" s="28"/>
      <c r="W270" s="28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J270" s="34" t="str">
        <f aca="false">IF(OR($BD270&lt;&gt;"",$BF270&lt;&gt;"",$BH270&lt;&gt;""),"Yes","No")</f>
        <v>No</v>
      </c>
      <c r="BK270" s="35" t="str">
        <f aca="false">IFERROR(IF(BD270="","",BD270*INDEX('00 - Lists'!$M$2:$M$11,MATCH(L270,'00 - Lists'!$L$2:$L$11,0))/100000),"")</f>
        <v/>
      </c>
      <c r="BL270" s="35" t="str">
        <f aca="false">IFERROR(IF(BE270="","",BE270*INDEX('00 - Lists'!$M$2:$M$11,MATCH(L270,'00 - Lists'!$L$2:$L$11,0))/100000),"")</f>
        <v/>
      </c>
      <c r="BM270" s="35" t="str">
        <f aca="false">IFERROR(IF(BF270="","",BF270*INDEX('00 - Lists'!$M$2:$M$11,MATCH(L270,'00 - Lists'!$L$2:$L$11,0))/100000),"")</f>
        <v/>
      </c>
      <c r="BN270" s="35" t="str">
        <f aca="false">IFERROR(IF(BG270="","",BG270*INDEX('00 - Lists'!$M$2:$M$11,MATCH(L270,'00 - Lists'!$L$2:$L$11,0))/100000),"")</f>
        <v/>
      </c>
      <c r="BO270" s="35" t="str">
        <f aca="false">IFERROR(IF(BH270="","",BH270*INDEX('00 - Lists'!$M$2:$M$11,MATCH(L270,'00 - Lists'!$L$2:$L$11,0))/100000),"")</f>
        <v/>
      </c>
      <c r="BP270" s="35" t="str">
        <f aca="false">IFERROR(IF(BI270="","",BI270*INDEX('00 - Lists'!$M$2:$M$11,MATCH(L270,'00 - Lists'!$L$2:$L$11,0))/100000),"")</f>
        <v/>
      </c>
      <c r="BS270" s="36" t="str">
        <f aca="false">IF(O270="","",IF(O270&gt;=20,"Yes","No"))</f>
        <v/>
      </c>
      <c r="BT270" s="36" t="str">
        <f aca="false">IF(O270="","",IF(O270&gt;=30,"Yes","No"))</f>
        <v/>
      </c>
      <c r="BU270" s="36" t="str">
        <f aca="false">IF(O270="","",IF(O270&gt;=75,"Yes","No"))</f>
        <v/>
      </c>
      <c r="BV270" s="36" t="str">
        <f aca="false">IF(O270="","",IF(O270&gt;=100,"Yes","No"))</f>
        <v/>
      </c>
      <c r="BW270" s="36" t="str">
        <f aca="false">IF(O270="","",IF(O270&gt;=150,"Yes","No"))</f>
        <v/>
      </c>
      <c r="BX270" s="36" t="str">
        <f aca="false">IF(O270="","",IF(O270&gt;=200,"Yes","No"))</f>
        <v/>
      </c>
      <c r="BY270" s="36" t="str">
        <f aca="false">IF(Q270="","",IF(Q270&gt;=150000,"Yes","No"))</f>
        <v/>
      </c>
      <c r="BZ270" s="36" t="str">
        <f aca="false">IF(Q270="","",IF(Q270&gt;=200000,"Yes","No"))</f>
        <v/>
      </c>
      <c r="CA270" s="36" t="str">
        <f aca="false">IF(Q270="","",IF(Q270&gt;=250000,"Yes","No"))</f>
        <v/>
      </c>
      <c r="CB270" s="36" t="str">
        <f aca="false">IF(Q270="","",IF(Q270&gt;=300000,"Yes","No"))</f>
        <v/>
      </c>
      <c r="CC270" s="37"/>
      <c r="CD270" s="36" t="str">
        <f aca="true">IF(B270="","",IF(TODAY()-B270&lt;=7,"🟢 0-7d",IF(TODAY()-B270&lt;=30,"🟡 8-30d",IF(TODAY()-B270&lt;=60,"🟠 31-60d","🔴 60d+"))))</f>
        <v/>
      </c>
      <c r="CE270" s="36" t="str">
        <f aca="false">IF(G270="","",IF(G270&lt;&gt;"USA","N/A - Not USA Role",IF(J270="Yes",IF(OR(F270="Intern",F270="New Grad"),"🟡 Possible","🟢 Strong"),IF(J270="No","🔴 Difficult","⚪ Unknown"))))</f>
        <v/>
      </c>
      <c r="CF270" s="37"/>
      <c r="CG270" s="37"/>
      <c r="CH270" s="38"/>
      <c r="CI270" s="38"/>
      <c r="CJ270" s="38"/>
      <c r="CK270" s="38"/>
    </row>
    <row r="271" customFormat="false" ht="15" hidden="false" customHeight="true" outlineLevel="0" collapsed="false">
      <c r="A271" s="26" t="str">
        <f aca="false">IF($C271="","",ROW()-3)</f>
        <v/>
      </c>
      <c r="B271" s="27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9"/>
      <c r="N271" s="29"/>
      <c r="O271" s="30" t="str">
        <f aca="false">IFERROR(IF(M271="","",M271*INDEX('00 - Lists'!$M$2:$M$11,MATCH(L271,'00 - Lists'!$L$2:$L$11,0))/100000),"")</f>
        <v/>
      </c>
      <c r="P271" s="30" t="str">
        <f aca="false">IFERROR(IF(N271="","",N271*INDEX('00 - Lists'!$M$2:$M$11,MATCH(L271,'00 - Lists'!$L$2:$L$11,0))/100000),"")</f>
        <v/>
      </c>
      <c r="Q271" s="31" t="str">
        <f aca="false">IFERROR(IF(M271="","",M271*INDEX('00 - Lists'!$N$2:$N$11,MATCH(L271,'00 - Lists'!$L$2:$L$11,0))),"")</f>
        <v/>
      </c>
      <c r="R271" s="31" t="str">
        <f aca="false">IFERROR(IF(N271="","",N271*INDEX('00 - Lists'!$N$2:$N$11,MATCH(L271,'00 - Lists'!$L$2:$L$11,0))),"")</f>
        <v/>
      </c>
      <c r="S271" s="32" t="str">
        <f aca="false">IF(O271="","",IF(O271&gt;=50,"Yes","No"))</f>
        <v/>
      </c>
      <c r="T271" s="32" t="str">
        <f aca="false">IF(Q271="","",IF(Q271&gt;=100000,"Yes","No"))</f>
        <v/>
      </c>
      <c r="U271" s="28"/>
      <c r="V271" s="28"/>
      <c r="W271" s="28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J271" s="34" t="str">
        <f aca="false">IF(OR($BD271&lt;&gt;"",$BF271&lt;&gt;"",$BH271&lt;&gt;""),"Yes","No")</f>
        <v>No</v>
      </c>
      <c r="BK271" s="35" t="str">
        <f aca="false">IFERROR(IF(BD271="","",BD271*INDEX('00 - Lists'!$M$2:$M$11,MATCH(L271,'00 - Lists'!$L$2:$L$11,0))/100000),"")</f>
        <v/>
      </c>
      <c r="BL271" s="35" t="str">
        <f aca="false">IFERROR(IF(BE271="","",BE271*INDEX('00 - Lists'!$M$2:$M$11,MATCH(L271,'00 - Lists'!$L$2:$L$11,0))/100000),"")</f>
        <v/>
      </c>
      <c r="BM271" s="35" t="str">
        <f aca="false">IFERROR(IF(BF271="","",BF271*INDEX('00 - Lists'!$M$2:$M$11,MATCH(L271,'00 - Lists'!$L$2:$L$11,0))/100000),"")</f>
        <v/>
      </c>
      <c r="BN271" s="35" t="str">
        <f aca="false">IFERROR(IF(BG271="","",BG271*INDEX('00 - Lists'!$M$2:$M$11,MATCH(L271,'00 - Lists'!$L$2:$L$11,0))/100000),"")</f>
        <v/>
      </c>
      <c r="BO271" s="35" t="str">
        <f aca="false">IFERROR(IF(BH271="","",BH271*INDEX('00 - Lists'!$M$2:$M$11,MATCH(L271,'00 - Lists'!$L$2:$L$11,0))/100000),"")</f>
        <v/>
      </c>
      <c r="BP271" s="35" t="str">
        <f aca="false">IFERROR(IF(BI271="","",BI271*INDEX('00 - Lists'!$M$2:$M$11,MATCH(L271,'00 - Lists'!$L$2:$L$11,0))/100000),"")</f>
        <v/>
      </c>
      <c r="BS271" s="36" t="str">
        <f aca="false">IF(O271="","",IF(O271&gt;=20,"Yes","No"))</f>
        <v/>
      </c>
      <c r="BT271" s="36" t="str">
        <f aca="false">IF(O271="","",IF(O271&gt;=30,"Yes","No"))</f>
        <v/>
      </c>
      <c r="BU271" s="36" t="str">
        <f aca="false">IF(O271="","",IF(O271&gt;=75,"Yes","No"))</f>
        <v/>
      </c>
      <c r="BV271" s="36" t="str">
        <f aca="false">IF(O271="","",IF(O271&gt;=100,"Yes","No"))</f>
        <v/>
      </c>
      <c r="BW271" s="36" t="str">
        <f aca="false">IF(O271="","",IF(O271&gt;=150,"Yes","No"))</f>
        <v/>
      </c>
      <c r="BX271" s="36" t="str">
        <f aca="false">IF(O271="","",IF(O271&gt;=200,"Yes","No"))</f>
        <v/>
      </c>
      <c r="BY271" s="36" t="str">
        <f aca="false">IF(Q271="","",IF(Q271&gt;=150000,"Yes","No"))</f>
        <v/>
      </c>
      <c r="BZ271" s="36" t="str">
        <f aca="false">IF(Q271="","",IF(Q271&gt;=200000,"Yes","No"))</f>
        <v/>
      </c>
      <c r="CA271" s="36" t="str">
        <f aca="false">IF(Q271="","",IF(Q271&gt;=250000,"Yes","No"))</f>
        <v/>
      </c>
      <c r="CB271" s="36" t="str">
        <f aca="false">IF(Q271="","",IF(Q271&gt;=300000,"Yes","No"))</f>
        <v/>
      </c>
      <c r="CC271" s="37"/>
      <c r="CD271" s="36" t="str">
        <f aca="true">IF(B271="","",IF(TODAY()-B271&lt;=7,"🟢 0-7d",IF(TODAY()-B271&lt;=30,"🟡 8-30d",IF(TODAY()-B271&lt;=60,"🟠 31-60d","🔴 60d+"))))</f>
        <v/>
      </c>
      <c r="CE271" s="36" t="str">
        <f aca="false">IF(G271="","",IF(G271&lt;&gt;"USA","N/A - Not USA Role",IF(J271="Yes",IF(OR(F271="Intern",F271="New Grad"),"🟡 Possible","🟢 Strong"),IF(J271="No","🔴 Difficult","⚪ Unknown"))))</f>
        <v/>
      </c>
      <c r="CF271" s="37"/>
      <c r="CG271" s="37"/>
      <c r="CH271" s="38"/>
      <c r="CI271" s="38"/>
      <c r="CJ271" s="38"/>
      <c r="CK271" s="38"/>
    </row>
    <row r="272" customFormat="false" ht="15" hidden="false" customHeight="true" outlineLevel="0" collapsed="false">
      <c r="A272" s="26" t="str">
        <f aca="false">IF($C272="","",ROW()-3)</f>
        <v/>
      </c>
      <c r="B272" s="27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9"/>
      <c r="N272" s="29"/>
      <c r="O272" s="30" t="str">
        <f aca="false">IFERROR(IF(M272="","",M272*INDEX('00 - Lists'!$M$2:$M$11,MATCH(L272,'00 - Lists'!$L$2:$L$11,0))/100000),"")</f>
        <v/>
      </c>
      <c r="P272" s="30" t="str">
        <f aca="false">IFERROR(IF(N272="","",N272*INDEX('00 - Lists'!$M$2:$M$11,MATCH(L272,'00 - Lists'!$L$2:$L$11,0))/100000),"")</f>
        <v/>
      </c>
      <c r="Q272" s="31" t="str">
        <f aca="false">IFERROR(IF(M272="","",M272*INDEX('00 - Lists'!$N$2:$N$11,MATCH(L272,'00 - Lists'!$L$2:$L$11,0))),"")</f>
        <v/>
      </c>
      <c r="R272" s="31" t="str">
        <f aca="false">IFERROR(IF(N272="","",N272*INDEX('00 - Lists'!$N$2:$N$11,MATCH(L272,'00 - Lists'!$L$2:$L$11,0))),"")</f>
        <v/>
      </c>
      <c r="S272" s="32" t="str">
        <f aca="false">IF(O272="","",IF(O272&gt;=50,"Yes","No"))</f>
        <v/>
      </c>
      <c r="T272" s="32" t="str">
        <f aca="false">IF(Q272="","",IF(Q272&gt;=100000,"Yes","No"))</f>
        <v/>
      </c>
      <c r="U272" s="28"/>
      <c r="V272" s="28"/>
      <c r="W272" s="28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J272" s="34" t="str">
        <f aca="false">IF(OR($BD272&lt;&gt;"",$BF272&lt;&gt;"",$BH272&lt;&gt;""),"Yes","No")</f>
        <v>No</v>
      </c>
      <c r="BK272" s="35" t="str">
        <f aca="false">IFERROR(IF(BD272="","",BD272*INDEX('00 - Lists'!$M$2:$M$11,MATCH(L272,'00 - Lists'!$L$2:$L$11,0))/100000),"")</f>
        <v/>
      </c>
      <c r="BL272" s="35" t="str">
        <f aca="false">IFERROR(IF(BE272="","",BE272*INDEX('00 - Lists'!$M$2:$M$11,MATCH(L272,'00 - Lists'!$L$2:$L$11,0))/100000),"")</f>
        <v/>
      </c>
      <c r="BM272" s="35" t="str">
        <f aca="false">IFERROR(IF(BF272="","",BF272*INDEX('00 - Lists'!$M$2:$M$11,MATCH(L272,'00 - Lists'!$L$2:$L$11,0))/100000),"")</f>
        <v/>
      </c>
      <c r="BN272" s="35" t="str">
        <f aca="false">IFERROR(IF(BG272="","",BG272*INDEX('00 - Lists'!$M$2:$M$11,MATCH(L272,'00 - Lists'!$L$2:$L$11,0))/100000),"")</f>
        <v/>
      </c>
      <c r="BO272" s="35" t="str">
        <f aca="false">IFERROR(IF(BH272="","",BH272*INDEX('00 - Lists'!$M$2:$M$11,MATCH(L272,'00 - Lists'!$L$2:$L$11,0))/100000),"")</f>
        <v/>
      </c>
      <c r="BP272" s="35" t="str">
        <f aca="false">IFERROR(IF(BI272="","",BI272*INDEX('00 - Lists'!$M$2:$M$11,MATCH(L272,'00 - Lists'!$L$2:$L$11,0))/100000),"")</f>
        <v/>
      </c>
      <c r="BS272" s="36" t="str">
        <f aca="false">IF(O272="","",IF(O272&gt;=20,"Yes","No"))</f>
        <v/>
      </c>
      <c r="BT272" s="36" t="str">
        <f aca="false">IF(O272="","",IF(O272&gt;=30,"Yes","No"))</f>
        <v/>
      </c>
      <c r="BU272" s="36" t="str">
        <f aca="false">IF(O272="","",IF(O272&gt;=75,"Yes","No"))</f>
        <v/>
      </c>
      <c r="BV272" s="36" t="str">
        <f aca="false">IF(O272="","",IF(O272&gt;=100,"Yes","No"))</f>
        <v/>
      </c>
      <c r="BW272" s="36" t="str">
        <f aca="false">IF(O272="","",IF(O272&gt;=150,"Yes","No"))</f>
        <v/>
      </c>
      <c r="BX272" s="36" t="str">
        <f aca="false">IF(O272="","",IF(O272&gt;=200,"Yes","No"))</f>
        <v/>
      </c>
      <c r="BY272" s="36" t="str">
        <f aca="false">IF(Q272="","",IF(Q272&gt;=150000,"Yes","No"))</f>
        <v/>
      </c>
      <c r="BZ272" s="36" t="str">
        <f aca="false">IF(Q272="","",IF(Q272&gt;=200000,"Yes","No"))</f>
        <v/>
      </c>
      <c r="CA272" s="36" t="str">
        <f aca="false">IF(Q272="","",IF(Q272&gt;=250000,"Yes","No"))</f>
        <v/>
      </c>
      <c r="CB272" s="36" t="str">
        <f aca="false">IF(Q272="","",IF(Q272&gt;=300000,"Yes","No"))</f>
        <v/>
      </c>
      <c r="CC272" s="37"/>
      <c r="CD272" s="36" t="str">
        <f aca="true">IF(B272="","",IF(TODAY()-B272&lt;=7,"🟢 0-7d",IF(TODAY()-B272&lt;=30,"🟡 8-30d",IF(TODAY()-B272&lt;=60,"🟠 31-60d","🔴 60d+"))))</f>
        <v/>
      </c>
      <c r="CE272" s="36" t="str">
        <f aca="false">IF(G272="","",IF(G272&lt;&gt;"USA","N/A - Not USA Role",IF(J272="Yes",IF(OR(F272="Intern",F272="New Grad"),"🟡 Possible","🟢 Strong"),IF(J272="No","🔴 Difficult","⚪ Unknown"))))</f>
        <v/>
      </c>
      <c r="CF272" s="37"/>
      <c r="CG272" s="37"/>
      <c r="CH272" s="38"/>
      <c r="CI272" s="38"/>
      <c r="CJ272" s="38"/>
      <c r="CK272" s="38"/>
    </row>
    <row r="273" customFormat="false" ht="15" hidden="false" customHeight="true" outlineLevel="0" collapsed="false">
      <c r="A273" s="26" t="str">
        <f aca="false">IF($C273="","",ROW()-3)</f>
        <v/>
      </c>
      <c r="B273" s="27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9"/>
      <c r="N273" s="29"/>
      <c r="O273" s="30" t="str">
        <f aca="false">IFERROR(IF(M273="","",M273*INDEX('00 - Lists'!$M$2:$M$11,MATCH(L273,'00 - Lists'!$L$2:$L$11,0))/100000),"")</f>
        <v/>
      </c>
      <c r="P273" s="30" t="str">
        <f aca="false">IFERROR(IF(N273="","",N273*INDEX('00 - Lists'!$M$2:$M$11,MATCH(L273,'00 - Lists'!$L$2:$L$11,0))/100000),"")</f>
        <v/>
      </c>
      <c r="Q273" s="31" t="str">
        <f aca="false">IFERROR(IF(M273="","",M273*INDEX('00 - Lists'!$N$2:$N$11,MATCH(L273,'00 - Lists'!$L$2:$L$11,0))),"")</f>
        <v/>
      </c>
      <c r="R273" s="31" t="str">
        <f aca="false">IFERROR(IF(N273="","",N273*INDEX('00 - Lists'!$N$2:$N$11,MATCH(L273,'00 - Lists'!$L$2:$L$11,0))),"")</f>
        <v/>
      </c>
      <c r="S273" s="32" t="str">
        <f aca="false">IF(O273="","",IF(O273&gt;=50,"Yes","No"))</f>
        <v/>
      </c>
      <c r="T273" s="32" t="str">
        <f aca="false">IF(Q273="","",IF(Q273&gt;=100000,"Yes","No"))</f>
        <v/>
      </c>
      <c r="U273" s="28"/>
      <c r="V273" s="28"/>
      <c r="W273" s="28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J273" s="34" t="str">
        <f aca="false">IF(OR($BD273&lt;&gt;"",$BF273&lt;&gt;"",$BH273&lt;&gt;""),"Yes","No")</f>
        <v>No</v>
      </c>
      <c r="BK273" s="35" t="str">
        <f aca="false">IFERROR(IF(BD273="","",BD273*INDEX('00 - Lists'!$M$2:$M$11,MATCH(L273,'00 - Lists'!$L$2:$L$11,0))/100000),"")</f>
        <v/>
      </c>
      <c r="BL273" s="35" t="str">
        <f aca="false">IFERROR(IF(BE273="","",BE273*INDEX('00 - Lists'!$M$2:$M$11,MATCH(L273,'00 - Lists'!$L$2:$L$11,0))/100000),"")</f>
        <v/>
      </c>
      <c r="BM273" s="35" t="str">
        <f aca="false">IFERROR(IF(BF273="","",BF273*INDEX('00 - Lists'!$M$2:$M$11,MATCH(L273,'00 - Lists'!$L$2:$L$11,0))/100000),"")</f>
        <v/>
      </c>
      <c r="BN273" s="35" t="str">
        <f aca="false">IFERROR(IF(BG273="","",BG273*INDEX('00 - Lists'!$M$2:$M$11,MATCH(L273,'00 - Lists'!$L$2:$L$11,0))/100000),"")</f>
        <v/>
      </c>
      <c r="BO273" s="35" t="str">
        <f aca="false">IFERROR(IF(BH273="","",BH273*INDEX('00 - Lists'!$M$2:$M$11,MATCH(L273,'00 - Lists'!$L$2:$L$11,0))/100000),"")</f>
        <v/>
      </c>
      <c r="BP273" s="35" t="str">
        <f aca="false">IFERROR(IF(BI273="","",BI273*INDEX('00 - Lists'!$M$2:$M$11,MATCH(L273,'00 - Lists'!$L$2:$L$11,0))/100000),"")</f>
        <v/>
      </c>
      <c r="BS273" s="36" t="str">
        <f aca="false">IF(O273="","",IF(O273&gt;=20,"Yes","No"))</f>
        <v/>
      </c>
      <c r="BT273" s="36" t="str">
        <f aca="false">IF(O273="","",IF(O273&gt;=30,"Yes","No"))</f>
        <v/>
      </c>
      <c r="BU273" s="36" t="str">
        <f aca="false">IF(O273="","",IF(O273&gt;=75,"Yes","No"))</f>
        <v/>
      </c>
      <c r="BV273" s="36" t="str">
        <f aca="false">IF(O273="","",IF(O273&gt;=100,"Yes","No"))</f>
        <v/>
      </c>
      <c r="BW273" s="36" t="str">
        <f aca="false">IF(O273="","",IF(O273&gt;=150,"Yes","No"))</f>
        <v/>
      </c>
      <c r="BX273" s="36" t="str">
        <f aca="false">IF(O273="","",IF(O273&gt;=200,"Yes","No"))</f>
        <v/>
      </c>
      <c r="BY273" s="36" t="str">
        <f aca="false">IF(Q273="","",IF(Q273&gt;=150000,"Yes","No"))</f>
        <v/>
      </c>
      <c r="BZ273" s="36" t="str">
        <f aca="false">IF(Q273="","",IF(Q273&gt;=200000,"Yes","No"))</f>
        <v/>
      </c>
      <c r="CA273" s="36" t="str">
        <f aca="false">IF(Q273="","",IF(Q273&gt;=250000,"Yes","No"))</f>
        <v/>
      </c>
      <c r="CB273" s="36" t="str">
        <f aca="false">IF(Q273="","",IF(Q273&gt;=300000,"Yes","No"))</f>
        <v/>
      </c>
      <c r="CC273" s="37"/>
      <c r="CD273" s="36" t="str">
        <f aca="true">IF(B273="","",IF(TODAY()-B273&lt;=7,"🟢 0-7d",IF(TODAY()-B273&lt;=30,"🟡 8-30d",IF(TODAY()-B273&lt;=60,"🟠 31-60d","🔴 60d+"))))</f>
        <v/>
      </c>
      <c r="CE273" s="36" t="str">
        <f aca="false">IF(G273="","",IF(G273&lt;&gt;"USA","N/A - Not USA Role",IF(J273="Yes",IF(OR(F273="Intern",F273="New Grad"),"🟡 Possible","🟢 Strong"),IF(J273="No","🔴 Difficult","⚪ Unknown"))))</f>
        <v/>
      </c>
      <c r="CF273" s="37"/>
      <c r="CG273" s="37"/>
      <c r="CH273" s="38"/>
      <c r="CI273" s="38"/>
      <c r="CJ273" s="38"/>
      <c r="CK273" s="38"/>
    </row>
    <row r="274" customFormat="false" ht="15" hidden="false" customHeight="true" outlineLevel="0" collapsed="false">
      <c r="A274" s="26" t="str">
        <f aca="false">IF($C274="","",ROW()-3)</f>
        <v/>
      </c>
      <c r="B274" s="27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9"/>
      <c r="N274" s="29"/>
      <c r="O274" s="30" t="str">
        <f aca="false">IFERROR(IF(M274="","",M274*INDEX('00 - Lists'!$M$2:$M$11,MATCH(L274,'00 - Lists'!$L$2:$L$11,0))/100000),"")</f>
        <v/>
      </c>
      <c r="P274" s="30" t="str">
        <f aca="false">IFERROR(IF(N274="","",N274*INDEX('00 - Lists'!$M$2:$M$11,MATCH(L274,'00 - Lists'!$L$2:$L$11,0))/100000),"")</f>
        <v/>
      </c>
      <c r="Q274" s="31" t="str">
        <f aca="false">IFERROR(IF(M274="","",M274*INDEX('00 - Lists'!$N$2:$N$11,MATCH(L274,'00 - Lists'!$L$2:$L$11,0))),"")</f>
        <v/>
      </c>
      <c r="R274" s="31" t="str">
        <f aca="false">IFERROR(IF(N274="","",N274*INDEX('00 - Lists'!$N$2:$N$11,MATCH(L274,'00 - Lists'!$L$2:$L$11,0))),"")</f>
        <v/>
      </c>
      <c r="S274" s="32" t="str">
        <f aca="false">IF(O274="","",IF(O274&gt;=50,"Yes","No"))</f>
        <v/>
      </c>
      <c r="T274" s="32" t="str">
        <f aca="false">IF(Q274="","",IF(Q274&gt;=100000,"Yes","No"))</f>
        <v/>
      </c>
      <c r="U274" s="28"/>
      <c r="V274" s="28"/>
      <c r="W274" s="28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J274" s="34" t="str">
        <f aca="false">IF(OR($BD274&lt;&gt;"",$BF274&lt;&gt;"",$BH274&lt;&gt;""),"Yes","No")</f>
        <v>No</v>
      </c>
      <c r="BK274" s="35" t="str">
        <f aca="false">IFERROR(IF(BD274="","",BD274*INDEX('00 - Lists'!$M$2:$M$11,MATCH(L274,'00 - Lists'!$L$2:$L$11,0))/100000),"")</f>
        <v/>
      </c>
      <c r="BL274" s="35" t="str">
        <f aca="false">IFERROR(IF(BE274="","",BE274*INDEX('00 - Lists'!$M$2:$M$11,MATCH(L274,'00 - Lists'!$L$2:$L$11,0))/100000),"")</f>
        <v/>
      </c>
      <c r="BM274" s="35" t="str">
        <f aca="false">IFERROR(IF(BF274="","",BF274*INDEX('00 - Lists'!$M$2:$M$11,MATCH(L274,'00 - Lists'!$L$2:$L$11,0))/100000),"")</f>
        <v/>
      </c>
      <c r="BN274" s="35" t="str">
        <f aca="false">IFERROR(IF(BG274="","",BG274*INDEX('00 - Lists'!$M$2:$M$11,MATCH(L274,'00 - Lists'!$L$2:$L$11,0))/100000),"")</f>
        <v/>
      </c>
      <c r="BO274" s="35" t="str">
        <f aca="false">IFERROR(IF(BH274="","",BH274*INDEX('00 - Lists'!$M$2:$M$11,MATCH(L274,'00 - Lists'!$L$2:$L$11,0))/100000),"")</f>
        <v/>
      </c>
      <c r="BP274" s="35" t="str">
        <f aca="false">IFERROR(IF(BI274="","",BI274*INDEX('00 - Lists'!$M$2:$M$11,MATCH(L274,'00 - Lists'!$L$2:$L$11,0))/100000),"")</f>
        <v/>
      </c>
      <c r="BS274" s="36" t="str">
        <f aca="false">IF(O274="","",IF(O274&gt;=20,"Yes","No"))</f>
        <v/>
      </c>
      <c r="BT274" s="36" t="str">
        <f aca="false">IF(O274="","",IF(O274&gt;=30,"Yes","No"))</f>
        <v/>
      </c>
      <c r="BU274" s="36" t="str">
        <f aca="false">IF(O274="","",IF(O274&gt;=75,"Yes","No"))</f>
        <v/>
      </c>
      <c r="BV274" s="36" t="str">
        <f aca="false">IF(O274="","",IF(O274&gt;=100,"Yes","No"))</f>
        <v/>
      </c>
      <c r="BW274" s="36" t="str">
        <f aca="false">IF(O274="","",IF(O274&gt;=150,"Yes","No"))</f>
        <v/>
      </c>
      <c r="BX274" s="36" t="str">
        <f aca="false">IF(O274="","",IF(O274&gt;=200,"Yes","No"))</f>
        <v/>
      </c>
      <c r="BY274" s="36" t="str">
        <f aca="false">IF(Q274="","",IF(Q274&gt;=150000,"Yes","No"))</f>
        <v/>
      </c>
      <c r="BZ274" s="36" t="str">
        <f aca="false">IF(Q274="","",IF(Q274&gt;=200000,"Yes","No"))</f>
        <v/>
      </c>
      <c r="CA274" s="36" t="str">
        <f aca="false">IF(Q274="","",IF(Q274&gt;=250000,"Yes","No"))</f>
        <v/>
      </c>
      <c r="CB274" s="36" t="str">
        <f aca="false">IF(Q274="","",IF(Q274&gt;=300000,"Yes","No"))</f>
        <v/>
      </c>
      <c r="CC274" s="37"/>
      <c r="CD274" s="36" t="str">
        <f aca="true">IF(B274="","",IF(TODAY()-B274&lt;=7,"🟢 0-7d",IF(TODAY()-B274&lt;=30,"🟡 8-30d",IF(TODAY()-B274&lt;=60,"🟠 31-60d","🔴 60d+"))))</f>
        <v/>
      </c>
      <c r="CE274" s="36" t="str">
        <f aca="false">IF(G274="","",IF(G274&lt;&gt;"USA","N/A - Not USA Role",IF(J274="Yes",IF(OR(F274="Intern",F274="New Grad"),"🟡 Possible","🟢 Strong"),IF(J274="No","🔴 Difficult","⚪ Unknown"))))</f>
        <v/>
      </c>
      <c r="CF274" s="37"/>
      <c r="CG274" s="37"/>
      <c r="CH274" s="38"/>
      <c r="CI274" s="38"/>
      <c r="CJ274" s="38"/>
      <c r="CK274" s="38"/>
    </row>
    <row r="275" customFormat="false" ht="15" hidden="false" customHeight="true" outlineLevel="0" collapsed="false">
      <c r="A275" s="26" t="str">
        <f aca="false">IF($C275="","",ROW()-3)</f>
        <v/>
      </c>
      <c r="B275" s="27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9"/>
      <c r="N275" s="29"/>
      <c r="O275" s="30" t="str">
        <f aca="false">IFERROR(IF(M275="","",M275*INDEX('00 - Lists'!$M$2:$M$11,MATCH(L275,'00 - Lists'!$L$2:$L$11,0))/100000),"")</f>
        <v/>
      </c>
      <c r="P275" s="30" t="str">
        <f aca="false">IFERROR(IF(N275="","",N275*INDEX('00 - Lists'!$M$2:$M$11,MATCH(L275,'00 - Lists'!$L$2:$L$11,0))/100000),"")</f>
        <v/>
      </c>
      <c r="Q275" s="31" t="str">
        <f aca="false">IFERROR(IF(M275="","",M275*INDEX('00 - Lists'!$N$2:$N$11,MATCH(L275,'00 - Lists'!$L$2:$L$11,0))),"")</f>
        <v/>
      </c>
      <c r="R275" s="31" t="str">
        <f aca="false">IFERROR(IF(N275="","",N275*INDEX('00 - Lists'!$N$2:$N$11,MATCH(L275,'00 - Lists'!$L$2:$L$11,0))),"")</f>
        <v/>
      </c>
      <c r="S275" s="32" t="str">
        <f aca="false">IF(O275="","",IF(O275&gt;=50,"Yes","No"))</f>
        <v/>
      </c>
      <c r="T275" s="32" t="str">
        <f aca="false">IF(Q275="","",IF(Q275&gt;=100000,"Yes","No"))</f>
        <v/>
      </c>
      <c r="U275" s="28"/>
      <c r="V275" s="28"/>
      <c r="W275" s="28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J275" s="34" t="str">
        <f aca="false">IF(OR($BD275&lt;&gt;"",$BF275&lt;&gt;"",$BH275&lt;&gt;""),"Yes","No")</f>
        <v>No</v>
      </c>
      <c r="BK275" s="35" t="str">
        <f aca="false">IFERROR(IF(BD275="","",BD275*INDEX('00 - Lists'!$M$2:$M$11,MATCH(L275,'00 - Lists'!$L$2:$L$11,0))/100000),"")</f>
        <v/>
      </c>
      <c r="BL275" s="35" t="str">
        <f aca="false">IFERROR(IF(BE275="","",BE275*INDEX('00 - Lists'!$M$2:$M$11,MATCH(L275,'00 - Lists'!$L$2:$L$11,0))/100000),"")</f>
        <v/>
      </c>
      <c r="BM275" s="35" t="str">
        <f aca="false">IFERROR(IF(BF275="","",BF275*INDEX('00 - Lists'!$M$2:$M$11,MATCH(L275,'00 - Lists'!$L$2:$L$11,0))/100000),"")</f>
        <v/>
      </c>
      <c r="BN275" s="35" t="str">
        <f aca="false">IFERROR(IF(BG275="","",BG275*INDEX('00 - Lists'!$M$2:$M$11,MATCH(L275,'00 - Lists'!$L$2:$L$11,0))/100000),"")</f>
        <v/>
      </c>
      <c r="BO275" s="35" t="str">
        <f aca="false">IFERROR(IF(BH275="","",BH275*INDEX('00 - Lists'!$M$2:$M$11,MATCH(L275,'00 - Lists'!$L$2:$L$11,0))/100000),"")</f>
        <v/>
      </c>
      <c r="BP275" s="35" t="str">
        <f aca="false">IFERROR(IF(BI275="","",BI275*INDEX('00 - Lists'!$M$2:$M$11,MATCH(L275,'00 - Lists'!$L$2:$L$11,0))/100000),"")</f>
        <v/>
      </c>
      <c r="BS275" s="36" t="str">
        <f aca="false">IF(O275="","",IF(O275&gt;=20,"Yes","No"))</f>
        <v/>
      </c>
      <c r="BT275" s="36" t="str">
        <f aca="false">IF(O275="","",IF(O275&gt;=30,"Yes","No"))</f>
        <v/>
      </c>
      <c r="BU275" s="36" t="str">
        <f aca="false">IF(O275="","",IF(O275&gt;=75,"Yes","No"))</f>
        <v/>
      </c>
      <c r="BV275" s="36" t="str">
        <f aca="false">IF(O275="","",IF(O275&gt;=100,"Yes","No"))</f>
        <v/>
      </c>
      <c r="BW275" s="36" t="str">
        <f aca="false">IF(O275="","",IF(O275&gt;=150,"Yes","No"))</f>
        <v/>
      </c>
      <c r="BX275" s="36" t="str">
        <f aca="false">IF(O275="","",IF(O275&gt;=200,"Yes","No"))</f>
        <v/>
      </c>
      <c r="BY275" s="36" t="str">
        <f aca="false">IF(Q275="","",IF(Q275&gt;=150000,"Yes","No"))</f>
        <v/>
      </c>
      <c r="BZ275" s="36" t="str">
        <f aca="false">IF(Q275="","",IF(Q275&gt;=200000,"Yes","No"))</f>
        <v/>
      </c>
      <c r="CA275" s="36" t="str">
        <f aca="false">IF(Q275="","",IF(Q275&gt;=250000,"Yes","No"))</f>
        <v/>
      </c>
      <c r="CB275" s="36" t="str">
        <f aca="false">IF(Q275="","",IF(Q275&gt;=300000,"Yes","No"))</f>
        <v/>
      </c>
      <c r="CC275" s="37"/>
      <c r="CD275" s="36" t="str">
        <f aca="true">IF(B275="","",IF(TODAY()-B275&lt;=7,"🟢 0-7d",IF(TODAY()-B275&lt;=30,"🟡 8-30d",IF(TODAY()-B275&lt;=60,"🟠 31-60d","🔴 60d+"))))</f>
        <v/>
      </c>
      <c r="CE275" s="36" t="str">
        <f aca="false">IF(G275="","",IF(G275&lt;&gt;"USA","N/A - Not USA Role",IF(J275="Yes",IF(OR(F275="Intern",F275="New Grad"),"🟡 Possible","🟢 Strong"),IF(J275="No","🔴 Difficult","⚪ Unknown"))))</f>
        <v/>
      </c>
      <c r="CF275" s="37"/>
      <c r="CG275" s="37"/>
      <c r="CH275" s="38"/>
      <c r="CI275" s="38"/>
      <c r="CJ275" s="38"/>
      <c r="CK275" s="38"/>
    </row>
    <row r="276" customFormat="false" ht="15" hidden="false" customHeight="true" outlineLevel="0" collapsed="false">
      <c r="A276" s="26" t="str">
        <f aca="false">IF($C276="","",ROW()-3)</f>
        <v/>
      </c>
      <c r="B276" s="27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9"/>
      <c r="N276" s="29"/>
      <c r="O276" s="30" t="str">
        <f aca="false">IFERROR(IF(M276="","",M276*INDEX('00 - Lists'!$M$2:$M$11,MATCH(L276,'00 - Lists'!$L$2:$L$11,0))/100000),"")</f>
        <v/>
      </c>
      <c r="P276" s="30" t="str">
        <f aca="false">IFERROR(IF(N276="","",N276*INDEX('00 - Lists'!$M$2:$M$11,MATCH(L276,'00 - Lists'!$L$2:$L$11,0))/100000),"")</f>
        <v/>
      </c>
      <c r="Q276" s="31" t="str">
        <f aca="false">IFERROR(IF(M276="","",M276*INDEX('00 - Lists'!$N$2:$N$11,MATCH(L276,'00 - Lists'!$L$2:$L$11,0))),"")</f>
        <v/>
      </c>
      <c r="R276" s="31" t="str">
        <f aca="false">IFERROR(IF(N276="","",N276*INDEX('00 - Lists'!$N$2:$N$11,MATCH(L276,'00 - Lists'!$L$2:$L$11,0))),"")</f>
        <v/>
      </c>
      <c r="S276" s="32" t="str">
        <f aca="false">IF(O276="","",IF(O276&gt;=50,"Yes","No"))</f>
        <v/>
      </c>
      <c r="T276" s="32" t="str">
        <f aca="false">IF(Q276="","",IF(Q276&gt;=100000,"Yes","No"))</f>
        <v/>
      </c>
      <c r="U276" s="28"/>
      <c r="V276" s="28"/>
      <c r="W276" s="28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J276" s="34" t="str">
        <f aca="false">IF(OR($BD276&lt;&gt;"",$BF276&lt;&gt;"",$BH276&lt;&gt;""),"Yes","No")</f>
        <v>No</v>
      </c>
      <c r="BK276" s="35" t="str">
        <f aca="false">IFERROR(IF(BD276="","",BD276*INDEX('00 - Lists'!$M$2:$M$11,MATCH(L276,'00 - Lists'!$L$2:$L$11,0))/100000),"")</f>
        <v/>
      </c>
      <c r="BL276" s="35" t="str">
        <f aca="false">IFERROR(IF(BE276="","",BE276*INDEX('00 - Lists'!$M$2:$M$11,MATCH(L276,'00 - Lists'!$L$2:$L$11,0))/100000),"")</f>
        <v/>
      </c>
      <c r="BM276" s="35" t="str">
        <f aca="false">IFERROR(IF(BF276="","",BF276*INDEX('00 - Lists'!$M$2:$M$11,MATCH(L276,'00 - Lists'!$L$2:$L$11,0))/100000),"")</f>
        <v/>
      </c>
      <c r="BN276" s="35" t="str">
        <f aca="false">IFERROR(IF(BG276="","",BG276*INDEX('00 - Lists'!$M$2:$M$11,MATCH(L276,'00 - Lists'!$L$2:$L$11,0))/100000),"")</f>
        <v/>
      </c>
      <c r="BO276" s="35" t="str">
        <f aca="false">IFERROR(IF(BH276="","",BH276*INDEX('00 - Lists'!$M$2:$M$11,MATCH(L276,'00 - Lists'!$L$2:$L$11,0))/100000),"")</f>
        <v/>
      </c>
      <c r="BP276" s="35" t="str">
        <f aca="false">IFERROR(IF(BI276="","",BI276*INDEX('00 - Lists'!$M$2:$M$11,MATCH(L276,'00 - Lists'!$L$2:$L$11,0))/100000),"")</f>
        <v/>
      </c>
      <c r="BS276" s="36" t="str">
        <f aca="false">IF(O276="","",IF(O276&gt;=20,"Yes","No"))</f>
        <v/>
      </c>
      <c r="BT276" s="36" t="str">
        <f aca="false">IF(O276="","",IF(O276&gt;=30,"Yes","No"))</f>
        <v/>
      </c>
      <c r="BU276" s="36" t="str">
        <f aca="false">IF(O276="","",IF(O276&gt;=75,"Yes","No"))</f>
        <v/>
      </c>
      <c r="BV276" s="36" t="str">
        <f aca="false">IF(O276="","",IF(O276&gt;=100,"Yes","No"))</f>
        <v/>
      </c>
      <c r="BW276" s="36" t="str">
        <f aca="false">IF(O276="","",IF(O276&gt;=150,"Yes","No"))</f>
        <v/>
      </c>
      <c r="BX276" s="36" t="str">
        <f aca="false">IF(O276="","",IF(O276&gt;=200,"Yes","No"))</f>
        <v/>
      </c>
      <c r="BY276" s="36" t="str">
        <f aca="false">IF(Q276="","",IF(Q276&gt;=150000,"Yes","No"))</f>
        <v/>
      </c>
      <c r="BZ276" s="36" t="str">
        <f aca="false">IF(Q276="","",IF(Q276&gt;=200000,"Yes","No"))</f>
        <v/>
      </c>
      <c r="CA276" s="36" t="str">
        <f aca="false">IF(Q276="","",IF(Q276&gt;=250000,"Yes","No"))</f>
        <v/>
      </c>
      <c r="CB276" s="36" t="str">
        <f aca="false">IF(Q276="","",IF(Q276&gt;=300000,"Yes","No"))</f>
        <v/>
      </c>
      <c r="CC276" s="37"/>
      <c r="CD276" s="36" t="str">
        <f aca="true">IF(B276="","",IF(TODAY()-B276&lt;=7,"🟢 0-7d",IF(TODAY()-B276&lt;=30,"🟡 8-30d",IF(TODAY()-B276&lt;=60,"🟠 31-60d","🔴 60d+"))))</f>
        <v/>
      </c>
      <c r="CE276" s="36" t="str">
        <f aca="false">IF(G276="","",IF(G276&lt;&gt;"USA","N/A - Not USA Role",IF(J276="Yes",IF(OR(F276="Intern",F276="New Grad"),"🟡 Possible","🟢 Strong"),IF(J276="No","🔴 Difficult","⚪ Unknown"))))</f>
        <v/>
      </c>
      <c r="CF276" s="37"/>
      <c r="CG276" s="37"/>
      <c r="CH276" s="38"/>
      <c r="CI276" s="38"/>
      <c r="CJ276" s="38"/>
      <c r="CK276" s="38"/>
    </row>
    <row r="277" customFormat="false" ht="15" hidden="false" customHeight="true" outlineLevel="0" collapsed="false">
      <c r="A277" s="26" t="str">
        <f aca="false">IF($C277="","",ROW()-3)</f>
        <v/>
      </c>
      <c r="B277" s="27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9"/>
      <c r="N277" s="29"/>
      <c r="O277" s="30" t="str">
        <f aca="false">IFERROR(IF(M277="","",M277*INDEX('00 - Lists'!$M$2:$M$11,MATCH(L277,'00 - Lists'!$L$2:$L$11,0))/100000),"")</f>
        <v/>
      </c>
      <c r="P277" s="30" t="str">
        <f aca="false">IFERROR(IF(N277="","",N277*INDEX('00 - Lists'!$M$2:$M$11,MATCH(L277,'00 - Lists'!$L$2:$L$11,0))/100000),"")</f>
        <v/>
      </c>
      <c r="Q277" s="31" t="str">
        <f aca="false">IFERROR(IF(M277="","",M277*INDEX('00 - Lists'!$N$2:$N$11,MATCH(L277,'00 - Lists'!$L$2:$L$11,0))),"")</f>
        <v/>
      </c>
      <c r="R277" s="31" t="str">
        <f aca="false">IFERROR(IF(N277="","",N277*INDEX('00 - Lists'!$N$2:$N$11,MATCH(L277,'00 - Lists'!$L$2:$L$11,0))),"")</f>
        <v/>
      </c>
      <c r="S277" s="32" t="str">
        <f aca="false">IF(O277="","",IF(O277&gt;=50,"Yes","No"))</f>
        <v/>
      </c>
      <c r="T277" s="32" t="str">
        <f aca="false">IF(Q277="","",IF(Q277&gt;=100000,"Yes","No"))</f>
        <v/>
      </c>
      <c r="U277" s="28"/>
      <c r="V277" s="28"/>
      <c r="W277" s="28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J277" s="34" t="str">
        <f aca="false">IF(OR($BD277&lt;&gt;"",$BF277&lt;&gt;"",$BH277&lt;&gt;""),"Yes","No")</f>
        <v>No</v>
      </c>
      <c r="BK277" s="35" t="str">
        <f aca="false">IFERROR(IF(BD277="","",BD277*INDEX('00 - Lists'!$M$2:$M$11,MATCH(L277,'00 - Lists'!$L$2:$L$11,0))/100000),"")</f>
        <v/>
      </c>
      <c r="BL277" s="35" t="str">
        <f aca="false">IFERROR(IF(BE277="","",BE277*INDEX('00 - Lists'!$M$2:$M$11,MATCH(L277,'00 - Lists'!$L$2:$L$11,0))/100000),"")</f>
        <v/>
      </c>
      <c r="BM277" s="35" t="str">
        <f aca="false">IFERROR(IF(BF277="","",BF277*INDEX('00 - Lists'!$M$2:$M$11,MATCH(L277,'00 - Lists'!$L$2:$L$11,0))/100000),"")</f>
        <v/>
      </c>
      <c r="BN277" s="35" t="str">
        <f aca="false">IFERROR(IF(BG277="","",BG277*INDEX('00 - Lists'!$M$2:$M$11,MATCH(L277,'00 - Lists'!$L$2:$L$11,0))/100000),"")</f>
        <v/>
      </c>
      <c r="BO277" s="35" t="str">
        <f aca="false">IFERROR(IF(BH277="","",BH277*INDEX('00 - Lists'!$M$2:$M$11,MATCH(L277,'00 - Lists'!$L$2:$L$11,0))/100000),"")</f>
        <v/>
      </c>
      <c r="BP277" s="35" t="str">
        <f aca="false">IFERROR(IF(BI277="","",BI277*INDEX('00 - Lists'!$M$2:$M$11,MATCH(L277,'00 - Lists'!$L$2:$L$11,0))/100000),"")</f>
        <v/>
      </c>
      <c r="BS277" s="36" t="str">
        <f aca="false">IF(O277="","",IF(O277&gt;=20,"Yes","No"))</f>
        <v/>
      </c>
      <c r="BT277" s="36" t="str">
        <f aca="false">IF(O277="","",IF(O277&gt;=30,"Yes","No"))</f>
        <v/>
      </c>
      <c r="BU277" s="36" t="str">
        <f aca="false">IF(O277="","",IF(O277&gt;=75,"Yes","No"))</f>
        <v/>
      </c>
      <c r="BV277" s="36" t="str">
        <f aca="false">IF(O277="","",IF(O277&gt;=100,"Yes","No"))</f>
        <v/>
      </c>
      <c r="BW277" s="36" t="str">
        <f aca="false">IF(O277="","",IF(O277&gt;=150,"Yes","No"))</f>
        <v/>
      </c>
      <c r="BX277" s="36" t="str">
        <f aca="false">IF(O277="","",IF(O277&gt;=200,"Yes","No"))</f>
        <v/>
      </c>
      <c r="BY277" s="36" t="str">
        <f aca="false">IF(Q277="","",IF(Q277&gt;=150000,"Yes","No"))</f>
        <v/>
      </c>
      <c r="BZ277" s="36" t="str">
        <f aca="false">IF(Q277="","",IF(Q277&gt;=200000,"Yes","No"))</f>
        <v/>
      </c>
      <c r="CA277" s="36" t="str">
        <f aca="false">IF(Q277="","",IF(Q277&gt;=250000,"Yes","No"))</f>
        <v/>
      </c>
      <c r="CB277" s="36" t="str">
        <f aca="false">IF(Q277="","",IF(Q277&gt;=300000,"Yes","No"))</f>
        <v/>
      </c>
      <c r="CC277" s="37"/>
      <c r="CD277" s="36" t="str">
        <f aca="true">IF(B277="","",IF(TODAY()-B277&lt;=7,"🟢 0-7d",IF(TODAY()-B277&lt;=30,"🟡 8-30d",IF(TODAY()-B277&lt;=60,"🟠 31-60d","🔴 60d+"))))</f>
        <v/>
      </c>
      <c r="CE277" s="36" t="str">
        <f aca="false">IF(G277="","",IF(G277&lt;&gt;"USA","N/A - Not USA Role",IF(J277="Yes",IF(OR(F277="Intern",F277="New Grad"),"🟡 Possible","🟢 Strong"),IF(J277="No","🔴 Difficult","⚪ Unknown"))))</f>
        <v/>
      </c>
      <c r="CF277" s="37"/>
      <c r="CG277" s="37"/>
      <c r="CH277" s="38"/>
      <c r="CI277" s="38"/>
      <c r="CJ277" s="38"/>
      <c r="CK277" s="38"/>
    </row>
    <row r="278" customFormat="false" ht="15" hidden="false" customHeight="true" outlineLevel="0" collapsed="false">
      <c r="A278" s="26" t="str">
        <f aca="false">IF($C278="","",ROW()-3)</f>
        <v/>
      </c>
      <c r="B278" s="27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9"/>
      <c r="N278" s="29"/>
      <c r="O278" s="30" t="str">
        <f aca="false">IFERROR(IF(M278="","",M278*INDEX('00 - Lists'!$M$2:$M$11,MATCH(L278,'00 - Lists'!$L$2:$L$11,0))/100000),"")</f>
        <v/>
      </c>
      <c r="P278" s="30" t="str">
        <f aca="false">IFERROR(IF(N278="","",N278*INDEX('00 - Lists'!$M$2:$M$11,MATCH(L278,'00 - Lists'!$L$2:$L$11,0))/100000),"")</f>
        <v/>
      </c>
      <c r="Q278" s="31" t="str">
        <f aca="false">IFERROR(IF(M278="","",M278*INDEX('00 - Lists'!$N$2:$N$11,MATCH(L278,'00 - Lists'!$L$2:$L$11,0))),"")</f>
        <v/>
      </c>
      <c r="R278" s="31" t="str">
        <f aca="false">IFERROR(IF(N278="","",N278*INDEX('00 - Lists'!$N$2:$N$11,MATCH(L278,'00 - Lists'!$L$2:$L$11,0))),"")</f>
        <v/>
      </c>
      <c r="S278" s="32" t="str">
        <f aca="false">IF(O278="","",IF(O278&gt;=50,"Yes","No"))</f>
        <v/>
      </c>
      <c r="T278" s="32" t="str">
        <f aca="false">IF(Q278="","",IF(Q278&gt;=100000,"Yes","No"))</f>
        <v/>
      </c>
      <c r="U278" s="28"/>
      <c r="V278" s="28"/>
      <c r="W278" s="28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J278" s="34" t="str">
        <f aca="false">IF(OR($BD278&lt;&gt;"",$BF278&lt;&gt;"",$BH278&lt;&gt;""),"Yes","No")</f>
        <v>No</v>
      </c>
      <c r="BK278" s="35" t="str">
        <f aca="false">IFERROR(IF(BD278="","",BD278*INDEX('00 - Lists'!$M$2:$M$11,MATCH(L278,'00 - Lists'!$L$2:$L$11,0))/100000),"")</f>
        <v/>
      </c>
      <c r="BL278" s="35" t="str">
        <f aca="false">IFERROR(IF(BE278="","",BE278*INDEX('00 - Lists'!$M$2:$M$11,MATCH(L278,'00 - Lists'!$L$2:$L$11,0))/100000),"")</f>
        <v/>
      </c>
      <c r="BM278" s="35" t="str">
        <f aca="false">IFERROR(IF(BF278="","",BF278*INDEX('00 - Lists'!$M$2:$M$11,MATCH(L278,'00 - Lists'!$L$2:$L$11,0))/100000),"")</f>
        <v/>
      </c>
      <c r="BN278" s="35" t="str">
        <f aca="false">IFERROR(IF(BG278="","",BG278*INDEX('00 - Lists'!$M$2:$M$11,MATCH(L278,'00 - Lists'!$L$2:$L$11,0))/100000),"")</f>
        <v/>
      </c>
      <c r="BO278" s="35" t="str">
        <f aca="false">IFERROR(IF(BH278="","",BH278*INDEX('00 - Lists'!$M$2:$M$11,MATCH(L278,'00 - Lists'!$L$2:$L$11,0))/100000),"")</f>
        <v/>
      </c>
      <c r="BP278" s="35" t="str">
        <f aca="false">IFERROR(IF(BI278="","",BI278*INDEX('00 - Lists'!$M$2:$M$11,MATCH(L278,'00 - Lists'!$L$2:$L$11,0))/100000),"")</f>
        <v/>
      </c>
      <c r="BS278" s="36" t="str">
        <f aca="false">IF(O278="","",IF(O278&gt;=20,"Yes","No"))</f>
        <v/>
      </c>
      <c r="BT278" s="36" t="str">
        <f aca="false">IF(O278="","",IF(O278&gt;=30,"Yes","No"))</f>
        <v/>
      </c>
      <c r="BU278" s="36" t="str">
        <f aca="false">IF(O278="","",IF(O278&gt;=75,"Yes","No"))</f>
        <v/>
      </c>
      <c r="BV278" s="36" t="str">
        <f aca="false">IF(O278="","",IF(O278&gt;=100,"Yes","No"))</f>
        <v/>
      </c>
      <c r="BW278" s="36" t="str">
        <f aca="false">IF(O278="","",IF(O278&gt;=150,"Yes","No"))</f>
        <v/>
      </c>
      <c r="BX278" s="36" t="str">
        <f aca="false">IF(O278="","",IF(O278&gt;=200,"Yes","No"))</f>
        <v/>
      </c>
      <c r="BY278" s="36" t="str">
        <f aca="false">IF(Q278="","",IF(Q278&gt;=150000,"Yes","No"))</f>
        <v/>
      </c>
      <c r="BZ278" s="36" t="str">
        <f aca="false">IF(Q278="","",IF(Q278&gt;=200000,"Yes","No"))</f>
        <v/>
      </c>
      <c r="CA278" s="36" t="str">
        <f aca="false">IF(Q278="","",IF(Q278&gt;=250000,"Yes","No"))</f>
        <v/>
      </c>
      <c r="CB278" s="36" t="str">
        <f aca="false">IF(Q278="","",IF(Q278&gt;=300000,"Yes","No"))</f>
        <v/>
      </c>
      <c r="CC278" s="37"/>
      <c r="CD278" s="36" t="str">
        <f aca="true">IF(B278="","",IF(TODAY()-B278&lt;=7,"🟢 0-7d",IF(TODAY()-B278&lt;=30,"🟡 8-30d",IF(TODAY()-B278&lt;=60,"🟠 31-60d","🔴 60d+"))))</f>
        <v/>
      </c>
      <c r="CE278" s="36" t="str">
        <f aca="false">IF(G278="","",IF(G278&lt;&gt;"USA","N/A - Not USA Role",IF(J278="Yes",IF(OR(F278="Intern",F278="New Grad"),"🟡 Possible","🟢 Strong"),IF(J278="No","🔴 Difficult","⚪ Unknown"))))</f>
        <v/>
      </c>
      <c r="CF278" s="37"/>
      <c r="CG278" s="37"/>
      <c r="CH278" s="38"/>
      <c r="CI278" s="38"/>
      <c r="CJ278" s="38"/>
      <c r="CK278" s="38"/>
    </row>
    <row r="279" customFormat="false" ht="15" hidden="false" customHeight="true" outlineLevel="0" collapsed="false">
      <c r="A279" s="26" t="str">
        <f aca="false">IF($C279="","",ROW()-3)</f>
        <v/>
      </c>
      <c r="B279" s="27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9"/>
      <c r="N279" s="29"/>
      <c r="O279" s="30" t="str">
        <f aca="false">IFERROR(IF(M279="","",M279*INDEX('00 - Lists'!$M$2:$M$11,MATCH(L279,'00 - Lists'!$L$2:$L$11,0))/100000),"")</f>
        <v/>
      </c>
      <c r="P279" s="30" t="str">
        <f aca="false">IFERROR(IF(N279="","",N279*INDEX('00 - Lists'!$M$2:$M$11,MATCH(L279,'00 - Lists'!$L$2:$L$11,0))/100000),"")</f>
        <v/>
      </c>
      <c r="Q279" s="31" t="str">
        <f aca="false">IFERROR(IF(M279="","",M279*INDEX('00 - Lists'!$N$2:$N$11,MATCH(L279,'00 - Lists'!$L$2:$L$11,0))),"")</f>
        <v/>
      </c>
      <c r="R279" s="31" t="str">
        <f aca="false">IFERROR(IF(N279="","",N279*INDEX('00 - Lists'!$N$2:$N$11,MATCH(L279,'00 - Lists'!$L$2:$L$11,0))),"")</f>
        <v/>
      </c>
      <c r="S279" s="32" t="str">
        <f aca="false">IF(O279="","",IF(O279&gt;=50,"Yes","No"))</f>
        <v/>
      </c>
      <c r="T279" s="32" t="str">
        <f aca="false">IF(Q279="","",IF(Q279&gt;=100000,"Yes","No"))</f>
        <v/>
      </c>
      <c r="U279" s="28"/>
      <c r="V279" s="28"/>
      <c r="W279" s="28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J279" s="34" t="str">
        <f aca="false">IF(OR($BD279&lt;&gt;"",$BF279&lt;&gt;"",$BH279&lt;&gt;""),"Yes","No")</f>
        <v>No</v>
      </c>
      <c r="BK279" s="35" t="str">
        <f aca="false">IFERROR(IF(BD279="","",BD279*INDEX('00 - Lists'!$M$2:$M$11,MATCH(L279,'00 - Lists'!$L$2:$L$11,0))/100000),"")</f>
        <v/>
      </c>
      <c r="BL279" s="35" t="str">
        <f aca="false">IFERROR(IF(BE279="","",BE279*INDEX('00 - Lists'!$M$2:$M$11,MATCH(L279,'00 - Lists'!$L$2:$L$11,0))/100000),"")</f>
        <v/>
      </c>
      <c r="BM279" s="35" t="str">
        <f aca="false">IFERROR(IF(BF279="","",BF279*INDEX('00 - Lists'!$M$2:$M$11,MATCH(L279,'00 - Lists'!$L$2:$L$11,0))/100000),"")</f>
        <v/>
      </c>
      <c r="BN279" s="35" t="str">
        <f aca="false">IFERROR(IF(BG279="","",BG279*INDEX('00 - Lists'!$M$2:$M$11,MATCH(L279,'00 - Lists'!$L$2:$L$11,0))/100000),"")</f>
        <v/>
      </c>
      <c r="BO279" s="35" t="str">
        <f aca="false">IFERROR(IF(BH279="","",BH279*INDEX('00 - Lists'!$M$2:$M$11,MATCH(L279,'00 - Lists'!$L$2:$L$11,0))/100000),"")</f>
        <v/>
      </c>
      <c r="BP279" s="35" t="str">
        <f aca="false">IFERROR(IF(BI279="","",BI279*INDEX('00 - Lists'!$M$2:$M$11,MATCH(L279,'00 - Lists'!$L$2:$L$11,0))/100000),"")</f>
        <v/>
      </c>
      <c r="BS279" s="36" t="str">
        <f aca="false">IF(O279="","",IF(O279&gt;=20,"Yes","No"))</f>
        <v/>
      </c>
      <c r="BT279" s="36" t="str">
        <f aca="false">IF(O279="","",IF(O279&gt;=30,"Yes","No"))</f>
        <v/>
      </c>
      <c r="BU279" s="36" t="str">
        <f aca="false">IF(O279="","",IF(O279&gt;=75,"Yes","No"))</f>
        <v/>
      </c>
      <c r="BV279" s="36" t="str">
        <f aca="false">IF(O279="","",IF(O279&gt;=100,"Yes","No"))</f>
        <v/>
      </c>
      <c r="BW279" s="36" t="str">
        <f aca="false">IF(O279="","",IF(O279&gt;=150,"Yes","No"))</f>
        <v/>
      </c>
      <c r="BX279" s="36" t="str">
        <f aca="false">IF(O279="","",IF(O279&gt;=200,"Yes","No"))</f>
        <v/>
      </c>
      <c r="BY279" s="36" t="str">
        <f aca="false">IF(Q279="","",IF(Q279&gt;=150000,"Yes","No"))</f>
        <v/>
      </c>
      <c r="BZ279" s="36" t="str">
        <f aca="false">IF(Q279="","",IF(Q279&gt;=200000,"Yes","No"))</f>
        <v/>
      </c>
      <c r="CA279" s="36" t="str">
        <f aca="false">IF(Q279="","",IF(Q279&gt;=250000,"Yes","No"))</f>
        <v/>
      </c>
      <c r="CB279" s="36" t="str">
        <f aca="false">IF(Q279="","",IF(Q279&gt;=300000,"Yes","No"))</f>
        <v/>
      </c>
      <c r="CC279" s="37"/>
      <c r="CD279" s="36" t="str">
        <f aca="true">IF(B279="","",IF(TODAY()-B279&lt;=7,"🟢 0-7d",IF(TODAY()-B279&lt;=30,"🟡 8-30d",IF(TODAY()-B279&lt;=60,"🟠 31-60d","🔴 60d+"))))</f>
        <v/>
      </c>
      <c r="CE279" s="36" t="str">
        <f aca="false">IF(G279="","",IF(G279&lt;&gt;"USA","N/A - Not USA Role",IF(J279="Yes",IF(OR(F279="Intern",F279="New Grad"),"🟡 Possible","🟢 Strong"),IF(J279="No","🔴 Difficult","⚪ Unknown"))))</f>
        <v/>
      </c>
      <c r="CF279" s="37"/>
      <c r="CG279" s="37"/>
      <c r="CH279" s="38"/>
      <c r="CI279" s="38"/>
      <c r="CJ279" s="38"/>
      <c r="CK279" s="38"/>
    </row>
    <row r="280" customFormat="false" ht="15" hidden="false" customHeight="true" outlineLevel="0" collapsed="false">
      <c r="A280" s="26" t="str">
        <f aca="false">IF($C280="","",ROW()-3)</f>
        <v/>
      </c>
      <c r="B280" s="27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9"/>
      <c r="N280" s="29"/>
      <c r="O280" s="30" t="str">
        <f aca="false">IFERROR(IF(M280="","",M280*INDEX('00 - Lists'!$M$2:$M$11,MATCH(L280,'00 - Lists'!$L$2:$L$11,0))/100000),"")</f>
        <v/>
      </c>
      <c r="P280" s="30" t="str">
        <f aca="false">IFERROR(IF(N280="","",N280*INDEX('00 - Lists'!$M$2:$M$11,MATCH(L280,'00 - Lists'!$L$2:$L$11,0))/100000),"")</f>
        <v/>
      </c>
      <c r="Q280" s="31" t="str">
        <f aca="false">IFERROR(IF(M280="","",M280*INDEX('00 - Lists'!$N$2:$N$11,MATCH(L280,'00 - Lists'!$L$2:$L$11,0))),"")</f>
        <v/>
      </c>
      <c r="R280" s="31" t="str">
        <f aca="false">IFERROR(IF(N280="","",N280*INDEX('00 - Lists'!$N$2:$N$11,MATCH(L280,'00 - Lists'!$L$2:$L$11,0))),"")</f>
        <v/>
      </c>
      <c r="S280" s="32" t="str">
        <f aca="false">IF(O280="","",IF(O280&gt;=50,"Yes","No"))</f>
        <v/>
      </c>
      <c r="T280" s="32" t="str">
        <f aca="false">IF(Q280="","",IF(Q280&gt;=100000,"Yes","No"))</f>
        <v/>
      </c>
      <c r="U280" s="28"/>
      <c r="V280" s="28"/>
      <c r="W280" s="28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J280" s="34" t="str">
        <f aca="false">IF(OR($BD280&lt;&gt;"",$BF280&lt;&gt;"",$BH280&lt;&gt;""),"Yes","No")</f>
        <v>No</v>
      </c>
      <c r="BK280" s="35" t="str">
        <f aca="false">IFERROR(IF(BD280="","",BD280*INDEX('00 - Lists'!$M$2:$M$11,MATCH(L280,'00 - Lists'!$L$2:$L$11,0))/100000),"")</f>
        <v/>
      </c>
      <c r="BL280" s="35" t="str">
        <f aca="false">IFERROR(IF(BE280="","",BE280*INDEX('00 - Lists'!$M$2:$M$11,MATCH(L280,'00 - Lists'!$L$2:$L$11,0))/100000),"")</f>
        <v/>
      </c>
      <c r="BM280" s="35" t="str">
        <f aca="false">IFERROR(IF(BF280="","",BF280*INDEX('00 - Lists'!$M$2:$M$11,MATCH(L280,'00 - Lists'!$L$2:$L$11,0))/100000),"")</f>
        <v/>
      </c>
      <c r="BN280" s="35" t="str">
        <f aca="false">IFERROR(IF(BG280="","",BG280*INDEX('00 - Lists'!$M$2:$M$11,MATCH(L280,'00 - Lists'!$L$2:$L$11,0))/100000),"")</f>
        <v/>
      </c>
      <c r="BO280" s="35" t="str">
        <f aca="false">IFERROR(IF(BH280="","",BH280*INDEX('00 - Lists'!$M$2:$M$11,MATCH(L280,'00 - Lists'!$L$2:$L$11,0))/100000),"")</f>
        <v/>
      </c>
      <c r="BP280" s="35" t="str">
        <f aca="false">IFERROR(IF(BI280="","",BI280*INDEX('00 - Lists'!$M$2:$M$11,MATCH(L280,'00 - Lists'!$L$2:$L$11,0))/100000),"")</f>
        <v/>
      </c>
      <c r="BS280" s="36" t="str">
        <f aca="false">IF(O280="","",IF(O280&gt;=20,"Yes","No"))</f>
        <v/>
      </c>
      <c r="BT280" s="36" t="str">
        <f aca="false">IF(O280="","",IF(O280&gt;=30,"Yes","No"))</f>
        <v/>
      </c>
      <c r="BU280" s="36" t="str">
        <f aca="false">IF(O280="","",IF(O280&gt;=75,"Yes","No"))</f>
        <v/>
      </c>
      <c r="BV280" s="36" t="str">
        <f aca="false">IF(O280="","",IF(O280&gt;=100,"Yes","No"))</f>
        <v/>
      </c>
      <c r="BW280" s="36" t="str">
        <f aca="false">IF(O280="","",IF(O280&gt;=150,"Yes","No"))</f>
        <v/>
      </c>
      <c r="BX280" s="36" t="str">
        <f aca="false">IF(O280="","",IF(O280&gt;=200,"Yes","No"))</f>
        <v/>
      </c>
      <c r="BY280" s="36" t="str">
        <f aca="false">IF(Q280="","",IF(Q280&gt;=150000,"Yes","No"))</f>
        <v/>
      </c>
      <c r="BZ280" s="36" t="str">
        <f aca="false">IF(Q280="","",IF(Q280&gt;=200000,"Yes","No"))</f>
        <v/>
      </c>
      <c r="CA280" s="36" t="str">
        <f aca="false">IF(Q280="","",IF(Q280&gt;=250000,"Yes","No"))</f>
        <v/>
      </c>
      <c r="CB280" s="36" t="str">
        <f aca="false">IF(Q280="","",IF(Q280&gt;=300000,"Yes","No"))</f>
        <v/>
      </c>
      <c r="CC280" s="37"/>
      <c r="CD280" s="36" t="str">
        <f aca="true">IF(B280="","",IF(TODAY()-B280&lt;=7,"🟢 0-7d",IF(TODAY()-B280&lt;=30,"🟡 8-30d",IF(TODAY()-B280&lt;=60,"🟠 31-60d","🔴 60d+"))))</f>
        <v/>
      </c>
      <c r="CE280" s="36" t="str">
        <f aca="false">IF(G280="","",IF(G280&lt;&gt;"USA","N/A - Not USA Role",IF(J280="Yes",IF(OR(F280="Intern",F280="New Grad"),"🟡 Possible","🟢 Strong"),IF(J280="No","🔴 Difficult","⚪ Unknown"))))</f>
        <v/>
      </c>
      <c r="CF280" s="37"/>
      <c r="CG280" s="37"/>
      <c r="CH280" s="38"/>
      <c r="CI280" s="38"/>
      <c r="CJ280" s="38"/>
      <c r="CK280" s="38"/>
    </row>
    <row r="281" customFormat="false" ht="15" hidden="false" customHeight="true" outlineLevel="0" collapsed="false">
      <c r="A281" s="26" t="str">
        <f aca="false">IF($C281="","",ROW()-3)</f>
        <v/>
      </c>
      <c r="B281" s="27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9"/>
      <c r="N281" s="29"/>
      <c r="O281" s="30" t="str">
        <f aca="false">IFERROR(IF(M281="","",M281*INDEX('00 - Lists'!$M$2:$M$11,MATCH(L281,'00 - Lists'!$L$2:$L$11,0))/100000),"")</f>
        <v/>
      </c>
      <c r="P281" s="30" t="str">
        <f aca="false">IFERROR(IF(N281="","",N281*INDEX('00 - Lists'!$M$2:$M$11,MATCH(L281,'00 - Lists'!$L$2:$L$11,0))/100000),"")</f>
        <v/>
      </c>
      <c r="Q281" s="31" t="str">
        <f aca="false">IFERROR(IF(M281="","",M281*INDEX('00 - Lists'!$N$2:$N$11,MATCH(L281,'00 - Lists'!$L$2:$L$11,0))),"")</f>
        <v/>
      </c>
      <c r="R281" s="31" t="str">
        <f aca="false">IFERROR(IF(N281="","",N281*INDEX('00 - Lists'!$N$2:$N$11,MATCH(L281,'00 - Lists'!$L$2:$L$11,0))),"")</f>
        <v/>
      </c>
      <c r="S281" s="32" t="str">
        <f aca="false">IF(O281="","",IF(O281&gt;=50,"Yes","No"))</f>
        <v/>
      </c>
      <c r="T281" s="32" t="str">
        <f aca="false">IF(Q281="","",IF(Q281&gt;=100000,"Yes","No"))</f>
        <v/>
      </c>
      <c r="U281" s="28"/>
      <c r="V281" s="28"/>
      <c r="W281" s="28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J281" s="34" t="str">
        <f aca="false">IF(OR($BD281&lt;&gt;"",$BF281&lt;&gt;"",$BH281&lt;&gt;""),"Yes","No")</f>
        <v>No</v>
      </c>
      <c r="BK281" s="35" t="str">
        <f aca="false">IFERROR(IF(BD281="","",BD281*INDEX('00 - Lists'!$M$2:$M$11,MATCH(L281,'00 - Lists'!$L$2:$L$11,0))/100000),"")</f>
        <v/>
      </c>
      <c r="BL281" s="35" t="str">
        <f aca="false">IFERROR(IF(BE281="","",BE281*INDEX('00 - Lists'!$M$2:$M$11,MATCH(L281,'00 - Lists'!$L$2:$L$11,0))/100000),"")</f>
        <v/>
      </c>
      <c r="BM281" s="35" t="str">
        <f aca="false">IFERROR(IF(BF281="","",BF281*INDEX('00 - Lists'!$M$2:$M$11,MATCH(L281,'00 - Lists'!$L$2:$L$11,0))/100000),"")</f>
        <v/>
      </c>
      <c r="BN281" s="35" t="str">
        <f aca="false">IFERROR(IF(BG281="","",BG281*INDEX('00 - Lists'!$M$2:$M$11,MATCH(L281,'00 - Lists'!$L$2:$L$11,0))/100000),"")</f>
        <v/>
      </c>
      <c r="BO281" s="35" t="str">
        <f aca="false">IFERROR(IF(BH281="","",BH281*INDEX('00 - Lists'!$M$2:$M$11,MATCH(L281,'00 - Lists'!$L$2:$L$11,0))/100000),"")</f>
        <v/>
      </c>
      <c r="BP281" s="35" t="str">
        <f aca="false">IFERROR(IF(BI281="","",BI281*INDEX('00 - Lists'!$M$2:$M$11,MATCH(L281,'00 - Lists'!$L$2:$L$11,0))/100000),"")</f>
        <v/>
      </c>
      <c r="BS281" s="36" t="str">
        <f aca="false">IF(O281="","",IF(O281&gt;=20,"Yes","No"))</f>
        <v/>
      </c>
      <c r="BT281" s="36" t="str">
        <f aca="false">IF(O281="","",IF(O281&gt;=30,"Yes","No"))</f>
        <v/>
      </c>
      <c r="BU281" s="36" t="str">
        <f aca="false">IF(O281="","",IF(O281&gt;=75,"Yes","No"))</f>
        <v/>
      </c>
      <c r="BV281" s="36" t="str">
        <f aca="false">IF(O281="","",IF(O281&gt;=100,"Yes","No"))</f>
        <v/>
      </c>
      <c r="BW281" s="36" t="str">
        <f aca="false">IF(O281="","",IF(O281&gt;=150,"Yes","No"))</f>
        <v/>
      </c>
      <c r="BX281" s="36" t="str">
        <f aca="false">IF(O281="","",IF(O281&gt;=200,"Yes","No"))</f>
        <v/>
      </c>
      <c r="BY281" s="36" t="str">
        <f aca="false">IF(Q281="","",IF(Q281&gt;=150000,"Yes","No"))</f>
        <v/>
      </c>
      <c r="BZ281" s="36" t="str">
        <f aca="false">IF(Q281="","",IF(Q281&gt;=200000,"Yes","No"))</f>
        <v/>
      </c>
      <c r="CA281" s="36" t="str">
        <f aca="false">IF(Q281="","",IF(Q281&gt;=250000,"Yes","No"))</f>
        <v/>
      </c>
      <c r="CB281" s="36" t="str">
        <f aca="false">IF(Q281="","",IF(Q281&gt;=300000,"Yes","No"))</f>
        <v/>
      </c>
      <c r="CC281" s="37"/>
      <c r="CD281" s="36" t="str">
        <f aca="true">IF(B281="","",IF(TODAY()-B281&lt;=7,"🟢 0-7d",IF(TODAY()-B281&lt;=30,"🟡 8-30d",IF(TODAY()-B281&lt;=60,"🟠 31-60d","🔴 60d+"))))</f>
        <v/>
      </c>
      <c r="CE281" s="36" t="str">
        <f aca="false">IF(G281="","",IF(G281&lt;&gt;"USA","N/A - Not USA Role",IF(J281="Yes",IF(OR(F281="Intern",F281="New Grad"),"🟡 Possible","🟢 Strong"),IF(J281="No","🔴 Difficult","⚪ Unknown"))))</f>
        <v/>
      </c>
      <c r="CF281" s="37"/>
      <c r="CG281" s="37"/>
      <c r="CH281" s="38"/>
      <c r="CI281" s="38"/>
      <c r="CJ281" s="38"/>
      <c r="CK281" s="38"/>
    </row>
    <row r="282" customFormat="false" ht="15" hidden="false" customHeight="true" outlineLevel="0" collapsed="false">
      <c r="A282" s="26" t="str">
        <f aca="false">IF($C282="","",ROW()-3)</f>
        <v/>
      </c>
      <c r="B282" s="27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9"/>
      <c r="N282" s="29"/>
      <c r="O282" s="30" t="str">
        <f aca="false">IFERROR(IF(M282="","",M282*INDEX('00 - Lists'!$M$2:$M$11,MATCH(L282,'00 - Lists'!$L$2:$L$11,0))/100000),"")</f>
        <v/>
      </c>
      <c r="P282" s="30" t="str">
        <f aca="false">IFERROR(IF(N282="","",N282*INDEX('00 - Lists'!$M$2:$M$11,MATCH(L282,'00 - Lists'!$L$2:$L$11,0))/100000),"")</f>
        <v/>
      </c>
      <c r="Q282" s="31" t="str">
        <f aca="false">IFERROR(IF(M282="","",M282*INDEX('00 - Lists'!$N$2:$N$11,MATCH(L282,'00 - Lists'!$L$2:$L$11,0))),"")</f>
        <v/>
      </c>
      <c r="R282" s="31" t="str">
        <f aca="false">IFERROR(IF(N282="","",N282*INDEX('00 - Lists'!$N$2:$N$11,MATCH(L282,'00 - Lists'!$L$2:$L$11,0))),"")</f>
        <v/>
      </c>
      <c r="S282" s="32" t="str">
        <f aca="false">IF(O282="","",IF(O282&gt;=50,"Yes","No"))</f>
        <v/>
      </c>
      <c r="T282" s="32" t="str">
        <f aca="false">IF(Q282="","",IF(Q282&gt;=100000,"Yes","No"))</f>
        <v/>
      </c>
      <c r="U282" s="28"/>
      <c r="V282" s="28"/>
      <c r="W282" s="28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J282" s="34" t="str">
        <f aca="false">IF(OR($BD282&lt;&gt;"",$BF282&lt;&gt;"",$BH282&lt;&gt;""),"Yes","No")</f>
        <v>No</v>
      </c>
      <c r="BK282" s="35" t="str">
        <f aca="false">IFERROR(IF(BD282="","",BD282*INDEX('00 - Lists'!$M$2:$M$11,MATCH(L282,'00 - Lists'!$L$2:$L$11,0))/100000),"")</f>
        <v/>
      </c>
      <c r="BL282" s="35" t="str">
        <f aca="false">IFERROR(IF(BE282="","",BE282*INDEX('00 - Lists'!$M$2:$M$11,MATCH(L282,'00 - Lists'!$L$2:$L$11,0))/100000),"")</f>
        <v/>
      </c>
      <c r="BM282" s="35" t="str">
        <f aca="false">IFERROR(IF(BF282="","",BF282*INDEX('00 - Lists'!$M$2:$M$11,MATCH(L282,'00 - Lists'!$L$2:$L$11,0))/100000),"")</f>
        <v/>
      </c>
      <c r="BN282" s="35" t="str">
        <f aca="false">IFERROR(IF(BG282="","",BG282*INDEX('00 - Lists'!$M$2:$M$11,MATCH(L282,'00 - Lists'!$L$2:$L$11,0))/100000),"")</f>
        <v/>
      </c>
      <c r="BO282" s="35" t="str">
        <f aca="false">IFERROR(IF(BH282="","",BH282*INDEX('00 - Lists'!$M$2:$M$11,MATCH(L282,'00 - Lists'!$L$2:$L$11,0))/100000),"")</f>
        <v/>
      </c>
      <c r="BP282" s="35" t="str">
        <f aca="false">IFERROR(IF(BI282="","",BI282*INDEX('00 - Lists'!$M$2:$M$11,MATCH(L282,'00 - Lists'!$L$2:$L$11,0))/100000),"")</f>
        <v/>
      </c>
      <c r="BS282" s="36" t="str">
        <f aca="false">IF(O282="","",IF(O282&gt;=20,"Yes","No"))</f>
        <v/>
      </c>
      <c r="BT282" s="36" t="str">
        <f aca="false">IF(O282="","",IF(O282&gt;=30,"Yes","No"))</f>
        <v/>
      </c>
      <c r="BU282" s="36" t="str">
        <f aca="false">IF(O282="","",IF(O282&gt;=75,"Yes","No"))</f>
        <v/>
      </c>
      <c r="BV282" s="36" t="str">
        <f aca="false">IF(O282="","",IF(O282&gt;=100,"Yes","No"))</f>
        <v/>
      </c>
      <c r="BW282" s="36" t="str">
        <f aca="false">IF(O282="","",IF(O282&gt;=150,"Yes","No"))</f>
        <v/>
      </c>
      <c r="BX282" s="36" t="str">
        <f aca="false">IF(O282="","",IF(O282&gt;=200,"Yes","No"))</f>
        <v/>
      </c>
      <c r="BY282" s="36" t="str">
        <f aca="false">IF(Q282="","",IF(Q282&gt;=150000,"Yes","No"))</f>
        <v/>
      </c>
      <c r="BZ282" s="36" t="str">
        <f aca="false">IF(Q282="","",IF(Q282&gt;=200000,"Yes","No"))</f>
        <v/>
      </c>
      <c r="CA282" s="36" t="str">
        <f aca="false">IF(Q282="","",IF(Q282&gt;=250000,"Yes","No"))</f>
        <v/>
      </c>
      <c r="CB282" s="36" t="str">
        <f aca="false">IF(Q282="","",IF(Q282&gt;=300000,"Yes","No"))</f>
        <v/>
      </c>
      <c r="CC282" s="37"/>
      <c r="CD282" s="36" t="str">
        <f aca="true">IF(B282="","",IF(TODAY()-B282&lt;=7,"🟢 0-7d",IF(TODAY()-B282&lt;=30,"🟡 8-30d",IF(TODAY()-B282&lt;=60,"🟠 31-60d","🔴 60d+"))))</f>
        <v/>
      </c>
      <c r="CE282" s="36" t="str">
        <f aca="false">IF(G282="","",IF(G282&lt;&gt;"USA","N/A - Not USA Role",IF(J282="Yes",IF(OR(F282="Intern",F282="New Grad"),"🟡 Possible","🟢 Strong"),IF(J282="No","🔴 Difficult","⚪ Unknown"))))</f>
        <v/>
      </c>
      <c r="CF282" s="37"/>
      <c r="CG282" s="37"/>
      <c r="CH282" s="38"/>
      <c r="CI282" s="38"/>
      <c r="CJ282" s="38"/>
      <c r="CK282" s="38"/>
    </row>
    <row r="283" customFormat="false" ht="15" hidden="false" customHeight="true" outlineLevel="0" collapsed="false">
      <c r="A283" s="26" t="str">
        <f aca="false">IF($C283="","",ROW()-3)</f>
        <v/>
      </c>
      <c r="B283" s="27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9"/>
      <c r="N283" s="29"/>
      <c r="O283" s="30" t="str">
        <f aca="false">IFERROR(IF(M283="","",M283*INDEX('00 - Lists'!$M$2:$M$11,MATCH(L283,'00 - Lists'!$L$2:$L$11,0))/100000),"")</f>
        <v/>
      </c>
      <c r="P283" s="30" t="str">
        <f aca="false">IFERROR(IF(N283="","",N283*INDEX('00 - Lists'!$M$2:$M$11,MATCH(L283,'00 - Lists'!$L$2:$L$11,0))/100000),"")</f>
        <v/>
      </c>
      <c r="Q283" s="31" t="str">
        <f aca="false">IFERROR(IF(M283="","",M283*INDEX('00 - Lists'!$N$2:$N$11,MATCH(L283,'00 - Lists'!$L$2:$L$11,0))),"")</f>
        <v/>
      </c>
      <c r="R283" s="31" t="str">
        <f aca="false">IFERROR(IF(N283="","",N283*INDEX('00 - Lists'!$N$2:$N$11,MATCH(L283,'00 - Lists'!$L$2:$L$11,0))),"")</f>
        <v/>
      </c>
      <c r="S283" s="32" t="str">
        <f aca="false">IF(O283="","",IF(O283&gt;=50,"Yes","No"))</f>
        <v/>
      </c>
      <c r="T283" s="32" t="str">
        <f aca="false">IF(Q283="","",IF(Q283&gt;=100000,"Yes","No"))</f>
        <v/>
      </c>
      <c r="U283" s="28"/>
      <c r="V283" s="28"/>
      <c r="W283" s="28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J283" s="34" t="str">
        <f aca="false">IF(OR($BD283&lt;&gt;"",$BF283&lt;&gt;"",$BH283&lt;&gt;""),"Yes","No")</f>
        <v>No</v>
      </c>
      <c r="BK283" s="35" t="str">
        <f aca="false">IFERROR(IF(BD283="","",BD283*INDEX('00 - Lists'!$M$2:$M$11,MATCH(L283,'00 - Lists'!$L$2:$L$11,0))/100000),"")</f>
        <v/>
      </c>
      <c r="BL283" s="35" t="str">
        <f aca="false">IFERROR(IF(BE283="","",BE283*INDEX('00 - Lists'!$M$2:$M$11,MATCH(L283,'00 - Lists'!$L$2:$L$11,0))/100000),"")</f>
        <v/>
      </c>
      <c r="BM283" s="35" t="str">
        <f aca="false">IFERROR(IF(BF283="","",BF283*INDEX('00 - Lists'!$M$2:$M$11,MATCH(L283,'00 - Lists'!$L$2:$L$11,0))/100000),"")</f>
        <v/>
      </c>
      <c r="BN283" s="35" t="str">
        <f aca="false">IFERROR(IF(BG283="","",BG283*INDEX('00 - Lists'!$M$2:$M$11,MATCH(L283,'00 - Lists'!$L$2:$L$11,0))/100000),"")</f>
        <v/>
      </c>
      <c r="BO283" s="35" t="str">
        <f aca="false">IFERROR(IF(BH283="","",BH283*INDEX('00 - Lists'!$M$2:$M$11,MATCH(L283,'00 - Lists'!$L$2:$L$11,0))/100000),"")</f>
        <v/>
      </c>
      <c r="BP283" s="35" t="str">
        <f aca="false">IFERROR(IF(BI283="","",BI283*INDEX('00 - Lists'!$M$2:$M$11,MATCH(L283,'00 - Lists'!$L$2:$L$11,0))/100000),"")</f>
        <v/>
      </c>
      <c r="BS283" s="36" t="str">
        <f aca="false">IF(O283="","",IF(O283&gt;=20,"Yes","No"))</f>
        <v/>
      </c>
      <c r="BT283" s="36" t="str">
        <f aca="false">IF(O283="","",IF(O283&gt;=30,"Yes","No"))</f>
        <v/>
      </c>
      <c r="BU283" s="36" t="str">
        <f aca="false">IF(O283="","",IF(O283&gt;=75,"Yes","No"))</f>
        <v/>
      </c>
      <c r="BV283" s="36" t="str">
        <f aca="false">IF(O283="","",IF(O283&gt;=100,"Yes","No"))</f>
        <v/>
      </c>
      <c r="BW283" s="36" t="str">
        <f aca="false">IF(O283="","",IF(O283&gt;=150,"Yes","No"))</f>
        <v/>
      </c>
      <c r="BX283" s="36" t="str">
        <f aca="false">IF(O283="","",IF(O283&gt;=200,"Yes","No"))</f>
        <v/>
      </c>
      <c r="BY283" s="36" t="str">
        <f aca="false">IF(Q283="","",IF(Q283&gt;=150000,"Yes","No"))</f>
        <v/>
      </c>
      <c r="BZ283" s="36" t="str">
        <f aca="false">IF(Q283="","",IF(Q283&gt;=200000,"Yes","No"))</f>
        <v/>
      </c>
      <c r="CA283" s="36" t="str">
        <f aca="false">IF(Q283="","",IF(Q283&gt;=250000,"Yes","No"))</f>
        <v/>
      </c>
      <c r="CB283" s="36" t="str">
        <f aca="false">IF(Q283="","",IF(Q283&gt;=300000,"Yes","No"))</f>
        <v/>
      </c>
      <c r="CC283" s="37"/>
      <c r="CD283" s="36" t="str">
        <f aca="true">IF(B283="","",IF(TODAY()-B283&lt;=7,"🟢 0-7d",IF(TODAY()-B283&lt;=30,"🟡 8-30d",IF(TODAY()-B283&lt;=60,"🟠 31-60d","🔴 60d+"))))</f>
        <v/>
      </c>
      <c r="CE283" s="36" t="str">
        <f aca="false">IF(G283="","",IF(G283&lt;&gt;"USA","N/A - Not USA Role",IF(J283="Yes",IF(OR(F283="Intern",F283="New Grad"),"🟡 Possible","🟢 Strong"),IF(J283="No","🔴 Difficult","⚪ Unknown"))))</f>
        <v/>
      </c>
      <c r="CF283" s="37"/>
      <c r="CG283" s="37"/>
      <c r="CH283" s="38"/>
      <c r="CI283" s="38"/>
      <c r="CJ283" s="38"/>
      <c r="CK283" s="38"/>
    </row>
    <row r="284" customFormat="false" ht="15" hidden="false" customHeight="true" outlineLevel="0" collapsed="false">
      <c r="A284" s="26" t="str">
        <f aca="false">IF($C284="","",ROW()-3)</f>
        <v/>
      </c>
      <c r="B284" s="27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9"/>
      <c r="N284" s="29"/>
      <c r="O284" s="30" t="str">
        <f aca="false">IFERROR(IF(M284="","",M284*INDEX('00 - Lists'!$M$2:$M$11,MATCH(L284,'00 - Lists'!$L$2:$L$11,0))/100000),"")</f>
        <v/>
      </c>
      <c r="P284" s="30" t="str">
        <f aca="false">IFERROR(IF(N284="","",N284*INDEX('00 - Lists'!$M$2:$M$11,MATCH(L284,'00 - Lists'!$L$2:$L$11,0))/100000),"")</f>
        <v/>
      </c>
      <c r="Q284" s="31" t="str">
        <f aca="false">IFERROR(IF(M284="","",M284*INDEX('00 - Lists'!$N$2:$N$11,MATCH(L284,'00 - Lists'!$L$2:$L$11,0))),"")</f>
        <v/>
      </c>
      <c r="R284" s="31" t="str">
        <f aca="false">IFERROR(IF(N284="","",N284*INDEX('00 - Lists'!$N$2:$N$11,MATCH(L284,'00 - Lists'!$L$2:$L$11,0))),"")</f>
        <v/>
      </c>
      <c r="S284" s="32" t="str">
        <f aca="false">IF(O284="","",IF(O284&gt;=50,"Yes","No"))</f>
        <v/>
      </c>
      <c r="T284" s="32" t="str">
        <f aca="false">IF(Q284="","",IF(Q284&gt;=100000,"Yes","No"))</f>
        <v/>
      </c>
      <c r="U284" s="28"/>
      <c r="V284" s="28"/>
      <c r="W284" s="28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J284" s="34" t="str">
        <f aca="false">IF(OR($BD284&lt;&gt;"",$BF284&lt;&gt;"",$BH284&lt;&gt;""),"Yes","No")</f>
        <v>No</v>
      </c>
      <c r="BK284" s="35" t="str">
        <f aca="false">IFERROR(IF(BD284="","",BD284*INDEX('00 - Lists'!$M$2:$M$11,MATCH(L284,'00 - Lists'!$L$2:$L$11,0))/100000),"")</f>
        <v/>
      </c>
      <c r="BL284" s="35" t="str">
        <f aca="false">IFERROR(IF(BE284="","",BE284*INDEX('00 - Lists'!$M$2:$M$11,MATCH(L284,'00 - Lists'!$L$2:$L$11,0))/100000),"")</f>
        <v/>
      </c>
      <c r="BM284" s="35" t="str">
        <f aca="false">IFERROR(IF(BF284="","",BF284*INDEX('00 - Lists'!$M$2:$M$11,MATCH(L284,'00 - Lists'!$L$2:$L$11,0))/100000),"")</f>
        <v/>
      </c>
      <c r="BN284" s="35" t="str">
        <f aca="false">IFERROR(IF(BG284="","",BG284*INDEX('00 - Lists'!$M$2:$M$11,MATCH(L284,'00 - Lists'!$L$2:$L$11,0))/100000),"")</f>
        <v/>
      </c>
      <c r="BO284" s="35" t="str">
        <f aca="false">IFERROR(IF(BH284="","",BH284*INDEX('00 - Lists'!$M$2:$M$11,MATCH(L284,'00 - Lists'!$L$2:$L$11,0))/100000),"")</f>
        <v/>
      </c>
      <c r="BP284" s="35" t="str">
        <f aca="false">IFERROR(IF(BI284="","",BI284*INDEX('00 - Lists'!$M$2:$M$11,MATCH(L284,'00 - Lists'!$L$2:$L$11,0))/100000),"")</f>
        <v/>
      </c>
      <c r="BS284" s="36" t="str">
        <f aca="false">IF(O284="","",IF(O284&gt;=20,"Yes","No"))</f>
        <v/>
      </c>
      <c r="BT284" s="36" t="str">
        <f aca="false">IF(O284="","",IF(O284&gt;=30,"Yes","No"))</f>
        <v/>
      </c>
      <c r="BU284" s="36" t="str">
        <f aca="false">IF(O284="","",IF(O284&gt;=75,"Yes","No"))</f>
        <v/>
      </c>
      <c r="BV284" s="36" t="str">
        <f aca="false">IF(O284="","",IF(O284&gt;=100,"Yes","No"))</f>
        <v/>
      </c>
      <c r="BW284" s="36" t="str">
        <f aca="false">IF(O284="","",IF(O284&gt;=150,"Yes","No"))</f>
        <v/>
      </c>
      <c r="BX284" s="36" t="str">
        <f aca="false">IF(O284="","",IF(O284&gt;=200,"Yes","No"))</f>
        <v/>
      </c>
      <c r="BY284" s="36" t="str">
        <f aca="false">IF(Q284="","",IF(Q284&gt;=150000,"Yes","No"))</f>
        <v/>
      </c>
      <c r="BZ284" s="36" t="str">
        <f aca="false">IF(Q284="","",IF(Q284&gt;=200000,"Yes","No"))</f>
        <v/>
      </c>
      <c r="CA284" s="36" t="str">
        <f aca="false">IF(Q284="","",IF(Q284&gt;=250000,"Yes","No"))</f>
        <v/>
      </c>
      <c r="CB284" s="36" t="str">
        <f aca="false">IF(Q284="","",IF(Q284&gt;=300000,"Yes","No"))</f>
        <v/>
      </c>
      <c r="CC284" s="37"/>
      <c r="CD284" s="36" t="str">
        <f aca="true">IF(B284="","",IF(TODAY()-B284&lt;=7,"🟢 0-7d",IF(TODAY()-B284&lt;=30,"🟡 8-30d",IF(TODAY()-B284&lt;=60,"🟠 31-60d","🔴 60d+"))))</f>
        <v/>
      </c>
      <c r="CE284" s="36" t="str">
        <f aca="false">IF(G284="","",IF(G284&lt;&gt;"USA","N/A - Not USA Role",IF(J284="Yes",IF(OR(F284="Intern",F284="New Grad"),"🟡 Possible","🟢 Strong"),IF(J284="No","🔴 Difficult","⚪ Unknown"))))</f>
        <v/>
      </c>
      <c r="CF284" s="37"/>
      <c r="CG284" s="37"/>
      <c r="CH284" s="38"/>
      <c r="CI284" s="38"/>
      <c r="CJ284" s="38"/>
      <c r="CK284" s="38"/>
    </row>
    <row r="285" customFormat="false" ht="15" hidden="false" customHeight="true" outlineLevel="0" collapsed="false">
      <c r="A285" s="26" t="str">
        <f aca="false">IF($C285="","",ROW()-3)</f>
        <v/>
      </c>
      <c r="B285" s="27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9"/>
      <c r="N285" s="29"/>
      <c r="O285" s="30" t="str">
        <f aca="false">IFERROR(IF(M285="","",M285*INDEX('00 - Lists'!$M$2:$M$11,MATCH(L285,'00 - Lists'!$L$2:$L$11,0))/100000),"")</f>
        <v/>
      </c>
      <c r="P285" s="30" t="str">
        <f aca="false">IFERROR(IF(N285="","",N285*INDEX('00 - Lists'!$M$2:$M$11,MATCH(L285,'00 - Lists'!$L$2:$L$11,0))/100000),"")</f>
        <v/>
      </c>
      <c r="Q285" s="31" t="str">
        <f aca="false">IFERROR(IF(M285="","",M285*INDEX('00 - Lists'!$N$2:$N$11,MATCH(L285,'00 - Lists'!$L$2:$L$11,0))),"")</f>
        <v/>
      </c>
      <c r="R285" s="31" t="str">
        <f aca="false">IFERROR(IF(N285="","",N285*INDEX('00 - Lists'!$N$2:$N$11,MATCH(L285,'00 - Lists'!$L$2:$L$11,0))),"")</f>
        <v/>
      </c>
      <c r="S285" s="32" t="str">
        <f aca="false">IF(O285="","",IF(O285&gt;=50,"Yes","No"))</f>
        <v/>
      </c>
      <c r="T285" s="32" t="str">
        <f aca="false">IF(Q285="","",IF(Q285&gt;=100000,"Yes","No"))</f>
        <v/>
      </c>
      <c r="U285" s="28"/>
      <c r="V285" s="28"/>
      <c r="W285" s="28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J285" s="34" t="str">
        <f aca="false">IF(OR($BD285&lt;&gt;"",$BF285&lt;&gt;"",$BH285&lt;&gt;""),"Yes","No")</f>
        <v>No</v>
      </c>
      <c r="BK285" s="35" t="str">
        <f aca="false">IFERROR(IF(BD285="","",BD285*INDEX('00 - Lists'!$M$2:$M$11,MATCH(L285,'00 - Lists'!$L$2:$L$11,0))/100000),"")</f>
        <v/>
      </c>
      <c r="BL285" s="35" t="str">
        <f aca="false">IFERROR(IF(BE285="","",BE285*INDEX('00 - Lists'!$M$2:$M$11,MATCH(L285,'00 - Lists'!$L$2:$L$11,0))/100000),"")</f>
        <v/>
      </c>
      <c r="BM285" s="35" t="str">
        <f aca="false">IFERROR(IF(BF285="","",BF285*INDEX('00 - Lists'!$M$2:$M$11,MATCH(L285,'00 - Lists'!$L$2:$L$11,0))/100000),"")</f>
        <v/>
      </c>
      <c r="BN285" s="35" t="str">
        <f aca="false">IFERROR(IF(BG285="","",BG285*INDEX('00 - Lists'!$M$2:$M$11,MATCH(L285,'00 - Lists'!$L$2:$L$11,0))/100000),"")</f>
        <v/>
      </c>
      <c r="BO285" s="35" t="str">
        <f aca="false">IFERROR(IF(BH285="","",BH285*INDEX('00 - Lists'!$M$2:$M$11,MATCH(L285,'00 - Lists'!$L$2:$L$11,0))/100000),"")</f>
        <v/>
      </c>
      <c r="BP285" s="35" t="str">
        <f aca="false">IFERROR(IF(BI285="","",BI285*INDEX('00 - Lists'!$M$2:$M$11,MATCH(L285,'00 - Lists'!$L$2:$L$11,0))/100000),"")</f>
        <v/>
      </c>
      <c r="BS285" s="36" t="str">
        <f aca="false">IF(O285="","",IF(O285&gt;=20,"Yes","No"))</f>
        <v/>
      </c>
      <c r="BT285" s="36" t="str">
        <f aca="false">IF(O285="","",IF(O285&gt;=30,"Yes","No"))</f>
        <v/>
      </c>
      <c r="BU285" s="36" t="str">
        <f aca="false">IF(O285="","",IF(O285&gt;=75,"Yes","No"))</f>
        <v/>
      </c>
      <c r="BV285" s="36" t="str">
        <f aca="false">IF(O285="","",IF(O285&gt;=100,"Yes","No"))</f>
        <v/>
      </c>
      <c r="BW285" s="36" t="str">
        <f aca="false">IF(O285="","",IF(O285&gt;=150,"Yes","No"))</f>
        <v/>
      </c>
      <c r="BX285" s="36" t="str">
        <f aca="false">IF(O285="","",IF(O285&gt;=200,"Yes","No"))</f>
        <v/>
      </c>
      <c r="BY285" s="36" t="str">
        <f aca="false">IF(Q285="","",IF(Q285&gt;=150000,"Yes","No"))</f>
        <v/>
      </c>
      <c r="BZ285" s="36" t="str">
        <f aca="false">IF(Q285="","",IF(Q285&gt;=200000,"Yes","No"))</f>
        <v/>
      </c>
      <c r="CA285" s="36" t="str">
        <f aca="false">IF(Q285="","",IF(Q285&gt;=250000,"Yes","No"))</f>
        <v/>
      </c>
      <c r="CB285" s="36" t="str">
        <f aca="false">IF(Q285="","",IF(Q285&gt;=300000,"Yes","No"))</f>
        <v/>
      </c>
      <c r="CC285" s="37"/>
      <c r="CD285" s="36" t="str">
        <f aca="true">IF(B285="","",IF(TODAY()-B285&lt;=7,"🟢 0-7d",IF(TODAY()-B285&lt;=30,"🟡 8-30d",IF(TODAY()-B285&lt;=60,"🟠 31-60d","🔴 60d+"))))</f>
        <v/>
      </c>
      <c r="CE285" s="36" t="str">
        <f aca="false">IF(G285="","",IF(G285&lt;&gt;"USA","N/A - Not USA Role",IF(J285="Yes",IF(OR(F285="Intern",F285="New Grad"),"🟡 Possible","🟢 Strong"),IF(J285="No","🔴 Difficult","⚪ Unknown"))))</f>
        <v/>
      </c>
      <c r="CF285" s="37"/>
      <c r="CG285" s="37"/>
      <c r="CH285" s="38"/>
      <c r="CI285" s="38"/>
      <c r="CJ285" s="38"/>
      <c r="CK285" s="38"/>
    </row>
    <row r="286" customFormat="false" ht="15" hidden="false" customHeight="true" outlineLevel="0" collapsed="false">
      <c r="A286" s="26" t="str">
        <f aca="false">IF($C286="","",ROW()-3)</f>
        <v/>
      </c>
      <c r="B286" s="27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9"/>
      <c r="N286" s="29"/>
      <c r="O286" s="30" t="str">
        <f aca="false">IFERROR(IF(M286="","",M286*INDEX('00 - Lists'!$M$2:$M$11,MATCH(L286,'00 - Lists'!$L$2:$L$11,0))/100000),"")</f>
        <v/>
      </c>
      <c r="P286" s="30" t="str">
        <f aca="false">IFERROR(IF(N286="","",N286*INDEX('00 - Lists'!$M$2:$M$11,MATCH(L286,'00 - Lists'!$L$2:$L$11,0))/100000),"")</f>
        <v/>
      </c>
      <c r="Q286" s="31" t="str">
        <f aca="false">IFERROR(IF(M286="","",M286*INDEX('00 - Lists'!$N$2:$N$11,MATCH(L286,'00 - Lists'!$L$2:$L$11,0))),"")</f>
        <v/>
      </c>
      <c r="R286" s="31" t="str">
        <f aca="false">IFERROR(IF(N286="","",N286*INDEX('00 - Lists'!$N$2:$N$11,MATCH(L286,'00 - Lists'!$L$2:$L$11,0))),"")</f>
        <v/>
      </c>
      <c r="S286" s="32" t="str">
        <f aca="false">IF(O286="","",IF(O286&gt;=50,"Yes","No"))</f>
        <v/>
      </c>
      <c r="T286" s="32" t="str">
        <f aca="false">IF(Q286="","",IF(Q286&gt;=100000,"Yes","No"))</f>
        <v/>
      </c>
      <c r="U286" s="28"/>
      <c r="V286" s="28"/>
      <c r="W286" s="28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J286" s="34" t="str">
        <f aca="false">IF(OR($BD286&lt;&gt;"",$BF286&lt;&gt;"",$BH286&lt;&gt;""),"Yes","No")</f>
        <v>No</v>
      </c>
      <c r="BK286" s="35" t="str">
        <f aca="false">IFERROR(IF(BD286="","",BD286*INDEX('00 - Lists'!$M$2:$M$11,MATCH(L286,'00 - Lists'!$L$2:$L$11,0))/100000),"")</f>
        <v/>
      </c>
      <c r="BL286" s="35" t="str">
        <f aca="false">IFERROR(IF(BE286="","",BE286*INDEX('00 - Lists'!$M$2:$M$11,MATCH(L286,'00 - Lists'!$L$2:$L$11,0))/100000),"")</f>
        <v/>
      </c>
      <c r="BM286" s="35" t="str">
        <f aca="false">IFERROR(IF(BF286="","",BF286*INDEX('00 - Lists'!$M$2:$M$11,MATCH(L286,'00 - Lists'!$L$2:$L$11,0))/100000),"")</f>
        <v/>
      </c>
      <c r="BN286" s="35" t="str">
        <f aca="false">IFERROR(IF(BG286="","",BG286*INDEX('00 - Lists'!$M$2:$M$11,MATCH(L286,'00 - Lists'!$L$2:$L$11,0))/100000),"")</f>
        <v/>
      </c>
      <c r="BO286" s="35" t="str">
        <f aca="false">IFERROR(IF(BH286="","",BH286*INDEX('00 - Lists'!$M$2:$M$11,MATCH(L286,'00 - Lists'!$L$2:$L$11,0))/100000),"")</f>
        <v/>
      </c>
      <c r="BP286" s="35" t="str">
        <f aca="false">IFERROR(IF(BI286="","",BI286*INDEX('00 - Lists'!$M$2:$M$11,MATCH(L286,'00 - Lists'!$L$2:$L$11,0))/100000),"")</f>
        <v/>
      </c>
      <c r="BS286" s="36" t="str">
        <f aca="false">IF(O286="","",IF(O286&gt;=20,"Yes","No"))</f>
        <v/>
      </c>
      <c r="BT286" s="36" t="str">
        <f aca="false">IF(O286="","",IF(O286&gt;=30,"Yes","No"))</f>
        <v/>
      </c>
      <c r="BU286" s="36" t="str">
        <f aca="false">IF(O286="","",IF(O286&gt;=75,"Yes","No"))</f>
        <v/>
      </c>
      <c r="BV286" s="36" t="str">
        <f aca="false">IF(O286="","",IF(O286&gt;=100,"Yes","No"))</f>
        <v/>
      </c>
      <c r="BW286" s="36" t="str">
        <f aca="false">IF(O286="","",IF(O286&gt;=150,"Yes","No"))</f>
        <v/>
      </c>
      <c r="BX286" s="36" t="str">
        <f aca="false">IF(O286="","",IF(O286&gt;=200,"Yes","No"))</f>
        <v/>
      </c>
      <c r="BY286" s="36" t="str">
        <f aca="false">IF(Q286="","",IF(Q286&gt;=150000,"Yes","No"))</f>
        <v/>
      </c>
      <c r="BZ286" s="36" t="str">
        <f aca="false">IF(Q286="","",IF(Q286&gt;=200000,"Yes","No"))</f>
        <v/>
      </c>
      <c r="CA286" s="36" t="str">
        <f aca="false">IF(Q286="","",IF(Q286&gt;=250000,"Yes","No"))</f>
        <v/>
      </c>
      <c r="CB286" s="36" t="str">
        <f aca="false">IF(Q286="","",IF(Q286&gt;=300000,"Yes","No"))</f>
        <v/>
      </c>
      <c r="CC286" s="37"/>
      <c r="CD286" s="36" t="str">
        <f aca="true">IF(B286="","",IF(TODAY()-B286&lt;=7,"🟢 0-7d",IF(TODAY()-B286&lt;=30,"🟡 8-30d",IF(TODAY()-B286&lt;=60,"🟠 31-60d","🔴 60d+"))))</f>
        <v/>
      </c>
      <c r="CE286" s="36" t="str">
        <f aca="false">IF(G286="","",IF(G286&lt;&gt;"USA","N/A - Not USA Role",IF(J286="Yes",IF(OR(F286="Intern",F286="New Grad"),"🟡 Possible","🟢 Strong"),IF(J286="No","🔴 Difficult","⚪ Unknown"))))</f>
        <v/>
      </c>
      <c r="CF286" s="37"/>
      <c r="CG286" s="37"/>
      <c r="CH286" s="38"/>
      <c r="CI286" s="38"/>
      <c r="CJ286" s="38"/>
      <c r="CK286" s="38"/>
    </row>
    <row r="287" customFormat="false" ht="15" hidden="false" customHeight="true" outlineLevel="0" collapsed="false">
      <c r="A287" s="26" t="str">
        <f aca="false">IF($C287="","",ROW()-3)</f>
        <v/>
      </c>
      <c r="B287" s="27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9"/>
      <c r="N287" s="29"/>
      <c r="O287" s="30" t="str">
        <f aca="false">IFERROR(IF(M287="","",M287*INDEX('00 - Lists'!$M$2:$M$11,MATCH(L287,'00 - Lists'!$L$2:$L$11,0))/100000),"")</f>
        <v/>
      </c>
      <c r="P287" s="30" t="str">
        <f aca="false">IFERROR(IF(N287="","",N287*INDEX('00 - Lists'!$M$2:$M$11,MATCH(L287,'00 - Lists'!$L$2:$L$11,0))/100000),"")</f>
        <v/>
      </c>
      <c r="Q287" s="31" t="str">
        <f aca="false">IFERROR(IF(M287="","",M287*INDEX('00 - Lists'!$N$2:$N$11,MATCH(L287,'00 - Lists'!$L$2:$L$11,0))),"")</f>
        <v/>
      </c>
      <c r="R287" s="31" t="str">
        <f aca="false">IFERROR(IF(N287="","",N287*INDEX('00 - Lists'!$N$2:$N$11,MATCH(L287,'00 - Lists'!$L$2:$L$11,0))),"")</f>
        <v/>
      </c>
      <c r="S287" s="32" t="str">
        <f aca="false">IF(O287="","",IF(O287&gt;=50,"Yes","No"))</f>
        <v/>
      </c>
      <c r="T287" s="32" t="str">
        <f aca="false">IF(Q287="","",IF(Q287&gt;=100000,"Yes","No"))</f>
        <v/>
      </c>
      <c r="U287" s="28"/>
      <c r="V287" s="28"/>
      <c r="W287" s="28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J287" s="34" t="str">
        <f aca="false">IF(OR($BD287&lt;&gt;"",$BF287&lt;&gt;"",$BH287&lt;&gt;""),"Yes","No")</f>
        <v>No</v>
      </c>
      <c r="BK287" s="35" t="str">
        <f aca="false">IFERROR(IF(BD287="","",BD287*INDEX('00 - Lists'!$M$2:$M$11,MATCH(L287,'00 - Lists'!$L$2:$L$11,0))/100000),"")</f>
        <v/>
      </c>
      <c r="BL287" s="35" t="str">
        <f aca="false">IFERROR(IF(BE287="","",BE287*INDEX('00 - Lists'!$M$2:$M$11,MATCH(L287,'00 - Lists'!$L$2:$L$11,0))/100000),"")</f>
        <v/>
      </c>
      <c r="BM287" s="35" t="str">
        <f aca="false">IFERROR(IF(BF287="","",BF287*INDEX('00 - Lists'!$M$2:$M$11,MATCH(L287,'00 - Lists'!$L$2:$L$11,0))/100000),"")</f>
        <v/>
      </c>
      <c r="BN287" s="35" t="str">
        <f aca="false">IFERROR(IF(BG287="","",BG287*INDEX('00 - Lists'!$M$2:$M$11,MATCH(L287,'00 - Lists'!$L$2:$L$11,0))/100000),"")</f>
        <v/>
      </c>
      <c r="BO287" s="35" t="str">
        <f aca="false">IFERROR(IF(BH287="","",BH287*INDEX('00 - Lists'!$M$2:$M$11,MATCH(L287,'00 - Lists'!$L$2:$L$11,0))/100000),"")</f>
        <v/>
      </c>
      <c r="BP287" s="35" t="str">
        <f aca="false">IFERROR(IF(BI287="","",BI287*INDEX('00 - Lists'!$M$2:$M$11,MATCH(L287,'00 - Lists'!$L$2:$L$11,0))/100000),"")</f>
        <v/>
      </c>
      <c r="BS287" s="36" t="str">
        <f aca="false">IF(O287="","",IF(O287&gt;=20,"Yes","No"))</f>
        <v/>
      </c>
      <c r="BT287" s="36" t="str">
        <f aca="false">IF(O287="","",IF(O287&gt;=30,"Yes","No"))</f>
        <v/>
      </c>
      <c r="BU287" s="36" t="str">
        <f aca="false">IF(O287="","",IF(O287&gt;=75,"Yes","No"))</f>
        <v/>
      </c>
      <c r="BV287" s="36" t="str">
        <f aca="false">IF(O287="","",IF(O287&gt;=100,"Yes","No"))</f>
        <v/>
      </c>
      <c r="BW287" s="36" t="str">
        <f aca="false">IF(O287="","",IF(O287&gt;=150,"Yes","No"))</f>
        <v/>
      </c>
      <c r="BX287" s="36" t="str">
        <f aca="false">IF(O287="","",IF(O287&gt;=200,"Yes","No"))</f>
        <v/>
      </c>
      <c r="BY287" s="36" t="str">
        <f aca="false">IF(Q287="","",IF(Q287&gt;=150000,"Yes","No"))</f>
        <v/>
      </c>
      <c r="BZ287" s="36" t="str">
        <f aca="false">IF(Q287="","",IF(Q287&gt;=200000,"Yes","No"))</f>
        <v/>
      </c>
      <c r="CA287" s="36" t="str">
        <f aca="false">IF(Q287="","",IF(Q287&gt;=250000,"Yes","No"))</f>
        <v/>
      </c>
      <c r="CB287" s="36" t="str">
        <f aca="false">IF(Q287="","",IF(Q287&gt;=300000,"Yes","No"))</f>
        <v/>
      </c>
      <c r="CC287" s="37"/>
      <c r="CD287" s="36" t="str">
        <f aca="true">IF(B287="","",IF(TODAY()-B287&lt;=7,"🟢 0-7d",IF(TODAY()-B287&lt;=30,"🟡 8-30d",IF(TODAY()-B287&lt;=60,"🟠 31-60d","🔴 60d+"))))</f>
        <v/>
      </c>
      <c r="CE287" s="36" t="str">
        <f aca="false">IF(G287="","",IF(G287&lt;&gt;"USA","N/A - Not USA Role",IF(J287="Yes",IF(OR(F287="Intern",F287="New Grad"),"🟡 Possible","🟢 Strong"),IF(J287="No","🔴 Difficult","⚪ Unknown"))))</f>
        <v/>
      </c>
      <c r="CF287" s="37"/>
      <c r="CG287" s="37"/>
      <c r="CH287" s="38"/>
      <c r="CI287" s="38"/>
      <c r="CJ287" s="38"/>
      <c r="CK287" s="38"/>
    </row>
    <row r="288" customFormat="false" ht="15" hidden="false" customHeight="true" outlineLevel="0" collapsed="false">
      <c r="A288" s="26" t="str">
        <f aca="false">IF($C288="","",ROW()-3)</f>
        <v/>
      </c>
      <c r="B288" s="27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9"/>
      <c r="N288" s="29"/>
      <c r="O288" s="30" t="str">
        <f aca="false">IFERROR(IF(M288="","",M288*INDEX('00 - Lists'!$M$2:$M$11,MATCH(L288,'00 - Lists'!$L$2:$L$11,0))/100000),"")</f>
        <v/>
      </c>
      <c r="P288" s="30" t="str">
        <f aca="false">IFERROR(IF(N288="","",N288*INDEX('00 - Lists'!$M$2:$M$11,MATCH(L288,'00 - Lists'!$L$2:$L$11,0))/100000),"")</f>
        <v/>
      </c>
      <c r="Q288" s="31" t="str">
        <f aca="false">IFERROR(IF(M288="","",M288*INDEX('00 - Lists'!$N$2:$N$11,MATCH(L288,'00 - Lists'!$L$2:$L$11,0))),"")</f>
        <v/>
      </c>
      <c r="R288" s="31" t="str">
        <f aca="false">IFERROR(IF(N288="","",N288*INDEX('00 - Lists'!$N$2:$N$11,MATCH(L288,'00 - Lists'!$L$2:$L$11,0))),"")</f>
        <v/>
      </c>
      <c r="S288" s="32" t="str">
        <f aca="false">IF(O288="","",IF(O288&gt;=50,"Yes","No"))</f>
        <v/>
      </c>
      <c r="T288" s="32" t="str">
        <f aca="false">IF(Q288="","",IF(Q288&gt;=100000,"Yes","No"))</f>
        <v/>
      </c>
      <c r="U288" s="28"/>
      <c r="V288" s="28"/>
      <c r="W288" s="28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J288" s="34" t="str">
        <f aca="false">IF(OR($BD288&lt;&gt;"",$BF288&lt;&gt;"",$BH288&lt;&gt;""),"Yes","No")</f>
        <v>No</v>
      </c>
      <c r="BK288" s="35" t="str">
        <f aca="false">IFERROR(IF(BD288="","",BD288*INDEX('00 - Lists'!$M$2:$M$11,MATCH(L288,'00 - Lists'!$L$2:$L$11,0))/100000),"")</f>
        <v/>
      </c>
      <c r="BL288" s="35" t="str">
        <f aca="false">IFERROR(IF(BE288="","",BE288*INDEX('00 - Lists'!$M$2:$M$11,MATCH(L288,'00 - Lists'!$L$2:$L$11,0))/100000),"")</f>
        <v/>
      </c>
      <c r="BM288" s="35" t="str">
        <f aca="false">IFERROR(IF(BF288="","",BF288*INDEX('00 - Lists'!$M$2:$M$11,MATCH(L288,'00 - Lists'!$L$2:$L$11,0))/100000),"")</f>
        <v/>
      </c>
      <c r="BN288" s="35" t="str">
        <f aca="false">IFERROR(IF(BG288="","",BG288*INDEX('00 - Lists'!$M$2:$M$11,MATCH(L288,'00 - Lists'!$L$2:$L$11,0))/100000),"")</f>
        <v/>
      </c>
      <c r="BO288" s="35" t="str">
        <f aca="false">IFERROR(IF(BH288="","",BH288*INDEX('00 - Lists'!$M$2:$M$11,MATCH(L288,'00 - Lists'!$L$2:$L$11,0))/100000),"")</f>
        <v/>
      </c>
      <c r="BP288" s="35" t="str">
        <f aca="false">IFERROR(IF(BI288="","",BI288*INDEX('00 - Lists'!$M$2:$M$11,MATCH(L288,'00 - Lists'!$L$2:$L$11,0))/100000),"")</f>
        <v/>
      </c>
      <c r="BS288" s="36" t="str">
        <f aca="false">IF(O288="","",IF(O288&gt;=20,"Yes","No"))</f>
        <v/>
      </c>
      <c r="BT288" s="36" t="str">
        <f aca="false">IF(O288="","",IF(O288&gt;=30,"Yes","No"))</f>
        <v/>
      </c>
      <c r="BU288" s="36" t="str">
        <f aca="false">IF(O288="","",IF(O288&gt;=75,"Yes","No"))</f>
        <v/>
      </c>
      <c r="BV288" s="36" t="str">
        <f aca="false">IF(O288="","",IF(O288&gt;=100,"Yes","No"))</f>
        <v/>
      </c>
      <c r="BW288" s="36" t="str">
        <f aca="false">IF(O288="","",IF(O288&gt;=150,"Yes","No"))</f>
        <v/>
      </c>
      <c r="BX288" s="36" t="str">
        <f aca="false">IF(O288="","",IF(O288&gt;=200,"Yes","No"))</f>
        <v/>
      </c>
      <c r="BY288" s="36" t="str">
        <f aca="false">IF(Q288="","",IF(Q288&gt;=150000,"Yes","No"))</f>
        <v/>
      </c>
      <c r="BZ288" s="36" t="str">
        <f aca="false">IF(Q288="","",IF(Q288&gt;=200000,"Yes","No"))</f>
        <v/>
      </c>
      <c r="CA288" s="36" t="str">
        <f aca="false">IF(Q288="","",IF(Q288&gt;=250000,"Yes","No"))</f>
        <v/>
      </c>
      <c r="CB288" s="36" t="str">
        <f aca="false">IF(Q288="","",IF(Q288&gt;=300000,"Yes","No"))</f>
        <v/>
      </c>
      <c r="CC288" s="37"/>
      <c r="CD288" s="36" t="str">
        <f aca="true">IF(B288="","",IF(TODAY()-B288&lt;=7,"🟢 0-7d",IF(TODAY()-B288&lt;=30,"🟡 8-30d",IF(TODAY()-B288&lt;=60,"🟠 31-60d","🔴 60d+"))))</f>
        <v/>
      </c>
      <c r="CE288" s="36" t="str">
        <f aca="false">IF(G288="","",IF(G288&lt;&gt;"USA","N/A - Not USA Role",IF(J288="Yes",IF(OR(F288="Intern",F288="New Grad"),"🟡 Possible","🟢 Strong"),IF(J288="No","🔴 Difficult","⚪ Unknown"))))</f>
        <v/>
      </c>
      <c r="CF288" s="37"/>
      <c r="CG288" s="37"/>
      <c r="CH288" s="38"/>
      <c r="CI288" s="38"/>
      <c r="CJ288" s="38"/>
      <c r="CK288" s="38"/>
    </row>
    <row r="289" customFormat="false" ht="15" hidden="false" customHeight="true" outlineLevel="0" collapsed="false">
      <c r="A289" s="26" t="str">
        <f aca="false">IF($C289="","",ROW()-3)</f>
        <v/>
      </c>
      <c r="B289" s="27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9"/>
      <c r="N289" s="29"/>
      <c r="O289" s="30" t="str">
        <f aca="false">IFERROR(IF(M289="","",M289*INDEX('00 - Lists'!$M$2:$M$11,MATCH(L289,'00 - Lists'!$L$2:$L$11,0))/100000),"")</f>
        <v/>
      </c>
      <c r="P289" s="30" t="str">
        <f aca="false">IFERROR(IF(N289="","",N289*INDEX('00 - Lists'!$M$2:$M$11,MATCH(L289,'00 - Lists'!$L$2:$L$11,0))/100000),"")</f>
        <v/>
      </c>
      <c r="Q289" s="31" t="str">
        <f aca="false">IFERROR(IF(M289="","",M289*INDEX('00 - Lists'!$N$2:$N$11,MATCH(L289,'00 - Lists'!$L$2:$L$11,0))),"")</f>
        <v/>
      </c>
      <c r="R289" s="31" t="str">
        <f aca="false">IFERROR(IF(N289="","",N289*INDEX('00 - Lists'!$N$2:$N$11,MATCH(L289,'00 - Lists'!$L$2:$L$11,0))),"")</f>
        <v/>
      </c>
      <c r="S289" s="32" t="str">
        <f aca="false">IF(O289="","",IF(O289&gt;=50,"Yes","No"))</f>
        <v/>
      </c>
      <c r="T289" s="32" t="str">
        <f aca="false">IF(Q289="","",IF(Q289&gt;=100000,"Yes","No"))</f>
        <v/>
      </c>
      <c r="U289" s="28"/>
      <c r="V289" s="28"/>
      <c r="W289" s="28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J289" s="34" t="str">
        <f aca="false">IF(OR($BD289&lt;&gt;"",$BF289&lt;&gt;"",$BH289&lt;&gt;""),"Yes","No")</f>
        <v>No</v>
      </c>
      <c r="BK289" s="35" t="str">
        <f aca="false">IFERROR(IF(BD289="","",BD289*INDEX('00 - Lists'!$M$2:$M$11,MATCH(L289,'00 - Lists'!$L$2:$L$11,0))/100000),"")</f>
        <v/>
      </c>
      <c r="BL289" s="35" t="str">
        <f aca="false">IFERROR(IF(BE289="","",BE289*INDEX('00 - Lists'!$M$2:$M$11,MATCH(L289,'00 - Lists'!$L$2:$L$11,0))/100000),"")</f>
        <v/>
      </c>
      <c r="BM289" s="35" t="str">
        <f aca="false">IFERROR(IF(BF289="","",BF289*INDEX('00 - Lists'!$M$2:$M$11,MATCH(L289,'00 - Lists'!$L$2:$L$11,0))/100000),"")</f>
        <v/>
      </c>
      <c r="BN289" s="35" t="str">
        <f aca="false">IFERROR(IF(BG289="","",BG289*INDEX('00 - Lists'!$M$2:$M$11,MATCH(L289,'00 - Lists'!$L$2:$L$11,0))/100000),"")</f>
        <v/>
      </c>
      <c r="BO289" s="35" t="str">
        <f aca="false">IFERROR(IF(BH289="","",BH289*INDEX('00 - Lists'!$M$2:$M$11,MATCH(L289,'00 - Lists'!$L$2:$L$11,0))/100000),"")</f>
        <v/>
      </c>
      <c r="BP289" s="35" t="str">
        <f aca="false">IFERROR(IF(BI289="","",BI289*INDEX('00 - Lists'!$M$2:$M$11,MATCH(L289,'00 - Lists'!$L$2:$L$11,0))/100000),"")</f>
        <v/>
      </c>
      <c r="BS289" s="36" t="str">
        <f aca="false">IF(O289="","",IF(O289&gt;=20,"Yes","No"))</f>
        <v/>
      </c>
      <c r="BT289" s="36" t="str">
        <f aca="false">IF(O289="","",IF(O289&gt;=30,"Yes","No"))</f>
        <v/>
      </c>
      <c r="BU289" s="36" t="str">
        <f aca="false">IF(O289="","",IF(O289&gt;=75,"Yes","No"))</f>
        <v/>
      </c>
      <c r="BV289" s="36" t="str">
        <f aca="false">IF(O289="","",IF(O289&gt;=100,"Yes","No"))</f>
        <v/>
      </c>
      <c r="BW289" s="36" t="str">
        <f aca="false">IF(O289="","",IF(O289&gt;=150,"Yes","No"))</f>
        <v/>
      </c>
      <c r="BX289" s="36" t="str">
        <f aca="false">IF(O289="","",IF(O289&gt;=200,"Yes","No"))</f>
        <v/>
      </c>
      <c r="BY289" s="36" t="str">
        <f aca="false">IF(Q289="","",IF(Q289&gt;=150000,"Yes","No"))</f>
        <v/>
      </c>
      <c r="BZ289" s="36" t="str">
        <f aca="false">IF(Q289="","",IF(Q289&gt;=200000,"Yes","No"))</f>
        <v/>
      </c>
      <c r="CA289" s="36" t="str">
        <f aca="false">IF(Q289="","",IF(Q289&gt;=250000,"Yes","No"))</f>
        <v/>
      </c>
      <c r="CB289" s="36" t="str">
        <f aca="false">IF(Q289="","",IF(Q289&gt;=300000,"Yes","No"))</f>
        <v/>
      </c>
      <c r="CC289" s="37"/>
      <c r="CD289" s="36" t="str">
        <f aca="true">IF(B289="","",IF(TODAY()-B289&lt;=7,"🟢 0-7d",IF(TODAY()-B289&lt;=30,"🟡 8-30d",IF(TODAY()-B289&lt;=60,"🟠 31-60d","🔴 60d+"))))</f>
        <v/>
      </c>
      <c r="CE289" s="36" t="str">
        <f aca="false">IF(G289="","",IF(G289&lt;&gt;"USA","N/A - Not USA Role",IF(J289="Yes",IF(OR(F289="Intern",F289="New Grad"),"🟡 Possible","🟢 Strong"),IF(J289="No","🔴 Difficult","⚪ Unknown"))))</f>
        <v/>
      </c>
      <c r="CF289" s="37"/>
      <c r="CG289" s="37"/>
      <c r="CH289" s="38"/>
      <c r="CI289" s="38"/>
      <c r="CJ289" s="38"/>
      <c r="CK289" s="38"/>
    </row>
    <row r="290" customFormat="false" ht="15" hidden="false" customHeight="true" outlineLevel="0" collapsed="false">
      <c r="A290" s="26" t="str">
        <f aca="false">IF($C290="","",ROW()-3)</f>
        <v/>
      </c>
      <c r="B290" s="27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9"/>
      <c r="N290" s="29"/>
      <c r="O290" s="30" t="str">
        <f aca="false">IFERROR(IF(M290="","",M290*INDEX('00 - Lists'!$M$2:$M$11,MATCH(L290,'00 - Lists'!$L$2:$L$11,0))/100000),"")</f>
        <v/>
      </c>
      <c r="P290" s="30" t="str">
        <f aca="false">IFERROR(IF(N290="","",N290*INDEX('00 - Lists'!$M$2:$M$11,MATCH(L290,'00 - Lists'!$L$2:$L$11,0))/100000),"")</f>
        <v/>
      </c>
      <c r="Q290" s="31" t="str">
        <f aca="false">IFERROR(IF(M290="","",M290*INDEX('00 - Lists'!$N$2:$N$11,MATCH(L290,'00 - Lists'!$L$2:$L$11,0))),"")</f>
        <v/>
      </c>
      <c r="R290" s="31" t="str">
        <f aca="false">IFERROR(IF(N290="","",N290*INDEX('00 - Lists'!$N$2:$N$11,MATCH(L290,'00 - Lists'!$L$2:$L$11,0))),"")</f>
        <v/>
      </c>
      <c r="S290" s="32" t="str">
        <f aca="false">IF(O290="","",IF(O290&gt;=50,"Yes","No"))</f>
        <v/>
      </c>
      <c r="T290" s="32" t="str">
        <f aca="false">IF(Q290="","",IF(Q290&gt;=100000,"Yes","No"))</f>
        <v/>
      </c>
      <c r="U290" s="28"/>
      <c r="V290" s="28"/>
      <c r="W290" s="28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J290" s="34" t="str">
        <f aca="false">IF(OR($BD290&lt;&gt;"",$BF290&lt;&gt;"",$BH290&lt;&gt;""),"Yes","No")</f>
        <v>No</v>
      </c>
      <c r="BK290" s="35" t="str">
        <f aca="false">IFERROR(IF(BD290="","",BD290*INDEX('00 - Lists'!$M$2:$M$11,MATCH(L290,'00 - Lists'!$L$2:$L$11,0))/100000),"")</f>
        <v/>
      </c>
      <c r="BL290" s="35" t="str">
        <f aca="false">IFERROR(IF(BE290="","",BE290*INDEX('00 - Lists'!$M$2:$M$11,MATCH(L290,'00 - Lists'!$L$2:$L$11,0))/100000),"")</f>
        <v/>
      </c>
      <c r="BM290" s="35" t="str">
        <f aca="false">IFERROR(IF(BF290="","",BF290*INDEX('00 - Lists'!$M$2:$M$11,MATCH(L290,'00 - Lists'!$L$2:$L$11,0))/100000),"")</f>
        <v/>
      </c>
      <c r="BN290" s="35" t="str">
        <f aca="false">IFERROR(IF(BG290="","",BG290*INDEX('00 - Lists'!$M$2:$M$11,MATCH(L290,'00 - Lists'!$L$2:$L$11,0))/100000),"")</f>
        <v/>
      </c>
      <c r="BO290" s="35" t="str">
        <f aca="false">IFERROR(IF(BH290="","",BH290*INDEX('00 - Lists'!$M$2:$M$11,MATCH(L290,'00 - Lists'!$L$2:$L$11,0))/100000),"")</f>
        <v/>
      </c>
      <c r="BP290" s="35" t="str">
        <f aca="false">IFERROR(IF(BI290="","",BI290*INDEX('00 - Lists'!$M$2:$M$11,MATCH(L290,'00 - Lists'!$L$2:$L$11,0))/100000),"")</f>
        <v/>
      </c>
      <c r="BS290" s="36" t="str">
        <f aca="false">IF(O290="","",IF(O290&gt;=20,"Yes","No"))</f>
        <v/>
      </c>
      <c r="BT290" s="36" t="str">
        <f aca="false">IF(O290="","",IF(O290&gt;=30,"Yes","No"))</f>
        <v/>
      </c>
      <c r="BU290" s="36" t="str">
        <f aca="false">IF(O290="","",IF(O290&gt;=75,"Yes","No"))</f>
        <v/>
      </c>
      <c r="BV290" s="36" t="str">
        <f aca="false">IF(O290="","",IF(O290&gt;=100,"Yes","No"))</f>
        <v/>
      </c>
      <c r="BW290" s="36" t="str">
        <f aca="false">IF(O290="","",IF(O290&gt;=150,"Yes","No"))</f>
        <v/>
      </c>
      <c r="BX290" s="36" t="str">
        <f aca="false">IF(O290="","",IF(O290&gt;=200,"Yes","No"))</f>
        <v/>
      </c>
      <c r="BY290" s="36" t="str">
        <f aca="false">IF(Q290="","",IF(Q290&gt;=150000,"Yes","No"))</f>
        <v/>
      </c>
      <c r="BZ290" s="36" t="str">
        <f aca="false">IF(Q290="","",IF(Q290&gt;=200000,"Yes","No"))</f>
        <v/>
      </c>
      <c r="CA290" s="36" t="str">
        <f aca="false">IF(Q290="","",IF(Q290&gt;=250000,"Yes","No"))</f>
        <v/>
      </c>
      <c r="CB290" s="36" t="str">
        <f aca="false">IF(Q290="","",IF(Q290&gt;=300000,"Yes","No"))</f>
        <v/>
      </c>
      <c r="CC290" s="37"/>
      <c r="CD290" s="36" t="str">
        <f aca="true">IF(B290="","",IF(TODAY()-B290&lt;=7,"🟢 0-7d",IF(TODAY()-B290&lt;=30,"🟡 8-30d",IF(TODAY()-B290&lt;=60,"🟠 31-60d","🔴 60d+"))))</f>
        <v/>
      </c>
      <c r="CE290" s="36" t="str">
        <f aca="false">IF(G290="","",IF(G290&lt;&gt;"USA","N/A - Not USA Role",IF(J290="Yes",IF(OR(F290="Intern",F290="New Grad"),"🟡 Possible","🟢 Strong"),IF(J290="No","🔴 Difficult","⚪ Unknown"))))</f>
        <v/>
      </c>
      <c r="CF290" s="37"/>
      <c r="CG290" s="37"/>
      <c r="CH290" s="38"/>
      <c r="CI290" s="38"/>
      <c r="CJ290" s="38"/>
      <c r="CK290" s="38"/>
    </row>
    <row r="291" customFormat="false" ht="15" hidden="false" customHeight="true" outlineLevel="0" collapsed="false">
      <c r="A291" s="26" t="str">
        <f aca="false">IF($C291="","",ROW()-3)</f>
        <v/>
      </c>
      <c r="B291" s="27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9"/>
      <c r="N291" s="29"/>
      <c r="O291" s="30" t="str">
        <f aca="false">IFERROR(IF(M291="","",M291*INDEX('00 - Lists'!$M$2:$M$11,MATCH(L291,'00 - Lists'!$L$2:$L$11,0))/100000),"")</f>
        <v/>
      </c>
      <c r="P291" s="30" t="str">
        <f aca="false">IFERROR(IF(N291="","",N291*INDEX('00 - Lists'!$M$2:$M$11,MATCH(L291,'00 - Lists'!$L$2:$L$11,0))/100000),"")</f>
        <v/>
      </c>
      <c r="Q291" s="31" t="str">
        <f aca="false">IFERROR(IF(M291="","",M291*INDEX('00 - Lists'!$N$2:$N$11,MATCH(L291,'00 - Lists'!$L$2:$L$11,0))),"")</f>
        <v/>
      </c>
      <c r="R291" s="31" t="str">
        <f aca="false">IFERROR(IF(N291="","",N291*INDEX('00 - Lists'!$N$2:$N$11,MATCH(L291,'00 - Lists'!$L$2:$L$11,0))),"")</f>
        <v/>
      </c>
      <c r="S291" s="32" t="str">
        <f aca="false">IF(O291="","",IF(O291&gt;=50,"Yes","No"))</f>
        <v/>
      </c>
      <c r="T291" s="32" t="str">
        <f aca="false">IF(Q291="","",IF(Q291&gt;=100000,"Yes","No"))</f>
        <v/>
      </c>
      <c r="U291" s="28"/>
      <c r="V291" s="28"/>
      <c r="W291" s="28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J291" s="34" t="str">
        <f aca="false">IF(OR($BD291&lt;&gt;"",$BF291&lt;&gt;"",$BH291&lt;&gt;""),"Yes","No")</f>
        <v>No</v>
      </c>
      <c r="BK291" s="35" t="str">
        <f aca="false">IFERROR(IF(BD291="","",BD291*INDEX('00 - Lists'!$M$2:$M$11,MATCH(L291,'00 - Lists'!$L$2:$L$11,0))/100000),"")</f>
        <v/>
      </c>
      <c r="BL291" s="35" t="str">
        <f aca="false">IFERROR(IF(BE291="","",BE291*INDEX('00 - Lists'!$M$2:$M$11,MATCH(L291,'00 - Lists'!$L$2:$L$11,0))/100000),"")</f>
        <v/>
      </c>
      <c r="BM291" s="35" t="str">
        <f aca="false">IFERROR(IF(BF291="","",BF291*INDEX('00 - Lists'!$M$2:$M$11,MATCH(L291,'00 - Lists'!$L$2:$L$11,0))/100000),"")</f>
        <v/>
      </c>
      <c r="BN291" s="35" t="str">
        <f aca="false">IFERROR(IF(BG291="","",BG291*INDEX('00 - Lists'!$M$2:$M$11,MATCH(L291,'00 - Lists'!$L$2:$L$11,0))/100000),"")</f>
        <v/>
      </c>
      <c r="BO291" s="35" t="str">
        <f aca="false">IFERROR(IF(BH291="","",BH291*INDEX('00 - Lists'!$M$2:$M$11,MATCH(L291,'00 - Lists'!$L$2:$L$11,0))/100000),"")</f>
        <v/>
      </c>
      <c r="BP291" s="35" t="str">
        <f aca="false">IFERROR(IF(BI291="","",BI291*INDEX('00 - Lists'!$M$2:$M$11,MATCH(L291,'00 - Lists'!$L$2:$L$11,0))/100000),"")</f>
        <v/>
      </c>
      <c r="BS291" s="36" t="str">
        <f aca="false">IF(O291="","",IF(O291&gt;=20,"Yes","No"))</f>
        <v/>
      </c>
      <c r="BT291" s="36" t="str">
        <f aca="false">IF(O291="","",IF(O291&gt;=30,"Yes","No"))</f>
        <v/>
      </c>
      <c r="BU291" s="36" t="str">
        <f aca="false">IF(O291="","",IF(O291&gt;=75,"Yes","No"))</f>
        <v/>
      </c>
      <c r="BV291" s="36" t="str">
        <f aca="false">IF(O291="","",IF(O291&gt;=100,"Yes","No"))</f>
        <v/>
      </c>
      <c r="BW291" s="36" t="str">
        <f aca="false">IF(O291="","",IF(O291&gt;=150,"Yes","No"))</f>
        <v/>
      </c>
      <c r="BX291" s="36" t="str">
        <f aca="false">IF(O291="","",IF(O291&gt;=200,"Yes","No"))</f>
        <v/>
      </c>
      <c r="BY291" s="36" t="str">
        <f aca="false">IF(Q291="","",IF(Q291&gt;=150000,"Yes","No"))</f>
        <v/>
      </c>
      <c r="BZ291" s="36" t="str">
        <f aca="false">IF(Q291="","",IF(Q291&gt;=200000,"Yes","No"))</f>
        <v/>
      </c>
      <c r="CA291" s="36" t="str">
        <f aca="false">IF(Q291="","",IF(Q291&gt;=250000,"Yes","No"))</f>
        <v/>
      </c>
      <c r="CB291" s="36" t="str">
        <f aca="false">IF(Q291="","",IF(Q291&gt;=300000,"Yes","No"))</f>
        <v/>
      </c>
      <c r="CC291" s="37"/>
      <c r="CD291" s="36" t="str">
        <f aca="true">IF(B291="","",IF(TODAY()-B291&lt;=7,"🟢 0-7d",IF(TODAY()-B291&lt;=30,"🟡 8-30d",IF(TODAY()-B291&lt;=60,"🟠 31-60d","🔴 60d+"))))</f>
        <v/>
      </c>
      <c r="CE291" s="36" t="str">
        <f aca="false">IF(G291="","",IF(G291&lt;&gt;"USA","N/A - Not USA Role",IF(J291="Yes",IF(OR(F291="Intern",F291="New Grad"),"🟡 Possible","🟢 Strong"),IF(J291="No","🔴 Difficult","⚪ Unknown"))))</f>
        <v/>
      </c>
      <c r="CF291" s="37"/>
      <c r="CG291" s="37"/>
      <c r="CH291" s="38"/>
      <c r="CI291" s="38"/>
      <c r="CJ291" s="38"/>
      <c r="CK291" s="38"/>
    </row>
    <row r="292" customFormat="false" ht="15" hidden="false" customHeight="true" outlineLevel="0" collapsed="false">
      <c r="A292" s="26" t="str">
        <f aca="false">IF($C292="","",ROW()-3)</f>
        <v/>
      </c>
      <c r="B292" s="27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9"/>
      <c r="N292" s="29"/>
      <c r="O292" s="30" t="str">
        <f aca="false">IFERROR(IF(M292="","",M292*INDEX('00 - Lists'!$M$2:$M$11,MATCH(L292,'00 - Lists'!$L$2:$L$11,0))/100000),"")</f>
        <v/>
      </c>
      <c r="P292" s="30" t="str">
        <f aca="false">IFERROR(IF(N292="","",N292*INDEX('00 - Lists'!$M$2:$M$11,MATCH(L292,'00 - Lists'!$L$2:$L$11,0))/100000),"")</f>
        <v/>
      </c>
      <c r="Q292" s="31" t="str">
        <f aca="false">IFERROR(IF(M292="","",M292*INDEX('00 - Lists'!$N$2:$N$11,MATCH(L292,'00 - Lists'!$L$2:$L$11,0))),"")</f>
        <v/>
      </c>
      <c r="R292" s="31" t="str">
        <f aca="false">IFERROR(IF(N292="","",N292*INDEX('00 - Lists'!$N$2:$N$11,MATCH(L292,'00 - Lists'!$L$2:$L$11,0))),"")</f>
        <v/>
      </c>
      <c r="S292" s="32" t="str">
        <f aca="false">IF(O292="","",IF(O292&gt;=50,"Yes","No"))</f>
        <v/>
      </c>
      <c r="T292" s="32" t="str">
        <f aca="false">IF(Q292="","",IF(Q292&gt;=100000,"Yes","No"))</f>
        <v/>
      </c>
      <c r="U292" s="28"/>
      <c r="V292" s="28"/>
      <c r="W292" s="28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J292" s="34" t="str">
        <f aca="false">IF(OR($BD292&lt;&gt;"",$BF292&lt;&gt;"",$BH292&lt;&gt;""),"Yes","No")</f>
        <v>No</v>
      </c>
      <c r="BK292" s="35" t="str">
        <f aca="false">IFERROR(IF(BD292="","",BD292*INDEX('00 - Lists'!$M$2:$M$11,MATCH(L292,'00 - Lists'!$L$2:$L$11,0))/100000),"")</f>
        <v/>
      </c>
      <c r="BL292" s="35" t="str">
        <f aca="false">IFERROR(IF(BE292="","",BE292*INDEX('00 - Lists'!$M$2:$M$11,MATCH(L292,'00 - Lists'!$L$2:$L$11,0))/100000),"")</f>
        <v/>
      </c>
      <c r="BM292" s="35" t="str">
        <f aca="false">IFERROR(IF(BF292="","",BF292*INDEX('00 - Lists'!$M$2:$M$11,MATCH(L292,'00 - Lists'!$L$2:$L$11,0))/100000),"")</f>
        <v/>
      </c>
      <c r="BN292" s="35" t="str">
        <f aca="false">IFERROR(IF(BG292="","",BG292*INDEX('00 - Lists'!$M$2:$M$11,MATCH(L292,'00 - Lists'!$L$2:$L$11,0))/100000),"")</f>
        <v/>
      </c>
      <c r="BO292" s="35" t="str">
        <f aca="false">IFERROR(IF(BH292="","",BH292*INDEX('00 - Lists'!$M$2:$M$11,MATCH(L292,'00 - Lists'!$L$2:$L$11,0))/100000),"")</f>
        <v/>
      </c>
      <c r="BP292" s="35" t="str">
        <f aca="false">IFERROR(IF(BI292="","",BI292*INDEX('00 - Lists'!$M$2:$M$11,MATCH(L292,'00 - Lists'!$L$2:$L$11,0))/100000),"")</f>
        <v/>
      </c>
      <c r="BS292" s="36" t="str">
        <f aca="false">IF(O292="","",IF(O292&gt;=20,"Yes","No"))</f>
        <v/>
      </c>
      <c r="BT292" s="36" t="str">
        <f aca="false">IF(O292="","",IF(O292&gt;=30,"Yes","No"))</f>
        <v/>
      </c>
      <c r="BU292" s="36" t="str">
        <f aca="false">IF(O292="","",IF(O292&gt;=75,"Yes","No"))</f>
        <v/>
      </c>
      <c r="BV292" s="36" t="str">
        <f aca="false">IF(O292="","",IF(O292&gt;=100,"Yes","No"))</f>
        <v/>
      </c>
      <c r="BW292" s="36" t="str">
        <f aca="false">IF(O292="","",IF(O292&gt;=150,"Yes","No"))</f>
        <v/>
      </c>
      <c r="BX292" s="36" t="str">
        <f aca="false">IF(O292="","",IF(O292&gt;=200,"Yes","No"))</f>
        <v/>
      </c>
      <c r="BY292" s="36" t="str">
        <f aca="false">IF(Q292="","",IF(Q292&gt;=150000,"Yes","No"))</f>
        <v/>
      </c>
      <c r="BZ292" s="36" t="str">
        <f aca="false">IF(Q292="","",IF(Q292&gt;=200000,"Yes","No"))</f>
        <v/>
      </c>
      <c r="CA292" s="36" t="str">
        <f aca="false">IF(Q292="","",IF(Q292&gt;=250000,"Yes","No"))</f>
        <v/>
      </c>
      <c r="CB292" s="36" t="str">
        <f aca="false">IF(Q292="","",IF(Q292&gt;=300000,"Yes","No"))</f>
        <v/>
      </c>
      <c r="CC292" s="37"/>
      <c r="CD292" s="36" t="str">
        <f aca="true">IF(B292="","",IF(TODAY()-B292&lt;=7,"🟢 0-7d",IF(TODAY()-B292&lt;=30,"🟡 8-30d",IF(TODAY()-B292&lt;=60,"🟠 31-60d","🔴 60d+"))))</f>
        <v/>
      </c>
      <c r="CE292" s="36" t="str">
        <f aca="false">IF(G292="","",IF(G292&lt;&gt;"USA","N/A - Not USA Role",IF(J292="Yes",IF(OR(F292="Intern",F292="New Grad"),"🟡 Possible","🟢 Strong"),IF(J292="No","🔴 Difficult","⚪ Unknown"))))</f>
        <v/>
      </c>
      <c r="CF292" s="37"/>
      <c r="CG292" s="37"/>
      <c r="CH292" s="38"/>
      <c r="CI292" s="38"/>
      <c r="CJ292" s="38"/>
      <c r="CK292" s="38"/>
    </row>
    <row r="293" customFormat="false" ht="15" hidden="false" customHeight="true" outlineLevel="0" collapsed="false">
      <c r="A293" s="26" t="str">
        <f aca="false">IF($C293="","",ROW()-3)</f>
        <v/>
      </c>
      <c r="B293" s="27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9"/>
      <c r="N293" s="29"/>
      <c r="O293" s="30" t="str">
        <f aca="false">IFERROR(IF(M293="","",M293*INDEX('00 - Lists'!$M$2:$M$11,MATCH(L293,'00 - Lists'!$L$2:$L$11,0))/100000),"")</f>
        <v/>
      </c>
      <c r="P293" s="30" t="str">
        <f aca="false">IFERROR(IF(N293="","",N293*INDEX('00 - Lists'!$M$2:$M$11,MATCH(L293,'00 - Lists'!$L$2:$L$11,0))/100000),"")</f>
        <v/>
      </c>
      <c r="Q293" s="31" t="str">
        <f aca="false">IFERROR(IF(M293="","",M293*INDEX('00 - Lists'!$N$2:$N$11,MATCH(L293,'00 - Lists'!$L$2:$L$11,0))),"")</f>
        <v/>
      </c>
      <c r="R293" s="31" t="str">
        <f aca="false">IFERROR(IF(N293="","",N293*INDEX('00 - Lists'!$N$2:$N$11,MATCH(L293,'00 - Lists'!$L$2:$L$11,0))),"")</f>
        <v/>
      </c>
      <c r="S293" s="32" t="str">
        <f aca="false">IF(O293="","",IF(O293&gt;=50,"Yes","No"))</f>
        <v/>
      </c>
      <c r="T293" s="32" t="str">
        <f aca="false">IF(Q293="","",IF(Q293&gt;=100000,"Yes","No"))</f>
        <v/>
      </c>
      <c r="U293" s="28"/>
      <c r="V293" s="28"/>
      <c r="W293" s="28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J293" s="34" t="str">
        <f aca="false">IF(OR($BD293&lt;&gt;"",$BF293&lt;&gt;"",$BH293&lt;&gt;""),"Yes","No")</f>
        <v>No</v>
      </c>
      <c r="BK293" s="35" t="str">
        <f aca="false">IFERROR(IF(BD293="","",BD293*INDEX('00 - Lists'!$M$2:$M$11,MATCH(L293,'00 - Lists'!$L$2:$L$11,0))/100000),"")</f>
        <v/>
      </c>
      <c r="BL293" s="35" t="str">
        <f aca="false">IFERROR(IF(BE293="","",BE293*INDEX('00 - Lists'!$M$2:$M$11,MATCH(L293,'00 - Lists'!$L$2:$L$11,0))/100000),"")</f>
        <v/>
      </c>
      <c r="BM293" s="35" t="str">
        <f aca="false">IFERROR(IF(BF293="","",BF293*INDEX('00 - Lists'!$M$2:$M$11,MATCH(L293,'00 - Lists'!$L$2:$L$11,0))/100000),"")</f>
        <v/>
      </c>
      <c r="BN293" s="35" t="str">
        <f aca="false">IFERROR(IF(BG293="","",BG293*INDEX('00 - Lists'!$M$2:$M$11,MATCH(L293,'00 - Lists'!$L$2:$L$11,0))/100000),"")</f>
        <v/>
      </c>
      <c r="BO293" s="35" t="str">
        <f aca="false">IFERROR(IF(BH293="","",BH293*INDEX('00 - Lists'!$M$2:$M$11,MATCH(L293,'00 - Lists'!$L$2:$L$11,0))/100000),"")</f>
        <v/>
      </c>
      <c r="BP293" s="35" t="str">
        <f aca="false">IFERROR(IF(BI293="","",BI293*INDEX('00 - Lists'!$M$2:$M$11,MATCH(L293,'00 - Lists'!$L$2:$L$11,0))/100000),"")</f>
        <v/>
      </c>
      <c r="BS293" s="36" t="str">
        <f aca="false">IF(O293="","",IF(O293&gt;=20,"Yes","No"))</f>
        <v/>
      </c>
      <c r="BT293" s="36" t="str">
        <f aca="false">IF(O293="","",IF(O293&gt;=30,"Yes","No"))</f>
        <v/>
      </c>
      <c r="BU293" s="36" t="str">
        <f aca="false">IF(O293="","",IF(O293&gt;=75,"Yes","No"))</f>
        <v/>
      </c>
      <c r="BV293" s="36" t="str">
        <f aca="false">IF(O293="","",IF(O293&gt;=100,"Yes","No"))</f>
        <v/>
      </c>
      <c r="BW293" s="36" t="str">
        <f aca="false">IF(O293="","",IF(O293&gt;=150,"Yes","No"))</f>
        <v/>
      </c>
      <c r="BX293" s="36" t="str">
        <f aca="false">IF(O293="","",IF(O293&gt;=200,"Yes","No"))</f>
        <v/>
      </c>
      <c r="BY293" s="36" t="str">
        <f aca="false">IF(Q293="","",IF(Q293&gt;=150000,"Yes","No"))</f>
        <v/>
      </c>
      <c r="BZ293" s="36" t="str">
        <f aca="false">IF(Q293="","",IF(Q293&gt;=200000,"Yes","No"))</f>
        <v/>
      </c>
      <c r="CA293" s="36" t="str">
        <f aca="false">IF(Q293="","",IF(Q293&gt;=250000,"Yes","No"))</f>
        <v/>
      </c>
      <c r="CB293" s="36" t="str">
        <f aca="false">IF(Q293="","",IF(Q293&gt;=300000,"Yes","No"))</f>
        <v/>
      </c>
      <c r="CC293" s="37"/>
      <c r="CD293" s="36" t="str">
        <f aca="true">IF(B293="","",IF(TODAY()-B293&lt;=7,"🟢 0-7d",IF(TODAY()-B293&lt;=30,"🟡 8-30d",IF(TODAY()-B293&lt;=60,"🟠 31-60d","🔴 60d+"))))</f>
        <v/>
      </c>
      <c r="CE293" s="36" t="str">
        <f aca="false">IF(G293="","",IF(G293&lt;&gt;"USA","N/A - Not USA Role",IF(J293="Yes",IF(OR(F293="Intern",F293="New Grad"),"🟡 Possible","🟢 Strong"),IF(J293="No","🔴 Difficult","⚪ Unknown"))))</f>
        <v/>
      </c>
      <c r="CF293" s="37"/>
      <c r="CG293" s="37"/>
      <c r="CH293" s="38"/>
      <c r="CI293" s="38"/>
      <c r="CJ293" s="38"/>
      <c r="CK293" s="38"/>
    </row>
    <row r="294" customFormat="false" ht="15" hidden="false" customHeight="true" outlineLevel="0" collapsed="false">
      <c r="A294" s="26" t="str">
        <f aca="false">IF($C294="","",ROW()-3)</f>
        <v/>
      </c>
      <c r="B294" s="27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9"/>
      <c r="N294" s="29"/>
      <c r="O294" s="30" t="str">
        <f aca="false">IFERROR(IF(M294="","",M294*INDEX('00 - Lists'!$M$2:$M$11,MATCH(L294,'00 - Lists'!$L$2:$L$11,0))/100000),"")</f>
        <v/>
      </c>
      <c r="P294" s="30" t="str">
        <f aca="false">IFERROR(IF(N294="","",N294*INDEX('00 - Lists'!$M$2:$M$11,MATCH(L294,'00 - Lists'!$L$2:$L$11,0))/100000),"")</f>
        <v/>
      </c>
      <c r="Q294" s="31" t="str">
        <f aca="false">IFERROR(IF(M294="","",M294*INDEX('00 - Lists'!$N$2:$N$11,MATCH(L294,'00 - Lists'!$L$2:$L$11,0))),"")</f>
        <v/>
      </c>
      <c r="R294" s="31" t="str">
        <f aca="false">IFERROR(IF(N294="","",N294*INDEX('00 - Lists'!$N$2:$N$11,MATCH(L294,'00 - Lists'!$L$2:$L$11,0))),"")</f>
        <v/>
      </c>
      <c r="S294" s="32" t="str">
        <f aca="false">IF(O294="","",IF(O294&gt;=50,"Yes","No"))</f>
        <v/>
      </c>
      <c r="T294" s="32" t="str">
        <f aca="false">IF(Q294="","",IF(Q294&gt;=100000,"Yes","No"))</f>
        <v/>
      </c>
      <c r="U294" s="28"/>
      <c r="V294" s="28"/>
      <c r="W294" s="28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J294" s="34" t="str">
        <f aca="false">IF(OR($BD294&lt;&gt;"",$BF294&lt;&gt;"",$BH294&lt;&gt;""),"Yes","No")</f>
        <v>No</v>
      </c>
      <c r="BK294" s="35" t="str">
        <f aca="false">IFERROR(IF(BD294="","",BD294*INDEX('00 - Lists'!$M$2:$M$11,MATCH(L294,'00 - Lists'!$L$2:$L$11,0))/100000),"")</f>
        <v/>
      </c>
      <c r="BL294" s="35" t="str">
        <f aca="false">IFERROR(IF(BE294="","",BE294*INDEX('00 - Lists'!$M$2:$M$11,MATCH(L294,'00 - Lists'!$L$2:$L$11,0))/100000),"")</f>
        <v/>
      </c>
      <c r="BM294" s="35" t="str">
        <f aca="false">IFERROR(IF(BF294="","",BF294*INDEX('00 - Lists'!$M$2:$M$11,MATCH(L294,'00 - Lists'!$L$2:$L$11,0))/100000),"")</f>
        <v/>
      </c>
      <c r="BN294" s="35" t="str">
        <f aca="false">IFERROR(IF(BG294="","",BG294*INDEX('00 - Lists'!$M$2:$M$11,MATCH(L294,'00 - Lists'!$L$2:$L$11,0))/100000),"")</f>
        <v/>
      </c>
      <c r="BO294" s="35" t="str">
        <f aca="false">IFERROR(IF(BH294="","",BH294*INDEX('00 - Lists'!$M$2:$M$11,MATCH(L294,'00 - Lists'!$L$2:$L$11,0))/100000),"")</f>
        <v/>
      </c>
      <c r="BP294" s="35" t="str">
        <f aca="false">IFERROR(IF(BI294="","",BI294*INDEX('00 - Lists'!$M$2:$M$11,MATCH(L294,'00 - Lists'!$L$2:$L$11,0))/100000),"")</f>
        <v/>
      </c>
      <c r="BS294" s="36" t="str">
        <f aca="false">IF(O294="","",IF(O294&gt;=20,"Yes","No"))</f>
        <v/>
      </c>
      <c r="BT294" s="36" t="str">
        <f aca="false">IF(O294="","",IF(O294&gt;=30,"Yes","No"))</f>
        <v/>
      </c>
      <c r="BU294" s="36" t="str">
        <f aca="false">IF(O294="","",IF(O294&gt;=75,"Yes","No"))</f>
        <v/>
      </c>
      <c r="BV294" s="36" t="str">
        <f aca="false">IF(O294="","",IF(O294&gt;=100,"Yes","No"))</f>
        <v/>
      </c>
      <c r="BW294" s="36" t="str">
        <f aca="false">IF(O294="","",IF(O294&gt;=150,"Yes","No"))</f>
        <v/>
      </c>
      <c r="BX294" s="36" t="str">
        <f aca="false">IF(O294="","",IF(O294&gt;=200,"Yes","No"))</f>
        <v/>
      </c>
      <c r="BY294" s="36" t="str">
        <f aca="false">IF(Q294="","",IF(Q294&gt;=150000,"Yes","No"))</f>
        <v/>
      </c>
      <c r="BZ294" s="36" t="str">
        <f aca="false">IF(Q294="","",IF(Q294&gt;=200000,"Yes","No"))</f>
        <v/>
      </c>
      <c r="CA294" s="36" t="str">
        <f aca="false">IF(Q294="","",IF(Q294&gt;=250000,"Yes","No"))</f>
        <v/>
      </c>
      <c r="CB294" s="36" t="str">
        <f aca="false">IF(Q294="","",IF(Q294&gt;=300000,"Yes","No"))</f>
        <v/>
      </c>
      <c r="CC294" s="37"/>
      <c r="CD294" s="36" t="str">
        <f aca="true">IF(B294="","",IF(TODAY()-B294&lt;=7,"🟢 0-7d",IF(TODAY()-B294&lt;=30,"🟡 8-30d",IF(TODAY()-B294&lt;=60,"🟠 31-60d","🔴 60d+"))))</f>
        <v/>
      </c>
      <c r="CE294" s="36" t="str">
        <f aca="false">IF(G294="","",IF(G294&lt;&gt;"USA","N/A - Not USA Role",IF(J294="Yes",IF(OR(F294="Intern",F294="New Grad"),"🟡 Possible","🟢 Strong"),IF(J294="No","🔴 Difficult","⚪ Unknown"))))</f>
        <v/>
      </c>
      <c r="CF294" s="37"/>
      <c r="CG294" s="37"/>
      <c r="CH294" s="38"/>
      <c r="CI294" s="38"/>
      <c r="CJ294" s="38"/>
      <c r="CK294" s="38"/>
    </row>
    <row r="295" customFormat="false" ht="15" hidden="false" customHeight="true" outlineLevel="0" collapsed="false">
      <c r="A295" s="26" t="str">
        <f aca="false">IF($C295="","",ROW()-3)</f>
        <v/>
      </c>
      <c r="B295" s="27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9"/>
      <c r="N295" s="29"/>
      <c r="O295" s="30" t="str">
        <f aca="false">IFERROR(IF(M295="","",M295*INDEX('00 - Lists'!$M$2:$M$11,MATCH(L295,'00 - Lists'!$L$2:$L$11,0))/100000),"")</f>
        <v/>
      </c>
      <c r="P295" s="30" t="str">
        <f aca="false">IFERROR(IF(N295="","",N295*INDEX('00 - Lists'!$M$2:$M$11,MATCH(L295,'00 - Lists'!$L$2:$L$11,0))/100000),"")</f>
        <v/>
      </c>
      <c r="Q295" s="31" t="str">
        <f aca="false">IFERROR(IF(M295="","",M295*INDEX('00 - Lists'!$N$2:$N$11,MATCH(L295,'00 - Lists'!$L$2:$L$11,0))),"")</f>
        <v/>
      </c>
      <c r="R295" s="31" t="str">
        <f aca="false">IFERROR(IF(N295="","",N295*INDEX('00 - Lists'!$N$2:$N$11,MATCH(L295,'00 - Lists'!$L$2:$L$11,0))),"")</f>
        <v/>
      </c>
      <c r="S295" s="32" t="str">
        <f aca="false">IF(O295="","",IF(O295&gt;=50,"Yes","No"))</f>
        <v/>
      </c>
      <c r="T295" s="32" t="str">
        <f aca="false">IF(Q295="","",IF(Q295&gt;=100000,"Yes","No"))</f>
        <v/>
      </c>
      <c r="U295" s="28"/>
      <c r="V295" s="28"/>
      <c r="W295" s="28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J295" s="34" t="str">
        <f aca="false">IF(OR($BD295&lt;&gt;"",$BF295&lt;&gt;"",$BH295&lt;&gt;""),"Yes","No")</f>
        <v>No</v>
      </c>
      <c r="BK295" s="35" t="str">
        <f aca="false">IFERROR(IF(BD295="","",BD295*INDEX('00 - Lists'!$M$2:$M$11,MATCH(L295,'00 - Lists'!$L$2:$L$11,0))/100000),"")</f>
        <v/>
      </c>
      <c r="BL295" s="35" t="str">
        <f aca="false">IFERROR(IF(BE295="","",BE295*INDEX('00 - Lists'!$M$2:$M$11,MATCH(L295,'00 - Lists'!$L$2:$L$11,0))/100000),"")</f>
        <v/>
      </c>
      <c r="BM295" s="35" t="str">
        <f aca="false">IFERROR(IF(BF295="","",BF295*INDEX('00 - Lists'!$M$2:$M$11,MATCH(L295,'00 - Lists'!$L$2:$L$11,0))/100000),"")</f>
        <v/>
      </c>
      <c r="BN295" s="35" t="str">
        <f aca="false">IFERROR(IF(BG295="","",BG295*INDEX('00 - Lists'!$M$2:$M$11,MATCH(L295,'00 - Lists'!$L$2:$L$11,0))/100000),"")</f>
        <v/>
      </c>
      <c r="BO295" s="35" t="str">
        <f aca="false">IFERROR(IF(BH295="","",BH295*INDEX('00 - Lists'!$M$2:$M$11,MATCH(L295,'00 - Lists'!$L$2:$L$11,0))/100000),"")</f>
        <v/>
      </c>
      <c r="BP295" s="35" t="str">
        <f aca="false">IFERROR(IF(BI295="","",BI295*INDEX('00 - Lists'!$M$2:$M$11,MATCH(L295,'00 - Lists'!$L$2:$L$11,0))/100000),"")</f>
        <v/>
      </c>
      <c r="BS295" s="36" t="str">
        <f aca="false">IF(O295="","",IF(O295&gt;=20,"Yes","No"))</f>
        <v/>
      </c>
      <c r="BT295" s="36" t="str">
        <f aca="false">IF(O295="","",IF(O295&gt;=30,"Yes","No"))</f>
        <v/>
      </c>
      <c r="BU295" s="36" t="str">
        <f aca="false">IF(O295="","",IF(O295&gt;=75,"Yes","No"))</f>
        <v/>
      </c>
      <c r="BV295" s="36" t="str">
        <f aca="false">IF(O295="","",IF(O295&gt;=100,"Yes","No"))</f>
        <v/>
      </c>
      <c r="BW295" s="36" t="str">
        <f aca="false">IF(O295="","",IF(O295&gt;=150,"Yes","No"))</f>
        <v/>
      </c>
      <c r="BX295" s="36" t="str">
        <f aca="false">IF(O295="","",IF(O295&gt;=200,"Yes","No"))</f>
        <v/>
      </c>
      <c r="BY295" s="36" t="str">
        <f aca="false">IF(Q295="","",IF(Q295&gt;=150000,"Yes","No"))</f>
        <v/>
      </c>
      <c r="BZ295" s="36" t="str">
        <f aca="false">IF(Q295="","",IF(Q295&gt;=200000,"Yes","No"))</f>
        <v/>
      </c>
      <c r="CA295" s="36" t="str">
        <f aca="false">IF(Q295="","",IF(Q295&gt;=250000,"Yes","No"))</f>
        <v/>
      </c>
      <c r="CB295" s="36" t="str">
        <f aca="false">IF(Q295="","",IF(Q295&gt;=300000,"Yes","No"))</f>
        <v/>
      </c>
      <c r="CC295" s="37"/>
      <c r="CD295" s="36" t="str">
        <f aca="true">IF(B295="","",IF(TODAY()-B295&lt;=7,"🟢 0-7d",IF(TODAY()-B295&lt;=30,"🟡 8-30d",IF(TODAY()-B295&lt;=60,"🟠 31-60d","🔴 60d+"))))</f>
        <v/>
      </c>
      <c r="CE295" s="36" t="str">
        <f aca="false">IF(G295="","",IF(G295&lt;&gt;"USA","N/A - Not USA Role",IF(J295="Yes",IF(OR(F295="Intern",F295="New Grad"),"🟡 Possible","🟢 Strong"),IF(J295="No","🔴 Difficult","⚪ Unknown"))))</f>
        <v/>
      </c>
      <c r="CF295" s="37"/>
      <c r="CG295" s="37"/>
      <c r="CH295" s="38"/>
      <c r="CI295" s="38"/>
      <c r="CJ295" s="38"/>
      <c r="CK295" s="38"/>
    </row>
    <row r="296" customFormat="false" ht="15" hidden="false" customHeight="true" outlineLevel="0" collapsed="false">
      <c r="A296" s="26" t="str">
        <f aca="false">IF($C296="","",ROW()-3)</f>
        <v/>
      </c>
      <c r="B296" s="27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9"/>
      <c r="N296" s="29"/>
      <c r="O296" s="30" t="str">
        <f aca="false">IFERROR(IF(M296="","",M296*INDEX('00 - Lists'!$M$2:$M$11,MATCH(L296,'00 - Lists'!$L$2:$L$11,0))/100000),"")</f>
        <v/>
      </c>
      <c r="P296" s="30" t="str">
        <f aca="false">IFERROR(IF(N296="","",N296*INDEX('00 - Lists'!$M$2:$M$11,MATCH(L296,'00 - Lists'!$L$2:$L$11,0))/100000),"")</f>
        <v/>
      </c>
      <c r="Q296" s="31" t="str">
        <f aca="false">IFERROR(IF(M296="","",M296*INDEX('00 - Lists'!$N$2:$N$11,MATCH(L296,'00 - Lists'!$L$2:$L$11,0))),"")</f>
        <v/>
      </c>
      <c r="R296" s="31" t="str">
        <f aca="false">IFERROR(IF(N296="","",N296*INDEX('00 - Lists'!$N$2:$N$11,MATCH(L296,'00 - Lists'!$L$2:$L$11,0))),"")</f>
        <v/>
      </c>
      <c r="S296" s="32" t="str">
        <f aca="false">IF(O296="","",IF(O296&gt;=50,"Yes","No"))</f>
        <v/>
      </c>
      <c r="T296" s="32" t="str">
        <f aca="false">IF(Q296="","",IF(Q296&gt;=100000,"Yes","No"))</f>
        <v/>
      </c>
      <c r="U296" s="28"/>
      <c r="V296" s="28"/>
      <c r="W296" s="28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J296" s="34" t="str">
        <f aca="false">IF(OR($BD296&lt;&gt;"",$BF296&lt;&gt;"",$BH296&lt;&gt;""),"Yes","No")</f>
        <v>No</v>
      </c>
      <c r="BK296" s="35" t="str">
        <f aca="false">IFERROR(IF(BD296="","",BD296*INDEX('00 - Lists'!$M$2:$M$11,MATCH(L296,'00 - Lists'!$L$2:$L$11,0))/100000),"")</f>
        <v/>
      </c>
      <c r="BL296" s="35" t="str">
        <f aca="false">IFERROR(IF(BE296="","",BE296*INDEX('00 - Lists'!$M$2:$M$11,MATCH(L296,'00 - Lists'!$L$2:$L$11,0))/100000),"")</f>
        <v/>
      </c>
      <c r="BM296" s="35" t="str">
        <f aca="false">IFERROR(IF(BF296="","",BF296*INDEX('00 - Lists'!$M$2:$M$11,MATCH(L296,'00 - Lists'!$L$2:$L$11,0))/100000),"")</f>
        <v/>
      </c>
      <c r="BN296" s="35" t="str">
        <f aca="false">IFERROR(IF(BG296="","",BG296*INDEX('00 - Lists'!$M$2:$M$11,MATCH(L296,'00 - Lists'!$L$2:$L$11,0))/100000),"")</f>
        <v/>
      </c>
      <c r="BO296" s="35" t="str">
        <f aca="false">IFERROR(IF(BH296="","",BH296*INDEX('00 - Lists'!$M$2:$M$11,MATCH(L296,'00 - Lists'!$L$2:$L$11,0))/100000),"")</f>
        <v/>
      </c>
      <c r="BP296" s="35" t="str">
        <f aca="false">IFERROR(IF(BI296="","",BI296*INDEX('00 - Lists'!$M$2:$M$11,MATCH(L296,'00 - Lists'!$L$2:$L$11,0))/100000),"")</f>
        <v/>
      </c>
      <c r="BS296" s="36" t="str">
        <f aca="false">IF(O296="","",IF(O296&gt;=20,"Yes","No"))</f>
        <v/>
      </c>
      <c r="BT296" s="36" t="str">
        <f aca="false">IF(O296="","",IF(O296&gt;=30,"Yes","No"))</f>
        <v/>
      </c>
      <c r="BU296" s="36" t="str">
        <f aca="false">IF(O296="","",IF(O296&gt;=75,"Yes","No"))</f>
        <v/>
      </c>
      <c r="BV296" s="36" t="str">
        <f aca="false">IF(O296="","",IF(O296&gt;=100,"Yes","No"))</f>
        <v/>
      </c>
      <c r="BW296" s="36" t="str">
        <f aca="false">IF(O296="","",IF(O296&gt;=150,"Yes","No"))</f>
        <v/>
      </c>
      <c r="BX296" s="36" t="str">
        <f aca="false">IF(O296="","",IF(O296&gt;=200,"Yes","No"))</f>
        <v/>
      </c>
      <c r="BY296" s="36" t="str">
        <f aca="false">IF(Q296="","",IF(Q296&gt;=150000,"Yes","No"))</f>
        <v/>
      </c>
      <c r="BZ296" s="36" t="str">
        <f aca="false">IF(Q296="","",IF(Q296&gt;=200000,"Yes","No"))</f>
        <v/>
      </c>
      <c r="CA296" s="36" t="str">
        <f aca="false">IF(Q296="","",IF(Q296&gt;=250000,"Yes","No"))</f>
        <v/>
      </c>
      <c r="CB296" s="36" t="str">
        <f aca="false">IF(Q296="","",IF(Q296&gt;=300000,"Yes","No"))</f>
        <v/>
      </c>
      <c r="CC296" s="37"/>
      <c r="CD296" s="36" t="str">
        <f aca="true">IF(B296="","",IF(TODAY()-B296&lt;=7,"🟢 0-7d",IF(TODAY()-B296&lt;=30,"🟡 8-30d",IF(TODAY()-B296&lt;=60,"🟠 31-60d","🔴 60d+"))))</f>
        <v/>
      </c>
      <c r="CE296" s="36" t="str">
        <f aca="false">IF(G296="","",IF(G296&lt;&gt;"USA","N/A - Not USA Role",IF(J296="Yes",IF(OR(F296="Intern",F296="New Grad"),"🟡 Possible","🟢 Strong"),IF(J296="No","🔴 Difficult","⚪ Unknown"))))</f>
        <v/>
      </c>
      <c r="CF296" s="37"/>
      <c r="CG296" s="37"/>
      <c r="CH296" s="38"/>
      <c r="CI296" s="38"/>
      <c r="CJ296" s="38"/>
      <c r="CK296" s="38"/>
    </row>
    <row r="297" customFormat="false" ht="15" hidden="false" customHeight="true" outlineLevel="0" collapsed="false">
      <c r="A297" s="26" t="str">
        <f aca="false">IF($C297="","",ROW()-3)</f>
        <v/>
      </c>
      <c r="B297" s="27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9"/>
      <c r="N297" s="29"/>
      <c r="O297" s="30" t="str">
        <f aca="false">IFERROR(IF(M297="","",M297*INDEX('00 - Lists'!$M$2:$M$11,MATCH(L297,'00 - Lists'!$L$2:$L$11,0))/100000),"")</f>
        <v/>
      </c>
      <c r="P297" s="30" t="str">
        <f aca="false">IFERROR(IF(N297="","",N297*INDEX('00 - Lists'!$M$2:$M$11,MATCH(L297,'00 - Lists'!$L$2:$L$11,0))/100000),"")</f>
        <v/>
      </c>
      <c r="Q297" s="31" t="str">
        <f aca="false">IFERROR(IF(M297="","",M297*INDEX('00 - Lists'!$N$2:$N$11,MATCH(L297,'00 - Lists'!$L$2:$L$11,0))),"")</f>
        <v/>
      </c>
      <c r="R297" s="31" t="str">
        <f aca="false">IFERROR(IF(N297="","",N297*INDEX('00 - Lists'!$N$2:$N$11,MATCH(L297,'00 - Lists'!$L$2:$L$11,0))),"")</f>
        <v/>
      </c>
      <c r="S297" s="32" t="str">
        <f aca="false">IF(O297="","",IF(O297&gt;=50,"Yes","No"))</f>
        <v/>
      </c>
      <c r="T297" s="32" t="str">
        <f aca="false">IF(Q297="","",IF(Q297&gt;=100000,"Yes","No"))</f>
        <v/>
      </c>
      <c r="U297" s="28"/>
      <c r="V297" s="28"/>
      <c r="W297" s="28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J297" s="34" t="str">
        <f aca="false">IF(OR($BD297&lt;&gt;"",$BF297&lt;&gt;"",$BH297&lt;&gt;""),"Yes","No")</f>
        <v>No</v>
      </c>
      <c r="BK297" s="35" t="str">
        <f aca="false">IFERROR(IF(BD297="","",BD297*INDEX('00 - Lists'!$M$2:$M$11,MATCH(L297,'00 - Lists'!$L$2:$L$11,0))/100000),"")</f>
        <v/>
      </c>
      <c r="BL297" s="35" t="str">
        <f aca="false">IFERROR(IF(BE297="","",BE297*INDEX('00 - Lists'!$M$2:$M$11,MATCH(L297,'00 - Lists'!$L$2:$L$11,0))/100000),"")</f>
        <v/>
      </c>
      <c r="BM297" s="35" t="str">
        <f aca="false">IFERROR(IF(BF297="","",BF297*INDEX('00 - Lists'!$M$2:$M$11,MATCH(L297,'00 - Lists'!$L$2:$L$11,0))/100000),"")</f>
        <v/>
      </c>
      <c r="BN297" s="35" t="str">
        <f aca="false">IFERROR(IF(BG297="","",BG297*INDEX('00 - Lists'!$M$2:$M$11,MATCH(L297,'00 - Lists'!$L$2:$L$11,0))/100000),"")</f>
        <v/>
      </c>
      <c r="BO297" s="35" t="str">
        <f aca="false">IFERROR(IF(BH297="","",BH297*INDEX('00 - Lists'!$M$2:$M$11,MATCH(L297,'00 - Lists'!$L$2:$L$11,0))/100000),"")</f>
        <v/>
      </c>
      <c r="BP297" s="35" t="str">
        <f aca="false">IFERROR(IF(BI297="","",BI297*INDEX('00 - Lists'!$M$2:$M$11,MATCH(L297,'00 - Lists'!$L$2:$L$11,0))/100000),"")</f>
        <v/>
      </c>
      <c r="BS297" s="36" t="str">
        <f aca="false">IF(O297="","",IF(O297&gt;=20,"Yes","No"))</f>
        <v/>
      </c>
      <c r="BT297" s="36" t="str">
        <f aca="false">IF(O297="","",IF(O297&gt;=30,"Yes","No"))</f>
        <v/>
      </c>
      <c r="BU297" s="36" t="str">
        <f aca="false">IF(O297="","",IF(O297&gt;=75,"Yes","No"))</f>
        <v/>
      </c>
      <c r="BV297" s="36" t="str">
        <f aca="false">IF(O297="","",IF(O297&gt;=100,"Yes","No"))</f>
        <v/>
      </c>
      <c r="BW297" s="36" t="str">
        <f aca="false">IF(O297="","",IF(O297&gt;=150,"Yes","No"))</f>
        <v/>
      </c>
      <c r="BX297" s="36" t="str">
        <f aca="false">IF(O297="","",IF(O297&gt;=200,"Yes","No"))</f>
        <v/>
      </c>
      <c r="BY297" s="36" t="str">
        <f aca="false">IF(Q297="","",IF(Q297&gt;=150000,"Yes","No"))</f>
        <v/>
      </c>
      <c r="BZ297" s="36" t="str">
        <f aca="false">IF(Q297="","",IF(Q297&gt;=200000,"Yes","No"))</f>
        <v/>
      </c>
      <c r="CA297" s="36" t="str">
        <f aca="false">IF(Q297="","",IF(Q297&gt;=250000,"Yes","No"))</f>
        <v/>
      </c>
      <c r="CB297" s="36" t="str">
        <f aca="false">IF(Q297="","",IF(Q297&gt;=300000,"Yes","No"))</f>
        <v/>
      </c>
      <c r="CC297" s="37"/>
      <c r="CD297" s="36" t="str">
        <f aca="true">IF(B297="","",IF(TODAY()-B297&lt;=7,"🟢 0-7d",IF(TODAY()-B297&lt;=30,"🟡 8-30d",IF(TODAY()-B297&lt;=60,"🟠 31-60d","🔴 60d+"))))</f>
        <v/>
      </c>
      <c r="CE297" s="36" t="str">
        <f aca="false">IF(G297="","",IF(G297&lt;&gt;"USA","N/A - Not USA Role",IF(J297="Yes",IF(OR(F297="Intern",F297="New Grad"),"🟡 Possible","🟢 Strong"),IF(J297="No","🔴 Difficult","⚪ Unknown"))))</f>
        <v/>
      </c>
      <c r="CF297" s="37"/>
      <c r="CG297" s="37"/>
      <c r="CH297" s="38"/>
      <c r="CI297" s="38"/>
      <c r="CJ297" s="38"/>
      <c r="CK297" s="38"/>
    </row>
    <row r="298" customFormat="false" ht="15" hidden="false" customHeight="true" outlineLevel="0" collapsed="false">
      <c r="A298" s="26" t="str">
        <f aca="false">IF($C298="","",ROW()-3)</f>
        <v/>
      </c>
      <c r="B298" s="27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9"/>
      <c r="N298" s="29"/>
      <c r="O298" s="30" t="str">
        <f aca="false">IFERROR(IF(M298="","",M298*INDEX('00 - Lists'!$M$2:$M$11,MATCH(L298,'00 - Lists'!$L$2:$L$11,0))/100000),"")</f>
        <v/>
      </c>
      <c r="P298" s="30" t="str">
        <f aca="false">IFERROR(IF(N298="","",N298*INDEX('00 - Lists'!$M$2:$M$11,MATCH(L298,'00 - Lists'!$L$2:$L$11,0))/100000),"")</f>
        <v/>
      </c>
      <c r="Q298" s="31" t="str">
        <f aca="false">IFERROR(IF(M298="","",M298*INDEX('00 - Lists'!$N$2:$N$11,MATCH(L298,'00 - Lists'!$L$2:$L$11,0))),"")</f>
        <v/>
      </c>
      <c r="R298" s="31" t="str">
        <f aca="false">IFERROR(IF(N298="","",N298*INDEX('00 - Lists'!$N$2:$N$11,MATCH(L298,'00 - Lists'!$L$2:$L$11,0))),"")</f>
        <v/>
      </c>
      <c r="S298" s="32" t="str">
        <f aca="false">IF(O298="","",IF(O298&gt;=50,"Yes","No"))</f>
        <v/>
      </c>
      <c r="T298" s="32" t="str">
        <f aca="false">IF(Q298="","",IF(Q298&gt;=100000,"Yes","No"))</f>
        <v/>
      </c>
      <c r="U298" s="28"/>
      <c r="V298" s="28"/>
      <c r="W298" s="28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J298" s="34" t="str">
        <f aca="false">IF(OR($BD298&lt;&gt;"",$BF298&lt;&gt;"",$BH298&lt;&gt;""),"Yes","No")</f>
        <v>No</v>
      </c>
      <c r="BK298" s="35" t="str">
        <f aca="false">IFERROR(IF(BD298="","",BD298*INDEX('00 - Lists'!$M$2:$M$11,MATCH(L298,'00 - Lists'!$L$2:$L$11,0))/100000),"")</f>
        <v/>
      </c>
      <c r="BL298" s="35" t="str">
        <f aca="false">IFERROR(IF(BE298="","",BE298*INDEX('00 - Lists'!$M$2:$M$11,MATCH(L298,'00 - Lists'!$L$2:$L$11,0))/100000),"")</f>
        <v/>
      </c>
      <c r="BM298" s="35" t="str">
        <f aca="false">IFERROR(IF(BF298="","",BF298*INDEX('00 - Lists'!$M$2:$M$11,MATCH(L298,'00 - Lists'!$L$2:$L$11,0))/100000),"")</f>
        <v/>
      </c>
      <c r="BN298" s="35" t="str">
        <f aca="false">IFERROR(IF(BG298="","",BG298*INDEX('00 - Lists'!$M$2:$M$11,MATCH(L298,'00 - Lists'!$L$2:$L$11,0))/100000),"")</f>
        <v/>
      </c>
      <c r="BO298" s="35" t="str">
        <f aca="false">IFERROR(IF(BH298="","",BH298*INDEX('00 - Lists'!$M$2:$M$11,MATCH(L298,'00 - Lists'!$L$2:$L$11,0))/100000),"")</f>
        <v/>
      </c>
      <c r="BP298" s="35" t="str">
        <f aca="false">IFERROR(IF(BI298="","",BI298*INDEX('00 - Lists'!$M$2:$M$11,MATCH(L298,'00 - Lists'!$L$2:$L$11,0))/100000),"")</f>
        <v/>
      </c>
      <c r="BS298" s="36" t="str">
        <f aca="false">IF(O298="","",IF(O298&gt;=20,"Yes","No"))</f>
        <v/>
      </c>
      <c r="BT298" s="36" t="str">
        <f aca="false">IF(O298="","",IF(O298&gt;=30,"Yes","No"))</f>
        <v/>
      </c>
      <c r="BU298" s="36" t="str">
        <f aca="false">IF(O298="","",IF(O298&gt;=75,"Yes","No"))</f>
        <v/>
      </c>
      <c r="BV298" s="36" t="str">
        <f aca="false">IF(O298="","",IF(O298&gt;=100,"Yes","No"))</f>
        <v/>
      </c>
      <c r="BW298" s="36" t="str">
        <f aca="false">IF(O298="","",IF(O298&gt;=150,"Yes","No"))</f>
        <v/>
      </c>
      <c r="BX298" s="36" t="str">
        <f aca="false">IF(O298="","",IF(O298&gt;=200,"Yes","No"))</f>
        <v/>
      </c>
      <c r="BY298" s="36" t="str">
        <f aca="false">IF(Q298="","",IF(Q298&gt;=150000,"Yes","No"))</f>
        <v/>
      </c>
      <c r="BZ298" s="36" t="str">
        <f aca="false">IF(Q298="","",IF(Q298&gt;=200000,"Yes","No"))</f>
        <v/>
      </c>
      <c r="CA298" s="36" t="str">
        <f aca="false">IF(Q298="","",IF(Q298&gt;=250000,"Yes","No"))</f>
        <v/>
      </c>
      <c r="CB298" s="36" t="str">
        <f aca="false">IF(Q298="","",IF(Q298&gt;=300000,"Yes","No"))</f>
        <v/>
      </c>
      <c r="CC298" s="37"/>
      <c r="CD298" s="36" t="str">
        <f aca="true">IF(B298="","",IF(TODAY()-B298&lt;=7,"🟢 0-7d",IF(TODAY()-B298&lt;=30,"🟡 8-30d",IF(TODAY()-B298&lt;=60,"🟠 31-60d","🔴 60d+"))))</f>
        <v/>
      </c>
      <c r="CE298" s="36" t="str">
        <f aca="false">IF(G298="","",IF(G298&lt;&gt;"USA","N/A - Not USA Role",IF(J298="Yes",IF(OR(F298="Intern",F298="New Grad"),"🟡 Possible","🟢 Strong"),IF(J298="No","🔴 Difficult","⚪ Unknown"))))</f>
        <v/>
      </c>
      <c r="CF298" s="37"/>
      <c r="CG298" s="37"/>
      <c r="CH298" s="38"/>
      <c r="CI298" s="38"/>
      <c r="CJ298" s="38"/>
      <c r="CK298" s="38"/>
    </row>
    <row r="299" customFormat="false" ht="15" hidden="false" customHeight="true" outlineLevel="0" collapsed="false">
      <c r="A299" s="26" t="str">
        <f aca="false">IF($C299="","",ROW()-3)</f>
        <v/>
      </c>
      <c r="B299" s="27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9"/>
      <c r="N299" s="29"/>
      <c r="O299" s="30" t="str">
        <f aca="false">IFERROR(IF(M299="","",M299*INDEX('00 - Lists'!$M$2:$M$11,MATCH(L299,'00 - Lists'!$L$2:$L$11,0))/100000),"")</f>
        <v/>
      </c>
      <c r="P299" s="30" t="str">
        <f aca="false">IFERROR(IF(N299="","",N299*INDEX('00 - Lists'!$M$2:$M$11,MATCH(L299,'00 - Lists'!$L$2:$L$11,0))/100000),"")</f>
        <v/>
      </c>
      <c r="Q299" s="31" t="str">
        <f aca="false">IFERROR(IF(M299="","",M299*INDEX('00 - Lists'!$N$2:$N$11,MATCH(L299,'00 - Lists'!$L$2:$L$11,0))),"")</f>
        <v/>
      </c>
      <c r="R299" s="31" t="str">
        <f aca="false">IFERROR(IF(N299="","",N299*INDEX('00 - Lists'!$N$2:$N$11,MATCH(L299,'00 - Lists'!$L$2:$L$11,0))),"")</f>
        <v/>
      </c>
      <c r="S299" s="32" t="str">
        <f aca="false">IF(O299="","",IF(O299&gt;=50,"Yes","No"))</f>
        <v/>
      </c>
      <c r="T299" s="32" t="str">
        <f aca="false">IF(Q299="","",IF(Q299&gt;=100000,"Yes","No"))</f>
        <v/>
      </c>
      <c r="U299" s="28"/>
      <c r="V299" s="28"/>
      <c r="W299" s="28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J299" s="34" t="str">
        <f aca="false">IF(OR($BD299&lt;&gt;"",$BF299&lt;&gt;"",$BH299&lt;&gt;""),"Yes","No")</f>
        <v>No</v>
      </c>
      <c r="BK299" s="35" t="str">
        <f aca="false">IFERROR(IF(BD299="","",BD299*INDEX('00 - Lists'!$M$2:$M$11,MATCH(L299,'00 - Lists'!$L$2:$L$11,0))/100000),"")</f>
        <v/>
      </c>
      <c r="BL299" s="35" t="str">
        <f aca="false">IFERROR(IF(BE299="","",BE299*INDEX('00 - Lists'!$M$2:$M$11,MATCH(L299,'00 - Lists'!$L$2:$L$11,0))/100000),"")</f>
        <v/>
      </c>
      <c r="BM299" s="35" t="str">
        <f aca="false">IFERROR(IF(BF299="","",BF299*INDEX('00 - Lists'!$M$2:$M$11,MATCH(L299,'00 - Lists'!$L$2:$L$11,0))/100000),"")</f>
        <v/>
      </c>
      <c r="BN299" s="35" t="str">
        <f aca="false">IFERROR(IF(BG299="","",BG299*INDEX('00 - Lists'!$M$2:$M$11,MATCH(L299,'00 - Lists'!$L$2:$L$11,0))/100000),"")</f>
        <v/>
      </c>
      <c r="BO299" s="35" t="str">
        <f aca="false">IFERROR(IF(BH299="","",BH299*INDEX('00 - Lists'!$M$2:$M$11,MATCH(L299,'00 - Lists'!$L$2:$L$11,0))/100000),"")</f>
        <v/>
      </c>
      <c r="BP299" s="35" t="str">
        <f aca="false">IFERROR(IF(BI299="","",BI299*INDEX('00 - Lists'!$M$2:$M$11,MATCH(L299,'00 - Lists'!$L$2:$L$11,0))/100000),"")</f>
        <v/>
      </c>
      <c r="BS299" s="36" t="str">
        <f aca="false">IF(O299="","",IF(O299&gt;=20,"Yes","No"))</f>
        <v/>
      </c>
      <c r="BT299" s="36" t="str">
        <f aca="false">IF(O299="","",IF(O299&gt;=30,"Yes","No"))</f>
        <v/>
      </c>
      <c r="BU299" s="36" t="str">
        <f aca="false">IF(O299="","",IF(O299&gt;=75,"Yes","No"))</f>
        <v/>
      </c>
      <c r="BV299" s="36" t="str">
        <f aca="false">IF(O299="","",IF(O299&gt;=100,"Yes","No"))</f>
        <v/>
      </c>
      <c r="BW299" s="36" t="str">
        <f aca="false">IF(O299="","",IF(O299&gt;=150,"Yes","No"))</f>
        <v/>
      </c>
      <c r="BX299" s="36" t="str">
        <f aca="false">IF(O299="","",IF(O299&gt;=200,"Yes","No"))</f>
        <v/>
      </c>
      <c r="BY299" s="36" t="str">
        <f aca="false">IF(Q299="","",IF(Q299&gt;=150000,"Yes","No"))</f>
        <v/>
      </c>
      <c r="BZ299" s="36" t="str">
        <f aca="false">IF(Q299="","",IF(Q299&gt;=200000,"Yes","No"))</f>
        <v/>
      </c>
      <c r="CA299" s="36" t="str">
        <f aca="false">IF(Q299="","",IF(Q299&gt;=250000,"Yes","No"))</f>
        <v/>
      </c>
      <c r="CB299" s="36" t="str">
        <f aca="false">IF(Q299="","",IF(Q299&gt;=300000,"Yes","No"))</f>
        <v/>
      </c>
      <c r="CC299" s="37"/>
      <c r="CD299" s="36" t="str">
        <f aca="true">IF(B299="","",IF(TODAY()-B299&lt;=7,"🟢 0-7d",IF(TODAY()-B299&lt;=30,"🟡 8-30d",IF(TODAY()-B299&lt;=60,"🟠 31-60d","🔴 60d+"))))</f>
        <v/>
      </c>
      <c r="CE299" s="36" t="str">
        <f aca="false">IF(G299="","",IF(G299&lt;&gt;"USA","N/A - Not USA Role",IF(J299="Yes",IF(OR(F299="Intern",F299="New Grad"),"🟡 Possible","🟢 Strong"),IF(J299="No","🔴 Difficult","⚪ Unknown"))))</f>
        <v/>
      </c>
      <c r="CF299" s="37"/>
      <c r="CG299" s="37"/>
      <c r="CH299" s="38"/>
      <c r="CI299" s="38"/>
      <c r="CJ299" s="38"/>
      <c r="CK299" s="38"/>
    </row>
    <row r="300" customFormat="false" ht="15" hidden="false" customHeight="true" outlineLevel="0" collapsed="false">
      <c r="A300" s="26" t="str">
        <f aca="false">IF($C300="","",ROW()-3)</f>
        <v/>
      </c>
      <c r="B300" s="27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9"/>
      <c r="N300" s="29"/>
      <c r="O300" s="30" t="str">
        <f aca="false">IFERROR(IF(M300="","",M300*INDEX('00 - Lists'!$M$2:$M$11,MATCH(L300,'00 - Lists'!$L$2:$L$11,0))/100000),"")</f>
        <v/>
      </c>
      <c r="P300" s="30" t="str">
        <f aca="false">IFERROR(IF(N300="","",N300*INDEX('00 - Lists'!$M$2:$M$11,MATCH(L300,'00 - Lists'!$L$2:$L$11,0))/100000),"")</f>
        <v/>
      </c>
      <c r="Q300" s="31" t="str">
        <f aca="false">IFERROR(IF(M300="","",M300*INDEX('00 - Lists'!$N$2:$N$11,MATCH(L300,'00 - Lists'!$L$2:$L$11,0))),"")</f>
        <v/>
      </c>
      <c r="R300" s="31" t="str">
        <f aca="false">IFERROR(IF(N300="","",N300*INDEX('00 - Lists'!$N$2:$N$11,MATCH(L300,'00 - Lists'!$L$2:$L$11,0))),"")</f>
        <v/>
      </c>
      <c r="S300" s="32" t="str">
        <f aca="false">IF(O300="","",IF(O300&gt;=50,"Yes","No"))</f>
        <v/>
      </c>
      <c r="T300" s="32" t="str">
        <f aca="false">IF(Q300="","",IF(Q300&gt;=100000,"Yes","No"))</f>
        <v/>
      </c>
      <c r="U300" s="28"/>
      <c r="V300" s="28"/>
      <c r="W300" s="28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J300" s="34" t="str">
        <f aca="false">IF(OR($BD300&lt;&gt;"",$BF300&lt;&gt;"",$BH300&lt;&gt;""),"Yes","No")</f>
        <v>No</v>
      </c>
      <c r="BK300" s="35" t="str">
        <f aca="false">IFERROR(IF(BD300="","",BD300*INDEX('00 - Lists'!$M$2:$M$11,MATCH(L300,'00 - Lists'!$L$2:$L$11,0))/100000),"")</f>
        <v/>
      </c>
      <c r="BL300" s="35" t="str">
        <f aca="false">IFERROR(IF(BE300="","",BE300*INDEX('00 - Lists'!$M$2:$M$11,MATCH(L300,'00 - Lists'!$L$2:$L$11,0))/100000),"")</f>
        <v/>
      </c>
      <c r="BM300" s="35" t="str">
        <f aca="false">IFERROR(IF(BF300="","",BF300*INDEX('00 - Lists'!$M$2:$M$11,MATCH(L300,'00 - Lists'!$L$2:$L$11,0))/100000),"")</f>
        <v/>
      </c>
      <c r="BN300" s="35" t="str">
        <f aca="false">IFERROR(IF(BG300="","",BG300*INDEX('00 - Lists'!$M$2:$M$11,MATCH(L300,'00 - Lists'!$L$2:$L$11,0))/100000),"")</f>
        <v/>
      </c>
      <c r="BO300" s="35" t="str">
        <f aca="false">IFERROR(IF(BH300="","",BH300*INDEX('00 - Lists'!$M$2:$M$11,MATCH(L300,'00 - Lists'!$L$2:$L$11,0))/100000),"")</f>
        <v/>
      </c>
      <c r="BP300" s="35" t="str">
        <f aca="false">IFERROR(IF(BI300="","",BI300*INDEX('00 - Lists'!$M$2:$M$11,MATCH(L300,'00 - Lists'!$L$2:$L$11,0))/100000),"")</f>
        <v/>
      </c>
      <c r="BS300" s="36" t="str">
        <f aca="false">IF(O300="","",IF(O300&gt;=20,"Yes","No"))</f>
        <v/>
      </c>
      <c r="BT300" s="36" t="str">
        <f aca="false">IF(O300="","",IF(O300&gt;=30,"Yes","No"))</f>
        <v/>
      </c>
      <c r="BU300" s="36" t="str">
        <f aca="false">IF(O300="","",IF(O300&gt;=75,"Yes","No"))</f>
        <v/>
      </c>
      <c r="BV300" s="36" t="str">
        <f aca="false">IF(O300="","",IF(O300&gt;=100,"Yes","No"))</f>
        <v/>
      </c>
      <c r="BW300" s="36" t="str">
        <f aca="false">IF(O300="","",IF(O300&gt;=150,"Yes","No"))</f>
        <v/>
      </c>
      <c r="BX300" s="36" t="str">
        <f aca="false">IF(O300="","",IF(O300&gt;=200,"Yes","No"))</f>
        <v/>
      </c>
      <c r="BY300" s="36" t="str">
        <f aca="false">IF(Q300="","",IF(Q300&gt;=150000,"Yes","No"))</f>
        <v/>
      </c>
      <c r="BZ300" s="36" t="str">
        <f aca="false">IF(Q300="","",IF(Q300&gt;=200000,"Yes","No"))</f>
        <v/>
      </c>
      <c r="CA300" s="36" t="str">
        <f aca="false">IF(Q300="","",IF(Q300&gt;=250000,"Yes","No"))</f>
        <v/>
      </c>
      <c r="CB300" s="36" t="str">
        <f aca="false">IF(Q300="","",IF(Q300&gt;=300000,"Yes","No"))</f>
        <v/>
      </c>
      <c r="CC300" s="37"/>
      <c r="CD300" s="36" t="str">
        <f aca="true">IF(B300="","",IF(TODAY()-B300&lt;=7,"🟢 0-7d",IF(TODAY()-B300&lt;=30,"🟡 8-30d",IF(TODAY()-B300&lt;=60,"🟠 31-60d","🔴 60d+"))))</f>
        <v/>
      </c>
      <c r="CE300" s="36" t="str">
        <f aca="false">IF(G300="","",IF(G300&lt;&gt;"USA","N/A - Not USA Role",IF(J300="Yes",IF(OR(F300="Intern",F300="New Grad"),"🟡 Possible","🟢 Strong"),IF(J300="No","🔴 Difficult","⚪ Unknown"))))</f>
        <v/>
      </c>
      <c r="CF300" s="37"/>
      <c r="CG300" s="37"/>
      <c r="CH300" s="38"/>
      <c r="CI300" s="38"/>
      <c r="CJ300" s="38"/>
      <c r="CK300" s="38"/>
    </row>
    <row r="301" customFormat="false" ht="15" hidden="false" customHeight="true" outlineLevel="0" collapsed="false">
      <c r="A301" s="26" t="str">
        <f aca="false">IF($C301="","",ROW()-3)</f>
        <v/>
      </c>
      <c r="B301" s="27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9"/>
      <c r="N301" s="29"/>
      <c r="O301" s="30" t="str">
        <f aca="false">IFERROR(IF(M301="","",M301*INDEX('00 - Lists'!$M$2:$M$11,MATCH(L301,'00 - Lists'!$L$2:$L$11,0))/100000),"")</f>
        <v/>
      </c>
      <c r="P301" s="30" t="str">
        <f aca="false">IFERROR(IF(N301="","",N301*INDEX('00 - Lists'!$M$2:$M$11,MATCH(L301,'00 - Lists'!$L$2:$L$11,0))/100000),"")</f>
        <v/>
      </c>
      <c r="Q301" s="31" t="str">
        <f aca="false">IFERROR(IF(M301="","",M301*INDEX('00 - Lists'!$N$2:$N$11,MATCH(L301,'00 - Lists'!$L$2:$L$11,0))),"")</f>
        <v/>
      </c>
      <c r="R301" s="31" t="str">
        <f aca="false">IFERROR(IF(N301="","",N301*INDEX('00 - Lists'!$N$2:$N$11,MATCH(L301,'00 - Lists'!$L$2:$L$11,0))),"")</f>
        <v/>
      </c>
      <c r="S301" s="32" t="str">
        <f aca="false">IF(O301="","",IF(O301&gt;=50,"Yes","No"))</f>
        <v/>
      </c>
      <c r="T301" s="32" t="str">
        <f aca="false">IF(Q301="","",IF(Q301&gt;=100000,"Yes","No"))</f>
        <v/>
      </c>
      <c r="U301" s="28"/>
      <c r="V301" s="28"/>
      <c r="W301" s="28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J301" s="34" t="str">
        <f aca="false">IF(OR($BD301&lt;&gt;"",$BF301&lt;&gt;"",$BH301&lt;&gt;""),"Yes","No")</f>
        <v>No</v>
      </c>
      <c r="BK301" s="35" t="str">
        <f aca="false">IFERROR(IF(BD301="","",BD301*INDEX('00 - Lists'!$M$2:$M$11,MATCH(L301,'00 - Lists'!$L$2:$L$11,0))/100000),"")</f>
        <v/>
      </c>
      <c r="BL301" s="35" t="str">
        <f aca="false">IFERROR(IF(BE301="","",BE301*INDEX('00 - Lists'!$M$2:$M$11,MATCH(L301,'00 - Lists'!$L$2:$L$11,0))/100000),"")</f>
        <v/>
      </c>
      <c r="BM301" s="35" t="str">
        <f aca="false">IFERROR(IF(BF301="","",BF301*INDEX('00 - Lists'!$M$2:$M$11,MATCH(L301,'00 - Lists'!$L$2:$L$11,0))/100000),"")</f>
        <v/>
      </c>
      <c r="BN301" s="35" t="str">
        <f aca="false">IFERROR(IF(BG301="","",BG301*INDEX('00 - Lists'!$M$2:$M$11,MATCH(L301,'00 - Lists'!$L$2:$L$11,0))/100000),"")</f>
        <v/>
      </c>
      <c r="BO301" s="35" t="str">
        <f aca="false">IFERROR(IF(BH301="","",BH301*INDEX('00 - Lists'!$M$2:$M$11,MATCH(L301,'00 - Lists'!$L$2:$L$11,0))/100000),"")</f>
        <v/>
      </c>
      <c r="BP301" s="35" t="str">
        <f aca="false">IFERROR(IF(BI301="","",BI301*INDEX('00 - Lists'!$M$2:$M$11,MATCH(L301,'00 - Lists'!$L$2:$L$11,0))/100000),"")</f>
        <v/>
      </c>
      <c r="BS301" s="36" t="str">
        <f aca="false">IF(O301="","",IF(O301&gt;=20,"Yes","No"))</f>
        <v/>
      </c>
      <c r="BT301" s="36" t="str">
        <f aca="false">IF(O301="","",IF(O301&gt;=30,"Yes","No"))</f>
        <v/>
      </c>
      <c r="BU301" s="36" t="str">
        <f aca="false">IF(O301="","",IF(O301&gt;=75,"Yes","No"))</f>
        <v/>
      </c>
      <c r="BV301" s="36" t="str">
        <f aca="false">IF(O301="","",IF(O301&gt;=100,"Yes","No"))</f>
        <v/>
      </c>
      <c r="BW301" s="36" t="str">
        <f aca="false">IF(O301="","",IF(O301&gt;=150,"Yes","No"))</f>
        <v/>
      </c>
      <c r="BX301" s="36" t="str">
        <f aca="false">IF(O301="","",IF(O301&gt;=200,"Yes","No"))</f>
        <v/>
      </c>
      <c r="BY301" s="36" t="str">
        <f aca="false">IF(Q301="","",IF(Q301&gt;=150000,"Yes","No"))</f>
        <v/>
      </c>
      <c r="BZ301" s="36" t="str">
        <f aca="false">IF(Q301="","",IF(Q301&gt;=200000,"Yes","No"))</f>
        <v/>
      </c>
      <c r="CA301" s="36" t="str">
        <f aca="false">IF(Q301="","",IF(Q301&gt;=250000,"Yes","No"))</f>
        <v/>
      </c>
      <c r="CB301" s="36" t="str">
        <f aca="false">IF(Q301="","",IF(Q301&gt;=300000,"Yes","No"))</f>
        <v/>
      </c>
      <c r="CC301" s="37"/>
      <c r="CD301" s="36" t="str">
        <f aca="true">IF(B301="","",IF(TODAY()-B301&lt;=7,"🟢 0-7d",IF(TODAY()-B301&lt;=30,"🟡 8-30d",IF(TODAY()-B301&lt;=60,"🟠 31-60d","🔴 60d+"))))</f>
        <v/>
      </c>
      <c r="CE301" s="36" t="str">
        <f aca="false">IF(G301="","",IF(G301&lt;&gt;"USA","N/A - Not USA Role",IF(J301="Yes",IF(OR(F301="Intern",F301="New Grad"),"🟡 Possible","🟢 Strong"),IF(J301="No","🔴 Difficult","⚪ Unknown"))))</f>
        <v/>
      </c>
      <c r="CF301" s="37"/>
      <c r="CG301" s="37"/>
      <c r="CH301" s="38"/>
      <c r="CI301" s="38"/>
      <c r="CJ301" s="38"/>
      <c r="CK301" s="38"/>
    </row>
    <row r="302" customFormat="false" ht="15" hidden="false" customHeight="true" outlineLevel="0" collapsed="false">
      <c r="A302" s="26" t="str">
        <f aca="false">IF($C302="","",ROW()-3)</f>
        <v/>
      </c>
      <c r="B302" s="27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9"/>
      <c r="N302" s="29"/>
      <c r="O302" s="30" t="str">
        <f aca="false">IFERROR(IF(M302="","",M302*INDEX('00 - Lists'!$M$2:$M$11,MATCH(L302,'00 - Lists'!$L$2:$L$11,0))/100000),"")</f>
        <v/>
      </c>
      <c r="P302" s="30" t="str">
        <f aca="false">IFERROR(IF(N302="","",N302*INDEX('00 - Lists'!$M$2:$M$11,MATCH(L302,'00 - Lists'!$L$2:$L$11,0))/100000),"")</f>
        <v/>
      </c>
      <c r="Q302" s="31" t="str">
        <f aca="false">IFERROR(IF(M302="","",M302*INDEX('00 - Lists'!$N$2:$N$11,MATCH(L302,'00 - Lists'!$L$2:$L$11,0))),"")</f>
        <v/>
      </c>
      <c r="R302" s="31" t="str">
        <f aca="false">IFERROR(IF(N302="","",N302*INDEX('00 - Lists'!$N$2:$N$11,MATCH(L302,'00 - Lists'!$L$2:$L$11,0))),"")</f>
        <v/>
      </c>
      <c r="S302" s="32" t="str">
        <f aca="false">IF(O302="","",IF(O302&gt;=50,"Yes","No"))</f>
        <v/>
      </c>
      <c r="T302" s="32" t="str">
        <f aca="false">IF(Q302="","",IF(Q302&gt;=100000,"Yes","No"))</f>
        <v/>
      </c>
      <c r="U302" s="28"/>
      <c r="V302" s="28"/>
      <c r="W302" s="28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J302" s="34" t="str">
        <f aca="false">IF(OR($BD302&lt;&gt;"",$BF302&lt;&gt;"",$BH302&lt;&gt;""),"Yes","No")</f>
        <v>No</v>
      </c>
      <c r="BK302" s="35" t="str">
        <f aca="false">IFERROR(IF(BD302="","",BD302*INDEX('00 - Lists'!$M$2:$M$11,MATCH(L302,'00 - Lists'!$L$2:$L$11,0))/100000),"")</f>
        <v/>
      </c>
      <c r="BL302" s="35" t="str">
        <f aca="false">IFERROR(IF(BE302="","",BE302*INDEX('00 - Lists'!$M$2:$M$11,MATCH(L302,'00 - Lists'!$L$2:$L$11,0))/100000),"")</f>
        <v/>
      </c>
      <c r="BM302" s="35" t="str">
        <f aca="false">IFERROR(IF(BF302="","",BF302*INDEX('00 - Lists'!$M$2:$M$11,MATCH(L302,'00 - Lists'!$L$2:$L$11,0))/100000),"")</f>
        <v/>
      </c>
      <c r="BN302" s="35" t="str">
        <f aca="false">IFERROR(IF(BG302="","",BG302*INDEX('00 - Lists'!$M$2:$M$11,MATCH(L302,'00 - Lists'!$L$2:$L$11,0))/100000),"")</f>
        <v/>
      </c>
      <c r="BO302" s="35" t="str">
        <f aca="false">IFERROR(IF(BH302="","",BH302*INDEX('00 - Lists'!$M$2:$M$11,MATCH(L302,'00 - Lists'!$L$2:$L$11,0))/100000),"")</f>
        <v/>
      </c>
      <c r="BP302" s="35" t="str">
        <f aca="false">IFERROR(IF(BI302="","",BI302*INDEX('00 - Lists'!$M$2:$M$11,MATCH(L302,'00 - Lists'!$L$2:$L$11,0))/100000),"")</f>
        <v/>
      </c>
      <c r="BS302" s="36" t="str">
        <f aca="false">IF(O302="","",IF(O302&gt;=20,"Yes","No"))</f>
        <v/>
      </c>
      <c r="BT302" s="36" t="str">
        <f aca="false">IF(O302="","",IF(O302&gt;=30,"Yes","No"))</f>
        <v/>
      </c>
      <c r="BU302" s="36" t="str">
        <f aca="false">IF(O302="","",IF(O302&gt;=75,"Yes","No"))</f>
        <v/>
      </c>
      <c r="BV302" s="36" t="str">
        <f aca="false">IF(O302="","",IF(O302&gt;=100,"Yes","No"))</f>
        <v/>
      </c>
      <c r="BW302" s="36" t="str">
        <f aca="false">IF(O302="","",IF(O302&gt;=150,"Yes","No"))</f>
        <v/>
      </c>
      <c r="BX302" s="36" t="str">
        <f aca="false">IF(O302="","",IF(O302&gt;=200,"Yes","No"))</f>
        <v/>
      </c>
      <c r="BY302" s="36" t="str">
        <f aca="false">IF(Q302="","",IF(Q302&gt;=150000,"Yes","No"))</f>
        <v/>
      </c>
      <c r="BZ302" s="36" t="str">
        <f aca="false">IF(Q302="","",IF(Q302&gt;=200000,"Yes","No"))</f>
        <v/>
      </c>
      <c r="CA302" s="36" t="str">
        <f aca="false">IF(Q302="","",IF(Q302&gt;=250000,"Yes","No"))</f>
        <v/>
      </c>
      <c r="CB302" s="36" t="str">
        <f aca="false">IF(Q302="","",IF(Q302&gt;=300000,"Yes","No"))</f>
        <v/>
      </c>
      <c r="CC302" s="37"/>
      <c r="CD302" s="36" t="str">
        <f aca="true">IF(B302="","",IF(TODAY()-B302&lt;=7,"🟢 0-7d",IF(TODAY()-B302&lt;=30,"🟡 8-30d",IF(TODAY()-B302&lt;=60,"🟠 31-60d","🔴 60d+"))))</f>
        <v/>
      </c>
      <c r="CE302" s="36" t="str">
        <f aca="false">IF(G302="","",IF(G302&lt;&gt;"USA","N/A - Not USA Role",IF(J302="Yes",IF(OR(F302="Intern",F302="New Grad"),"🟡 Possible","🟢 Strong"),IF(J302="No","🔴 Difficult","⚪ Unknown"))))</f>
        <v/>
      </c>
      <c r="CF302" s="37"/>
      <c r="CG302" s="37"/>
      <c r="CH302" s="38"/>
      <c r="CI302" s="38"/>
      <c r="CJ302" s="38"/>
      <c r="CK302" s="38"/>
    </row>
    <row r="303" customFormat="false" ht="15" hidden="false" customHeight="true" outlineLevel="0" collapsed="false">
      <c r="A303" s="26" t="str">
        <f aca="false">IF($C303="","",ROW()-3)</f>
        <v/>
      </c>
      <c r="B303" s="27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9"/>
      <c r="N303" s="29"/>
      <c r="O303" s="30" t="str">
        <f aca="false">IFERROR(IF(M303="","",M303*INDEX('00 - Lists'!$M$2:$M$11,MATCH(L303,'00 - Lists'!$L$2:$L$11,0))/100000),"")</f>
        <v/>
      </c>
      <c r="P303" s="30" t="str">
        <f aca="false">IFERROR(IF(N303="","",N303*INDEX('00 - Lists'!$M$2:$M$11,MATCH(L303,'00 - Lists'!$L$2:$L$11,0))/100000),"")</f>
        <v/>
      </c>
      <c r="Q303" s="31" t="str">
        <f aca="false">IFERROR(IF(M303="","",M303*INDEX('00 - Lists'!$N$2:$N$11,MATCH(L303,'00 - Lists'!$L$2:$L$11,0))),"")</f>
        <v/>
      </c>
      <c r="R303" s="31" t="str">
        <f aca="false">IFERROR(IF(N303="","",N303*INDEX('00 - Lists'!$N$2:$N$11,MATCH(L303,'00 - Lists'!$L$2:$L$11,0))),"")</f>
        <v/>
      </c>
      <c r="S303" s="32" t="str">
        <f aca="false">IF(O303="","",IF(O303&gt;=50,"Yes","No"))</f>
        <v/>
      </c>
      <c r="T303" s="32" t="str">
        <f aca="false">IF(Q303="","",IF(Q303&gt;=100000,"Yes","No"))</f>
        <v/>
      </c>
      <c r="U303" s="28"/>
      <c r="V303" s="28"/>
      <c r="W303" s="28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J303" s="34" t="str">
        <f aca="false">IF(OR($BD303&lt;&gt;"",$BF303&lt;&gt;"",$BH303&lt;&gt;""),"Yes","No")</f>
        <v>No</v>
      </c>
      <c r="BK303" s="35" t="str">
        <f aca="false">IFERROR(IF(BD303="","",BD303*INDEX('00 - Lists'!$M$2:$M$11,MATCH(L303,'00 - Lists'!$L$2:$L$11,0))/100000),"")</f>
        <v/>
      </c>
      <c r="BL303" s="35" t="str">
        <f aca="false">IFERROR(IF(BE303="","",BE303*INDEX('00 - Lists'!$M$2:$M$11,MATCH(L303,'00 - Lists'!$L$2:$L$11,0))/100000),"")</f>
        <v/>
      </c>
      <c r="BM303" s="35" t="str">
        <f aca="false">IFERROR(IF(BF303="","",BF303*INDEX('00 - Lists'!$M$2:$M$11,MATCH(L303,'00 - Lists'!$L$2:$L$11,0))/100000),"")</f>
        <v/>
      </c>
      <c r="BN303" s="35" t="str">
        <f aca="false">IFERROR(IF(BG303="","",BG303*INDEX('00 - Lists'!$M$2:$M$11,MATCH(L303,'00 - Lists'!$L$2:$L$11,0))/100000),"")</f>
        <v/>
      </c>
      <c r="BO303" s="35" t="str">
        <f aca="false">IFERROR(IF(BH303="","",BH303*INDEX('00 - Lists'!$M$2:$M$11,MATCH(L303,'00 - Lists'!$L$2:$L$11,0))/100000),"")</f>
        <v/>
      </c>
      <c r="BP303" s="35" t="str">
        <f aca="false">IFERROR(IF(BI303="","",BI303*INDEX('00 - Lists'!$M$2:$M$11,MATCH(L303,'00 - Lists'!$L$2:$L$11,0))/100000),"")</f>
        <v/>
      </c>
      <c r="BS303" s="36" t="str">
        <f aca="false">IF(O303="","",IF(O303&gt;=20,"Yes","No"))</f>
        <v/>
      </c>
      <c r="BT303" s="36" t="str">
        <f aca="false">IF(O303="","",IF(O303&gt;=30,"Yes","No"))</f>
        <v/>
      </c>
      <c r="BU303" s="36" t="str">
        <f aca="false">IF(O303="","",IF(O303&gt;=75,"Yes","No"))</f>
        <v/>
      </c>
      <c r="BV303" s="36" t="str">
        <f aca="false">IF(O303="","",IF(O303&gt;=100,"Yes","No"))</f>
        <v/>
      </c>
      <c r="BW303" s="36" t="str">
        <f aca="false">IF(O303="","",IF(O303&gt;=150,"Yes","No"))</f>
        <v/>
      </c>
      <c r="BX303" s="36" t="str">
        <f aca="false">IF(O303="","",IF(O303&gt;=200,"Yes","No"))</f>
        <v/>
      </c>
      <c r="BY303" s="36" t="str">
        <f aca="false">IF(Q303="","",IF(Q303&gt;=150000,"Yes","No"))</f>
        <v/>
      </c>
      <c r="BZ303" s="36" t="str">
        <f aca="false">IF(Q303="","",IF(Q303&gt;=200000,"Yes","No"))</f>
        <v/>
      </c>
      <c r="CA303" s="36" t="str">
        <f aca="false">IF(Q303="","",IF(Q303&gt;=250000,"Yes","No"))</f>
        <v/>
      </c>
      <c r="CB303" s="36" t="str">
        <f aca="false">IF(Q303="","",IF(Q303&gt;=300000,"Yes","No"))</f>
        <v/>
      </c>
      <c r="CC303" s="37"/>
      <c r="CD303" s="36" t="str">
        <f aca="true">IF(B303="","",IF(TODAY()-B303&lt;=7,"🟢 0-7d",IF(TODAY()-B303&lt;=30,"🟡 8-30d",IF(TODAY()-B303&lt;=60,"🟠 31-60d","🔴 60d+"))))</f>
        <v/>
      </c>
      <c r="CE303" s="36" t="str">
        <f aca="false">IF(G303="","",IF(G303&lt;&gt;"USA","N/A - Not USA Role",IF(J303="Yes",IF(OR(F303="Intern",F303="New Grad"),"🟡 Possible","🟢 Strong"),IF(J303="No","🔴 Difficult","⚪ Unknown"))))</f>
        <v/>
      </c>
      <c r="CF303" s="37"/>
      <c r="CG303" s="37"/>
      <c r="CH303" s="38"/>
      <c r="CI303" s="38"/>
      <c r="CJ303" s="38"/>
      <c r="CK303" s="38"/>
    </row>
    <row r="304" customFormat="false" ht="15" hidden="false" customHeight="true" outlineLevel="0" collapsed="false">
      <c r="A304" s="26" t="str">
        <f aca="false">IF($C304="","",ROW()-3)</f>
        <v/>
      </c>
      <c r="B304" s="27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9"/>
      <c r="N304" s="29"/>
      <c r="O304" s="30" t="str">
        <f aca="false">IFERROR(IF(M304="","",M304*INDEX('00 - Lists'!$M$2:$M$11,MATCH(L304,'00 - Lists'!$L$2:$L$11,0))/100000),"")</f>
        <v/>
      </c>
      <c r="P304" s="30" t="str">
        <f aca="false">IFERROR(IF(N304="","",N304*INDEX('00 - Lists'!$M$2:$M$11,MATCH(L304,'00 - Lists'!$L$2:$L$11,0))/100000),"")</f>
        <v/>
      </c>
      <c r="Q304" s="31" t="str">
        <f aca="false">IFERROR(IF(M304="","",M304*INDEX('00 - Lists'!$N$2:$N$11,MATCH(L304,'00 - Lists'!$L$2:$L$11,0))),"")</f>
        <v/>
      </c>
      <c r="R304" s="31" t="str">
        <f aca="false">IFERROR(IF(N304="","",N304*INDEX('00 - Lists'!$N$2:$N$11,MATCH(L304,'00 - Lists'!$L$2:$L$11,0))),"")</f>
        <v/>
      </c>
      <c r="S304" s="32" t="str">
        <f aca="false">IF(O304="","",IF(O304&gt;=50,"Yes","No"))</f>
        <v/>
      </c>
      <c r="T304" s="32" t="str">
        <f aca="false">IF(Q304="","",IF(Q304&gt;=100000,"Yes","No"))</f>
        <v/>
      </c>
      <c r="U304" s="28"/>
      <c r="V304" s="28"/>
      <c r="W304" s="28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J304" s="34" t="str">
        <f aca="false">IF(OR($BD304&lt;&gt;"",$BF304&lt;&gt;"",$BH304&lt;&gt;""),"Yes","No")</f>
        <v>No</v>
      </c>
      <c r="BK304" s="35" t="str">
        <f aca="false">IFERROR(IF(BD304="","",BD304*INDEX('00 - Lists'!$M$2:$M$11,MATCH(L304,'00 - Lists'!$L$2:$L$11,0))/100000),"")</f>
        <v/>
      </c>
      <c r="BL304" s="35" t="str">
        <f aca="false">IFERROR(IF(BE304="","",BE304*INDEX('00 - Lists'!$M$2:$M$11,MATCH(L304,'00 - Lists'!$L$2:$L$11,0))/100000),"")</f>
        <v/>
      </c>
      <c r="BM304" s="35" t="str">
        <f aca="false">IFERROR(IF(BF304="","",BF304*INDEX('00 - Lists'!$M$2:$M$11,MATCH(L304,'00 - Lists'!$L$2:$L$11,0))/100000),"")</f>
        <v/>
      </c>
      <c r="BN304" s="35" t="str">
        <f aca="false">IFERROR(IF(BG304="","",BG304*INDEX('00 - Lists'!$M$2:$M$11,MATCH(L304,'00 - Lists'!$L$2:$L$11,0))/100000),"")</f>
        <v/>
      </c>
      <c r="BO304" s="35" t="str">
        <f aca="false">IFERROR(IF(BH304="","",BH304*INDEX('00 - Lists'!$M$2:$M$11,MATCH(L304,'00 - Lists'!$L$2:$L$11,0))/100000),"")</f>
        <v/>
      </c>
      <c r="BP304" s="35" t="str">
        <f aca="false">IFERROR(IF(BI304="","",BI304*INDEX('00 - Lists'!$M$2:$M$11,MATCH(L304,'00 - Lists'!$L$2:$L$11,0))/100000),"")</f>
        <v/>
      </c>
      <c r="BS304" s="36" t="str">
        <f aca="false">IF(O304="","",IF(O304&gt;=20,"Yes","No"))</f>
        <v/>
      </c>
      <c r="BT304" s="36" t="str">
        <f aca="false">IF(O304="","",IF(O304&gt;=30,"Yes","No"))</f>
        <v/>
      </c>
      <c r="BU304" s="36" t="str">
        <f aca="false">IF(O304="","",IF(O304&gt;=75,"Yes","No"))</f>
        <v/>
      </c>
      <c r="BV304" s="36" t="str">
        <f aca="false">IF(O304="","",IF(O304&gt;=100,"Yes","No"))</f>
        <v/>
      </c>
      <c r="BW304" s="36" t="str">
        <f aca="false">IF(O304="","",IF(O304&gt;=150,"Yes","No"))</f>
        <v/>
      </c>
      <c r="BX304" s="36" t="str">
        <f aca="false">IF(O304="","",IF(O304&gt;=200,"Yes","No"))</f>
        <v/>
      </c>
      <c r="BY304" s="36" t="str">
        <f aca="false">IF(Q304="","",IF(Q304&gt;=150000,"Yes","No"))</f>
        <v/>
      </c>
      <c r="BZ304" s="36" t="str">
        <f aca="false">IF(Q304="","",IF(Q304&gt;=200000,"Yes","No"))</f>
        <v/>
      </c>
      <c r="CA304" s="36" t="str">
        <f aca="false">IF(Q304="","",IF(Q304&gt;=250000,"Yes","No"))</f>
        <v/>
      </c>
      <c r="CB304" s="36" t="str">
        <f aca="false">IF(Q304="","",IF(Q304&gt;=300000,"Yes","No"))</f>
        <v/>
      </c>
      <c r="CC304" s="37"/>
      <c r="CD304" s="36" t="str">
        <f aca="true">IF(B304="","",IF(TODAY()-B304&lt;=7,"🟢 0-7d",IF(TODAY()-B304&lt;=30,"🟡 8-30d",IF(TODAY()-B304&lt;=60,"🟠 31-60d","🔴 60d+"))))</f>
        <v/>
      </c>
      <c r="CE304" s="36" t="str">
        <f aca="false">IF(G304="","",IF(G304&lt;&gt;"USA","N/A - Not USA Role",IF(J304="Yes",IF(OR(F304="Intern",F304="New Grad"),"🟡 Possible","🟢 Strong"),IF(J304="No","🔴 Difficult","⚪ Unknown"))))</f>
        <v/>
      </c>
      <c r="CF304" s="37"/>
      <c r="CG304" s="37"/>
      <c r="CH304" s="38"/>
      <c r="CI304" s="38"/>
      <c r="CJ304" s="38"/>
      <c r="CK304" s="38"/>
    </row>
    <row r="305" customFormat="false" ht="15" hidden="false" customHeight="true" outlineLevel="0" collapsed="false">
      <c r="A305" s="26" t="str">
        <f aca="false">IF($C305="","",ROW()-3)</f>
        <v/>
      </c>
      <c r="B305" s="27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9"/>
      <c r="N305" s="29"/>
      <c r="O305" s="30" t="str">
        <f aca="false">IFERROR(IF(M305="","",M305*INDEX('00 - Lists'!$M$2:$M$11,MATCH(L305,'00 - Lists'!$L$2:$L$11,0))/100000),"")</f>
        <v/>
      </c>
      <c r="P305" s="30" t="str">
        <f aca="false">IFERROR(IF(N305="","",N305*INDEX('00 - Lists'!$M$2:$M$11,MATCH(L305,'00 - Lists'!$L$2:$L$11,0))/100000),"")</f>
        <v/>
      </c>
      <c r="Q305" s="31" t="str">
        <f aca="false">IFERROR(IF(M305="","",M305*INDEX('00 - Lists'!$N$2:$N$11,MATCH(L305,'00 - Lists'!$L$2:$L$11,0))),"")</f>
        <v/>
      </c>
      <c r="R305" s="31" t="str">
        <f aca="false">IFERROR(IF(N305="","",N305*INDEX('00 - Lists'!$N$2:$N$11,MATCH(L305,'00 - Lists'!$L$2:$L$11,0))),"")</f>
        <v/>
      </c>
      <c r="S305" s="32" t="str">
        <f aca="false">IF(O305="","",IF(O305&gt;=50,"Yes","No"))</f>
        <v/>
      </c>
      <c r="T305" s="32" t="str">
        <f aca="false">IF(Q305="","",IF(Q305&gt;=100000,"Yes","No"))</f>
        <v/>
      </c>
      <c r="U305" s="28"/>
      <c r="V305" s="28"/>
      <c r="W305" s="28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J305" s="34" t="str">
        <f aca="false">IF(OR($BD305&lt;&gt;"",$BF305&lt;&gt;"",$BH305&lt;&gt;""),"Yes","No")</f>
        <v>No</v>
      </c>
      <c r="BK305" s="35" t="str">
        <f aca="false">IFERROR(IF(BD305="","",BD305*INDEX('00 - Lists'!$M$2:$M$11,MATCH(L305,'00 - Lists'!$L$2:$L$11,0))/100000),"")</f>
        <v/>
      </c>
      <c r="BL305" s="35" t="str">
        <f aca="false">IFERROR(IF(BE305="","",BE305*INDEX('00 - Lists'!$M$2:$M$11,MATCH(L305,'00 - Lists'!$L$2:$L$11,0))/100000),"")</f>
        <v/>
      </c>
      <c r="BM305" s="35" t="str">
        <f aca="false">IFERROR(IF(BF305="","",BF305*INDEX('00 - Lists'!$M$2:$M$11,MATCH(L305,'00 - Lists'!$L$2:$L$11,0))/100000),"")</f>
        <v/>
      </c>
      <c r="BN305" s="35" t="str">
        <f aca="false">IFERROR(IF(BG305="","",BG305*INDEX('00 - Lists'!$M$2:$M$11,MATCH(L305,'00 - Lists'!$L$2:$L$11,0))/100000),"")</f>
        <v/>
      </c>
      <c r="BO305" s="35" t="str">
        <f aca="false">IFERROR(IF(BH305="","",BH305*INDEX('00 - Lists'!$M$2:$M$11,MATCH(L305,'00 - Lists'!$L$2:$L$11,0))/100000),"")</f>
        <v/>
      </c>
      <c r="BP305" s="35" t="str">
        <f aca="false">IFERROR(IF(BI305="","",BI305*INDEX('00 - Lists'!$M$2:$M$11,MATCH(L305,'00 - Lists'!$L$2:$L$11,0))/100000),"")</f>
        <v/>
      </c>
      <c r="BS305" s="36" t="str">
        <f aca="false">IF(O305="","",IF(O305&gt;=20,"Yes","No"))</f>
        <v/>
      </c>
      <c r="BT305" s="36" t="str">
        <f aca="false">IF(O305="","",IF(O305&gt;=30,"Yes","No"))</f>
        <v/>
      </c>
      <c r="BU305" s="36" t="str">
        <f aca="false">IF(O305="","",IF(O305&gt;=75,"Yes","No"))</f>
        <v/>
      </c>
      <c r="BV305" s="36" t="str">
        <f aca="false">IF(O305="","",IF(O305&gt;=100,"Yes","No"))</f>
        <v/>
      </c>
      <c r="BW305" s="36" t="str">
        <f aca="false">IF(O305="","",IF(O305&gt;=150,"Yes","No"))</f>
        <v/>
      </c>
      <c r="BX305" s="36" t="str">
        <f aca="false">IF(O305="","",IF(O305&gt;=200,"Yes","No"))</f>
        <v/>
      </c>
      <c r="BY305" s="36" t="str">
        <f aca="false">IF(Q305="","",IF(Q305&gt;=150000,"Yes","No"))</f>
        <v/>
      </c>
      <c r="BZ305" s="36" t="str">
        <f aca="false">IF(Q305="","",IF(Q305&gt;=200000,"Yes","No"))</f>
        <v/>
      </c>
      <c r="CA305" s="36" t="str">
        <f aca="false">IF(Q305="","",IF(Q305&gt;=250000,"Yes","No"))</f>
        <v/>
      </c>
      <c r="CB305" s="36" t="str">
        <f aca="false">IF(Q305="","",IF(Q305&gt;=300000,"Yes","No"))</f>
        <v/>
      </c>
      <c r="CC305" s="37"/>
      <c r="CD305" s="36" t="str">
        <f aca="true">IF(B305="","",IF(TODAY()-B305&lt;=7,"🟢 0-7d",IF(TODAY()-B305&lt;=30,"🟡 8-30d",IF(TODAY()-B305&lt;=60,"🟠 31-60d","🔴 60d+"))))</f>
        <v/>
      </c>
      <c r="CE305" s="36" t="str">
        <f aca="false">IF(G305="","",IF(G305&lt;&gt;"USA","N/A - Not USA Role",IF(J305="Yes",IF(OR(F305="Intern",F305="New Grad"),"🟡 Possible","🟢 Strong"),IF(J305="No","🔴 Difficult","⚪ Unknown"))))</f>
        <v/>
      </c>
      <c r="CF305" s="37"/>
      <c r="CG305" s="37"/>
      <c r="CH305" s="38"/>
      <c r="CI305" s="38"/>
      <c r="CJ305" s="38"/>
      <c r="CK305" s="38"/>
    </row>
    <row r="306" customFormat="false" ht="15" hidden="false" customHeight="true" outlineLevel="0" collapsed="false">
      <c r="A306" s="26" t="str">
        <f aca="false">IF($C306="","",ROW()-3)</f>
        <v/>
      </c>
      <c r="B306" s="27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9"/>
      <c r="N306" s="29"/>
      <c r="O306" s="30" t="str">
        <f aca="false">IFERROR(IF(M306="","",M306*INDEX('00 - Lists'!$M$2:$M$11,MATCH(L306,'00 - Lists'!$L$2:$L$11,0))/100000),"")</f>
        <v/>
      </c>
      <c r="P306" s="30" t="str">
        <f aca="false">IFERROR(IF(N306="","",N306*INDEX('00 - Lists'!$M$2:$M$11,MATCH(L306,'00 - Lists'!$L$2:$L$11,0))/100000),"")</f>
        <v/>
      </c>
      <c r="Q306" s="31" t="str">
        <f aca="false">IFERROR(IF(M306="","",M306*INDEX('00 - Lists'!$N$2:$N$11,MATCH(L306,'00 - Lists'!$L$2:$L$11,0))),"")</f>
        <v/>
      </c>
      <c r="R306" s="31" t="str">
        <f aca="false">IFERROR(IF(N306="","",N306*INDEX('00 - Lists'!$N$2:$N$11,MATCH(L306,'00 - Lists'!$L$2:$L$11,0))),"")</f>
        <v/>
      </c>
      <c r="S306" s="32" t="str">
        <f aca="false">IF(O306="","",IF(O306&gt;=50,"Yes","No"))</f>
        <v/>
      </c>
      <c r="T306" s="32" t="str">
        <f aca="false">IF(Q306="","",IF(Q306&gt;=100000,"Yes","No"))</f>
        <v/>
      </c>
      <c r="U306" s="28"/>
      <c r="V306" s="28"/>
      <c r="W306" s="28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J306" s="34" t="str">
        <f aca="false">IF(OR($BD306&lt;&gt;"",$BF306&lt;&gt;"",$BH306&lt;&gt;""),"Yes","No")</f>
        <v>No</v>
      </c>
      <c r="BK306" s="35" t="str">
        <f aca="false">IFERROR(IF(BD306="","",BD306*INDEX('00 - Lists'!$M$2:$M$11,MATCH(L306,'00 - Lists'!$L$2:$L$11,0))/100000),"")</f>
        <v/>
      </c>
      <c r="BL306" s="35" t="str">
        <f aca="false">IFERROR(IF(BE306="","",BE306*INDEX('00 - Lists'!$M$2:$M$11,MATCH(L306,'00 - Lists'!$L$2:$L$11,0))/100000),"")</f>
        <v/>
      </c>
      <c r="BM306" s="35" t="str">
        <f aca="false">IFERROR(IF(BF306="","",BF306*INDEX('00 - Lists'!$M$2:$M$11,MATCH(L306,'00 - Lists'!$L$2:$L$11,0))/100000),"")</f>
        <v/>
      </c>
      <c r="BN306" s="35" t="str">
        <f aca="false">IFERROR(IF(BG306="","",BG306*INDEX('00 - Lists'!$M$2:$M$11,MATCH(L306,'00 - Lists'!$L$2:$L$11,0))/100000),"")</f>
        <v/>
      </c>
      <c r="BO306" s="35" t="str">
        <f aca="false">IFERROR(IF(BH306="","",BH306*INDEX('00 - Lists'!$M$2:$M$11,MATCH(L306,'00 - Lists'!$L$2:$L$11,0))/100000),"")</f>
        <v/>
      </c>
      <c r="BP306" s="35" t="str">
        <f aca="false">IFERROR(IF(BI306="","",BI306*INDEX('00 - Lists'!$M$2:$M$11,MATCH(L306,'00 - Lists'!$L$2:$L$11,0))/100000),"")</f>
        <v/>
      </c>
      <c r="BS306" s="36" t="str">
        <f aca="false">IF(O306="","",IF(O306&gt;=20,"Yes","No"))</f>
        <v/>
      </c>
      <c r="BT306" s="36" t="str">
        <f aca="false">IF(O306="","",IF(O306&gt;=30,"Yes","No"))</f>
        <v/>
      </c>
      <c r="BU306" s="36" t="str">
        <f aca="false">IF(O306="","",IF(O306&gt;=75,"Yes","No"))</f>
        <v/>
      </c>
      <c r="BV306" s="36" t="str">
        <f aca="false">IF(O306="","",IF(O306&gt;=100,"Yes","No"))</f>
        <v/>
      </c>
      <c r="BW306" s="36" t="str">
        <f aca="false">IF(O306="","",IF(O306&gt;=150,"Yes","No"))</f>
        <v/>
      </c>
      <c r="BX306" s="36" t="str">
        <f aca="false">IF(O306="","",IF(O306&gt;=200,"Yes","No"))</f>
        <v/>
      </c>
      <c r="BY306" s="36" t="str">
        <f aca="false">IF(Q306="","",IF(Q306&gt;=150000,"Yes","No"))</f>
        <v/>
      </c>
      <c r="BZ306" s="36" t="str">
        <f aca="false">IF(Q306="","",IF(Q306&gt;=200000,"Yes","No"))</f>
        <v/>
      </c>
      <c r="CA306" s="36" t="str">
        <f aca="false">IF(Q306="","",IF(Q306&gt;=250000,"Yes","No"))</f>
        <v/>
      </c>
      <c r="CB306" s="36" t="str">
        <f aca="false">IF(Q306="","",IF(Q306&gt;=300000,"Yes","No"))</f>
        <v/>
      </c>
      <c r="CC306" s="37"/>
      <c r="CD306" s="36" t="str">
        <f aca="true">IF(B306="","",IF(TODAY()-B306&lt;=7,"🟢 0-7d",IF(TODAY()-B306&lt;=30,"🟡 8-30d",IF(TODAY()-B306&lt;=60,"🟠 31-60d","🔴 60d+"))))</f>
        <v/>
      </c>
      <c r="CE306" s="36" t="str">
        <f aca="false">IF(G306="","",IF(G306&lt;&gt;"USA","N/A - Not USA Role",IF(J306="Yes",IF(OR(F306="Intern",F306="New Grad"),"🟡 Possible","🟢 Strong"),IF(J306="No","🔴 Difficult","⚪ Unknown"))))</f>
        <v/>
      </c>
      <c r="CF306" s="37"/>
      <c r="CG306" s="37"/>
      <c r="CH306" s="38"/>
      <c r="CI306" s="38"/>
      <c r="CJ306" s="38"/>
      <c r="CK306" s="38"/>
    </row>
    <row r="307" customFormat="false" ht="15" hidden="false" customHeight="true" outlineLevel="0" collapsed="false">
      <c r="A307" s="26" t="str">
        <f aca="false">IF($C307="","",ROW()-3)</f>
        <v/>
      </c>
      <c r="B307" s="27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9"/>
      <c r="N307" s="29"/>
      <c r="O307" s="30" t="str">
        <f aca="false">IFERROR(IF(M307="","",M307*INDEX('00 - Lists'!$M$2:$M$11,MATCH(L307,'00 - Lists'!$L$2:$L$11,0))/100000),"")</f>
        <v/>
      </c>
      <c r="P307" s="30" t="str">
        <f aca="false">IFERROR(IF(N307="","",N307*INDEX('00 - Lists'!$M$2:$M$11,MATCH(L307,'00 - Lists'!$L$2:$L$11,0))/100000),"")</f>
        <v/>
      </c>
      <c r="Q307" s="31" t="str">
        <f aca="false">IFERROR(IF(M307="","",M307*INDEX('00 - Lists'!$N$2:$N$11,MATCH(L307,'00 - Lists'!$L$2:$L$11,0))),"")</f>
        <v/>
      </c>
      <c r="R307" s="31" t="str">
        <f aca="false">IFERROR(IF(N307="","",N307*INDEX('00 - Lists'!$N$2:$N$11,MATCH(L307,'00 - Lists'!$L$2:$L$11,0))),"")</f>
        <v/>
      </c>
      <c r="S307" s="32" t="str">
        <f aca="false">IF(O307="","",IF(O307&gt;=50,"Yes","No"))</f>
        <v/>
      </c>
      <c r="T307" s="32" t="str">
        <f aca="false">IF(Q307="","",IF(Q307&gt;=100000,"Yes","No"))</f>
        <v/>
      </c>
      <c r="U307" s="28"/>
      <c r="V307" s="28"/>
      <c r="W307" s="28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J307" s="34" t="str">
        <f aca="false">IF(OR($BD307&lt;&gt;"",$BF307&lt;&gt;"",$BH307&lt;&gt;""),"Yes","No")</f>
        <v>No</v>
      </c>
      <c r="BK307" s="35" t="str">
        <f aca="false">IFERROR(IF(BD307="","",BD307*INDEX('00 - Lists'!$M$2:$M$11,MATCH(L307,'00 - Lists'!$L$2:$L$11,0))/100000),"")</f>
        <v/>
      </c>
      <c r="BL307" s="35" t="str">
        <f aca="false">IFERROR(IF(BE307="","",BE307*INDEX('00 - Lists'!$M$2:$M$11,MATCH(L307,'00 - Lists'!$L$2:$L$11,0))/100000),"")</f>
        <v/>
      </c>
      <c r="BM307" s="35" t="str">
        <f aca="false">IFERROR(IF(BF307="","",BF307*INDEX('00 - Lists'!$M$2:$M$11,MATCH(L307,'00 - Lists'!$L$2:$L$11,0))/100000),"")</f>
        <v/>
      </c>
      <c r="BN307" s="35" t="str">
        <f aca="false">IFERROR(IF(BG307="","",BG307*INDEX('00 - Lists'!$M$2:$M$11,MATCH(L307,'00 - Lists'!$L$2:$L$11,0))/100000),"")</f>
        <v/>
      </c>
      <c r="BO307" s="35" t="str">
        <f aca="false">IFERROR(IF(BH307="","",BH307*INDEX('00 - Lists'!$M$2:$M$11,MATCH(L307,'00 - Lists'!$L$2:$L$11,0))/100000),"")</f>
        <v/>
      </c>
      <c r="BP307" s="35" t="str">
        <f aca="false">IFERROR(IF(BI307="","",BI307*INDEX('00 - Lists'!$M$2:$M$11,MATCH(L307,'00 - Lists'!$L$2:$L$11,0))/100000),"")</f>
        <v/>
      </c>
      <c r="BS307" s="36" t="str">
        <f aca="false">IF(O307="","",IF(O307&gt;=20,"Yes","No"))</f>
        <v/>
      </c>
      <c r="BT307" s="36" t="str">
        <f aca="false">IF(O307="","",IF(O307&gt;=30,"Yes","No"))</f>
        <v/>
      </c>
      <c r="BU307" s="36" t="str">
        <f aca="false">IF(O307="","",IF(O307&gt;=75,"Yes","No"))</f>
        <v/>
      </c>
      <c r="BV307" s="36" t="str">
        <f aca="false">IF(O307="","",IF(O307&gt;=100,"Yes","No"))</f>
        <v/>
      </c>
      <c r="BW307" s="36" t="str">
        <f aca="false">IF(O307="","",IF(O307&gt;=150,"Yes","No"))</f>
        <v/>
      </c>
      <c r="BX307" s="36" t="str">
        <f aca="false">IF(O307="","",IF(O307&gt;=200,"Yes","No"))</f>
        <v/>
      </c>
      <c r="BY307" s="36" t="str">
        <f aca="false">IF(Q307="","",IF(Q307&gt;=150000,"Yes","No"))</f>
        <v/>
      </c>
      <c r="BZ307" s="36" t="str">
        <f aca="false">IF(Q307="","",IF(Q307&gt;=200000,"Yes","No"))</f>
        <v/>
      </c>
      <c r="CA307" s="36" t="str">
        <f aca="false">IF(Q307="","",IF(Q307&gt;=250000,"Yes","No"))</f>
        <v/>
      </c>
      <c r="CB307" s="36" t="str">
        <f aca="false">IF(Q307="","",IF(Q307&gt;=300000,"Yes","No"))</f>
        <v/>
      </c>
      <c r="CC307" s="37"/>
      <c r="CD307" s="36" t="str">
        <f aca="true">IF(B307="","",IF(TODAY()-B307&lt;=7,"🟢 0-7d",IF(TODAY()-B307&lt;=30,"🟡 8-30d",IF(TODAY()-B307&lt;=60,"🟠 31-60d","🔴 60d+"))))</f>
        <v/>
      </c>
      <c r="CE307" s="36" t="str">
        <f aca="false">IF(G307="","",IF(G307&lt;&gt;"USA","N/A - Not USA Role",IF(J307="Yes",IF(OR(F307="Intern",F307="New Grad"),"🟡 Possible","🟢 Strong"),IF(J307="No","🔴 Difficult","⚪ Unknown"))))</f>
        <v/>
      </c>
      <c r="CF307" s="37"/>
      <c r="CG307" s="37"/>
      <c r="CH307" s="38"/>
      <c r="CI307" s="38"/>
      <c r="CJ307" s="38"/>
      <c r="CK307" s="38"/>
    </row>
    <row r="308" customFormat="false" ht="15" hidden="false" customHeight="true" outlineLevel="0" collapsed="false">
      <c r="A308" s="26" t="str">
        <f aca="false">IF($C308="","",ROW()-3)</f>
        <v/>
      </c>
      <c r="B308" s="27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9"/>
      <c r="N308" s="29"/>
      <c r="O308" s="30" t="str">
        <f aca="false">IFERROR(IF(M308="","",M308*INDEX('00 - Lists'!$M$2:$M$11,MATCH(L308,'00 - Lists'!$L$2:$L$11,0))/100000),"")</f>
        <v/>
      </c>
      <c r="P308" s="30" t="str">
        <f aca="false">IFERROR(IF(N308="","",N308*INDEX('00 - Lists'!$M$2:$M$11,MATCH(L308,'00 - Lists'!$L$2:$L$11,0))/100000),"")</f>
        <v/>
      </c>
      <c r="Q308" s="31" t="str">
        <f aca="false">IFERROR(IF(M308="","",M308*INDEX('00 - Lists'!$N$2:$N$11,MATCH(L308,'00 - Lists'!$L$2:$L$11,0))),"")</f>
        <v/>
      </c>
      <c r="R308" s="31" t="str">
        <f aca="false">IFERROR(IF(N308="","",N308*INDEX('00 - Lists'!$N$2:$N$11,MATCH(L308,'00 - Lists'!$L$2:$L$11,0))),"")</f>
        <v/>
      </c>
      <c r="S308" s="32" t="str">
        <f aca="false">IF(O308="","",IF(O308&gt;=50,"Yes","No"))</f>
        <v/>
      </c>
      <c r="T308" s="32" t="str">
        <f aca="false">IF(Q308="","",IF(Q308&gt;=100000,"Yes","No"))</f>
        <v/>
      </c>
      <c r="U308" s="28"/>
      <c r="V308" s="28"/>
      <c r="W308" s="28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J308" s="34" t="str">
        <f aca="false">IF(OR($BD308&lt;&gt;"",$BF308&lt;&gt;"",$BH308&lt;&gt;""),"Yes","No")</f>
        <v>No</v>
      </c>
      <c r="BK308" s="35" t="str">
        <f aca="false">IFERROR(IF(BD308="","",BD308*INDEX('00 - Lists'!$M$2:$M$11,MATCH(L308,'00 - Lists'!$L$2:$L$11,0))/100000),"")</f>
        <v/>
      </c>
      <c r="BL308" s="35" t="str">
        <f aca="false">IFERROR(IF(BE308="","",BE308*INDEX('00 - Lists'!$M$2:$M$11,MATCH(L308,'00 - Lists'!$L$2:$L$11,0))/100000),"")</f>
        <v/>
      </c>
      <c r="BM308" s="35" t="str">
        <f aca="false">IFERROR(IF(BF308="","",BF308*INDEX('00 - Lists'!$M$2:$M$11,MATCH(L308,'00 - Lists'!$L$2:$L$11,0))/100000),"")</f>
        <v/>
      </c>
      <c r="BN308" s="35" t="str">
        <f aca="false">IFERROR(IF(BG308="","",BG308*INDEX('00 - Lists'!$M$2:$M$11,MATCH(L308,'00 - Lists'!$L$2:$L$11,0))/100000),"")</f>
        <v/>
      </c>
      <c r="BO308" s="35" t="str">
        <f aca="false">IFERROR(IF(BH308="","",BH308*INDEX('00 - Lists'!$M$2:$M$11,MATCH(L308,'00 - Lists'!$L$2:$L$11,0))/100000),"")</f>
        <v/>
      </c>
      <c r="BP308" s="35" t="str">
        <f aca="false">IFERROR(IF(BI308="","",BI308*INDEX('00 - Lists'!$M$2:$M$11,MATCH(L308,'00 - Lists'!$L$2:$L$11,0))/100000),"")</f>
        <v/>
      </c>
      <c r="BS308" s="36" t="str">
        <f aca="false">IF(O308="","",IF(O308&gt;=20,"Yes","No"))</f>
        <v/>
      </c>
      <c r="BT308" s="36" t="str">
        <f aca="false">IF(O308="","",IF(O308&gt;=30,"Yes","No"))</f>
        <v/>
      </c>
      <c r="BU308" s="36" t="str">
        <f aca="false">IF(O308="","",IF(O308&gt;=75,"Yes","No"))</f>
        <v/>
      </c>
      <c r="BV308" s="36" t="str">
        <f aca="false">IF(O308="","",IF(O308&gt;=100,"Yes","No"))</f>
        <v/>
      </c>
      <c r="BW308" s="36" t="str">
        <f aca="false">IF(O308="","",IF(O308&gt;=150,"Yes","No"))</f>
        <v/>
      </c>
      <c r="BX308" s="36" t="str">
        <f aca="false">IF(O308="","",IF(O308&gt;=200,"Yes","No"))</f>
        <v/>
      </c>
      <c r="BY308" s="36" t="str">
        <f aca="false">IF(Q308="","",IF(Q308&gt;=150000,"Yes","No"))</f>
        <v/>
      </c>
      <c r="BZ308" s="36" t="str">
        <f aca="false">IF(Q308="","",IF(Q308&gt;=200000,"Yes","No"))</f>
        <v/>
      </c>
      <c r="CA308" s="36" t="str">
        <f aca="false">IF(Q308="","",IF(Q308&gt;=250000,"Yes","No"))</f>
        <v/>
      </c>
      <c r="CB308" s="36" t="str">
        <f aca="false">IF(Q308="","",IF(Q308&gt;=300000,"Yes","No"))</f>
        <v/>
      </c>
      <c r="CC308" s="37"/>
      <c r="CD308" s="36" t="str">
        <f aca="true">IF(B308="","",IF(TODAY()-B308&lt;=7,"🟢 0-7d",IF(TODAY()-B308&lt;=30,"🟡 8-30d",IF(TODAY()-B308&lt;=60,"🟠 31-60d","🔴 60d+"))))</f>
        <v/>
      </c>
      <c r="CE308" s="36" t="str">
        <f aca="false">IF(G308="","",IF(G308&lt;&gt;"USA","N/A - Not USA Role",IF(J308="Yes",IF(OR(F308="Intern",F308="New Grad"),"🟡 Possible","🟢 Strong"),IF(J308="No","🔴 Difficult","⚪ Unknown"))))</f>
        <v/>
      </c>
      <c r="CF308" s="37"/>
      <c r="CG308" s="37"/>
      <c r="CH308" s="38"/>
      <c r="CI308" s="38"/>
      <c r="CJ308" s="38"/>
      <c r="CK308" s="38"/>
    </row>
    <row r="309" customFormat="false" ht="15" hidden="false" customHeight="true" outlineLevel="0" collapsed="false">
      <c r="A309" s="26" t="str">
        <f aca="false">IF($C309="","",ROW()-3)</f>
        <v/>
      </c>
      <c r="B309" s="27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9"/>
      <c r="N309" s="29"/>
      <c r="O309" s="30" t="str">
        <f aca="false">IFERROR(IF(M309="","",M309*INDEX('00 - Lists'!$M$2:$M$11,MATCH(L309,'00 - Lists'!$L$2:$L$11,0))/100000),"")</f>
        <v/>
      </c>
      <c r="P309" s="30" t="str">
        <f aca="false">IFERROR(IF(N309="","",N309*INDEX('00 - Lists'!$M$2:$M$11,MATCH(L309,'00 - Lists'!$L$2:$L$11,0))/100000),"")</f>
        <v/>
      </c>
      <c r="Q309" s="31" t="str">
        <f aca="false">IFERROR(IF(M309="","",M309*INDEX('00 - Lists'!$N$2:$N$11,MATCH(L309,'00 - Lists'!$L$2:$L$11,0))),"")</f>
        <v/>
      </c>
      <c r="R309" s="31" t="str">
        <f aca="false">IFERROR(IF(N309="","",N309*INDEX('00 - Lists'!$N$2:$N$11,MATCH(L309,'00 - Lists'!$L$2:$L$11,0))),"")</f>
        <v/>
      </c>
      <c r="S309" s="32" t="str">
        <f aca="false">IF(O309="","",IF(O309&gt;=50,"Yes","No"))</f>
        <v/>
      </c>
      <c r="T309" s="32" t="str">
        <f aca="false">IF(Q309="","",IF(Q309&gt;=100000,"Yes","No"))</f>
        <v/>
      </c>
      <c r="U309" s="28"/>
      <c r="V309" s="28"/>
      <c r="W309" s="28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J309" s="34" t="str">
        <f aca="false">IF(OR($BD309&lt;&gt;"",$BF309&lt;&gt;"",$BH309&lt;&gt;""),"Yes","No")</f>
        <v>No</v>
      </c>
      <c r="BK309" s="35" t="str">
        <f aca="false">IFERROR(IF(BD309="","",BD309*INDEX('00 - Lists'!$M$2:$M$11,MATCH(L309,'00 - Lists'!$L$2:$L$11,0))/100000),"")</f>
        <v/>
      </c>
      <c r="BL309" s="35" t="str">
        <f aca="false">IFERROR(IF(BE309="","",BE309*INDEX('00 - Lists'!$M$2:$M$11,MATCH(L309,'00 - Lists'!$L$2:$L$11,0))/100000),"")</f>
        <v/>
      </c>
      <c r="BM309" s="35" t="str">
        <f aca="false">IFERROR(IF(BF309="","",BF309*INDEX('00 - Lists'!$M$2:$M$11,MATCH(L309,'00 - Lists'!$L$2:$L$11,0))/100000),"")</f>
        <v/>
      </c>
      <c r="BN309" s="35" t="str">
        <f aca="false">IFERROR(IF(BG309="","",BG309*INDEX('00 - Lists'!$M$2:$M$11,MATCH(L309,'00 - Lists'!$L$2:$L$11,0))/100000),"")</f>
        <v/>
      </c>
      <c r="BO309" s="35" t="str">
        <f aca="false">IFERROR(IF(BH309="","",BH309*INDEX('00 - Lists'!$M$2:$M$11,MATCH(L309,'00 - Lists'!$L$2:$L$11,0))/100000),"")</f>
        <v/>
      </c>
      <c r="BP309" s="35" t="str">
        <f aca="false">IFERROR(IF(BI309="","",BI309*INDEX('00 - Lists'!$M$2:$M$11,MATCH(L309,'00 - Lists'!$L$2:$L$11,0))/100000),"")</f>
        <v/>
      </c>
      <c r="BS309" s="36" t="str">
        <f aca="false">IF(O309="","",IF(O309&gt;=20,"Yes","No"))</f>
        <v/>
      </c>
      <c r="BT309" s="36" t="str">
        <f aca="false">IF(O309="","",IF(O309&gt;=30,"Yes","No"))</f>
        <v/>
      </c>
      <c r="BU309" s="36" t="str">
        <f aca="false">IF(O309="","",IF(O309&gt;=75,"Yes","No"))</f>
        <v/>
      </c>
      <c r="BV309" s="36" t="str">
        <f aca="false">IF(O309="","",IF(O309&gt;=100,"Yes","No"))</f>
        <v/>
      </c>
      <c r="BW309" s="36" t="str">
        <f aca="false">IF(O309="","",IF(O309&gt;=150,"Yes","No"))</f>
        <v/>
      </c>
      <c r="BX309" s="36" t="str">
        <f aca="false">IF(O309="","",IF(O309&gt;=200,"Yes","No"))</f>
        <v/>
      </c>
      <c r="BY309" s="36" t="str">
        <f aca="false">IF(Q309="","",IF(Q309&gt;=150000,"Yes","No"))</f>
        <v/>
      </c>
      <c r="BZ309" s="36" t="str">
        <f aca="false">IF(Q309="","",IF(Q309&gt;=200000,"Yes","No"))</f>
        <v/>
      </c>
      <c r="CA309" s="36" t="str">
        <f aca="false">IF(Q309="","",IF(Q309&gt;=250000,"Yes","No"))</f>
        <v/>
      </c>
      <c r="CB309" s="36" t="str">
        <f aca="false">IF(Q309="","",IF(Q309&gt;=300000,"Yes","No"))</f>
        <v/>
      </c>
      <c r="CC309" s="37"/>
      <c r="CD309" s="36" t="str">
        <f aca="true">IF(B309="","",IF(TODAY()-B309&lt;=7,"🟢 0-7d",IF(TODAY()-B309&lt;=30,"🟡 8-30d",IF(TODAY()-B309&lt;=60,"🟠 31-60d","🔴 60d+"))))</f>
        <v/>
      </c>
      <c r="CE309" s="36" t="str">
        <f aca="false">IF(G309="","",IF(G309&lt;&gt;"USA","N/A - Not USA Role",IF(J309="Yes",IF(OR(F309="Intern",F309="New Grad"),"🟡 Possible","🟢 Strong"),IF(J309="No","🔴 Difficult","⚪ Unknown"))))</f>
        <v/>
      </c>
      <c r="CF309" s="37"/>
      <c r="CG309" s="37"/>
      <c r="CH309" s="38"/>
      <c r="CI309" s="38"/>
      <c r="CJ309" s="38"/>
      <c r="CK309" s="38"/>
    </row>
    <row r="310" customFormat="false" ht="15" hidden="false" customHeight="true" outlineLevel="0" collapsed="false">
      <c r="A310" s="26" t="str">
        <f aca="false">IF($C310="","",ROW()-3)</f>
        <v/>
      </c>
      <c r="B310" s="27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9"/>
      <c r="N310" s="29"/>
      <c r="O310" s="30" t="str">
        <f aca="false">IFERROR(IF(M310="","",M310*INDEX('00 - Lists'!$M$2:$M$11,MATCH(L310,'00 - Lists'!$L$2:$L$11,0))/100000),"")</f>
        <v/>
      </c>
      <c r="P310" s="30" t="str">
        <f aca="false">IFERROR(IF(N310="","",N310*INDEX('00 - Lists'!$M$2:$M$11,MATCH(L310,'00 - Lists'!$L$2:$L$11,0))/100000),"")</f>
        <v/>
      </c>
      <c r="Q310" s="31" t="str">
        <f aca="false">IFERROR(IF(M310="","",M310*INDEX('00 - Lists'!$N$2:$N$11,MATCH(L310,'00 - Lists'!$L$2:$L$11,0))),"")</f>
        <v/>
      </c>
      <c r="R310" s="31" t="str">
        <f aca="false">IFERROR(IF(N310="","",N310*INDEX('00 - Lists'!$N$2:$N$11,MATCH(L310,'00 - Lists'!$L$2:$L$11,0))),"")</f>
        <v/>
      </c>
      <c r="S310" s="32" t="str">
        <f aca="false">IF(O310="","",IF(O310&gt;=50,"Yes","No"))</f>
        <v/>
      </c>
      <c r="T310" s="32" t="str">
        <f aca="false">IF(Q310="","",IF(Q310&gt;=100000,"Yes","No"))</f>
        <v/>
      </c>
      <c r="U310" s="28"/>
      <c r="V310" s="28"/>
      <c r="W310" s="28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J310" s="34" t="str">
        <f aca="false">IF(OR($BD310&lt;&gt;"",$BF310&lt;&gt;"",$BH310&lt;&gt;""),"Yes","No")</f>
        <v>No</v>
      </c>
      <c r="BK310" s="35" t="str">
        <f aca="false">IFERROR(IF(BD310="","",BD310*INDEX('00 - Lists'!$M$2:$M$11,MATCH(L310,'00 - Lists'!$L$2:$L$11,0))/100000),"")</f>
        <v/>
      </c>
      <c r="BL310" s="35" t="str">
        <f aca="false">IFERROR(IF(BE310="","",BE310*INDEX('00 - Lists'!$M$2:$M$11,MATCH(L310,'00 - Lists'!$L$2:$L$11,0))/100000),"")</f>
        <v/>
      </c>
      <c r="BM310" s="35" t="str">
        <f aca="false">IFERROR(IF(BF310="","",BF310*INDEX('00 - Lists'!$M$2:$M$11,MATCH(L310,'00 - Lists'!$L$2:$L$11,0))/100000),"")</f>
        <v/>
      </c>
      <c r="BN310" s="35" t="str">
        <f aca="false">IFERROR(IF(BG310="","",BG310*INDEX('00 - Lists'!$M$2:$M$11,MATCH(L310,'00 - Lists'!$L$2:$L$11,0))/100000),"")</f>
        <v/>
      </c>
      <c r="BO310" s="35" t="str">
        <f aca="false">IFERROR(IF(BH310="","",BH310*INDEX('00 - Lists'!$M$2:$M$11,MATCH(L310,'00 - Lists'!$L$2:$L$11,0))/100000),"")</f>
        <v/>
      </c>
      <c r="BP310" s="35" t="str">
        <f aca="false">IFERROR(IF(BI310="","",BI310*INDEX('00 - Lists'!$M$2:$M$11,MATCH(L310,'00 - Lists'!$L$2:$L$11,0))/100000),"")</f>
        <v/>
      </c>
      <c r="BS310" s="36" t="str">
        <f aca="false">IF(O310="","",IF(O310&gt;=20,"Yes","No"))</f>
        <v/>
      </c>
      <c r="BT310" s="36" t="str">
        <f aca="false">IF(O310="","",IF(O310&gt;=30,"Yes","No"))</f>
        <v/>
      </c>
      <c r="BU310" s="36" t="str">
        <f aca="false">IF(O310="","",IF(O310&gt;=75,"Yes","No"))</f>
        <v/>
      </c>
      <c r="BV310" s="36" t="str">
        <f aca="false">IF(O310="","",IF(O310&gt;=100,"Yes","No"))</f>
        <v/>
      </c>
      <c r="BW310" s="36" t="str">
        <f aca="false">IF(O310="","",IF(O310&gt;=150,"Yes","No"))</f>
        <v/>
      </c>
      <c r="BX310" s="36" t="str">
        <f aca="false">IF(O310="","",IF(O310&gt;=200,"Yes","No"))</f>
        <v/>
      </c>
      <c r="BY310" s="36" t="str">
        <f aca="false">IF(Q310="","",IF(Q310&gt;=150000,"Yes","No"))</f>
        <v/>
      </c>
      <c r="BZ310" s="36" t="str">
        <f aca="false">IF(Q310="","",IF(Q310&gt;=200000,"Yes","No"))</f>
        <v/>
      </c>
      <c r="CA310" s="36" t="str">
        <f aca="false">IF(Q310="","",IF(Q310&gt;=250000,"Yes","No"))</f>
        <v/>
      </c>
      <c r="CB310" s="36" t="str">
        <f aca="false">IF(Q310="","",IF(Q310&gt;=300000,"Yes","No"))</f>
        <v/>
      </c>
      <c r="CC310" s="37"/>
      <c r="CD310" s="36" t="str">
        <f aca="true">IF(B310="","",IF(TODAY()-B310&lt;=7,"🟢 0-7d",IF(TODAY()-B310&lt;=30,"🟡 8-30d",IF(TODAY()-B310&lt;=60,"🟠 31-60d","🔴 60d+"))))</f>
        <v/>
      </c>
      <c r="CE310" s="36" t="str">
        <f aca="false">IF(G310="","",IF(G310&lt;&gt;"USA","N/A - Not USA Role",IF(J310="Yes",IF(OR(F310="Intern",F310="New Grad"),"🟡 Possible","🟢 Strong"),IF(J310="No","🔴 Difficult","⚪ Unknown"))))</f>
        <v/>
      </c>
      <c r="CF310" s="37"/>
      <c r="CG310" s="37"/>
      <c r="CH310" s="38"/>
      <c r="CI310" s="38"/>
      <c r="CJ310" s="38"/>
      <c r="CK310" s="38"/>
    </row>
    <row r="311" customFormat="false" ht="15" hidden="false" customHeight="true" outlineLevel="0" collapsed="false">
      <c r="A311" s="26" t="str">
        <f aca="false">IF($C311="","",ROW()-3)</f>
        <v/>
      </c>
      <c r="B311" s="27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9"/>
      <c r="N311" s="29"/>
      <c r="O311" s="30" t="str">
        <f aca="false">IFERROR(IF(M311="","",M311*INDEX('00 - Lists'!$M$2:$M$11,MATCH(L311,'00 - Lists'!$L$2:$L$11,0))/100000),"")</f>
        <v/>
      </c>
      <c r="P311" s="30" t="str">
        <f aca="false">IFERROR(IF(N311="","",N311*INDEX('00 - Lists'!$M$2:$M$11,MATCH(L311,'00 - Lists'!$L$2:$L$11,0))/100000),"")</f>
        <v/>
      </c>
      <c r="Q311" s="31" t="str">
        <f aca="false">IFERROR(IF(M311="","",M311*INDEX('00 - Lists'!$N$2:$N$11,MATCH(L311,'00 - Lists'!$L$2:$L$11,0))),"")</f>
        <v/>
      </c>
      <c r="R311" s="31" t="str">
        <f aca="false">IFERROR(IF(N311="","",N311*INDEX('00 - Lists'!$N$2:$N$11,MATCH(L311,'00 - Lists'!$L$2:$L$11,0))),"")</f>
        <v/>
      </c>
      <c r="S311" s="32" t="str">
        <f aca="false">IF(O311="","",IF(O311&gt;=50,"Yes","No"))</f>
        <v/>
      </c>
      <c r="T311" s="32" t="str">
        <f aca="false">IF(Q311="","",IF(Q311&gt;=100000,"Yes","No"))</f>
        <v/>
      </c>
      <c r="U311" s="28"/>
      <c r="V311" s="28"/>
      <c r="W311" s="28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J311" s="34" t="str">
        <f aca="false">IF(OR($BD311&lt;&gt;"",$BF311&lt;&gt;"",$BH311&lt;&gt;""),"Yes","No")</f>
        <v>No</v>
      </c>
      <c r="BK311" s="35" t="str">
        <f aca="false">IFERROR(IF(BD311="","",BD311*INDEX('00 - Lists'!$M$2:$M$11,MATCH(L311,'00 - Lists'!$L$2:$L$11,0))/100000),"")</f>
        <v/>
      </c>
      <c r="BL311" s="35" t="str">
        <f aca="false">IFERROR(IF(BE311="","",BE311*INDEX('00 - Lists'!$M$2:$M$11,MATCH(L311,'00 - Lists'!$L$2:$L$11,0))/100000),"")</f>
        <v/>
      </c>
      <c r="BM311" s="35" t="str">
        <f aca="false">IFERROR(IF(BF311="","",BF311*INDEX('00 - Lists'!$M$2:$M$11,MATCH(L311,'00 - Lists'!$L$2:$L$11,0))/100000),"")</f>
        <v/>
      </c>
      <c r="BN311" s="35" t="str">
        <f aca="false">IFERROR(IF(BG311="","",BG311*INDEX('00 - Lists'!$M$2:$M$11,MATCH(L311,'00 - Lists'!$L$2:$L$11,0))/100000),"")</f>
        <v/>
      </c>
      <c r="BO311" s="35" t="str">
        <f aca="false">IFERROR(IF(BH311="","",BH311*INDEX('00 - Lists'!$M$2:$M$11,MATCH(L311,'00 - Lists'!$L$2:$L$11,0))/100000),"")</f>
        <v/>
      </c>
      <c r="BP311" s="35" t="str">
        <f aca="false">IFERROR(IF(BI311="","",BI311*INDEX('00 - Lists'!$M$2:$M$11,MATCH(L311,'00 - Lists'!$L$2:$L$11,0))/100000),"")</f>
        <v/>
      </c>
      <c r="BS311" s="36" t="str">
        <f aca="false">IF(O311="","",IF(O311&gt;=20,"Yes","No"))</f>
        <v/>
      </c>
      <c r="BT311" s="36" t="str">
        <f aca="false">IF(O311="","",IF(O311&gt;=30,"Yes","No"))</f>
        <v/>
      </c>
      <c r="BU311" s="36" t="str">
        <f aca="false">IF(O311="","",IF(O311&gt;=75,"Yes","No"))</f>
        <v/>
      </c>
      <c r="BV311" s="36" t="str">
        <f aca="false">IF(O311="","",IF(O311&gt;=100,"Yes","No"))</f>
        <v/>
      </c>
      <c r="BW311" s="36" t="str">
        <f aca="false">IF(O311="","",IF(O311&gt;=150,"Yes","No"))</f>
        <v/>
      </c>
      <c r="BX311" s="36" t="str">
        <f aca="false">IF(O311="","",IF(O311&gt;=200,"Yes","No"))</f>
        <v/>
      </c>
      <c r="BY311" s="36" t="str">
        <f aca="false">IF(Q311="","",IF(Q311&gt;=150000,"Yes","No"))</f>
        <v/>
      </c>
      <c r="BZ311" s="36" t="str">
        <f aca="false">IF(Q311="","",IF(Q311&gt;=200000,"Yes","No"))</f>
        <v/>
      </c>
      <c r="CA311" s="36" t="str">
        <f aca="false">IF(Q311="","",IF(Q311&gt;=250000,"Yes","No"))</f>
        <v/>
      </c>
      <c r="CB311" s="36" t="str">
        <f aca="false">IF(Q311="","",IF(Q311&gt;=300000,"Yes","No"))</f>
        <v/>
      </c>
      <c r="CC311" s="37"/>
      <c r="CD311" s="36" t="str">
        <f aca="true">IF(B311="","",IF(TODAY()-B311&lt;=7,"🟢 0-7d",IF(TODAY()-B311&lt;=30,"🟡 8-30d",IF(TODAY()-B311&lt;=60,"🟠 31-60d","🔴 60d+"))))</f>
        <v/>
      </c>
      <c r="CE311" s="36" t="str">
        <f aca="false">IF(G311="","",IF(G311&lt;&gt;"USA","N/A - Not USA Role",IF(J311="Yes",IF(OR(F311="Intern",F311="New Grad"),"🟡 Possible","🟢 Strong"),IF(J311="No","🔴 Difficult","⚪ Unknown"))))</f>
        <v/>
      </c>
      <c r="CF311" s="37"/>
      <c r="CG311" s="37"/>
      <c r="CH311" s="38"/>
      <c r="CI311" s="38"/>
      <c r="CJ311" s="38"/>
      <c r="CK311" s="38"/>
    </row>
    <row r="312" customFormat="false" ht="15" hidden="false" customHeight="true" outlineLevel="0" collapsed="false">
      <c r="A312" s="26" t="str">
        <f aca="false">IF($C312="","",ROW()-3)</f>
        <v/>
      </c>
      <c r="B312" s="27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9"/>
      <c r="N312" s="29"/>
      <c r="O312" s="30" t="str">
        <f aca="false">IFERROR(IF(M312="","",M312*INDEX('00 - Lists'!$M$2:$M$11,MATCH(L312,'00 - Lists'!$L$2:$L$11,0))/100000),"")</f>
        <v/>
      </c>
      <c r="P312" s="30" t="str">
        <f aca="false">IFERROR(IF(N312="","",N312*INDEX('00 - Lists'!$M$2:$M$11,MATCH(L312,'00 - Lists'!$L$2:$L$11,0))/100000),"")</f>
        <v/>
      </c>
      <c r="Q312" s="31" t="str">
        <f aca="false">IFERROR(IF(M312="","",M312*INDEX('00 - Lists'!$N$2:$N$11,MATCH(L312,'00 - Lists'!$L$2:$L$11,0))),"")</f>
        <v/>
      </c>
      <c r="R312" s="31" t="str">
        <f aca="false">IFERROR(IF(N312="","",N312*INDEX('00 - Lists'!$N$2:$N$11,MATCH(L312,'00 - Lists'!$L$2:$L$11,0))),"")</f>
        <v/>
      </c>
      <c r="S312" s="32" t="str">
        <f aca="false">IF(O312="","",IF(O312&gt;=50,"Yes","No"))</f>
        <v/>
      </c>
      <c r="T312" s="32" t="str">
        <f aca="false">IF(Q312="","",IF(Q312&gt;=100000,"Yes","No"))</f>
        <v/>
      </c>
      <c r="U312" s="28"/>
      <c r="V312" s="28"/>
      <c r="W312" s="28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J312" s="34" t="str">
        <f aca="false">IF(OR($BD312&lt;&gt;"",$BF312&lt;&gt;"",$BH312&lt;&gt;""),"Yes","No")</f>
        <v>No</v>
      </c>
      <c r="BK312" s="35" t="str">
        <f aca="false">IFERROR(IF(BD312="","",BD312*INDEX('00 - Lists'!$M$2:$M$11,MATCH(L312,'00 - Lists'!$L$2:$L$11,0))/100000),"")</f>
        <v/>
      </c>
      <c r="BL312" s="35" t="str">
        <f aca="false">IFERROR(IF(BE312="","",BE312*INDEX('00 - Lists'!$M$2:$M$11,MATCH(L312,'00 - Lists'!$L$2:$L$11,0))/100000),"")</f>
        <v/>
      </c>
      <c r="BM312" s="35" t="str">
        <f aca="false">IFERROR(IF(BF312="","",BF312*INDEX('00 - Lists'!$M$2:$M$11,MATCH(L312,'00 - Lists'!$L$2:$L$11,0))/100000),"")</f>
        <v/>
      </c>
      <c r="BN312" s="35" t="str">
        <f aca="false">IFERROR(IF(BG312="","",BG312*INDEX('00 - Lists'!$M$2:$M$11,MATCH(L312,'00 - Lists'!$L$2:$L$11,0))/100000),"")</f>
        <v/>
      </c>
      <c r="BO312" s="35" t="str">
        <f aca="false">IFERROR(IF(BH312="","",BH312*INDEX('00 - Lists'!$M$2:$M$11,MATCH(L312,'00 - Lists'!$L$2:$L$11,0))/100000),"")</f>
        <v/>
      </c>
      <c r="BP312" s="35" t="str">
        <f aca="false">IFERROR(IF(BI312="","",BI312*INDEX('00 - Lists'!$M$2:$M$11,MATCH(L312,'00 - Lists'!$L$2:$L$11,0))/100000),"")</f>
        <v/>
      </c>
      <c r="BS312" s="36" t="str">
        <f aca="false">IF(O312="","",IF(O312&gt;=20,"Yes","No"))</f>
        <v/>
      </c>
      <c r="BT312" s="36" t="str">
        <f aca="false">IF(O312="","",IF(O312&gt;=30,"Yes","No"))</f>
        <v/>
      </c>
      <c r="BU312" s="36" t="str">
        <f aca="false">IF(O312="","",IF(O312&gt;=75,"Yes","No"))</f>
        <v/>
      </c>
      <c r="BV312" s="36" t="str">
        <f aca="false">IF(O312="","",IF(O312&gt;=100,"Yes","No"))</f>
        <v/>
      </c>
      <c r="BW312" s="36" t="str">
        <f aca="false">IF(O312="","",IF(O312&gt;=150,"Yes","No"))</f>
        <v/>
      </c>
      <c r="BX312" s="36" t="str">
        <f aca="false">IF(O312="","",IF(O312&gt;=200,"Yes","No"))</f>
        <v/>
      </c>
      <c r="BY312" s="36" t="str">
        <f aca="false">IF(Q312="","",IF(Q312&gt;=150000,"Yes","No"))</f>
        <v/>
      </c>
      <c r="BZ312" s="36" t="str">
        <f aca="false">IF(Q312="","",IF(Q312&gt;=200000,"Yes","No"))</f>
        <v/>
      </c>
      <c r="CA312" s="36" t="str">
        <f aca="false">IF(Q312="","",IF(Q312&gt;=250000,"Yes","No"))</f>
        <v/>
      </c>
      <c r="CB312" s="36" t="str">
        <f aca="false">IF(Q312="","",IF(Q312&gt;=300000,"Yes","No"))</f>
        <v/>
      </c>
      <c r="CC312" s="37"/>
      <c r="CD312" s="36" t="str">
        <f aca="true">IF(B312="","",IF(TODAY()-B312&lt;=7,"🟢 0-7d",IF(TODAY()-B312&lt;=30,"🟡 8-30d",IF(TODAY()-B312&lt;=60,"🟠 31-60d","🔴 60d+"))))</f>
        <v/>
      </c>
      <c r="CE312" s="36" t="str">
        <f aca="false">IF(G312="","",IF(G312&lt;&gt;"USA","N/A - Not USA Role",IF(J312="Yes",IF(OR(F312="Intern",F312="New Grad"),"🟡 Possible","🟢 Strong"),IF(J312="No","🔴 Difficult","⚪ Unknown"))))</f>
        <v/>
      </c>
      <c r="CF312" s="37"/>
      <c r="CG312" s="37"/>
      <c r="CH312" s="38"/>
      <c r="CI312" s="38"/>
      <c r="CJ312" s="38"/>
      <c r="CK312" s="38"/>
    </row>
    <row r="313" customFormat="false" ht="15" hidden="false" customHeight="true" outlineLevel="0" collapsed="false">
      <c r="A313" s="26" t="str">
        <f aca="false">IF($C313="","",ROW()-3)</f>
        <v/>
      </c>
      <c r="B313" s="27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9"/>
      <c r="N313" s="29"/>
      <c r="O313" s="30" t="str">
        <f aca="false">IFERROR(IF(M313="","",M313*INDEX('00 - Lists'!$M$2:$M$11,MATCH(L313,'00 - Lists'!$L$2:$L$11,0))/100000),"")</f>
        <v/>
      </c>
      <c r="P313" s="30" t="str">
        <f aca="false">IFERROR(IF(N313="","",N313*INDEX('00 - Lists'!$M$2:$M$11,MATCH(L313,'00 - Lists'!$L$2:$L$11,0))/100000),"")</f>
        <v/>
      </c>
      <c r="Q313" s="31" t="str">
        <f aca="false">IFERROR(IF(M313="","",M313*INDEX('00 - Lists'!$N$2:$N$11,MATCH(L313,'00 - Lists'!$L$2:$L$11,0))),"")</f>
        <v/>
      </c>
      <c r="R313" s="31" t="str">
        <f aca="false">IFERROR(IF(N313="","",N313*INDEX('00 - Lists'!$N$2:$N$11,MATCH(L313,'00 - Lists'!$L$2:$L$11,0))),"")</f>
        <v/>
      </c>
      <c r="S313" s="32" t="str">
        <f aca="false">IF(O313="","",IF(O313&gt;=50,"Yes","No"))</f>
        <v/>
      </c>
      <c r="T313" s="32" t="str">
        <f aca="false">IF(Q313="","",IF(Q313&gt;=100000,"Yes","No"))</f>
        <v/>
      </c>
      <c r="U313" s="28"/>
      <c r="V313" s="28"/>
      <c r="W313" s="28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J313" s="34" t="str">
        <f aca="false">IF(OR($BD313&lt;&gt;"",$BF313&lt;&gt;"",$BH313&lt;&gt;""),"Yes","No")</f>
        <v>No</v>
      </c>
      <c r="BK313" s="35" t="str">
        <f aca="false">IFERROR(IF(BD313="","",BD313*INDEX('00 - Lists'!$M$2:$M$11,MATCH(L313,'00 - Lists'!$L$2:$L$11,0))/100000),"")</f>
        <v/>
      </c>
      <c r="BL313" s="35" t="str">
        <f aca="false">IFERROR(IF(BE313="","",BE313*INDEX('00 - Lists'!$M$2:$M$11,MATCH(L313,'00 - Lists'!$L$2:$L$11,0))/100000),"")</f>
        <v/>
      </c>
      <c r="BM313" s="35" t="str">
        <f aca="false">IFERROR(IF(BF313="","",BF313*INDEX('00 - Lists'!$M$2:$M$11,MATCH(L313,'00 - Lists'!$L$2:$L$11,0))/100000),"")</f>
        <v/>
      </c>
      <c r="BN313" s="35" t="str">
        <f aca="false">IFERROR(IF(BG313="","",BG313*INDEX('00 - Lists'!$M$2:$M$11,MATCH(L313,'00 - Lists'!$L$2:$L$11,0))/100000),"")</f>
        <v/>
      </c>
      <c r="BO313" s="35" t="str">
        <f aca="false">IFERROR(IF(BH313="","",BH313*INDEX('00 - Lists'!$M$2:$M$11,MATCH(L313,'00 - Lists'!$L$2:$L$11,0))/100000),"")</f>
        <v/>
      </c>
      <c r="BP313" s="35" t="str">
        <f aca="false">IFERROR(IF(BI313="","",BI313*INDEX('00 - Lists'!$M$2:$M$11,MATCH(L313,'00 - Lists'!$L$2:$L$11,0))/100000),"")</f>
        <v/>
      </c>
      <c r="BS313" s="36" t="str">
        <f aca="false">IF(O313="","",IF(O313&gt;=20,"Yes","No"))</f>
        <v/>
      </c>
      <c r="BT313" s="36" t="str">
        <f aca="false">IF(O313="","",IF(O313&gt;=30,"Yes","No"))</f>
        <v/>
      </c>
      <c r="BU313" s="36" t="str">
        <f aca="false">IF(O313="","",IF(O313&gt;=75,"Yes","No"))</f>
        <v/>
      </c>
      <c r="BV313" s="36" t="str">
        <f aca="false">IF(O313="","",IF(O313&gt;=100,"Yes","No"))</f>
        <v/>
      </c>
      <c r="BW313" s="36" t="str">
        <f aca="false">IF(O313="","",IF(O313&gt;=150,"Yes","No"))</f>
        <v/>
      </c>
      <c r="BX313" s="36" t="str">
        <f aca="false">IF(O313="","",IF(O313&gt;=200,"Yes","No"))</f>
        <v/>
      </c>
      <c r="BY313" s="36" t="str">
        <f aca="false">IF(Q313="","",IF(Q313&gt;=150000,"Yes","No"))</f>
        <v/>
      </c>
      <c r="BZ313" s="36" t="str">
        <f aca="false">IF(Q313="","",IF(Q313&gt;=200000,"Yes","No"))</f>
        <v/>
      </c>
      <c r="CA313" s="36" t="str">
        <f aca="false">IF(Q313="","",IF(Q313&gt;=250000,"Yes","No"))</f>
        <v/>
      </c>
      <c r="CB313" s="36" t="str">
        <f aca="false">IF(Q313="","",IF(Q313&gt;=300000,"Yes","No"))</f>
        <v/>
      </c>
      <c r="CC313" s="37"/>
      <c r="CD313" s="36" t="str">
        <f aca="true">IF(B313="","",IF(TODAY()-B313&lt;=7,"🟢 0-7d",IF(TODAY()-B313&lt;=30,"🟡 8-30d",IF(TODAY()-B313&lt;=60,"🟠 31-60d","🔴 60d+"))))</f>
        <v/>
      </c>
      <c r="CE313" s="36" t="str">
        <f aca="false">IF(G313="","",IF(G313&lt;&gt;"USA","N/A - Not USA Role",IF(J313="Yes",IF(OR(F313="Intern",F313="New Grad"),"🟡 Possible","🟢 Strong"),IF(J313="No","🔴 Difficult","⚪ Unknown"))))</f>
        <v/>
      </c>
      <c r="CF313" s="37"/>
      <c r="CG313" s="37"/>
      <c r="CH313" s="38"/>
      <c r="CI313" s="38"/>
      <c r="CJ313" s="38"/>
      <c r="CK313" s="38"/>
    </row>
    <row r="314" customFormat="false" ht="15" hidden="false" customHeight="true" outlineLevel="0" collapsed="false">
      <c r="A314" s="26" t="str">
        <f aca="false">IF($C314="","",ROW()-3)</f>
        <v/>
      </c>
      <c r="B314" s="27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9"/>
      <c r="N314" s="29"/>
      <c r="O314" s="30" t="str">
        <f aca="false">IFERROR(IF(M314="","",M314*INDEX('00 - Lists'!$M$2:$M$11,MATCH(L314,'00 - Lists'!$L$2:$L$11,0))/100000),"")</f>
        <v/>
      </c>
      <c r="P314" s="30" t="str">
        <f aca="false">IFERROR(IF(N314="","",N314*INDEX('00 - Lists'!$M$2:$M$11,MATCH(L314,'00 - Lists'!$L$2:$L$11,0))/100000),"")</f>
        <v/>
      </c>
      <c r="Q314" s="31" t="str">
        <f aca="false">IFERROR(IF(M314="","",M314*INDEX('00 - Lists'!$N$2:$N$11,MATCH(L314,'00 - Lists'!$L$2:$L$11,0))),"")</f>
        <v/>
      </c>
      <c r="R314" s="31" t="str">
        <f aca="false">IFERROR(IF(N314="","",N314*INDEX('00 - Lists'!$N$2:$N$11,MATCH(L314,'00 - Lists'!$L$2:$L$11,0))),"")</f>
        <v/>
      </c>
      <c r="S314" s="32" t="str">
        <f aca="false">IF(O314="","",IF(O314&gt;=50,"Yes","No"))</f>
        <v/>
      </c>
      <c r="T314" s="32" t="str">
        <f aca="false">IF(Q314="","",IF(Q314&gt;=100000,"Yes","No"))</f>
        <v/>
      </c>
      <c r="U314" s="28"/>
      <c r="V314" s="28"/>
      <c r="W314" s="28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J314" s="34" t="str">
        <f aca="false">IF(OR($BD314&lt;&gt;"",$BF314&lt;&gt;"",$BH314&lt;&gt;""),"Yes","No")</f>
        <v>No</v>
      </c>
      <c r="BK314" s="35" t="str">
        <f aca="false">IFERROR(IF(BD314="","",BD314*INDEX('00 - Lists'!$M$2:$M$11,MATCH(L314,'00 - Lists'!$L$2:$L$11,0))/100000),"")</f>
        <v/>
      </c>
      <c r="BL314" s="35" t="str">
        <f aca="false">IFERROR(IF(BE314="","",BE314*INDEX('00 - Lists'!$M$2:$M$11,MATCH(L314,'00 - Lists'!$L$2:$L$11,0))/100000),"")</f>
        <v/>
      </c>
      <c r="BM314" s="35" t="str">
        <f aca="false">IFERROR(IF(BF314="","",BF314*INDEX('00 - Lists'!$M$2:$M$11,MATCH(L314,'00 - Lists'!$L$2:$L$11,0))/100000),"")</f>
        <v/>
      </c>
      <c r="BN314" s="35" t="str">
        <f aca="false">IFERROR(IF(BG314="","",BG314*INDEX('00 - Lists'!$M$2:$M$11,MATCH(L314,'00 - Lists'!$L$2:$L$11,0))/100000),"")</f>
        <v/>
      </c>
      <c r="BO314" s="35" t="str">
        <f aca="false">IFERROR(IF(BH314="","",BH314*INDEX('00 - Lists'!$M$2:$M$11,MATCH(L314,'00 - Lists'!$L$2:$L$11,0))/100000),"")</f>
        <v/>
      </c>
      <c r="BP314" s="35" t="str">
        <f aca="false">IFERROR(IF(BI314="","",BI314*INDEX('00 - Lists'!$M$2:$M$11,MATCH(L314,'00 - Lists'!$L$2:$L$11,0))/100000),"")</f>
        <v/>
      </c>
      <c r="BS314" s="36" t="str">
        <f aca="false">IF(O314="","",IF(O314&gt;=20,"Yes","No"))</f>
        <v/>
      </c>
      <c r="BT314" s="36" t="str">
        <f aca="false">IF(O314="","",IF(O314&gt;=30,"Yes","No"))</f>
        <v/>
      </c>
      <c r="BU314" s="36" t="str">
        <f aca="false">IF(O314="","",IF(O314&gt;=75,"Yes","No"))</f>
        <v/>
      </c>
      <c r="BV314" s="36" t="str">
        <f aca="false">IF(O314="","",IF(O314&gt;=100,"Yes","No"))</f>
        <v/>
      </c>
      <c r="BW314" s="36" t="str">
        <f aca="false">IF(O314="","",IF(O314&gt;=150,"Yes","No"))</f>
        <v/>
      </c>
      <c r="BX314" s="36" t="str">
        <f aca="false">IF(O314="","",IF(O314&gt;=200,"Yes","No"))</f>
        <v/>
      </c>
      <c r="BY314" s="36" t="str">
        <f aca="false">IF(Q314="","",IF(Q314&gt;=150000,"Yes","No"))</f>
        <v/>
      </c>
      <c r="BZ314" s="36" t="str">
        <f aca="false">IF(Q314="","",IF(Q314&gt;=200000,"Yes","No"))</f>
        <v/>
      </c>
      <c r="CA314" s="36" t="str">
        <f aca="false">IF(Q314="","",IF(Q314&gt;=250000,"Yes","No"))</f>
        <v/>
      </c>
      <c r="CB314" s="36" t="str">
        <f aca="false">IF(Q314="","",IF(Q314&gt;=300000,"Yes","No"))</f>
        <v/>
      </c>
      <c r="CC314" s="37"/>
      <c r="CD314" s="36" t="str">
        <f aca="true">IF(B314="","",IF(TODAY()-B314&lt;=7,"🟢 0-7d",IF(TODAY()-B314&lt;=30,"🟡 8-30d",IF(TODAY()-B314&lt;=60,"🟠 31-60d","🔴 60d+"))))</f>
        <v/>
      </c>
      <c r="CE314" s="36" t="str">
        <f aca="false">IF(G314="","",IF(G314&lt;&gt;"USA","N/A - Not USA Role",IF(J314="Yes",IF(OR(F314="Intern",F314="New Grad"),"🟡 Possible","🟢 Strong"),IF(J314="No","🔴 Difficult","⚪ Unknown"))))</f>
        <v/>
      </c>
      <c r="CF314" s="37"/>
      <c r="CG314" s="37"/>
      <c r="CH314" s="38"/>
      <c r="CI314" s="38"/>
      <c r="CJ314" s="38"/>
      <c r="CK314" s="38"/>
    </row>
    <row r="315" customFormat="false" ht="15" hidden="false" customHeight="true" outlineLevel="0" collapsed="false">
      <c r="A315" s="26" t="str">
        <f aca="false">IF($C315="","",ROW()-3)</f>
        <v/>
      </c>
      <c r="B315" s="27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9"/>
      <c r="N315" s="29"/>
      <c r="O315" s="30" t="str">
        <f aca="false">IFERROR(IF(M315="","",M315*INDEX('00 - Lists'!$M$2:$M$11,MATCH(L315,'00 - Lists'!$L$2:$L$11,0))/100000),"")</f>
        <v/>
      </c>
      <c r="P315" s="30" t="str">
        <f aca="false">IFERROR(IF(N315="","",N315*INDEX('00 - Lists'!$M$2:$M$11,MATCH(L315,'00 - Lists'!$L$2:$L$11,0))/100000),"")</f>
        <v/>
      </c>
      <c r="Q315" s="31" t="str">
        <f aca="false">IFERROR(IF(M315="","",M315*INDEX('00 - Lists'!$N$2:$N$11,MATCH(L315,'00 - Lists'!$L$2:$L$11,0))),"")</f>
        <v/>
      </c>
      <c r="R315" s="31" t="str">
        <f aca="false">IFERROR(IF(N315="","",N315*INDEX('00 - Lists'!$N$2:$N$11,MATCH(L315,'00 - Lists'!$L$2:$L$11,0))),"")</f>
        <v/>
      </c>
      <c r="S315" s="32" t="str">
        <f aca="false">IF(O315="","",IF(O315&gt;=50,"Yes","No"))</f>
        <v/>
      </c>
      <c r="T315" s="32" t="str">
        <f aca="false">IF(Q315="","",IF(Q315&gt;=100000,"Yes","No"))</f>
        <v/>
      </c>
      <c r="U315" s="28"/>
      <c r="V315" s="28"/>
      <c r="W315" s="28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J315" s="34" t="str">
        <f aca="false">IF(OR($BD315&lt;&gt;"",$BF315&lt;&gt;"",$BH315&lt;&gt;""),"Yes","No")</f>
        <v>No</v>
      </c>
      <c r="BK315" s="35" t="str">
        <f aca="false">IFERROR(IF(BD315="","",BD315*INDEX('00 - Lists'!$M$2:$M$11,MATCH(L315,'00 - Lists'!$L$2:$L$11,0))/100000),"")</f>
        <v/>
      </c>
      <c r="BL315" s="35" t="str">
        <f aca="false">IFERROR(IF(BE315="","",BE315*INDEX('00 - Lists'!$M$2:$M$11,MATCH(L315,'00 - Lists'!$L$2:$L$11,0))/100000),"")</f>
        <v/>
      </c>
      <c r="BM315" s="35" t="str">
        <f aca="false">IFERROR(IF(BF315="","",BF315*INDEX('00 - Lists'!$M$2:$M$11,MATCH(L315,'00 - Lists'!$L$2:$L$11,0))/100000),"")</f>
        <v/>
      </c>
      <c r="BN315" s="35" t="str">
        <f aca="false">IFERROR(IF(BG315="","",BG315*INDEX('00 - Lists'!$M$2:$M$11,MATCH(L315,'00 - Lists'!$L$2:$L$11,0))/100000),"")</f>
        <v/>
      </c>
      <c r="BO315" s="35" t="str">
        <f aca="false">IFERROR(IF(BH315="","",BH315*INDEX('00 - Lists'!$M$2:$M$11,MATCH(L315,'00 - Lists'!$L$2:$L$11,0))/100000),"")</f>
        <v/>
      </c>
      <c r="BP315" s="35" t="str">
        <f aca="false">IFERROR(IF(BI315="","",BI315*INDEX('00 - Lists'!$M$2:$M$11,MATCH(L315,'00 - Lists'!$L$2:$L$11,0))/100000),"")</f>
        <v/>
      </c>
      <c r="BS315" s="36" t="str">
        <f aca="false">IF(O315="","",IF(O315&gt;=20,"Yes","No"))</f>
        <v/>
      </c>
      <c r="BT315" s="36" t="str">
        <f aca="false">IF(O315="","",IF(O315&gt;=30,"Yes","No"))</f>
        <v/>
      </c>
      <c r="BU315" s="36" t="str">
        <f aca="false">IF(O315="","",IF(O315&gt;=75,"Yes","No"))</f>
        <v/>
      </c>
      <c r="BV315" s="36" t="str">
        <f aca="false">IF(O315="","",IF(O315&gt;=100,"Yes","No"))</f>
        <v/>
      </c>
      <c r="BW315" s="36" t="str">
        <f aca="false">IF(O315="","",IF(O315&gt;=150,"Yes","No"))</f>
        <v/>
      </c>
      <c r="BX315" s="36" t="str">
        <f aca="false">IF(O315="","",IF(O315&gt;=200,"Yes","No"))</f>
        <v/>
      </c>
      <c r="BY315" s="36" t="str">
        <f aca="false">IF(Q315="","",IF(Q315&gt;=150000,"Yes","No"))</f>
        <v/>
      </c>
      <c r="BZ315" s="36" t="str">
        <f aca="false">IF(Q315="","",IF(Q315&gt;=200000,"Yes","No"))</f>
        <v/>
      </c>
      <c r="CA315" s="36" t="str">
        <f aca="false">IF(Q315="","",IF(Q315&gt;=250000,"Yes","No"))</f>
        <v/>
      </c>
      <c r="CB315" s="36" t="str">
        <f aca="false">IF(Q315="","",IF(Q315&gt;=300000,"Yes","No"))</f>
        <v/>
      </c>
      <c r="CC315" s="37"/>
      <c r="CD315" s="36" t="str">
        <f aca="true">IF(B315="","",IF(TODAY()-B315&lt;=7,"🟢 0-7d",IF(TODAY()-B315&lt;=30,"🟡 8-30d",IF(TODAY()-B315&lt;=60,"🟠 31-60d","🔴 60d+"))))</f>
        <v/>
      </c>
      <c r="CE315" s="36" t="str">
        <f aca="false">IF(G315="","",IF(G315&lt;&gt;"USA","N/A - Not USA Role",IF(J315="Yes",IF(OR(F315="Intern",F315="New Grad"),"🟡 Possible","🟢 Strong"),IF(J315="No","🔴 Difficult","⚪ Unknown"))))</f>
        <v/>
      </c>
      <c r="CF315" s="37"/>
      <c r="CG315" s="37"/>
      <c r="CH315" s="38"/>
      <c r="CI315" s="38"/>
      <c r="CJ315" s="38"/>
      <c r="CK315" s="38"/>
    </row>
    <row r="316" customFormat="false" ht="15" hidden="false" customHeight="true" outlineLevel="0" collapsed="false">
      <c r="A316" s="26" t="str">
        <f aca="false">IF($C316="","",ROW()-3)</f>
        <v/>
      </c>
      <c r="B316" s="27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9"/>
      <c r="N316" s="29"/>
      <c r="O316" s="30" t="str">
        <f aca="false">IFERROR(IF(M316="","",M316*INDEX('00 - Lists'!$M$2:$M$11,MATCH(L316,'00 - Lists'!$L$2:$L$11,0))/100000),"")</f>
        <v/>
      </c>
      <c r="P316" s="30" t="str">
        <f aca="false">IFERROR(IF(N316="","",N316*INDEX('00 - Lists'!$M$2:$M$11,MATCH(L316,'00 - Lists'!$L$2:$L$11,0))/100000),"")</f>
        <v/>
      </c>
      <c r="Q316" s="31" t="str">
        <f aca="false">IFERROR(IF(M316="","",M316*INDEX('00 - Lists'!$N$2:$N$11,MATCH(L316,'00 - Lists'!$L$2:$L$11,0))),"")</f>
        <v/>
      </c>
      <c r="R316" s="31" t="str">
        <f aca="false">IFERROR(IF(N316="","",N316*INDEX('00 - Lists'!$N$2:$N$11,MATCH(L316,'00 - Lists'!$L$2:$L$11,0))),"")</f>
        <v/>
      </c>
      <c r="S316" s="32" t="str">
        <f aca="false">IF(O316="","",IF(O316&gt;=50,"Yes","No"))</f>
        <v/>
      </c>
      <c r="T316" s="32" t="str">
        <f aca="false">IF(Q316="","",IF(Q316&gt;=100000,"Yes","No"))</f>
        <v/>
      </c>
      <c r="U316" s="28"/>
      <c r="V316" s="28"/>
      <c r="W316" s="28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J316" s="34" t="str">
        <f aca="false">IF(OR($BD316&lt;&gt;"",$BF316&lt;&gt;"",$BH316&lt;&gt;""),"Yes","No")</f>
        <v>No</v>
      </c>
      <c r="BK316" s="35" t="str">
        <f aca="false">IFERROR(IF(BD316="","",BD316*INDEX('00 - Lists'!$M$2:$M$11,MATCH(L316,'00 - Lists'!$L$2:$L$11,0))/100000),"")</f>
        <v/>
      </c>
      <c r="BL316" s="35" t="str">
        <f aca="false">IFERROR(IF(BE316="","",BE316*INDEX('00 - Lists'!$M$2:$M$11,MATCH(L316,'00 - Lists'!$L$2:$L$11,0))/100000),"")</f>
        <v/>
      </c>
      <c r="BM316" s="35" t="str">
        <f aca="false">IFERROR(IF(BF316="","",BF316*INDEX('00 - Lists'!$M$2:$M$11,MATCH(L316,'00 - Lists'!$L$2:$L$11,0))/100000),"")</f>
        <v/>
      </c>
      <c r="BN316" s="35" t="str">
        <f aca="false">IFERROR(IF(BG316="","",BG316*INDEX('00 - Lists'!$M$2:$M$11,MATCH(L316,'00 - Lists'!$L$2:$L$11,0))/100000),"")</f>
        <v/>
      </c>
      <c r="BO316" s="35" t="str">
        <f aca="false">IFERROR(IF(BH316="","",BH316*INDEX('00 - Lists'!$M$2:$M$11,MATCH(L316,'00 - Lists'!$L$2:$L$11,0))/100000),"")</f>
        <v/>
      </c>
      <c r="BP316" s="35" t="str">
        <f aca="false">IFERROR(IF(BI316="","",BI316*INDEX('00 - Lists'!$M$2:$M$11,MATCH(L316,'00 - Lists'!$L$2:$L$11,0))/100000),"")</f>
        <v/>
      </c>
      <c r="BS316" s="36" t="str">
        <f aca="false">IF(O316="","",IF(O316&gt;=20,"Yes","No"))</f>
        <v/>
      </c>
      <c r="BT316" s="36" t="str">
        <f aca="false">IF(O316="","",IF(O316&gt;=30,"Yes","No"))</f>
        <v/>
      </c>
      <c r="BU316" s="36" t="str">
        <f aca="false">IF(O316="","",IF(O316&gt;=75,"Yes","No"))</f>
        <v/>
      </c>
      <c r="BV316" s="36" t="str">
        <f aca="false">IF(O316="","",IF(O316&gt;=100,"Yes","No"))</f>
        <v/>
      </c>
      <c r="BW316" s="36" t="str">
        <f aca="false">IF(O316="","",IF(O316&gt;=150,"Yes","No"))</f>
        <v/>
      </c>
      <c r="BX316" s="36" t="str">
        <f aca="false">IF(O316="","",IF(O316&gt;=200,"Yes","No"))</f>
        <v/>
      </c>
      <c r="BY316" s="36" t="str">
        <f aca="false">IF(Q316="","",IF(Q316&gt;=150000,"Yes","No"))</f>
        <v/>
      </c>
      <c r="BZ316" s="36" t="str">
        <f aca="false">IF(Q316="","",IF(Q316&gt;=200000,"Yes","No"))</f>
        <v/>
      </c>
      <c r="CA316" s="36" t="str">
        <f aca="false">IF(Q316="","",IF(Q316&gt;=250000,"Yes","No"))</f>
        <v/>
      </c>
      <c r="CB316" s="36" t="str">
        <f aca="false">IF(Q316="","",IF(Q316&gt;=300000,"Yes","No"))</f>
        <v/>
      </c>
      <c r="CC316" s="37"/>
      <c r="CD316" s="36" t="str">
        <f aca="true">IF(B316="","",IF(TODAY()-B316&lt;=7,"🟢 0-7d",IF(TODAY()-B316&lt;=30,"🟡 8-30d",IF(TODAY()-B316&lt;=60,"🟠 31-60d","🔴 60d+"))))</f>
        <v/>
      </c>
      <c r="CE316" s="36" t="str">
        <f aca="false">IF(G316="","",IF(G316&lt;&gt;"USA","N/A - Not USA Role",IF(J316="Yes",IF(OR(F316="Intern",F316="New Grad"),"🟡 Possible","🟢 Strong"),IF(J316="No","🔴 Difficult","⚪ Unknown"))))</f>
        <v/>
      </c>
      <c r="CF316" s="37"/>
      <c r="CG316" s="37"/>
      <c r="CH316" s="38"/>
      <c r="CI316" s="38"/>
      <c r="CJ316" s="38"/>
      <c r="CK316" s="38"/>
    </row>
    <row r="317" customFormat="false" ht="15" hidden="false" customHeight="true" outlineLevel="0" collapsed="false">
      <c r="A317" s="26" t="str">
        <f aca="false">IF($C317="","",ROW()-3)</f>
        <v/>
      </c>
      <c r="B317" s="27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9"/>
      <c r="N317" s="29"/>
      <c r="O317" s="30" t="str">
        <f aca="false">IFERROR(IF(M317="","",M317*INDEX('00 - Lists'!$M$2:$M$11,MATCH(L317,'00 - Lists'!$L$2:$L$11,0))/100000),"")</f>
        <v/>
      </c>
      <c r="P317" s="30" t="str">
        <f aca="false">IFERROR(IF(N317="","",N317*INDEX('00 - Lists'!$M$2:$M$11,MATCH(L317,'00 - Lists'!$L$2:$L$11,0))/100000),"")</f>
        <v/>
      </c>
      <c r="Q317" s="31" t="str">
        <f aca="false">IFERROR(IF(M317="","",M317*INDEX('00 - Lists'!$N$2:$N$11,MATCH(L317,'00 - Lists'!$L$2:$L$11,0))),"")</f>
        <v/>
      </c>
      <c r="R317" s="31" t="str">
        <f aca="false">IFERROR(IF(N317="","",N317*INDEX('00 - Lists'!$N$2:$N$11,MATCH(L317,'00 - Lists'!$L$2:$L$11,0))),"")</f>
        <v/>
      </c>
      <c r="S317" s="32" t="str">
        <f aca="false">IF(O317="","",IF(O317&gt;=50,"Yes","No"))</f>
        <v/>
      </c>
      <c r="T317" s="32" t="str">
        <f aca="false">IF(Q317="","",IF(Q317&gt;=100000,"Yes","No"))</f>
        <v/>
      </c>
      <c r="U317" s="28"/>
      <c r="V317" s="28"/>
      <c r="W317" s="28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J317" s="34" t="str">
        <f aca="false">IF(OR($BD317&lt;&gt;"",$BF317&lt;&gt;"",$BH317&lt;&gt;""),"Yes","No")</f>
        <v>No</v>
      </c>
      <c r="BK317" s="35" t="str">
        <f aca="false">IFERROR(IF(BD317="","",BD317*INDEX('00 - Lists'!$M$2:$M$11,MATCH(L317,'00 - Lists'!$L$2:$L$11,0))/100000),"")</f>
        <v/>
      </c>
      <c r="BL317" s="35" t="str">
        <f aca="false">IFERROR(IF(BE317="","",BE317*INDEX('00 - Lists'!$M$2:$M$11,MATCH(L317,'00 - Lists'!$L$2:$L$11,0))/100000),"")</f>
        <v/>
      </c>
      <c r="BM317" s="35" t="str">
        <f aca="false">IFERROR(IF(BF317="","",BF317*INDEX('00 - Lists'!$M$2:$M$11,MATCH(L317,'00 - Lists'!$L$2:$L$11,0))/100000),"")</f>
        <v/>
      </c>
      <c r="BN317" s="35" t="str">
        <f aca="false">IFERROR(IF(BG317="","",BG317*INDEX('00 - Lists'!$M$2:$M$11,MATCH(L317,'00 - Lists'!$L$2:$L$11,0))/100000),"")</f>
        <v/>
      </c>
      <c r="BO317" s="35" t="str">
        <f aca="false">IFERROR(IF(BH317="","",BH317*INDEX('00 - Lists'!$M$2:$M$11,MATCH(L317,'00 - Lists'!$L$2:$L$11,0))/100000),"")</f>
        <v/>
      </c>
      <c r="BP317" s="35" t="str">
        <f aca="false">IFERROR(IF(BI317="","",BI317*INDEX('00 - Lists'!$M$2:$M$11,MATCH(L317,'00 - Lists'!$L$2:$L$11,0))/100000),"")</f>
        <v/>
      </c>
      <c r="BS317" s="36" t="str">
        <f aca="false">IF(O317="","",IF(O317&gt;=20,"Yes","No"))</f>
        <v/>
      </c>
      <c r="BT317" s="36" t="str">
        <f aca="false">IF(O317="","",IF(O317&gt;=30,"Yes","No"))</f>
        <v/>
      </c>
      <c r="BU317" s="36" t="str">
        <f aca="false">IF(O317="","",IF(O317&gt;=75,"Yes","No"))</f>
        <v/>
      </c>
      <c r="BV317" s="36" t="str">
        <f aca="false">IF(O317="","",IF(O317&gt;=100,"Yes","No"))</f>
        <v/>
      </c>
      <c r="BW317" s="36" t="str">
        <f aca="false">IF(O317="","",IF(O317&gt;=150,"Yes","No"))</f>
        <v/>
      </c>
      <c r="BX317" s="36" t="str">
        <f aca="false">IF(O317="","",IF(O317&gt;=200,"Yes","No"))</f>
        <v/>
      </c>
      <c r="BY317" s="36" t="str">
        <f aca="false">IF(Q317="","",IF(Q317&gt;=150000,"Yes","No"))</f>
        <v/>
      </c>
      <c r="BZ317" s="36" t="str">
        <f aca="false">IF(Q317="","",IF(Q317&gt;=200000,"Yes","No"))</f>
        <v/>
      </c>
      <c r="CA317" s="36" t="str">
        <f aca="false">IF(Q317="","",IF(Q317&gt;=250000,"Yes","No"))</f>
        <v/>
      </c>
      <c r="CB317" s="36" t="str">
        <f aca="false">IF(Q317="","",IF(Q317&gt;=300000,"Yes","No"))</f>
        <v/>
      </c>
      <c r="CC317" s="37"/>
      <c r="CD317" s="36" t="str">
        <f aca="true">IF(B317="","",IF(TODAY()-B317&lt;=7,"🟢 0-7d",IF(TODAY()-B317&lt;=30,"🟡 8-30d",IF(TODAY()-B317&lt;=60,"🟠 31-60d","🔴 60d+"))))</f>
        <v/>
      </c>
      <c r="CE317" s="36" t="str">
        <f aca="false">IF(G317="","",IF(G317&lt;&gt;"USA","N/A - Not USA Role",IF(J317="Yes",IF(OR(F317="Intern",F317="New Grad"),"🟡 Possible","🟢 Strong"),IF(J317="No","🔴 Difficult","⚪ Unknown"))))</f>
        <v/>
      </c>
      <c r="CF317" s="37"/>
      <c r="CG317" s="37"/>
      <c r="CH317" s="38"/>
      <c r="CI317" s="38"/>
      <c r="CJ317" s="38"/>
      <c r="CK317" s="38"/>
    </row>
    <row r="318" customFormat="false" ht="15" hidden="false" customHeight="true" outlineLevel="0" collapsed="false">
      <c r="A318" s="26" t="str">
        <f aca="false">IF($C318="","",ROW()-3)</f>
        <v/>
      </c>
      <c r="B318" s="27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9"/>
      <c r="N318" s="29"/>
      <c r="O318" s="30" t="str">
        <f aca="false">IFERROR(IF(M318="","",M318*INDEX('00 - Lists'!$M$2:$M$11,MATCH(L318,'00 - Lists'!$L$2:$L$11,0))/100000),"")</f>
        <v/>
      </c>
      <c r="P318" s="30" t="str">
        <f aca="false">IFERROR(IF(N318="","",N318*INDEX('00 - Lists'!$M$2:$M$11,MATCH(L318,'00 - Lists'!$L$2:$L$11,0))/100000),"")</f>
        <v/>
      </c>
      <c r="Q318" s="31" t="str">
        <f aca="false">IFERROR(IF(M318="","",M318*INDEX('00 - Lists'!$N$2:$N$11,MATCH(L318,'00 - Lists'!$L$2:$L$11,0))),"")</f>
        <v/>
      </c>
      <c r="R318" s="31" t="str">
        <f aca="false">IFERROR(IF(N318="","",N318*INDEX('00 - Lists'!$N$2:$N$11,MATCH(L318,'00 - Lists'!$L$2:$L$11,0))),"")</f>
        <v/>
      </c>
      <c r="S318" s="32" t="str">
        <f aca="false">IF(O318="","",IF(O318&gt;=50,"Yes","No"))</f>
        <v/>
      </c>
      <c r="T318" s="32" t="str">
        <f aca="false">IF(Q318="","",IF(Q318&gt;=100000,"Yes","No"))</f>
        <v/>
      </c>
      <c r="U318" s="28"/>
      <c r="V318" s="28"/>
      <c r="W318" s="28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J318" s="34" t="str">
        <f aca="false">IF(OR($BD318&lt;&gt;"",$BF318&lt;&gt;"",$BH318&lt;&gt;""),"Yes","No")</f>
        <v>No</v>
      </c>
      <c r="BK318" s="35" t="str">
        <f aca="false">IFERROR(IF(BD318="","",BD318*INDEX('00 - Lists'!$M$2:$M$11,MATCH(L318,'00 - Lists'!$L$2:$L$11,0))/100000),"")</f>
        <v/>
      </c>
      <c r="BL318" s="35" t="str">
        <f aca="false">IFERROR(IF(BE318="","",BE318*INDEX('00 - Lists'!$M$2:$M$11,MATCH(L318,'00 - Lists'!$L$2:$L$11,0))/100000),"")</f>
        <v/>
      </c>
      <c r="BM318" s="35" t="str">
        <f aca="false">IFERROR(IF(BF318="","",BF318*INDEX('00 - Lists'!$M$2:$M$11,MATCH(L318,'00 - Lists'!$L$2:$L$11,0))/100000),"")</f>
        <v/>
      </c>
      <c r="BN318" s="35" t="str">
        <f aca="false">IFERROR(IF(BG318="","",BG318*INDEX('00 - Lists'!$M$2:$M$11,MATCH(L318,'00 - Lists'!$L$2:$L$11,0))/100000),"")</f>
        <v/>
      </c>
      <c r="BO318" s="35" t="str">
        <f aca="false">IFERROR(IF(BH318="","",BH318*INDEX('00 - Lists'!$M$2:$M$11,MATCH(L318,'00 - Lists'!$L$2:$L$11,0))/100000),"")</f>
        <v/>
      </c>
      <c r="BP318" s="35" t="str">
        <f aca="false">IFERROR(IF(BI318="","",BI318*INDEX('00 - Lists'!$M$2:$M$11,MATCH(L318,'00 - Lists'!$L$2:$L$11,0))/100000),"")</f>
        <v/>
      </c>
      <c r="BS318" s="36" t="str">
        <f aca="false">IF(O318="","",IF(O318&gt;=20,"Yes","No"))</f>
        <v/>
      </c>
      <c r="BT318" s="36" t="str">
        <f aca="false">IF(O318="","",IF(O318&gt;=30,"Yes","No"))</f>
        <v/>
      </c>
      <c r="BU318" s="36" t="str">
        <f aca="false">IF(O318="","",IF(O318&gt;=75,"Yes","No"))</f>
        <v/>
      </c>
      <c r="BV318" s="36" t="str">
        <f aca="false">IF(O318="","",IF(O318&gt;=100,"Yes","No"))</f>
        <v/>
      </c>
      <c r="BW318" s="36" t="str">
        <f aca="false">IF(O318="","",IF(O318&gt;=150,"Yes","No"))</f>
        <v/>
      </c>
      <c r="BX318" s="36" t="str">
        <f aca="false">IF(O318="","",IF(O318&gt;=200,"Yes","No"))</f>
        <v/>
      </c>
      <c r="BY318" s="36" t="str">
        <f aca="false">IF(Q318="","",IF(Q318&gt;=150000,"Yes","No"))</f>
        <v/>
      </c>
      <c r="BZ318" s="36" t="str">
        <f aca="false">IF(Q318="","",IF(Q318&gt;=200000,"Yes","No"))</f>
        <v/>
      </c>
      <c r="CA318" s="36" t="str">
        <f aca="false">IF(Q318="","",IF(Q318&gt;=250000,"Yes","No"))</f>
        <v/>
      </c>
      <c r="CB318" s="36" t="str">
        <f aca="false">IF(Q318="","",IF(Q318&gt;=300000,"Yes","No"))</f>
        <v/>
      </c>
      <c r="CC318" s="37"/>
      <c r="CD318" s="36" t="str">
        <f aca="true">IF(B318="","",IF(TODAY()-B318&lt;=7,"🟢 0-7d",IF(TODAY()-B318&lt;=30,"🟡 8-30d",IF(TODAY()-B318&lt;=60,"🟠 31-60d","🔴 60d+"))))</f>
        <v/>
      </c>
      <c r="CE318" s="36" t="str">
        <f aca="false">IF(G318="","",IF(G318&lt;&gt;"USA","N/A - Not USA Role",IF(J318="Yes",IF(OR(F318="Intern",F318="New Grad"),"🟡 Possible","🟢 Strong"),IF(J318="No","🔴 Difficult","⚪ Unknown"))))</f>
        <v/>
      </c>
      <c r="CF318" s="37"/>
      <c r="CG318" s="37"/>
      <c r="CH318" s="38"/>
      <c r="CI318" s="38"/>
      <c r="CJ318" s="38"/>
      <c r="CK318" s="38"/>
    </row>
    <row r="319" customFormat="false" ht="15" hidden="false" customHeight="true" outlineLevel="0" collapsed="false">
      <c r="A319" s="26" t="str">
        <f aca="false">IF($C319="","",ROW()-3)</f>
        <v/>
      </c>
      <c r="B319" s="27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9"/>
      <c r="N319" s="29"/>
      <c r="O319" s="30" t="str">
        <f aca="false">IFERROR(IF(M319="","",M319*INDEX('00 - Lists'!$M$2:$M$11,MATCH(L319,'00 - Lists'!$L$2:$L$11,0))/100000),"")</f>
        <v/>
      </c>
      <c r="P319" s="30" t="str">
        <f aca="false">IFERROR(IF(N319="","",N319*INDEX('00 - Lists'!$M$2:$M$11,MATCH(L319,'00 - Lists'!$L$2:$L$11,0))/100000),"")</f>
        <v/>
      </c>
      <c r="Q319" s="31" t="str">
        <f aca="false">IFERROR(IF(M319="","",M319*INDEX('00 - Lists'!$N$2:$N$11,MATCH(L319,'00 - Lists'!$L$2:$L$11,0))),"")</f>
        <v/>
      </c>
      <c r="R319" s="31" t="str">
        <f aca="false">IFERROR(IF(N319="","",N319*INDEX('00 - Lists'!$N$2:$N$11,MATCH(L319,'00 - Lists'!$L$2:$L$11,0))),"")</f>
        <v/>
      </c>
      <c r="S319" s="32" t="str">
        <f aca="false">IF(O319="","",IF(O319&gt;=50,"Yes","No"))</f>
        <v/>
      </c>
      <c r="T319" s="32" t="str">
        <f aca="false">IF(Q319="","",IF(Q319&gt;=100000,"Yes","No"))</f>
        <v/>
      </c>
      <c r="U319" s="28"/>
      <c r="V319" s="28"/>
      <c r="W319" s="28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J319" s="34" t="str">
        <f aca="false">IF(OR($BD319&lt;&gt;"",$BF319&lt;&gt;"",$BH319&lt;&gt;""),"Yes","No")</f>
        <v>No</v>
      </c>
      <c r="BK319" s="35" t="str">
        <f aca="false">IFERROR(IF(BD319="","",BD319*INDEX('00 - Lists'!$M$2:$M$11,MATCH(L319,'00 - Lists'!$L$2:$L$11,0))/100000),"")</f>
        <v/>
      </c>
      <c r="BL319" s="35" t="str">
        <f aca="false">IFERROR(IF(BE319="","",BE319*INDEX('00 - Lists'!$M$2:$M$11,MATCH(L319,'00 - Lists'!$L$2:$L$11,0))/100000),"")</f>
        <v/>
      </c>
      <c r="BM319" s="35" t="str">
        <f aca="false">IFERROR(IF(BF319="","",BF319*INDEX('00 - Lists'!$M$2:$M$11,MATCH(L319,'00 - Lists'!$L$2:$L$11,0))/100000),"")</f>
        <v/>
      </c>
      <c r="BN319" s="35" t="str">
        <f aca="false">IFERROR(IF(BG319="","",BG319*INDEX('00 - Lists'!$M$2:$M$11,MATCH(L319,'00 - Lists'!$L$2:$L$11,0))/100000),"")</f>
        <v/>
      </c>
      <c r="BO319" s="35" t="str">
        <f aca="false">IFERROR(IF(BH319="","",BH319*INDEX('00 - Lists'!$M$2:$M$11,MATCH(L319,'00 - Lists'!$L$2:$L$11,0))/100000),"")</f>
        <v/>
      </c>
      <c r="BP319" s="35" t="str">
        <f aca="false">IFERROR(IF(BI319="","",BI319*INDEX('00 - Lists'!$M$2:$M$11,MATCH(L319,'00 - Lists'!$L$2:$L$11,0))/100000),"")</f>
        <v/>
      </c>
      <c r="BS319" s="36" t="str">
        <f aca="false">IF(O319="","",IF(O319&gt;=20,"Yes","No"))</f>
        <v/>
      </c>
      <c r="BT319" s="36" t="str">
        <f aca="false">IF(O319="","",IF(O319&gt;=30,"Yes","No"))</f>
        <v/>
      </c>
      <c r="BU319" s="36" t="str">
        <f aca="false">IF(O319="","",IF(O319&gt;=75,"Yes","No"))</f>
        <v/>
      </c>
      <c r="BV319" s="36" t="str">
        <f aca="false">IF(O319="","",IF(O319&gt;=100,"Yes","No"))</f>
        <v/>
      </c>
      <c r="BW319" s="36" t="str">
        <f aca="false">IF(O319="","",IF(O319&gt;=150,"Yes","No"))</f>
        <v/>
      </c>
      <c r="BX319" s="36" t="str">
        <f aca="false">IF(O319="","",IF(O319&gt;=200,"Yes","No"))</f>
        <v/>
      </c>
      <c r="BY319" s="36" t="str">
        <f aca="false">IF(Q319="","",IF(Q319&gt;=150000,"Yes","No"))</f>
        <v/>
      </c>
      <c r="BZ319" s="36" t="str">
        <f aca="false">IF(Q319="","",IF(Q319&gt;=200000,"Yes","No"))</f>
        <v/>
      </c>
      <c r="CA319" s="36" t="str">
        <f aca="false">IF(Q319="","",IF(Q319&gt;=250000,"Yes","No"))</f>
        <v/>
      </c>
      <c r="CB319" s="36" t="str">
        <f aca="false">IF(Q319="","",IF(Q319&gt;=300000,"Yes","No"))</f>
        <v/>
      </c>
      <c r="CC319" s="37"/>
      <c r="CD319" s="36" t="str">
        <f aca="true">IF(B319="","",IF(TODAY()-B319&lt;=7,"🟢 0-7d",IF(TODAY()-B319&lt;=30,"🟡 8-30d",IF(TODAY()-B319&lt;=60,"🟠 31-60d","🔴 60d+"))))</f>
        <v/>
      </c>
      <c r="CE319" s="36" t="str">
        <f aca="false">IF(G319="","",IF(G319&lt;&gt;"USA","N/A - Not USA Role",IF(J319="Yes",IF(OR(F319="Intern",F319="New Grad"),"🟡 Possible","🟢 Strong"),IF(J319="No","🔴 Difficult","⚪ Unknown"))))</f>
        <v/>
      </c>
      <c r="CF319" s="37"/>
      <c r="CG319" s="37"/>
      <c r="CH319" s="38"/>
      <c r="CI319" s="38"/>
      <c r="CJ319" s="38"/>
      <c r="CK319" s="38"/>
    </row>
    <row r="320" customFormat="false" ht="15" hidden="false" customHeight="true" outlineLevel="0" collapsed="false">
      <c r="A320" s="26" t="str">
        <f aca="false">IF($C320="","",ROW()-3)</f>
        <v/>
      </c>
      <c r="B320" s="27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9"/>
      <c r="N320" s="29"/>
      <c r="O320" s="30" t="str">
        <f aca="false">IFERROR(IF(M320="","",M320*INDEX('00 - Lists'!$M$2:$M$11,MATCH(L320,'00 - Lists'!$L$2:$L$11,0))/100000),"")</f>
        <v/>
      </c>
      <c r="P320" s="30" t="str">
        <f aca="false">IFERROR(IF(N320="","",N320*INDEX('00 - Lists'!$M$2:$M$11,MATCH(L320,'00 - Lists'!$L$2:$L$11,0))/100000),"")</f>
        <v/>
      </c>
      <c r="Q320" s="31" t="str">
        <f aca="false">IFERROR(IF(M320="","",M320*INDEX('00 - Lists'!$N$2:$N$11,MATCH(L320,'00 - Lists'!$L$2:$L$11,0))),"")</f>
        <v/>
      </c>
      <c r="R320" s="31" t="str">
        <f aca="false">IFERROR(IF(N320="","",N320*INDEX('00 - Lists'!$N$2:$N$11,MATCH(L320,'00 - Lists'!$L$2:$L$11,0))),"")</f>
        <v/>
      </c>
      <c r="S320" s="32" t="str">
        <f aca="false">IF(O320="","",IF(O320&gt;=50,"Yes","No"))</f>
        <v/>
      </c>
      <c r="T320" s="32" t="str">
        <f aca="false">IF(Q320="","",IF(Q320&gt;=100000,"Yes","No"))</f>
        <v/>
      </c>
      <c r="U320" s="28"/>
      <c r="V320" s="28"/>
      <c r="W320" s="28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J320" s="34" t="str">
        <f aca="false">IF(OR($BD320&lt;&gt;"",$BF320&lt;&gt;"",$BH320&lt;&gt;""),"Yes","No")</f>
        <v>No</v>
      </c>
      <c r="BK320" s="35" t="str">
        <f aca="false">IFERROR(IF(BD320="","",BD320*INDEX('00 - Lists'!$M$2:$M$11,MATCH(L320,'00 - Lists'!$L$2:$L$11,0))/100000),"")</f>
        <v/>
      </c>
      <c r="BL320" s="35" t="str">
        <f aca="false">IFERROR(IF(BE320="","",BE320*INDEX('00 - Lists'!$M$2:$M$11,MATCH(L320,'00 - Lists'!$L$2:$L$11,0))/100000),"")</f>
        <v/>
      </c>
      <c r="BM320" s="35" t="str">
        <f aca="false">IFERROR(IF(BF320="","",BF320*INDEX('00 - Lists'!$M$2:$M$11,MATCH(L320,'00 - Lists'!$L$2:$L$11,0))/100000),"")</f>
        <v/>
      </c>
      <c r="BN320" s="35" t="str">
        <f aca="false">IFERROR(IF(BG320="","",BG320*INDEX('00 - Lists'!$M$2:$M$11,MATCH(L320,'00 - Lists'!$L$2:$L$11,0))/100000),"")</f>
        <v/>
      </c>
      <c r="BO320" s="35" t="str">
        <f aca="false">IFERROR(IF(BH320="","",BH320*INDEX('00 - Lists'!$M$2:$M$11,MATCH(L320,'00 - Lists'!$L$2:$L$11,0))/100000),"")</f>
        <v/>
      </c>
      <c r="BP320" s="35" t="str">
        <f aca="false">IFERROR(IF(BI320="","",BI320*INDEX('00 - Lists'!$M$2:$M$11,MATCH(L320,'00 - Lists'!$L$2:$L$11,0))/100000),"")</f>
        <v/>
      </c>
      <c r="BS320" s="36" t="str">
        <f aca="false">IF(O320="","",IF(O320&gt;=20,"Yes","No"))</f>
        <v/>
      </c>
      <c r="BT320" s="36" t="str">
        <f aca="false">IF(O320="","",IF(O320&gt;=30,"Yes","No"))</f>
        <v/>
      </c>
      <c r="BU320" s="36" t="str">
        <f aca="false">IF(O320="","",IF(O320&gt;=75,"Yes","No"))</f>
        <v/>
      </c>
      <c r="BV320" s="36" t="str">
        <f aca="false">IF(O320="","",IF(O320&gt;=100,"Yes","No"))</f>
        <v/>
      </c>
      <c r="BW320" s="36" t="str">
        <f aca="false">IF(O320="","",IF(O320&gt;=150,"Yes","No"))</f>
        <v/>
      </c>
      <c r="BX320" s="36" t="str">
        <f aca="false">IF(O320="","",IF(O320&gt;=200,"Yes","No"))</f>
        <v/>
      </c>
      <c r="BY320" s="36" t="str">
        <f aca="false">IF(Q320="","",IF(Q320&gt;=150000,"Yes","No"))</f>
        <v/>
      </c>
      <c r="BZ320" s="36" t="str">
        <f aca="false">IF(Q320="","",IF(Q320&gt;=200000,"Yes","No"))</f>
        <v/>
      </c>
      <c r="CA320" s="36" t="str">
        <f aca="false">IF(Q320="","",IF(Q320&gt;=250000,"Yes","No"))</f>
        <v/>
      </c>
      <c r="CB320" s="36" t="str">
        <f aca="false">IF(Q320="","",IF(Q320&gt;=300000,"Yes","No"))</f>
        <v/>
      </c>
      <c r="CC320" s="37"/>
      <c r="CD320" s="36" t="str">
        <f aca="true">IF(B320="","",IF(TODAY()-B320&lt;=7,"🟢 0-7d",IF(TODAY()-B320&lt;=30,"🟡 8-30d",IF(TODAY()-B320&lt;=60,"🟠 31-60d","🔴 60d+"))))</f>
        <v/>
      </c>
      <c r="CE320" s="36" t="str">
        <f aca="false">IF(G320="","",IF(G320&lt;&gt;"USA","N/A - Not USA Role",IF(J320="Yes",IF(OR(F320="Intern",F320="New Grad"),"🟡 Possible","🟢 Strong"),IF(J320="No","🔴 Difficult","⚪ Unknown"))))</f>
        <v/>
      </c>
      <c r="CF320" s="37"/>
      <c r="CG320" s="37"/>
      <c r="CH320" s="38"/>
      <c r="CI320" s="38"/>
      <c r="CJ320" s="38"/>
      <c r="CK320" s="38"/>
    </row>
    <row r="321" customFormat="false" ht="15" hidden="false" customHeight="true" outlineLevel="0" collapsed="false">
      <c r="A321" s="26" t="str">
        <f aca="false">IF($C321="","",ROW()-3)</f>
        <v/>
      </c>
      <c r="B321" s="27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9"/>
      <c r="N321" s="29"/>
      <c r="O321" s="30" t="str">
        <f aca="false">IFERROR(IF(M321="","",M321*INDEX('00 - Lists'!$M$2:$M$11,MATCH(L321,'00 - Lists'!$L$2:$L$11,0))/100000),"")</f>
        <v/>
      </c>
      <c r="P321" s="30" t="str">
        <f aca="false">IFERROR(IF(N321="","",N321*INDEX('00 - Lists'!$M$2:$M$11,MATCH(L321,'00 - Lists'!$L$2:$L$11,0))/100000),"")</f>
        <v/>
      </c>
      <c r="Q321" s="31" t="str">
        <f aca="false">IFERROR(IF(M321="","",M321*INDEX('00 - Lists'!$N$2:$N$11,MATCH(L321,'00 - Lists'!$L$2:$L$11,0))),"")</f>
        <v/>
      </c>
      <c r="R321" s="31" t="str">
        <f aca="false">IFERROR(IF(N321="","",N321*INDEX('00 - Lists'!$N$2:$N$11,MATCH(L321,'00 - Lists'!$L$2:$L$11,0))),"")</f>
        <v/>
      </c>
      <c r="S321" s="32" t="str">
        <f aca="false">IF(O321="","",IF(O321&gt;=50,"Yes","No"))</f>
        <v/>
      </c>
      <c r="T321" s="32" t="str">
        <f aca="false">IF(Q321="","",IF(Q321&gt;=100000,"Yes","No"))</f>
        <v/>
      </c>
      <c r="U321" s="28"/>
      <c r="V321" s="28"/>
      <c r="W321" s="28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J321" s="34" t="str">
        <f aca="false">IF(OR($BD321&lt;&gt;"",$BF321&lt;&gt;"",$BH321&lt;&gt;""),"Yes","No")</f>
        <v>No</v>
      </c>
      <c r="BK321" s="35" t="str">
        <f aca="false">IFERROR(IF(BD321="","",BD321*INDEX('00 - Lists'!$M$2:$M$11,MATCH(L321,'00 - Lists'!$L$2:$L$11,0))/100000),"")</f>
        <v/>
      </c>
      <c r="BL321" s="35" t="str">
        <f aca="false">IFERROR(IF(BE321="","",BE321*INDEX('00 - Lists'!$M$2:$M$11,MATCH(L321,'00 - Lists'!$L$2:$L$11,0))/100000),"")</f>
        <v/>
      </c>
      <c r="BM321" s="35" t="str">
        <f aca="false">IFERROR(IF(BF321="","",BF321*INDEX('00 - Lists'!$M$2:$M$11,MATCH(L321,'00 - Lists'!$L$2:$L$11,0))/100000),"")</f>
        <v/>
      </c>
      <c r="BN321" s="35" t="str">
        <f aca="false">IFERROR(IF(BG321="","",BG321*INDEX('00 - Lists'!$M$2:$M$11,MATCH(L321,'00 - Lists'!$L$2:$L$11,0))/100000),"")</f>
        <v/>
      </c>
      <c r="BO321" s="35" t="str">
        <f aca="false">IFERROR(IF(BH321="","",BH321*INDEX('00 - Lists'!$M$2:$M$11,MATCH(L321,'00 - Lists'!$L$2:$L$11,0))/100000),"")</f>
        <v/>
      </c>
      <c r="BP321" s="35" t="str">
        <f aca="false">IFERROR(IF(BI321="","",BI321*INDEX('00 - Lists'!$M$2:$M$11,MATCH(L321,'00 - Lists'!$L$2:$L$11,0))/100000),"")</f>
        <v/>
      </c>
      <c r="BS321" s="36" t="str">
        <f aca="false">IF(O321="","",IF(O321&gt;=20,"Yes","No"))</f>
        <v/>
      </c>
      <c r="BT321" s="36" t="str">
        <f aca="false">IF(O321="","",IF(O321&gt;=30,"Yes","No"))</f>
        <v/>
      </c>
      <c r="BU321" s="36" t="str">
        <f aca="false">IF(O321="","",IF(O321&gt;=75,"Yes","No"))</f>
        <v/>
      </c>
      <c r="BV321" s="36" t="str">
        <f aca="false">IF(O321="","",IF(O321&gt;=100,"Yes","No"))</f>
        <v/>
      </c>
      <c r="BW321" s="36" t="str">
        <f aca="false">IF(O321="","",IF(O321&gt;=150,"Yes","No"))</f>
        <v/>
      </c>
      <c r="BX321" s="36" t="str">
        <f aca="false">IF(O321="","",IF(O321&gt;=200,"Yes","No"))</f>
        <v/>
      </c>
      <c r="BY321" s="36" t="str">
        <f aca="false">IF(Q321="","",IF(Q321&gt;=150000,"Yes","No"))</f>
        <v/>
      </c>
      <c r="BZ321" s="36" t="str">
        <f aca="false">IF(Q321="","",IF(Q321&gt;=200000,"Yes","No"))</f>
        <v/>
      </c>
      <c r="CA321" s="36" t="str">
        <f aca="false">IF(Q321="","",IF(Q321&gt;=250000,"Yes","No"))</f>
        <v/>
      </c>
      <c r="CB321" s="36" t="str">
        <f aca="false">IF(Q321="","",IF(Q321&gt;=300000,"Yes","No"))</f>
        <v/>
      </c>
      <c r="CC321" s="37"/>
      <c r="CD321" s="36" t="str">
        <f aca="true">IF(B321="","",IF(TODAY()-B321&lt;=7,"🟢 0-7d",IF(TODAY()-B321&lt;=30,"🟡 8-30d",IF(TODAY()-B321&lt;=60,"🟠 31-60d","🔴 60d+"))))</f>
        <v/>
      </c>
      <c r="CE321" s="36" t="str">
        <f aca="false">IF(G321="","",IF(G321&lt;&gt;"USA","N/A - Not USA Role",IF(J321="Yes",IF(OR(F321="Intern",F321="New Grad"),"🟡 Possible","🟢 Strong"),IF(J321="No","🔴 Difficult","⚪ Unknown"))))</f>
        <v/>
      </c>
      <c r="CF321" s="37"/>
      <c r="CG321" s="37"/>
      <c r="CH321" s="38"/>
      <c r="CI321" s="38"/>
      <c r="CJ321" s="38"/>
      <c r="CK321" s="38"/>
    </row>
    <row r="322" customFormat="false" ht="15" hidden="false" customHeight="true" outlineLevel="0" collapsed="false">
      <c r="A322" s="26" t="str">
        <f aca="false">IF($C322="","",ROW()-3)</f>
        <v/>
      </c>
      <c r="B322" s="27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9"/>
      <c r="N322" s="29"/>
      <c r="O322" s="30" t="str">
        <f aca="false">IFERROR(IF(M322="","",M322*INDEX('00 - Lists'!$M$2:$M$11,MATCH(L322,'00 - Lists'!$L$2:$L$11,0))/100000),"")</f>
        <v/>
      </c>
      <c r="P322" s="30" t="str">
        <f aca="false">IFERROR(IF(N322="","",N322*INDEX('00 - Lists'!$M$2:$M$11,MATCH(L322,'00 - Lists'!$L$2:$L$11,0))/100000),"")</f>
        <v/>
      </c>
      <c r="Q322" s="31" t="str">
        <f aca="false">IFERROR(IF(M322="","",M322*INDEX('00 - Lists'!$N$2:$N$11,MATCH(L322,'00 - Lists'!$L$2:$L$11,0))),"")</f>
        <v/>
      </c>
      <c r="R322" s="31" t="str">
        <f aca="false">IFERROR(IF(N322="","",N322*INDEX('00 - Lists'!$N$2:$N$11,MATCH(L322,'00 - Lists'!$L$2:$L$11,0))),"")</f>
        <v/>
      </c>
      <c r="S322" s="32" t="str">
        <f aca="false">IF(O322="","",IF(O322&gt;=50,"Yes","No"))</f>
        <v/>
      </c>
      <c r="T322" s="32" t="str">
        <f aca="false">IF(Q322="","",IF(Q322&gt;=100000,"Yes","No"))</f>
        <v/>
      </c>
      <c r="U322" s="28"/>
      <c r="V322" s="28"/>
      <c r="W322" s="28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J322" s="34" t="str">
        <f aca="false">IF(OR($BD322&lt;&gt;"",$BF322&lt;&gt;"",$BH322&lt;&gt;""),"Yes","No")</f>
        <v>No</v>
      </c>
      <c r="BK322" s="35" t="str">
        <f aca="false">IFERROR(IF(BD322="","",BD322*INDEX('00 - Lists'!$M$2:$M$11,MATCH(L322,'00 - Lists'!$L$2:$L$11,0))/100000),"")</f>
        <v/>
      </c>
      <c r="BL322" s="35" t="str">
        <f aca="false">IFERROR(IF(BE322="","",BE322*INDEX('00 - Lists'!$M$2:$M$11,MATCH(L322,'00 - Lists'!$L$2:$L$11,0))/100000),"")</f>
        <v/>
      </c>
      <c r="BM322" s="35" t="str">
        <f aca="false">IFERROR(IF(BF322="","",BF322*INDEX('00 - Lists'!$M$2:$M$11,MATCH(L322,'00 - Lists'!$L$2:$L$11,0))/100000),"")</f>
        <v/>
      </c>
      <c r="BN322" s="35" t="str">
        <f aca="false">IFERROR(IF(BG322="","",BG322*INDEX('00 - Lists'!$M$2:$M$11,MATCH(L322,'00 - Lists'!$L$2:$L$11,0))/100000),"")</f>
        <v/>
      </c>
      <c r="BO322" s="35" t="str">
        <f aca="false">IFERROR(IF(BH322="","",BH322*INDEX('00 - Lists'!$M$2:$M$11,MATCH(L322,'00 - Lists'!$L$2:$L$11,0))/100000),"")</f>
        <v/>
      </c>
      <c r="BP322" s="35" t="str">
        <f aca="false">IFERROR(IF(BI322="","",BI322*INDEX('00 - Lists'!$M$2:$M$11,MATCH(L322,'00 - Lists'!$L$2:$L$11,0))/100000),"")</f>
        <v/>
      </c>
      <c r="BS322" s="36" t="str">
        <f aca="false">IF(O322="","",IF(O322&gt;=20,"Yes","No"))</f>
        <v/>
      </c>
      <c r="BT322" s="36" t="str">
        <f aca="false">IF(O322="","",IF(O322&gt;=30,"Yes","No"))</f>
        <v/>
      </c>
      <c r="BU322" s="36" t="str">
        <f aca="false">IF(O322="","",IF(O322&gt;=75,"Yes","No"))</f>
        <v/>
      </c>
      <c r="BV322" s="36" t="str">
        <f aca="false">IF(O322="","",IF(O322&gt;=100,"Yes","No"))</f>
        <v/>
      </c>
      <c r="BW322" s="36" t="str">
        <f aca="false">IF(O322="","",IF(O322&gt;=150,"Yes","No"))</f>
        <v/>
      </c>
      <c r="BX322" s="36" t="str">
        <f aca="false">IF(O322="","",IF(O322&gt;=200,"Yes","No"))</f>
        <v/>
      </c>
      <c r="BY322" s="36" t="str">
        <f aca="false">IF(Q322="","",IF(Q322&gt;=150000,"Yes","No"))</f>
        <v/>
      </c>
      <c r="BZ322" s="36" t="str">
        <f aca="false">IF(Q322="","",IF(Q322&gt;=200000,"Yes","No"))</f>
        <v/>
      </c>
      <c r="CA322" s="36" t="str">
        <f aca="false">IF(Q322="","",IF(Q322&gt;=250000,"Yes","No"))</f>
        <v/>
      </c>
      <c r="CB322" s="36" t="str">
        <f aca="false">IF(Q322="","",IF(Q322&gt;=300000,"Yes","No"))</f>
        <v/>
      </c>
      <c r="CC322" s="37"/>
      <c r="CD322" s="36" t="str">
        <f aca="true">IF(B322="","",IF(TODAY()-B322&lt;=7,"🟢 0-7d",IF(TODAY()-B322&lt;=30,"🟡 8-30d",IF(TODAY()-B322&lt;=60,"🟠 31-60d","🔴 60d+"))))</f>
        <v/>
      </c>
      <c r="CE322" s="36" t="str">
        <f aca="false">IF(G322="","",IF(G322&lt;&gt;"USA","N/A - Not USA Role",IF(J322="Yes",IF(OR(F322="Intern",F322="New Grad"),"🟡 Possible","🟢 Strong"),IF(J322="No","🔴 Difficult","⚪ Unknown"))))</f>
        <v/>
      </c>
      <c r="CF322" s="37"/>
      <c r="CG322" s="37"/>
      <c r="CH322" s="38"/>
      <c r="CI322" s="38"/>
      <c r="CJ322" s="38"/>
      <c r="CK322" s="38"/>
    </row>
    <row r="323" customFormat="false" ht="15" hidden="false" customHeight="true" outlineLevel="0" collapsed="false">
      <c r="A323" s="26" t="str">
        <f aca="false">IF($C323="","",ROW()-3)</f>
        <v/>
      </c>
      <c r="B323" s="27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9"/>
      <c r="N323" s="29"/>
      <c r="O323" s="30" t="str">
        <f aca="false">IFERROR(IF(M323="","",M323*INDEX('00 - Lists'!$M$2:$M$11,MATCH(L323,'00 - Lists'!$L$2:$L$11,0))/100000),"")</f>
        <v/>
      </c>
      <c r="P323" s="30" t="str">
        <f aca="false">IFERROR(IF(N323="","",N323*INDEX('00 - Lists'!$M$2:$M$11,MATCH(L323,'00 - Lists'!$L$2:$L$11,0))/100000),"")</f>
        <v/>
      </c>
      <c r="Q323" s="31" t="str">
        <f aca="false">IFERROR(IF(M323="","",M323*INDEX('00 - Lists'!$N$2:$N$11,MATCH(L323,'00 - Lists'!$L$2:$L$11,0))),"")</f>
        <v/>
      </c>
      <c r="R323" s="31" t="str">
        <f aca="false">IFERROR(IF(N323="","",N323*INDEX('00 - Lists'!$N$2:$N$11,MATCH(L323,'00 - Lists'!$L$2:$L$11,0))),"")</f>
        <v/>
      </c>
      <c r="S323" s="32" t="str">
        <f aca="false">IF(O323="","",IF(O323&gt;=50,"Yes","No"))</f>
        <v/>
      </c>
      <c r="T323" s="32" t="str">
        <f aca="false">IF(Q323="","",IF(Q323&gt;=100000,"Yes","No"))</f>
        <v/>
      </c>
      <c r="U323" s="28"/>
      <c r="V323" s="28"/>
      <c r="W323" s="28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J323" s="34" t="str">
        <f aca="false">IF(OR($BD323&lt;&gt;"",$BF323&lt;&gt;"",$BH323&lt;&gt;""),"Yes","No")</f>
        <v>No</v>
      </c>
      <c r="BK323" s="35" t="str">
        <f aca="false">IFERROR(IF(BD323="","",BD323*INDEX('00 - Lists'!$M$2:$M$11,MATCH(L323,'00 - Lists'!$L$2:$L$11,0))/100000),"")</f>
        <v/>
      </c>
      <c r="BL323" s="35" t="str">
        <f aca="false">IFERROR(IF(BE323="","",BE323*INDEX('00 - Lists'!$M$2:$M$11,MATCH(L323,'00 - Lists'!$L$2:$L$11,0))/100000),"")</f>
        <v/>
      </c>
      <c r="BM323" s="35" t="str">
        <f aca="false">IFERROR(IF(BF323="","",BF323*INDEX('00 - Lists'!$M$2:$M$11,MATCH(L323,'00 - Lists'!$L$2:$L$11,0))/100000),"")</f>
        <v/>
      </c>
      <c r="BN323" s="35" t="str">
        <f aca="false">IFERROR(IF(BG323="","",BG323*INDEX('00 - Lists'!$M$2:$M$11,MATCH(L323,'00 - Lists'!$L$2:$L$11,0))/100000),"")</f>
        <v/>
      </c>
      <c r="BO323" s="35" t="str">
        <f aca="false">IFERROR(IF(BH323="","",BH323*INDEX('00 - Lists'!$M$2:$M$11,MATCH(L323,'00 - Lists'!$L$2:$L$11,0))/100000),"")</f>
        <v/>
      </c>
      <c r="BP323" s="35" t="str">
        <f aca="false">IFERROR(IF(BI323="","",BI323*INDEX('00 - Lists'!$M$2:$M$11,MATCH(L323,'00 - Lists'!$L$2:$L$11,0))/100000),"")</f>
        <v/>
      </c>
      <c r="BS323" s="36" t="str">
        <f aca="false">IF(O323="","",IF(O323&gt;=20,"Yes","No"))</f>
        <v/>
      </c>
      <c r="BT323" s="36" t="str">
        <f aca="false">IF(O323="","",IF(O323&gt;=30,"Yes","No"))</f>
        <v/>
      </c>
      <c r="BU323" s="36" t="str">
        <f aca="false">IF(O323="","",IF(O323&gt;=75,"Yes","No"))</f>
        <v/>
      </c>
      <c r="BV323" s="36" t="str">
        <f aca="false">IF(O323="","",IF(O323&gt;=100,"Yes","No"))</f>
        <v/>
      </c>
      <c r="BW323" s="36" t="str">
        <f aca="false">IF(O323="","",IF(O323&gt;=150,"Yes","No"))</f>
        <v/>
      </c>
      <c r="BX323" s="36" t="str">
        <f aca="false">IF(O323="","",IF(O323&gt;=200,"Yes","No"))</f>
        <v/>
      </c>
      <c r="BY323" s="36" t="str">
        <f aca="false">IF(Q323="","",IF(Q323&gt;=150000,"Yes","No"))</f>
        <v/>
      </c>
      <c r="BZ323" s="36" t="str">
        <f aca="false">IF(Q323="","",IF(Q323&gt;=200000,"Yes","No"))</f>
        <v/>
      </c>
      <c r="CA323" s="36" t="str">
        <f aca="false">IF(Q323="","",IF(Q323&gt;=250000,"Yes","No"))</f>
        <v/>
      </c>
      <c r="CB323" s="36" t="str">
        <f aca="false">IF(Q323="","",IF(Q323&gt;=300000,"Yes","No"))</f>
        <v/>
      </c>
      <c r="CC323" s="37"/>
      <c r="CD323" s="36" t="str">
        <f aca="true">IF(B323="","",IF(TODAY()-B323&lt;=7,"🟢 0-7d",IF(TODAY()-B323&lt;=30,"🟡 8-30d",IF(TODAY()-B323&lt;=60,"🟠 31-60d","🔴 60d+"))))</f>
        <v/>
      </c>
      <c r="CE323" s="36" t="str">
        <f aca="false">IF(G323="","",IF(G323&lt;&gt;"USA","N/A - Not USA Role",IF(J323="Yes",IF(OR(F323="Intern",F323="New Grad"),"🟡 Possible","🟢 Strong"),IF(J323="No","🔴 Difficult","⚪ Unknown"))))</f>
        <v/>
      </c>
      <c r="CF323" s="37"/>
      <c r="CG323" s="37"/>
      <c r="CH323" s="38"/>
      <c r="CI323" s="38"/>
      <c r="CJ323" s="38"/>
      <c r="CK323" s="38"/>
    </row>
    <row r="324" customFormat="false" ht="15" hidden="false" customHeight="true" outlineLevel="0" collapsed="false">
      <c r="A324" s="26" t="str">
        <f aca="false">IF($C324="","",ROW()-3)</f>
        <v/>
      </c>
      <c r="B324" s="27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9"/>
      <c r="N324" s="29"/>
      <c r="O324" s="30" t="str">
        <f aca="false">IFERROR(IF(M324="","",M324*INDEX('00 - Lists'!$M$2:$M$11,MATCH(L324,'00 - Lists'!$L$2:$L$11,0))/100000),"")</f>
        <v/>
      </c>
      <c r="P324" s="30" t="str">
        <f aca="false">IFERROR(IF(N324="","",N324*INDEX('00 - Lists'!$M$2:$M$11,MATCH(L324,'00 - Lists'!$L$2:$L$11,0))/100000),"")</f>
        <v/>
      </c>
      <c r="Q324" s="31" t="str">
        <f aca="false">IFERROR(IF(M324="","",M324*INDEX('00 - Lists'!$N$2:$N$11,MATCH(L324,'00 - Lists'!$L$2:$L$11,0))),"")</f>
        <v/>
      </c>
      <c r="R324" s="31" t="str">
        <f aca="false">IFERROR(IF(N324="","",N324*INDEX('00 - Lists'!$N$2:$N$11,MATCH(L324,'00 - Lists'!$L$2:$L$11,0))),"")</f>
        <v/>
      </c>
      <c r="S324" s="32" t="str">
        <f aca="false">IF(O324="","",IF(O324&gt;=50,"Yes","No"))</f>
        <v/>
      </c>
      <c r="T324" s="32" t="str">
        <f aca="false">IF(Q324="","",IF(Q324&gt;=100000,"Yes","No"))</f>
        <v/>
      </c>
      <c r="U324" s="28"/>
      <c r="V324" s="28"/>
      <c r="W324" s="28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J324" s="34" t="str">
        <f aca="false">IF(OR($BD324&lt;&gt;"",$BF324&lt;&gt;"",$BH324&lt;&gt;""),"Yes","No")</f>
        <v>No</v>
      </c>
      <c r="BK324" s="35" t="str">
        <f aca="false">IFERROR(IF(BD324="","",BD324*INDEX('00 - Lists'!$M$2:$M$11,MATCH(L324,'00 - Lists'!$L$2:$L$11,0))/100000),"")</f>
        <v/>
      </c>
      <c r="BL324" s="35" t="str">
        <f aca="false">IFERROR(IF(BE324="","",BE324*INDEX('00 - Lists'!$M$2:$M$11,MATCH(L324,'00 - Lists'!$L$2:$L$11,0))/100000),"")</f>
        <v/>
      </c>
      <c r="BM324" s="35" t="str">
        <f aca="false">IFERROR(IF(BF324="","",BF324*INDEX('00 - Lists'!$M$2:$M$11,MATCH(L324,'00 - Lists'!$L$2:$L$11,0))/100000),"")</f>
        <v/>
      </c>
      <c r="BN324" s="35" t="str">
        <f aca="false">IFERROR(IF(BG324="","",BG324*INDEX('00 - Lists'!$M$2:$M$11,MATCH(L324,'00 - Lists'!$L$2:$L$11,0))/100000),"")</f>
        <v/>
      </c>
      <c r="BO324" s="35" t="str">
        <f aca="false">IFERROR(IF(BH324="","",BH324*INDEX('00 - Lists'!$M$2:$M$11,MATCH(L324,'00 - Lists'!$L$2:$L$11,0))/100000),"")</f>
        <v/>
      </c>
      <c r="BP324" s="35" t="str">
        <f aca="false">IFERROR(IF(BI324="","",BI324*INDEX('00 - Lists'!$M$2:$M$11,MATCH(L324,'00 - Lists'!$L$2:$L$11,0))/100000),"")</f>
        <v/>
      </c>
      <c r="BS324" s="36" t="str">
        <f aca="false">IF(O324="","",IF(O324&gt;=20,"Yes","No"))</f>
        <v/>
      </c>
      <c r="BT324" s="36" t="str">
        <f aca="false">IF(O324="","",IF(O324&gt;=30,"Yes","No"))</f>
        <v/>
      </c>
      <c r="BU324" s="36" t="str">
        <f aca="false">IF(O324="","",IF(O324&gt;=75,"Yes","No"))</f>
        <v/>
      </c>
      <c r="BV324" s="36" t="str">
        <f aca="false">IF(O324="","",IF(O324&gt;=100,"Yes","No"))</f>
        <v/>
      </c>
      <c r="BW324" s="36" t="str">
        <f aca="false">IF(O324="","",IF(O324&gt;=150,"Yes","No"))</f>
        <v/>
      </c>
      <c r="BX324" s="36" t="str">
        <f aca="false">IF(O324="","",IF(O324&gt;=200,"Yes","No"))</f>
        <v/>
      </c>
      <c r="BY324" s="36" t="str">
        <f aca="false">IF(Q324="","",IF(Q324&gt;=150000,"Yes","No"))</f>
        <v/>
      </c>
      <c r="BZ324" s="36" t="str">
        <f aca="false">IF(Q324="","",IF(Q324&gt;=200000,"Yes","No"))</f>
        <v/>
      </c>
      <c r="CA324" s="36" t="str">
        <f aca="false">IF(Q324="","",IF(Q324&gt;=250000,"Yes","No"))</f>
        <v/>
      </c>
      <c r="CB324" s="36" t="str">
        <f aca="false">IF(Q324="","",IF(Q324&gt;=300000,"Yes","No"))</f>
        <v/>
      </c>
      <c r="CC324" s="37"/>
      <c r="CD324" s="36" t="str">
        <f aca="true">IF(B324="","",IF(TODAY()-B324&lt;=7,"🟢 0-7d",IF(TODAY()-B324&lt;=30,"🟡 8-30d",IF(TODAY()-B324&lt;=60,"🟠 31-60d","🔴 60d+"))))</f>
        <v/>
      </c>
      <c r="CE324" s="36" t="str">
        <f aca="false">IF(G324="","",IF(G324&lt;&gt;"USA","N/A - Not USA Role",IF(J324="Yes",IF(OR(F324="Intern",F324="New Grad"),"🟡 Possible","🟢 Strong"),IF(J324="No","🔴 Difficult","⚪ Unknown"))))</f>
        <v/>
      </c>
      <c r="CF324" s="37"/>
      <c r="CG324" s="37"/>
      <c r="CH324" s="38"/>
      <c r="CI324" s="38"/>
      <c r="CJ324" s="38"/>
      <c r="CK324" s="38"/>
    </row>
    <row r="325" customFormat="false" ht="15" hidden="false" customHeight="true" outlineLevel="0" collapsed="false">
      <c r="A325" s="26" t="str">
        <f aca="false">IF($C325="","",ROW()-3)</f>
        <v/>
      </c>
      <c r="B325" s="27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9"/>
      <c r="N325" s="29"/>
      <c r="O325" s="30" t="str">
        <f aca="false">IFERROR(IF(M325="","",M325*INDEX('00 - Lists'!$M$2:$M$11,MATCH(L325,'00 - Lists'!$L$2:$L$11,0))/100000),"")</f>
        <v/>
      </c>
      <c r="P325" s="30" t="str">
        <f aca="false">IFERROR(IF(N325="","",N325*INDEX('00 - Lists'!$M$2:$M$11,MATCH(L325,'00 - Lists'!$L$2:$L$11,0))/100000),"")</f>
        <v/>
      </c>
      <c r="Q325" s="31" t="str">
        <f aca="false">IFERROR(IF(M325="","",M325*INDEX('00 - Lists'!$N$2:$N$11,MATCH(L325,'00 - Lists'!$L$2:$L$11,0))),"")</f>
        <v/>
      </c>
      <c r="R325" s="31" t="str">
        <f aca="false">IFERROR(IF(N325="","",N325*INDEX('00 - Lists'!$N$2:$N$11,MATCH(L325,'00 - Lists'!$L$2:$L$11,0))),"")</f>
        <v/>
      </c>
      <c r="S325" s="32" t="str">
        <f aca="false">IF(O325="","",IF(O325&gt;=50,"Yes","No"))</f>
        <v/>
      </c>
      <c r="T325" s="32" t="str">
        <f aca="false">IF(Q325="","",IF(Q325&gt;=100000,"Yes","No"))</f>
        <v/>
      </c>
      <c r="U325" s="28"/>
      <c r="V325" s="28"/>
      <c r="W325" s="28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J325" s="34" t="str">
        <f aca="false">IF(OR($BD325&lt;&gt;"",$BF325&lt;&gt;"",$BH325&lt;&gt;""),"Yes","No")</f>
        <v>No</v>
      </c>
      <c r="BK325" s="35" t="str">
        <f aca="false">IFERROR(IF(BD325="","",BD325*INDEX('00 - Lists'!$M$2:$M$11,MATCH(L325,'00 - Lists'!$L$2:$L$11,0))/100000),"")</f>
        <v/>
      </c>
      <c r="BL325" s="35" t="str">
        <f aca="false">IFERROR(IF(BE325="","",BE325*INDEX('00 - Lists'!$M$2:$M$11,MATCH(L325,'00 - Lists'!$L$2:$L$11,0))/100000),"")</f>
        <v/>
      </c>
      <c r="BM325" s="35" t="str">
        <f aca="false">IFERROR(IF(BF325="","",BF325*INDEX('00 - Lists'!$M$2:$M$11,MATCH(L325,'00 - Lists'!$L$2:$L$11,0))/100000),"")</f>
        <v/>
      </c>
      <c r="BN325" s="35" t="str">
        <f aca="false">IFERROR(IF(BG325="","",BG325*INDEX('00 - Lists'!$M$2:$M$11,MATCH(L325,'00 - Lists'!$L$2:$L$11,0))/100000),"")</f>
        <v/>
      </c>
      <c r="BO325" s="35" t="str">
        <f aca="false">IFERROR(IF(BH325="","",BH325*INDEX('00 - Lists'!$M$2:$M$11,MATCH(L325,'00 - Lists'!$L$2:$L$11,0))/100000),"")</f>
        <v/>
      </c>
      <c r="BP325" s="35" t="str">
        <f aca="false">IFERROR(IF(BI325="","",BI325*INDEX('00 - Lists'!$M$2:$M$11,MATCH(L325,'00 - Lists'!$L$2:$L$11,0))/100000),"")</f>
        <v/>
      </c>
      <c r="BS325" s="36" t="str">
        <f aca="false">IF(O325="","",IF(O325&gt;=20,"Yes","No"))</f>
        <v/>
      </c>
      <c r="BT325" s="36" t="str">
        <f aca="false">IF(O325="","",IF(O325&gt;=30,"Yes","No"))</f>
        <v/>
      </c>
      <c r="BU325" s="36" t="str">
        <f aca="false">IF(O325="","",IF(O325&gt;=75,"Yes","No"))</f>
        <v/>
      </c>
      <c r="BV325" s="36" t="str">
        <f aca="false">IF(O325="","",IF(O325&gt;=100,"Yes","No"))</f>
        <v/>
      </c>
      <c r="BW325" s="36" t="str">
        <f aca="false">IF(O325="","",IF(O325&gt;=150,"Yes","No"))</f>
        <v/>
      </c>
      <c r="BX325" s="36" t="str">
        <f aca="false">IF(O325="","",IF(O325&gt;=200,"Yes","No"))</f>
        <v/>
      </c>
      <c r="BY325" s="36" t="str">
        <f aca="false">IF(Q325="","",IF(Q325&gt;=150000,"Yes","No"))</f>
        <v/>
      </c>
      <c r="BZ325" s="36" t="str">
        <f aca="false">IF(Q325="","",IF(Q325&gt;=200000,"Yes","No"))</f>
        <v/>
      </c>
      <c r="CA325" s="36" t="str">
        <f aca="false">IF(Q325="","",IF(Q325&gt;=250000,"Yes","No"))</f>
        <v/>
      </c>
      <c r="CB325" s="36" t="str">
        <f aca="false">IF(Q325="","",IF(Q325&gt;=300000,"Yes","No"))</f>
        <v/>
      </c>
      <c r="CC325" s="37"/>
      <c r="CD325" s="36" t="str">
        <f aca="true">IF(B325="","",IF(TODAY()-B325&lt;=7,"🟢 0-7d",IF(TODAY()-B325&lt;=30,"🟡 8-30d",IF(TODAY()-B325&lt;=60,"🟠 31-60d","🔴 60d+"))))</f>
        <v/>
      </c>
      <c r="CE325" s="36" t="str">
        <f aca="false">IF(G325="","",IF(G325&lt;&gt;"USA","N/A - Not USA Role",IF(J325="Yes",IF(OR(F325="Intern",F325="New Grad"),"🟡 Possible","🟢 Strong"),IF(J325="No","🔴 Difficult","⚪ Unknown"))))</f>
        <v/>
      </c>
      <c r="CF325" s="37"/>
      <c r="CG325" s="37"/>
      <c r="CH325" s="38"/>
      <c r="CI325" s="38"/>
      <c r="CJ325" s="38"/>
      <c r="CK325" s="38"/>
    </row>
    <row r="326" customFormat="false" ht="15" hidden="false" customHeight="true" outlineLevel="0" collapsed="false">
      <c r="A326" s="26" t="str">
        <f aca="false">IF($C326="","",ROW()-3)</f>
        <v/>
      </c>
      <c r="B326" s="27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9"/>
      <c r="N326" s="29"/>
      <c r="O326" s="30" t="str">
        <f aca="false">IFERROR(IF(M326="","",M326*INDEX('00 - Lists'!$M$2:$M$11,MATCH(L326,'00 - Lists'!$L$2:$L$11,0))/100000),"")</f>
        <v/>
      </c>
      <c r="P326" s="30" t="str">
        <f aca="false">IFERROR(IF(N326="","",N326*INDEX('00 - Lists'!$M$2:$M$11,MATCH(L326,'00 - Lists'!$L$2:$L$11,0))/100000),"")</f>
        <v/>
      </c>
      <c r="Q326" s="31" t="str">
        <f aca="false">IFERROR(IF(M326="","",M326*INDEX('00 - Lists'!$N$2:$N$11,MATCH(L326,'00 - Lists'!$L$2:$L$11,0))),"")</f>
        <v/>
      </c>
      <c r="R326" s="31" t="str">
        <f aca="false">IFERROR(IF(N326="","",N326*INDEX('00 - Lists'!$N$2:$N$11,MATCH(L326,'00 - Lists'!$L$2:$L$11,0))),"")</f>
        <v/>
      </c>
      <c r="S326" s="32" t="str">
        <f aca="false">IF(O326="","",IF(O326&gt;=50,"Yes","No"))</f>
        <v/>
      </c>
      <c r="T326" s="32" t="str">
        <f aca="false">IF(Q326="","",IF(Q326&gt;=100000,"Yes","No"))</f>
        <v/>
      </c>
      <c r="U326" s="28"/>
      <c r="V326" s="28"/>
      <c r="W326" s="28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J326" s="34" t="str">
        <f aca="false">IF(OR($BD326&lt;&gt;"",$BF326&lt;&gt;"",$BH326&lt;&gt;""),"Yes","No")</f>
        <v>No</v>
      </c>
      <c r="BK326" s="35" t="str">
        <f aca="false">IFERROR(IF(BD326="","",BD326*INDEX('00 - Lists'!$M$2:$M$11,MATCH(L326,'00 - Lists'!$L$2:$L$11,0))/100000),"")</f>
        <v/>
      </c>
      <c r="BL326" s="35" t="str">
        <f aca="false">IFERROR(IF(BE326="","",BE326*INDEX('00 - Lists'!$M$2:$M$11,MATCH(L326,'00 - Lists'!$L$2:$L$11,0))/100000),"")</f>
        <v/>
      </c>
      <c r="BM326" s="35" t="str">
        <f aca="false">IFERROR(IF(BF326="","",BF326*INDEX('00 - Lists'!$M$2:$M$11,MATCH(L326,'00 - Lists'!$L$2:$L$11,0))/100000),"")</f>
        <v/>
      </c>
      <c r="BN326" s="35" t="str">
        <f aca="false">IFERROR(IF(BG326="","",BG326*INDEX('00 - Lists'!$M$2:$M$11,MATCH(L326,'00 - Lists'!$L$2:$L$11,0))/100000),"")</f>
        <v/>
      </c>
      <c r="BO326" s="35" t="str">
        <f aca="false">IFERROR(IF(BH326="","",BH326*INDEX('00 - Lists'!$M$2:$M$11,MATCH(L326,'00 - Lists'!$L$2:$L$11,0))/100000),"")</f>
        <v/>
      </c>
      <c r="BP326" s="35" t="str">
        <f aca="false">IFERROR(IF(BI326="","",BI326*INDEX('00 - Lists'!$M$2:$M$11,MATCH(L326,'00 - Lists'!$L$2:$L$11,0))/100000),"")</f>
        <v/>
      </c>
      <c r="BS326" s="36" t="str">
        <f aca="false">IF(O326="","",IF(O326&gt;=20,"Yes","No"))</f>
        <v/>
      </c>
      <c r="BT326" s="36" t="str">
        <f aca="false">IF(O326="","",IF(O326&gt;=30,"Yes","No"))</f>
        <v/>
      </c>
      <c r="BU326" s="36" t="str">
        <f aca="false">IF(O326="","",IF(O326&gt;=75,"Yes","No"))</f>
        <v/>
      </c>
      <c r="BV326" s="36" t="str">
        <f aca="false">IF(O326="","",IF(O326&gt;=100,"Yes","No"))</f>
        <v/>
      </c>
      <c r="BW326" s="36" t="str">
        <f aca="false">IF(O326="","",IF(O326&gt;=150,"Yes","No"))</f>
        <v/>
      </c>
      <c r="BX326" s="36" t="str">
        <f aca="false">IF(O326="","",IF(O326&gt;=200,"Yes","No"))</f>
        <v/>
      </c>
      <c r="BY326" s="36" t="str">
        <f aca="false">IF(Q326="","",IF(Q326&gt;=150000,"Yes","No"))</f>
        <v/>
      </c>
      <c r="BZ326" s="36" t="str">
        <f aca="false">IF(Q326="","",IF(Q326&gt;=200000,"Yes","No"))</f>
        <v/>
      </c>
      <c r="CA326" s="36" t="str">
        <f aca="false">IF(Q326="","",IF(Q326&gt;=250000,"Yes","No"))</f>
        <v/>
      </c>
      <c r="CB326" s="36" t="str">
        <f aca="false">IF(Q326="","",IF(Q326&gt;=300000,"Yes","No"))</f>
        <v/>
      </c>
      <c r="CC326" s="37"/>
      <c r="CD326" s="36" t="str">
        <f aca="true">IF(B326="","",IF(TODAY()-B326&lt;=7,"🟢 0-7d",IF(TODAY()-B326&lt;=30,"🟡 8-30d",IF(TODAY()-B326&lt;=60,"🟠 31-60d","🔴 60d+"))))</f>
        <v/>
      </c>
      <c r="CE326" s="36" t="str">
        <f aca="false">IF(G326="","",IF(G326&lt;&gt;"USA","N/A - Not USA Role",IF(J326="Yes",IF(OR(F326="Intern",F326="New Grad"),"🟡 Possible","🟢 Strong"),IF(J326="No","🔴 Difficult","⚪ Unknown"))))</f>
        <v/>
      </c>
      <c r="CF326" s="37"/>
      <c r="CG326" s="37"/>
      <c r="CH326" s="38"/>
      <c r="CI326" s="38"/>
      <c r="CJ326" s="38"/>
      <c r="CK326" s="38"/>
    </row>
    <row r="327" customFormat="false" ht="15" hidden="false" customHeight="true" outlineLevel="0" collapsed="false">
      <c r="A327" s="26" t="str">
        <f aca="false">IF($C327="","",ROW()-3)</f>
        <v/>
      </c>
      <c r="B327" s="27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9"/>
      <c r="N327" s="29"/>
      <c r="O327" s="30" t="str">
        <f aca="false">IFERROR(IF(M327="","",M327*INDEX('00 - Lists'!$M$2:$M$11,MATCH(L327,'00 - Lists'!$L$2:$L$11,0))/100000),"")</f>
        <v/>
      </c>
      <c r="P327" s="30" t="str">
        <f aca="false">IFERROR(IF(N327="","",N327*INDEX('00 - Lists'!$M$2:$M$11,MATCH(L327,'00 - Lists'!$L$2:$L$11,0))/100000),"")</f>
        <v/>
      </c>
      <c r="Q327" s="31" t="str">
        <f aca="false">IFERROR(IF(M327="","",M327*INDEX('00 - Lists'!$N$2:$N$11,MATCH(L327,'00 - Lists'!$L$2:$L$11,0))),"")</f>
        <v/>
      </c>
      <c r="R327" s="31" t="str">
        <f aca="false">IFERROR(IF(N327="","",N327*INDEX('00 - Lists'!$N$2:$N$11,MATCH(L327,'00 - Lists'!$L$2:$L$11,0))),"")</f>
        <v/>
      </c>
      <c r="S327" s="32" t="str">
        <f aca="false">IF(O327="","",IF(O327&gt;=50,"Yes","No"))</f>
        <v/>
      </c>
      <c r="T327" s="32" t="str">
        <f aca="false">IF(Q327="","",IF(Q327&gt;=100000,"Yes","No"))</f>
        <v/>
      </c>
      <c r="U327" s="28"/>
      <c r="V327" s="28"/>
      <c r="W327" s="28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J327" s="34" t="str">
        <f aca="false">IF(OR($BD327&lt;&gt;"",$BF327&lt;&gt;"",$BH327&lt;&gt;""),"Yes","No")</f>
        <v>No</v>
      </c>
      <c r="BK327" s="35" t="str">
        <f aca="false">IFERROR(IF(BD327="","",BD327*INDEX('00 - Lists'!$M$2:$M$11,MATCH(L327,'00 - Lists'!$L$2:$L$11,0))/100000),"")</f>
        <v/>
      </c>
      <c r="BL327" s="35" t="str">
        <f aca="false">IFERROR(IF(BE327="","",BE327*INDEX('00 - Lists'!$M$2:$M$11,MATCH(L327,'00 - Lists'!$L$2:$L$11,0))/100000),"")</f>
        <v/>
      </c>
      <c r="BM327" s="35" t="str">
        <f aca="false">IFERROR(IF(BF327="","",BF327*INDEX('00 - Lists'!$M$2:$M$11,MATCH(L327,'00 - Lists'!$L$2:$L$11,0))/100000),"")</f>
        <v/>
      </c>
      <c r="BN327" s="35" t="str">
        <f aca="false">IFERROR(IF(BG327="","",BG327*INDEX('00 - Lists'!$M$2:$M$11,MATCH(L327,'00 - Lists'!$L$2:$L$11,0))/100000),"")</f>
        <v/>
      </c>
      <c r="BO327" s="35" t="str">
        <f aca="false">IFERROR(IF(BH327="","",BH327*INDEX('00 - Lists'!$M$2:$M$11,MATCH(L327,'00 - Lists'!$L$2:$L$11,0))/100000),"")</f>
        <v/>
      </c>
      <c r="BP327" s="35" t="str">
        <f aca="false">IFERROR(IF(BI327="","",BI327*INDEX('00 - Lists'!$M$2:$M$11,MATCH(L327,'00 - Lists'!$L$2:$L$11,0))/100000),"")</f>
        <v/>
      </c>
      <c r="BS327" s="36" t="str">
        <f aca="false">IF(O327="","",IF(O327&gt;=20,"Yes","No"))</f>
        <v/>
      </c>
      <c r="BT327" s="36" t="str">
        <f aca="false">IF(O327="","",IF(O327&gt;=30,"Yes","No"))</f>
        <v/>
      </c>
      <c r="BU327" s="36" t="str">
        <f aca="false">IF(O327="","",IF(O327&gt;=75,"Yes","No"))</f>
        <v/>
      </c>
      <c r="BV327" s="36" t="str">
        <f aca="false">IF(O327="","",IF(O327&gt;=100,"Yes","No"))</f>
        <v/>
      </c>
      <c r="BW327" s="36" t="str">
        <f aca="false">IF(O327="","",IF(O327&gt;=150,"Yes","No"))</f>
        <v/>
      </c>
      <c r="BX327" s="36" t="str">
        <f aca="false">IF(O327="","",IF(O327&gt;=200,"Yes","No"))</f>
        <v/>
      </c>
      <c r="BY327" s="36" t="str">
        <f aca="false">IF(Q327="","",IF(Q327&gt;=150000,"Yes","No"))</f>
        <v/>
      </c>
      <c r="BZ327" s="36" t="str">
        <f aca="false">IF(Q327="","",IF(Q327&gt;=200000,"Yes","No"))</f>
        <v/>
      </c>
      <c r="CA327" s="36" t="str">
        <f aca="false">IF(Q327="","",IF(Q327&gt;=250000,"Yes","No"))</f>
        <v/>
      </c>
      <c r="CB327" s="36" t="str">
        <f aca="false">IF(Q327="","",IF(Q327&gt;=300000,"Yes","No"))</f>
        <v/>
      </c>
      <c r="CC327" s="37"/>
      <c r="CD327" s="36" t="str">
        <f aca="true">IF(B327="","",IF(TODAY()-B327&lt;=7,"🟢 0-7d",IF(TODAY()-B327&lt;=30,"🟡 8-30d",IF(TODAY()-B327&lt;=60,"🟠 31-60d","🔴 60d+"))))</f>
        <v/>
      </c>
      <c r="CE327" s="36" t="str">
        <f aca="false">IF(G327="","",IF(G327&lt;&gt;"USA","N/A - Not USA Role",IF(J327="Yes",IF(OR(F327="Intern",F327="New Grad"),"🟡 Possible","🟢 Strong"),IF(J327="No","🔴 Difficult","⚪ Unknown"))))</f>
        <v/>
      </c>
      <c r="CF327" s="37"/>
      <c r="CG327" s="37"/>
      <c r="CH327" s="38"/>
      <c r="CI327" s="38"/>
      <c r="CJ327" s="38"/>
      <c r="CK327" s="38"/>
    </row>
    <row r="328" customFormat="false" ht="15" hidden="false" customHeight="true" outlineLevel="0" collapsed="false">
      <c r="A328" s="26" t="str">
        <f aca="false">IF($C328="","",ROW()-3)</f>
        <v/>
      </c>
      <c r="B328" s="27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9"/>
      <c r="N328" s="29"/>
      <c r="O328" s="30" t="str">
        <f aca="false">IFERROR(IF(M328="","",M328*INDEX('00 - Lists'!$M$2:$M$11,MATCH(L328,'00 - Lists'!$L$2:$L$11,0))/100000),"")</f>
        <v/>
      </c>
      <c r="P328" s="30" t="str">
        <f aca="false">IFERROR(IF(N328="","",N328*INDEX('00 - Lists'!$M$2:$M$11,MATCH(L328,'00 - Lists'!$L$2:$L$11,0))/100000),"")</f>
        <v/>
      </c>
      <c r="Q328" s="31" t="str">
        <f aca="false">IFERROR(IF(M328="","",M328*INDEX('00 - Lists'!$N$2:$N$11,MATCH(L328,'00 - Lists'!$L$2:$L$11,0))),"")</f>
        <v/>
      </c>
      <c r="R328" s="31" t="str">
        <f aca="false">IFERROR(IF(N328="","",N328*INDEX('00 - Lists'!$N$2:$N$11,MATCH(L328,'00 - Lists'!$L$2:$L$11,0))),"")</f>
        <v/>
      </c>
      <c r="S328" s="32" t="str">
        <f aca="false">IF(O328="","",IF(O328&gt;=50,"Yes","No"))</f>
        <v/>
      </c>
      <c r="T328" s="32" t="str">
        <f aca="false">IF(Q328="","",IF(Q328&gt;=100000,"Yes","No"))</f>
        <v/>
      </c>
      <c r="U328" s="28"/>
      <c r="V328" s="28"/>
      <c r="W328" s="28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J328" s="34" t="str">
        <f aca="false">IF(OR($BD328&lt;&gt;"",$BF328&lt;&gt;"",$BH328&lt;&gt;""),"Yes","No")</f>
        <v>No</v>
      </c>
      <c r="BK328" s="35" t="str">
        <f aca="false">IFERROR(IF(BD328="","",BD328*INDEX('00 - Lists'!$M$2:$M$11,MATCH(L328,'00 - Lists'!$L$2:$L$11,0))/100000),"")</f>
        <v/>
      </c>
      <c r="BL328" s="35" t="str">
        <f aca="false">IFERROR(IF(BE328="","",BE328*INDEX('00 - Lists'!$M$2:$M$11,MATCH(L328,'00 - Lists'!$L$2:$L$11,0))/100000),"")</f>
        <v/>
      </c>
      <c r="BM328" s="35" t="str">
        <f aca="false">IFERROR(IF(BF328="","",BF328*INDEX('00 - Lists'!$M$2:$M$11,MATCH(L328,'00 - Lists'!$L$2:$L$11,0))/100000),"")</f>
        <v/>
      </c>
      <c r="BN328" s="35" t="str">
        <f aca="false">IFERROR(IF(BG328="","",BG328*INDEX('00 - Lists'!$M$2:$M$11,MATCH(L328,'00 - Lists'!$L$2:$L$11,0))/100000),"")</f>
        <v/>
      </c>
      <c r="BO328" s="35" t="str">
        <f aca="false">IFERROR(IF(BH328="","",BH328*INDEX('00 - Lists'!$M$2:$M$11,MATCH(L328,'00 - Lists'!$L$2:$L$11,0))/100000),"")</f>
        <v/>
      </c>
      <c r="BP328" s="35" t="str">
        <f aca="false">IFERROR(IF(BI328="","",BI328*INDEX('00 - Lists'!$M$2:$M$11,MATCH(L328,'00 - Lists'!$L$2:$L$11,0))/100000),"")</f>
        <v/>
      </c>
      <c r="BS328" s="36" t="str">
        <f aca="false">IF(O328="","",IF(O328&gt;=20,"Yes","No"))</f>
        <v/>
      </c>
      <c r="BT328" s="36" t="str">
        <f aca="false">IF(O328="","",IF(O328&gt;=30,"Yes","No"))</f>
        <v/>
      </c>
      <c r="BU328" s="36" t="str">
        <f aca="false">IF(O328="","",IF(O328&gt;=75,"Yes","No"))</f>
        <v/>
      </c>
      <c r="BV328" s="36" t="str">
        <f aca="false">IF(O328="","",IF(O328&gt;=100,"Yes","No"))</f>
        <v/>
      </c>
      <c r="BW328" s="36" t="str">
        <f aca="false">IF(O328="","",IF(O328&gt;=150,"Yes","No"))</f>
        <v/>
      </c>
      <c r="BX328" s="36" t="str">
        <f aca="false">IF(O328="","",IF(O328&gt;=200,"Yes","No"))</f>
        <v/>
      </c>
      <c r="BY328" s="36" t="str">
        <f aca="false">IF(Q328="","",IF(Q328&gt;=150000,"Yes","No"))</f>
        <v/>
      </c>
      <c r="BZ328" s="36" t="str">
        <f aca="false">IF(Q328="","",IF(Q328&gt;=200000,"Yes","No"))</f>
        <v/>
      </c>
      <c r="CA328" s="36" t="str">
        <f aca="false">IF(Q328="","",IF(Q328&gt;=250000,"Yes","No"))</f>
        <v/>
      </c>
      <c r="CB328" s="36" t="str">
        <f aca="false">IF(Q328="","",IF(Q328&gt;=300000,"Yes","No"))</f>
        <v/>
      </c>
      <c r="CC328" s="37"/>
      <c r="CD328" s="36" t="str">
        <f aca="true">IF(B328="","",IF(TODAY()-B328&lt;=7,"🟢 0-7d",IF(TODAY()-B328&lt;=30,"🟡 8-30d",IF(TODAY()-B328&lt;=60,"🟠 31-60d","🔴 60d+"))))</f>
        <v/>
      </c>
      <c r="CE328" s="36" t="str">
        <f aca="false">IF(G328="","",IF(G328&lt;&gt;"USA","N/A - Not USA Role",IF(J328="Yes",IF(OR(F328="Intern",F328="New Grad"),"🟡 Possible","🟢 Strong"),IF(J328="No","🔴 Difficult","⚪ Unknown"))))</f>
        <v/>
      </c>
      <c r="CF328" s="37"/>
      <c r="CG328" s="37"/>
      <c r="CH328" s="38"/>
      <c r="CI328" s="38"/>
      <c r="CJ328" s="38"/>
      <c r="CK328" s="38"/>
    </row>
    <row r="329" customFormat="false" ht="15" hidden="false" customHeight="true" outlineLevel="0" collapsed="false">
      <c r="A329" s="26" t="str">
        <f aca="false">IF($C329="","",ROW()-3)</f>
        <v/>
      </c>
      <c r="B329" s="27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9"/>
      <c r="N329" s="29"/>
      <c r="O329" s="30" t="str">
        <f aca="false">IFERROR(IF(M329="","",M329*INDEX('00 - Lists'!$M$2:$M$11,MATCH(L329,'00 - Lists'!$L$2:$L$11,0))/100000),"")</f>
        <v/>
      </c>
      <c r="P329" s="30" t="str">
        <f aca="false">IFERROR(IF(N329="","",N329*INDEX('00 - Lists'!$M$2:$M$11,MATCH(L329,'00 - Lists'!$L$2:$L$11,0))/100000),"")</f>
        <v/>
      </c>
      <c r="Q329" s="31" t="str">
        <f aca="false">IFERROR(IF(M329="","",M329*INDEX('00 - Lists'!$N$2:$N$11,MATCH(L329,'00 - Lists'!$L$2:$L$11,0))),"")</f>
        <v/>
      </c>
      <c r="R329" s="31" t="str">
        <f aca="false">IFERROR(IF(N329="","",N329*INDEX('00 - Lists'!$N$2:$N$11,MATCH(L329,'00 - Lists'!$L$2:$L$11,0))),"")</f>
        <v/>
      </c>
      <c r="S329" s="32" t="str">
        <f aca="false">IF(O329="","",IF(O329&gt;=50,"Yes","No"))</f>
        <v/>
      </c>
      <c r="T329" s="32" t="str">
        <f aca="false">IF(Q329="","",IF(Q329&gt;=100000,"Yes","No"))</f>
        <v/>
      </c>
      <c r="U329" s="28"/>
      <c r="V329" s="28"/>
      <c r="W329" s="28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J329" s="34" t="str">
        <f aca="false">IF(OR($BD329&lt;&gt;"",$BF329&lt;&gt;"",$BH329&lt;&gt;""),"Yes","No")</f>
        <v>No</v>
      </c>
      <c r="BK329" s="35" t="str">
        <f aca="false">IFERROR(IF(BD329="","",BD329*INDEX('00 - Lists'!$M$2:$M$11,MATCH(L329,'00 - Lists'!$L$2:$L$11,0))/100000),"")</f>
        <v/>
      </c>
      <c r="BL329" s="35" t="str">
        <f aca="false">IFERROR(IF(BE329="","",BE329*INDEX('00 - Lists'!$M$2:$M$11,MATCH(L329,'00 - Lists'!$L$2:$L$11,0))/100000),"")</f>
        <v/>
      </c>
      <c r="BM329" s="35" t="str">
        <f aca="false">IFERROR(IF(BF329="","",BF329*INDEX('00 - Lists'!$M$2:$M$11,MATCH(L329,'00 - Lists'!$L$2:$L$11,0))/100000),"")</f>
        <v/>
      </c>
      <c r="BN329" s="35" t="str">
        <f aca="false">IFERROR(IF(BG329="","",BG329*INDEX('00 - Lists'!$M$2:$M$11,MATCH(L329,'00 - Lists'!$L$2:$L$11,0))/100000),"")</f>
        <v/>
      </c>
      <c r="BO329" s="35" t="str">
        <f aca="false">IFERROR(IF(BH329="","",BH329*INDEX('00 - Lists'!$M$2:$M$11,MATCH(L329,'00 - Lists'!$L$2:$L$11,0))/100000),"")</f>
        <v/>
      </c>
      <c r="BP329" s="35" t="str">
        <f aca="false">IFERROR(IF(BI329="","",BI329*INDEX('00 - Lists'!$M$2:$M$11,MATCH(L329,'00 - Lists'!$L$2:$L$11,0))/100000),"")</f>
        <v/>
      </c>
      <c r="BS329" s="36" t="str">
        <f aca="false">IF(O329="","",IF(O329&gt;=20,"Yes","No"))</f>
        <v/>
      </c>
      <c r="BT329" s="36" t="str">
        <f aca="false">IF(O329="","",IF(O329&gt;=30,"Yes","No"))</f>
        <v/>
      </c>
      <c r="BU329" s="36" t="str">
        <f aca="false">IF(O329="","",IF(O329&gt;=75,"Yes","No"))</f>
        <v/>
      </c>
      <c r="BV329" s="36" t="str">
        <f aca="false">IF(O329="","",IF(O329&gt;=100,"Yes","No"))</f>
        <v/>
      </c>
      <c r="BW329" s="36" t="str">
        <f aca="false">IF(O329="","",IF(O329&gt;=150,"Yes","No"))</f>
        <v/>
      </c>
      <c r="BX329" s="36" t="str">
        <f aca="false">IF(O329="","",IF(O329&gt;=200,"Yes","No"))</f>
        <v/>
      </c>
      <c r="BY329" s="36" t="str">
        <f aca="false">IF(Q329="","",IF(Q329&gt;=150000,"Yes","No"))</f>
        <v/>
      </c>
      <c r="BZ329" s="36" t="str">
        <f aca="false">IF(Q329="","",IF(Q329&gt;=200000,"Yes","No"))</f>
        <v/>
      </c>
      <c r="CA329" s="36" t="str">
        <f aca="false">IF(Q329="","",IF(Q329&gt;=250000,"Yes","No"))</f>
        <v/>
      </c>
      <c r="CB329" s="36" t="str">
        <f aca="false">IF(Q329="","",IF(Q329&gt;=300000,"Yes","No"))</f>
        <v/>
      </c>
      <c r="CC329" s="37"/>
      <c r="CD329" s="36" t="str">
        <f aca="true">IF(B329="","",IF(TODAY()-B329&lt;=7,"🟢 0-7d",IF(TODAY()-B329&lt;=30,"🟡 8-30d",IF(TODAY()-B329&lt;=60,"🟠 31-60d","🔴 60d+"))))</f>
        <v/>
      </c>
      <c r="CE329" s="36" t="str">
        <f aca="false">IF(G329="","",IF(G329&lt;&gt;"USA","N/A - Not USA Role",IF(J329="Yes",IF(OR(F329="Intern",F329="New Grad"),"🟡 Possible","🟢 Strong"),IF(J329="No","🔴 Difficult","⚪ Unknown"))))</f>
        <v/>
      </c>
      <c r="CF329" s="37"/>
      <c r="CG329" s="37"/>
      <c r="CH329" s="38"/>
      <c r="CI329" s="38"/>
      <c r="CJ329" s="38"/>
      <c r="CK329" s="38"/>
    </row>
    <row r="330" customFormat="false" ht="15" hidden="false" customHeight="true" outlineLevel="0" collapsed="false">
      <c r="A330" s="26" t="str">
        <f aca="false">IF($C330="","",ROW()-3)</f>
        <v/>
      </c>
      <c r="B330" s="27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9"/>
      <c r="N330" s="29"/>
      <c r="O330" s="30" t="str">
        <f aca="false">IFERROR(IF(M330="","",M330*INDEX('00 - Lists'!$M$2:$M$11,MATCH(L330,'00 - Lists'!$L$2:$L$11,0))/100000),"")</f>
        <v/>
      </c>
      <c r="P330" s="30" t="str">
        <f aca="false">IFERROR(IF(N330="","",N330*INDEX('00 - Lists'!$M$2:$M$11,MATCH(L330,'00 - Lists'!$L$2:$L$11,0))/100000),"")</f>
        <v/>
      </c>
      <c r="Q330" s="31" t="str">
        <f aca="false">IFERROR(IF(M330="","",M330*INDEX('00 - Lists'!$N$2:$N$11,MATCH(L330,'00 - Lists'!$L$2:$L$11,0))),"")</f>
        <v/>
      </c>
      <c r="R330" s="31" t="str">
        <f aca="false">IFERROR(IF(N330="","",N330*INDEX('00 - Lists'!$N$2:$N$11,MATCH(L330,'00 - Lists'!$L$2:$L$11,0))),"")</f>
        <v/>
      </c>
      <c r="S330" s="32" t="str">
        <f aca="false">IF(O330="","",IF(O330&gt;=50,"Yes","No"))</f>
        <v/>
      </c>
      <c r="T330" s="32" t="str">
        <f aca="false">IF(Q330="","",IF(Q330&gt;=100000,"Yes","No"))</f>
        <v/>
      </c>
      <c r="U330" s="28"/>
      <c r="V330" s="28"/>
      <c r="W330" s="28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J330" s="34" t="str">
        <f aca="false">IF(OR($BD330&lt;&gt;"",$BF330&lt;&gt;"",$BH330&lt;&gt;""),"Yes","No")</f>
        <v>No</v>
      </c>
      <c r="BK330" s="35" t="str">
        <f aca="false">IFERROR(IF(BD330="","",BD330*INDEX('00 - Lists'!$M$2:$M$11,MATCH(L330,'00 - Lists'!$L$2:$L$11,0))/100000),"")</f>
        <v/>
      </c>
      <c r="BL330" s="35" t="str">
        <f aca="false">IFERROR(IF(BE330="","",BE330*INDEX('00 - Lists'!$M$2:$M$11,MATCH(L330,'00 - Lists'!$L$2:$L$11,0))/100000),"")</f>
        <v/>
      </c>
      <c r="BM330" s="35" t="str">
        <f aca="false">IFERROR(IF(BF330="","",BF330*INDEX('00 - Lists'!$M$2:$M$11,MATCH(L330,'00 - Lists'!$L$2:$L$11,0))/100000),"")</f>
        <v/>
      </c>
      <c r="BN330" s="35" t="str">
        <f aca="false">IFERROR(IF(BG330="","",BG330*INDEX('00 - Lists'!$M$2:$M$11,MATCH(L330,'00 - Lists'!$L$2:$L$11,0))/100000),"")</f>
        <v/>
      </c>
      <c r="BO330" s="35" t="str">
        <f aca="false">IFERROR(IF(BH330="","",BH330*INDEX('00 - Lists'!$M$2:$M$11,MATCH(L330,'00 - Lists'!$L$2:$L$11,0))/100000),"")</f>
        <v/>
      </c>
      <c r="BP330" s="35" t="str">
        <f aca="false">IFERROR(IF(BI330="","",BI330*INDEX('00 - Lists'!$M$2:$M$11,MATCH(L330,'00 - Lists'!$L$2:$L$11,0))/100000),"")</f>
        <v/>
      </c>
      <c r="BS330" s="36" t="str">
        <f aca="false">IF(O330="","",IF(O330&gt;=20,"Yes","No"))</f>
        <v/>
      </c>
      <c r="BT330" s="36" t="str">
        <f aca="false">IF(O330="","",IF(O330&gt;=30,"Yes","No"))</f>
        <v/>
      </c>
      <c r="BU330" s="36" t="str">
        <f aca="false">IF(O330="","",IF(O330&gt;=75,"Yes","No"))</f>
        <v/>
      </c>
      <c r="BV330" s="36" t="str">
        <f aca="false">IF(O330="","",IF(O330&gt;=100,"Yes","No"))</f>
        <v/>
      </c>
      <c r="BW330" s="36" t="str">
        <f aca="false">IF(O330="","",IF(O330&gt;=150,"Yes","No"))</f>
        <v/>
      </c>
      <c r="BX330" s="36" t="str">
        <f aca="false">IF(O330="","",IF(O330&gt;=200,"Yes","No"))</f>
        <v/>
      </c>
      <c r="BY330" s="36" t="str">
        <f aca="false">IF(Q330="","",IF(Q330&gt;=150000,"Yes","No"))</f>
        <v/>
      </c>
      <c r="BZ330" s="36" t="str">
        <f aca="false">IF(Q330="","",IF(Q330&gt;=200000,"Yes","No"))</f>
        <v/>
      </c>
      <c r="CA330" s="36" t="str">
        <f aca="false">IF(Q330="","",IF(Q330&gt;=250000,"Yes","No"))</f>
        <v/>
      </c>
      <c r="CB330" s="36" t="str">
        <f aca="false">IF(Q330="","",IF(Q330&gt;=300000,"Yes","No"))</f>
        <v/>
      </c>
      <c r="CC330" s="37"/>
      <c r="CD330" s="36" t="str">
        <f aca="true">IF(B330="","",IF(TODAY()-B330&lt;=7,"🟢 0-7d",IF(TODAY()-B330&lt;=30,"🟡 8-30d",IF(TODAY()-B330&lt;=60,"🟠 31-60d","🔴 60d+"))))</f>
        <v/>
      </c>
      <c r="CE330" s="36" t="str">
        <f aca="false">IF(G330="","",IF(G330&lt;&gt;"USA","N/A - Not USA Role",IF(J330="Yes",IF(OR(F330="Intern",F330="New Grad"),"🟡 Possible","🟢 Strong"),IF(J330="No","🔴 Difficult","⚪ Unknown"))))</f>
        <v/>
      </c>
      <c r="CF330" s="37"/>
      <c r="CG330" s="37"/>
      <c r="CH330" s="38"/>
      <c r="CI330" s="38"/>
      <c r="CJ330" s="38"/>
      <c r="CK330" s="38"/>
    </row>
    <row r="331" customFormat="false" ht="15" hidden="false" customHeight="true" outlineLevel="0" collapsed="false">
      <c r="A331" s="26" t="str">
        <f aca="false">IF($C331="","",ROW()-3)</f>
        <v/>
      </c>
      <c r="B331" s="27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9"/>
      <c r="N331" s="29"/>
      <c r="O331" s="30" t="str">
        <f aca="false">IFERROR(IF(M331="","",M331*INDEX('00 - Lists'!$M$2:$M$11,MATCH(L331,'00 - Lists'!$L$2:$L$11,0))/100000),"")</f>
        <v/>
      </c>
      <c r="P331" s="30" t="str">
        <f aca="false">IFERROR(IF(N331="","",N331*INDEX('00 - Lists'!$M$2:$M$11,MATCH(L331,'00 - Lists'!$L$2:$L$11,0))/100000),"")</f>
        <v/>
      </c>
      <c r="Q331" s="31" t="str">
        <f aca="false">IFERROR(IF(M331="","",M331*INDEX('00 - Lists'!$N$2:$N$11,MATCH(L331,'00 - Lists'!$L$2:$L$11,0))),"")</f>
        <v/>
      </c>
      <c r="R331" s="31" t="str">
        <f aca="false">IFERROR(IF(N331="","",N331*INDEX('00 - Lists'!$N$2:$N$11,MATCH(L331,'00 - Lists'!$L$2:$L$11,0))),"")</f>
        <v/>
      </c>
      <c r="S331" s="32" t="str">
        <f aca="false">IF(O331="","",IF(O331&gt;=50,"Yes","No"))</f>
        <v/>
      </c>
      <c r="T331" s="32" t="str">
        <f aca="false">IF(Q331="","",IF(Q331&gt;=100000,"Yes","No"))</f>
        <v/>
      </c>
      <c r="U331" s="28"/>
      <c r="V331" s="28"/>
      <c r="W331" s="28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J331" s="34" t="str">
        <f aca="false">IF(OR($BD331&lt;&gt;"",$BF331&lt;&gt;"",$BH331&lt;&gt;""),"Yes","No")</f>
        <v>No</v>
      </c>
      <c r="BK331" s="35" t="str">
        <f aca="false">IFERROR(IF(BD331="","",BD331*INDEX('00 - Lists'!$M$2:$M$11,MATCH(L331,'00 - Lists'!$L$2:$L$11,0))/100000),"")</f>
        <v/>
      </c>
      <c r="BL331" s="35" t="str">
        <f aca="false">IFERROR(IF(BE331="","",BE331*INDEX('00 - Lists'!$M$2:$M$11,MATCH(L331,'00 - Lists'!$L$2:$L$11,0))/100000),"")</f>
        <v/>
      </c>
      <c r="BM331" s="35" t="str">
        <f aca="false">IFERROR(IF(BF331="","",BF331*INDEX('00 - Lists'!$M$2:$M$11,MATCH(L331,'00 - Lists'!$L$2:$L$11,0))/100000),"")</f>
        <v/>
      </c>
      <c r="BN331" s="35" t="str">
        <f aca="false">IFERROR(IF(BG331="","",BG331*INDEX('00 - Lists'!$M$2:$M$11,MATCH(L331,'00 - Lists'!$L$2:$L$11,0))/100000),"")</f>
        <v/>
      </c>
      <c r="BO331" s="35" t="str">
        <f aca="false">IFERROR(IF(BH331="","",BH331*INDEX('00 - Lists'!$M$2:$M$11,MATCH(L331,'00 - Lists'!$L$2:$L$11,0))/100000),"")</f>
        <v/>
      </c>
      <c r="BP331" s="35" t="str">
        <f aca="false">IFERROR(IF(BI331="","",BI331*INDEX('00 - Lists'!$M$2:$M$11,MATCH(L331,'00 - Lists'!$L$2:$L$11,0))/100000),"")</f>
        <v/>
      </c>
      <c r="BS331" s="36" t="str">
        <f aca="false">IF(O331="","",IF(O331&gt;=20,"Yes","No"))</f>
        <v/>
      </c>
      <c r="BT331" s="36" t="str">
        <f aca="false">IF(O331="","",IF(O331&gt;=30,"Yes","No"))</f>
        <v/>
      </c>
      <c r="BU331" s="36" t="str">
        <f aca="false">IF(O331="","",IF(O331&gt;=75,"Yes","No"))</f>
        <v/>
      </c>
      <c r="BV331" s="36" t="str">
        <f aca="false">IF(O331="","",IF(O331&gt;=100,"Yes","No"))</f>
        <v/>
      </c>
      <c r="BW331" s="36" t="str">
        <f aca="false">IF(O331="","",IF(O331&gt;=150,"Yes","No"))</f>
        <v/>
      </c>
      <c r="BX331" s="36" t="str">
        <f aca="false">IF(O331="","",IF(O331&gt;=200,"Yes","No"))</f>
        <v/>
      </c>
      <c r="BY331" s="36" t="str">
        <f aca="false">IF(Q331="","",IF(Q331&gt;=150000,"Yes","No"))</f>
        <v/>
      </c>
      <c r="BZ331" s="36" t="str">
        <f aca="false">IF(Q331="","",IF(Q331&gt;=200000,"Yes","No"))</f>
        <v/>
      </c>
      <c r="CA331" s="36" t="str">
        <f aca="false">IF(Q331="","",IF(Q331&gt;=250000,"Yes","No"))</f>
        <v/>
      </c>
      <c r="CB331" s="36" t="str">
        <f aca="false">IF(Q331="","",IF(Q331&gt;=300000,"Yes","No"))</f>
        <v/>
      </c>
      <c r="CC331" s="37"/>
      <c r="CD331" s="36" t="str">
        <f aca="true">IF(B331="","",IF(TODAY()-B331&lt;=7,"🟢 0-7d",IF(TODAY()-B331&lt;=30,"🟡 8-30d",IF(TODAY()-B331&lt;=60,"🟠 31-60d","🔴 60d+"))))</f>
        <v/>
      </c>
      <c r="CE331" s="36" t="str">
        <f aca="false">IF(G331="","",IF(G331&lt;&gt;"USA","N/A - Not USA Role",IF(J331="Yes",IF(OR(F331="Intern",F331="New Grad"),"🟡 Possible","🟢 Strong"),IF(J331="No","🔴 Difficult","⚪ Unknown"))))</f>
        <v/>
      </c>
      <c r="CF331" s="37"/>
      <c r="CG331" s="37"/>
      <c r="CH331" s="38"/>
      <c r="CI331" s="38"/>
      <c r="CJ331" s="38"/>
      <c r="CK331" s="38"/>
    </row>
    <row r="332" customFormat="false" ht="15" hidden="false" customHeight="true" outlineLevel="0" collapsed="false">
      <c r="A332" s="26" t="str">
        <f aca="false">IF($C332="","",ROW()-3)</f>
        <v/>
      </c>
      <c r="B332" s="27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9"/>
      <c r="N332" s="29"/>
      <c r="O332" s="30" t="str">
        <f aca="false">IFERROR(IF(M332="","",M332*INDEX('00 - Lists'!$M$2:$M$11,MATCH(L332,'00 - Lists'!$L$2:$L$11,0))/100000),"")</f>
        <v/>
      </c>
      <c r="P332" s="30" t="str">
        <f aca="false">IFERROR(IF(N332="","",N332*INDEX('00 - Lists'!$M$2:$M$11,MATCH(L332,'00 - Lists'!$L$2:$L$11,0))/100000),"")</f>
        <v/>
      </c>
      <c r="Q332" s="31" t="str">
        <f aca="false">IFERROR(IF(M332="","",M332*INDEX('00 - Lists'!$N$2:$N$11,MATCH(L332,'00 - Lists'!$L$2:$L$11,0))),"")</f>
        <v/>
      </c>
      <c r="R332" s="31" t="str">
        <f aca="false">IFERROR(IF(N332="","",N332*INDEX('00 - Lists'!$N$2:$N$11,MATCH(L332,'00 - Lists'!$L$2:$L$11,0))),"")</f>
        <v/>
      </c>
      <c r="S332" s="32" t="str">
        <f aca="false">IF(O332="","",IF(O332&gt;=50,"Yes","No"))</f>
        <v/>
      </c>
      <c r="T332" s="32" t="str">
        <f aca="false">IF(Q332="","",IF(Q332&gt;=100000,"Yes","No"))</f>
        <v/>
      </c>
      <c r="U332" s="28"/>
      <c r="V332" s="28"/>
      <c r="W332" s="28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J332" s="34" t="str">
        <f aca="false">IF(OR($BD332&lt;&gt;"",$BF332&lt;&gt;"",$BH332&lt;&gt;""),"Yes","No")</f>
        <v>No</v>
      </c>
      <c r="BK332" s="35" t="str">
        <f aca="false">IFERROR(IF(BD332="","",BD332*INDEX('00 - Lists'!$M$2:$M$11,MATCH(L332,'00 - Lists'!$L$2:$L$11,0))/100000),"")</f>
        <v/>
      </c>
      <c r="BL332" s="35" t="str">
        <f aca="false">IFERROR(IF(BE332="","",BE332*INDEX('00 - Lists'!$M$2:$M$11,MATCH(L332,'00 - Lists'!$L$2:$L$11,0))/100000),"")</f>
        <v/>
      </c>
      <c r="BM332" s="35" t="str">
        <f aca="false">IFERROR(IF(BF332="","",BF332*INDEX('00 - Lists'!$M$2:$M$11,MATCH(L332,'00 - Lists'!$L$2:$L$11,0))/100000),"")</f>
        <v/>
      </c>
      <c r="BN332" s="35" t="str">
        <f aca="false">IFERROR(IF(BG332="","",BG332*INDEX('00 - Lists'!$M$2:$M$11,MATCH(L332,'00 - Lists'!$L$2:$L$11,0))/100000),"")</f>
        <v/>
      </c>
      <c r="BO332" s="35" t="str">
        <f aca="false">IFERROR(IF(BH332="","",BH332*INDEX('00 - Lists'!$M$2:$M$11,MATCH(L332,'00 - Lists'!$L$2:$L$11,0))/100000),"")</f>
        <v/>
      </c>
      <c r="BP332" s="35" t="str">
        <f aca="false">IFERROR(IF(BI332="","",BI332*INDEX('00 - Lists'!$M$2:$M$11,MATCH(L332,'00 - Lists'!$L$2:$L$11,0))/100000),"")</f>
        <v/>
      </c>
      <c r="BS332" s="36" t="str">
        <f aca="false">IF(O332="","",IF(O332&gt;=20,"Yes","No"))</f>
        <v/>
      </c>
      <c r="BT332" s="36" t="str">
        <f aca="false">IF(O332="","",IF(O332&gt;=30,"Yes","No"))</f>
        <v/>
      </c>
      <c r="BU332" s="36" t="str">
        <f aca="false">IF(O332="","",IF(O332&gt;=75,"Yes","No"))</f>
        <v/>
      </c>
      <c r="BV332" s="36" t="str">
        <f aca="false">IF(O332="","",IF(O332&gt;=100,"Yes","No"))</f>
        <v/>
      </c>
      <c r="BW332" s="36" t="str">
        <f aca="false">IF(O332="","",IF(O332&gt;=150,"Yes","No"))</f>
        <v/>
      </c>
      <c r="BX332" s="36" t="str">
        <f aca="false">IF(O332="","",IF(O332&gt;=200,"Yes","No"))</f>
        <v/>
      </c>
      <c r="BY332" s="36" t="str">
        <f aca="false">IF(Q332="","",IF(Q332&gt;=150000,"Yes","No"))</f>
        <v/>
      </c>
      <c r="BZ332" s="36" t="str">
        <f aca="false">IF(Q332="","",IF(Q332&gt;=200000,"Yes","No"))</f>
        <v/>
      </c>
      <c r="CA332" s="36" t="str">
        <f aca="false">IF(Q332="","",IF(Q332&gt;=250000,"Yes","No"))</f>
        <v/>
      </c>
      <c r="CB332" s="36" t="str">
        <f aca="false">IF(Q332="","",IF(Q332&gt;=300000,"Yes","No"))</f>
        <v/>
      </c>
      <c r="CC332" s="37"/>
      <c r="CD332" s="36" t="str">
        <f aca="true">IF(B332="","",IF(TODAY()-B332&lt;=7,"🟢 0-7d",IF(TODAY()-B332&lt;=30,"🟡 8-30d",IF(TODAY()-B332&lt;=60,"🟠 31-60d","🔴 60d+"))))</f>
        <v/>
      </c>
      <c r="CE332" s="36" t="str">
        <f aca="false">IF(G332="","",IF(G332&lt;&gt;"USA","N/A - Not USA Role",IF(J332="Yes",IF(OR(F332="Intern",F332="New Grad"),"🟡 Possible","🟢 Strong"),IF(J332="No","🔴 Difficult","⚪ Unknown"))))</f>
        <v/>
      </c>
      <c r="CF332" s="37"/>
      <c r="CG332" s="37"/>
      <c r="CH332" s="38"/>
      <c r="CI332" s="38"/>
      <c r="CJ332" s="38"/>
      <c r="CK332" s="38"/>
    </row>
    <row r="333" customFormat="false" ht="15" hidden="false" customHeight="true" outlineLevel="0" collapsed="false">
      <c r="A333" s="26" t="str">
        <f aca="false">IF($C333="","",ROW()-3)</f>
        <v/>
      </c>
      <c r="B333" s="27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9"/>
      <c r="N333" s="29"/>
      <c r="O333" s="30" t="str">
        <f aca="false">IFERROR(IF(M333="","",M333*INDEX('00 - Lists'!$M$2:$M$11,MATCH(L333,'00 - Lists'!$L$2:$L$11,0))/100000),"")</f>
        <v/>
      </c>
      <c r="P333" s="30" t="str">
        <f aca="false">IFERROR(IF(N333="","",N333*INDEX('00 - Lists'!$M$2:$M$11,MATCH(L333,'00 - Lists'!$L$2:$L$11,0))/100000),"")</f>
        <v/>
      </c>
      <c r="Q333" s="31" t="str">
        <f aca="false">IFERROR(IF(M333="","",M333*INDEX('00 - Lists'!$N$2:$N$11,MATCH(L333,'00 - Lists'!$L$2:$L$11,0))),"")</f>
        <v/>
      </c>
      <c r="R333" s="31" t="str">
        <f aca="false">IFERROR(IF(N333="","",N333*INDEX('00 - Lists'!$N$2:$N$11,MATCH(L333,'00 - Lists'!$L$2:$L$11,0))),"")</f>
        <v/>
      </c>
      <c r="S333" s="32" t="str">
        <f aca="false">IF(O333="","",IF(O333&gt;=50,"Yes","No"))</f>
        <v/>
      </c>
      <c r="T333" s="32" t="str">
        <f aca="false">IF(Q333="","",IF(Q333&gt;=100000,"Yes","No"))</f>
        <v/>
      </c>
      <c r="U333" s="28"/>
      <c r="V333" s="28"/>
      <c r="W333" s="28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J333" s="34" t="str">
        <f aca="false">IF(OR($BD333&lt;&gt;"",$BF333&lt;&gt;"",$BH333&lt;&gt;""),"Yes","No")</f>
        <v>No</v>
      </c>
      <c r="BK333" s="35" t="str">
        <f aca="false">IFERROR(IF(BD333="","",BD333*INDEX('00 - Lists'!$M$2:$M$11,MATCH(L333,'00 - Lists'!$L$2:$L$11,0))/100000),"")</f>
        <v/>
      </c>
      <c r="BL333" s="35" t="str">
        <f aca="false">IFERROR(IF(BE333="","",BE333*INDEX('00 - Lists'!$M$2:$M$11,MATCH(L333,'00 - Lists'!$L$2:$L$11,0))/100000),"")</f>
        <v/>
      </c>
      <c r="BM333" s="35" t="str">
        <f aca="false">IFERROR(IF(BF333="","",BF333*INDEX('00 - Lists'!$M$2:$M$11,MATCH(L333,'00 - Lists'!$L$2:$L$11,0))/100000),"")</f>
        <v/>
      </c>
      <c r="BN333" s="35" t="str">
        <f aca="false">IFERROR(IF(BG333="","",BG333*INDEX('00 - Lists'!$M$2:$M$11,MATCH(L333,'00 - Lists'!$L$2:$L$11,0))/100000),"")</f>
        <v/>
      </c>
      <c r="BO333" s="35" t="str">
        <f aca="false">IFERROR(IF(BH333="","",BH333*INDEX('00 - Lists'!$M$2:$M$11,MATCH(L333,'00 - Lists'!$L$2:$L$11,0))/100000),"")</f>
        <v/>
      </c>
      <c r="BP333" s="35" t="str">
        <f aca="false">IFERROR(IF(BI333="","",BI333*INDEX('00 - Lists'!$M$2:$M$11,MATCH(L333,'00 - Lists'!$L$2:$L$11,0))/100000),"")</f>
        <v/>
      </c>
      <c r="BS333" s="36" t="str">
        <f aca="false">IF(O333="","",IF(O333&gt;=20,"Yes","No"))</f>
        <v/>
      </c>
      <c r="BT333" s="36" t="str">
        <f aca="false">IF(O333="","",IF(O333&gt;=30,"Yes","No"))</f>
        <v/>
      </c>
      <c r="BU333" s="36" t="str">
        <f aca="false">IF(O333="","",IF(O333&gt;=75,"Yes","No"))</f>
        <v/>
      </c>
      <c r="BV333" s="36" t="str">
        <f aca="false">IF(O333="","",IF(O333&gt;=100,"Yes","No"))</f>
        <v/>
      </c>
      <c r="BW333" s="36" t="str">
        <f aca="false">IF(O333="","",IF(O333&gt;=150,"Yes","No"))</f>
        <v/>
      </c>
      <c r="BX333" s="36" t="str">
        <f aca="false">IF(O333="","",IF(O333&gt;=200,"Yes","No"))</f>
        <v/>
      </c>
      <c r="BY333" s="36" t="str">
        <f aca="false">IF(Q333="","",IF(Q333&gt;=150000,"Yes","No"))</f>
        <v/>
      </c>
      <c r="BZ333" s="36" t="str">
        <f aca="false">IF(Q333="","",IF(Q333&gt;=200000,"Yes","No"))</f>
        <v/>
      </c>
      <c r="CA333" s="36" t="str">
        <f aca="false">IF(Q333="","",IF(Q333&gt;=250000,"Yes","No"))</f>
        <v/>
      </c>
      <c r="CB333" s="36" t="str">
        <f aca="false">IF(Q333="","",IF(Q333&gt;=300000,"Yes","No"))</f>
        <v/>
      </c>
      <c r="CC333" s="37"/>
      <c r="CD333" s="36" t="str">
        <f aca="true">IF(B333="","",IF(TODAY()-B333&lt;=7,"🟢 0-7d",IF(TODAY()-B333&lt;=30,"🟡 8-30d",IF(TODAY()-B333&lt;=60,"🟠 31-60d","🔴 60d+"))))</f>
        <v/>
      </c>
      <c r="CE333" s="36" t="str">
        <f aca="false">IF(G333="","",IF(G333&lt;&gt;"USA","N/A - Not USA Role",IF(J333="Yes",IF(OR(F333="Intern",F333="New Grad"),"🟡 Possible","🟢 Strong"),IF(J333="No","🔴 Difficult","⚪ Unknown"))))</f>
        <v/>
      </c>
      <c r="CF333" s="37"/>
      <c r="CG333" s="37"/>
      <c r="CH333" s="38"/>
      <c r="CI333" s="38"/>
      <c r="CJ333" s="38"/>
      <c r="CK333" s="38"/>
    </row>
    <row r="334" customFormat="false" ht="15" hidden="false" customHeight="true" outlineLevel="0" collapsed="false">
      <c r="A334" s="26" t="str">
        <f aca="false">IF($C334="","",ROW()-3)</f>
        <v/>
      </c>
      <c r="B334" s="27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9"/>
      <c r="N334" s="29"/>
      <c r="O334" s="30" t="str">
        <f aca="false">IFERROR(IF(M334="","",M334*INDEX('00 - Lists'!$M$2:$M$11,MATCH(L334,'00 - Lists'!$L$2:$L$11,0))/100000),"")</f>
        <v/>
      </c>
      <c r="P334" s="30" t="str">
        <f aca="false">IFERROR(IF(N334="","",N334*INDEX('00 - Lists'!$M$2:$M$11,MATCH(L334,'00 - Lists'!$L$2:$L$11,0))/100000),"")</f>
        <v/>
      </c>
      <c r="Q334" s="31" t="str">
        <f aca="false">IFERROR(IF(M334="","",M334*INDEX('00 - Lists'!$N$2:$N$11,MATCH(L334,'00 - Lists'!$L$2:$L$11,0))),"")</f>
        <v/>
      </c>
      <c r="R334" s="31" t="str">
        <f aca="false">IFERROR(IF(N334="","",N334*INDEX('00 - Lists'!$N$2:$N$11,MATCH(L334,'00 - Lists'!$L$2:$L$11,0))),"")</f>
        <v/>
      </c>
      <c r="S334" s="32" t="str">
        <f aca="false">IF(O334="","",IF(O334&gt;=50,"Yes","No"))</f>
        <v/>
      </c>
      <c r="T334" s="32" t="str">
        <f aca="false">IF(Q334="","",IF(Q334&gt;=100000,"Yes","No"))</f>
        <v/>
      </c>
      <c r="U334" s="28"/>
      <c r="V334" s="28"/>
      <c r="W334" s="28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J334" s="34" t="str">
        <f aca="false">IF(OR($BD334&lt;&gt;"",$BF334&lt;&gt;"",$BH334&lt;&gt;""),"Yes","No")</f>
        <v>No</v>
      </c>
      <c r="BK334" s="35" t="str">
        <f aca="false">IFERROR(IF(BD334="","",BD334*INDEX('00 - Lists'!$M$2:$M$11,MATCH(L334,'00 - Lists'!$L$2:$L$11,0))/100000),"")</f>
        <v/>
      </c>
      <c r="BL334" s="35" t="str">
        <f aca="false">IFERROR(IF(BE334="","",BE334*INDEX('00 - Lists'!$M$2:$M$11,MATCH(L334,'00 - Lists'!$L$2:$L$11,0))/100000),"")</f>
        <v/>
      </c>
      <c r="BM334" s="35" t="str">
        <f aca="false">IFERROR(IF(BF334="","",BF334*INDEX('00 - Lists'!$M$2:$M$11,MATCH(L334,'00 - Lists'!$L$2:$L$11,0))/100000),"")</f>
        <v/>
      </c>
      <c r="BN334" s="35" t="str">
        <f aca="false">IFERROR(IF(BG334="","",BG334*INDEX('00 - Lists'!$M$2:$M$11,MATCH(L334,'00 - Lists'!$L$2:$L$11,0))/100000),"")</f>
        <v/>
      </c>
      <c r="BO334" s="35" t="str">
        <f aca="false">IFERROR(IF(BH334="","",BH334*INDEX('00 - Lists'!$M$2:$M$11,MATCH(L334,'00 - Lists'!$L$2:$L$11,0))/100000),"")</f>
        <v/>
      </c>
      <c r="BP334" s="35" t="str">
        <f aca="false">IFERROR(IF(BI334="","",BI334*INDEX('00 - Lists'!$M$2:$M$11,MATCH(L334,'00 - Lists'!$L$2:$L$11,0))/100000),"")</f>
        <v/>
      </c>
      <c r="BS334" s="36" t="str">
        <f aca="false">IF(O334="","",IF(O334&gt;=20,"Yes","No"))</f>
        <v/>
      </c>
      <c r="BT334" s="36" t="str">
        <f aca="false">IF(O334="","",IF(O334&gt;=30,"Yes","No"))</f>
        <v/>
      </c>
      <c r="BU334" s="36" t="str">
        <f aca="false">IF(O334="","",IF(O334&gt;=75,"Yes","No"))</f>
        <v/>
      </c>
      <c r="BV334" s="36" t="str">
        <f aca="false">IF(O334="","",IF(O334&gt;=100,"Yes","No"))</f>
        <v/>
      </c>
      <c r="BW334" s="36" t="str">
        <f aca="false">IF(O334="","",IF(O334&gt;=150,"Yes","No"))</f>
        <v/>
      </c>
      <c r="BX334" s="36" t="str">
        <f aca="false">IF(O334="","",IF(O334&gt;=200,"Yes","No"))</f>
        <v/>
      </c>
      <c r="BY334" s="36" t="str">
        <f aca="false">IF(Q334="","",IF(Q334&gt;=150000,"Yes","No"))</f>
        <v/>
      </c>
      <c r="BZ334" s="36" t="str">
        <f aca="false">IF(Q334="","",IF(Q334&gt;=200000,"Yes","No"))</f>
        <v/>
      </c>
      <c r="CA334" s="36" t="str">
        <f aca="false">IF(Q334="","",IF(Q334&gt;=250000,"Yes","No"))</f>
        <v/>
      </c>
      <c r="CB334" s="36" t="str">
        <f aca="false">IF(Q334="","",IF(Q334&gt;=300000,"Yes","No"))</f>
        <v/>
      </c>
      <c r="CC334" s="37"/>
      <c r="CD334" s="36" t="str">
        <f aca="true">IF(B334="","",IF(TODAY()-B334&lt;=7,"🟢 0-7d",IF(TODAY()-B334&lt;=30,"🟡 8-30d",IF(TODAY()-B334&lt;=60,"🟠 31-60d","🔴 60d+"))))</f>
        <v/>
      </c>
      <c r="CE334" s="36" t="str">
        <f aca="false">IF(G334="","",IF(G334&lt;&gt;"USA","N/A - Not USA Role",IF(J334="Yes",IF(OR(F334="Intern",F334="New Grad"),"🟡 Possible","🟢 Strong"),IF(J334="No","🔴 Difficult","⚪ Unknown"))))</f>
        <v/>
      </c>
      <c r="CF334" s="37"/>
      <c r="CG334" s="37"/>
      <c r="CH334" s="38"/>
      <c r="CI334" s="38"/>
      <c r="CJ334" s="38"/>
      <c r="CK334" s="38"/>
    </row>
    <row r="335" customFormat="false" ht="15" hidden="false" customHeight="true" outlineLevel="0" collapsed="false">
      <c r="A335" s="26" t="str">
        <f aca="false">IF($C335="","",ROW()-3)</f>
        <v/>
      </c>
      <c r="B335" s="27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9"/>
      <c r="N335" s="29"/>
      <c r="O335" s="30" t="str">
        <f aca="false">IFERROR(IF(M335="","",M335*INDEX('00 - Lists'!$M$2:$M$11,MATCH(L335,'00 - Lists'!$L$2:$L$11,0))/100000),"")</f>
        <v/>
      </c>
      <c r="P335" s="30" t="str">
        <f aca="false">IFERROR(IF(N335="","",N335*INDEX('00 - Lists'!$M$2:$M$11,MATCH(L335,'00 - Lists'!$L$2:$L$11,0))/100000),"")</f>
        <v/>
      </c>
      <c r="Q335" s="31" t="str">
        <f aca="false">IFERROR(IF(M335="","",M335*INDEX('00 - Lists'!$N$2:$N$11,MATCH(L335,'00 - Lists'!$L$2:$L$11,0))),"")</f>
        <v/>
      </c>
      <c r="R335" s="31" t="str">
        <f aca="false">IFERROR(IF(N335="","",N335*INDEX('00 - Lists'!$N$2:$N$11,MATCH(L335,'00 - Lists'!$L$2:$L$11,0))),"")</f>
        <v/>
      </c>
      <c r="S335" s="32" t="str">
        <f aca="false">IF(O335="","",IF(O335&gt;=50,"Yes","No"))</f>
        <v/>
      </c>
      <c r="T335" s="32" t="str">
        <f aca="false">IF(Q335="","",IF(Q335&gt;=100000,"Yes","No"))</f>
        <v/>
      </c>
      <c r="U335" s="28"/>
      <c r="V335" s="28"/>
      <c r="W335" s="28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J335" s="34" t="str">
        <f aca="false">IF(OR($BD335&lt;&gt;"",$BF335&lt;&gt;"",$BH335&lt;&gt;""),"Yes","No")</f>
        <v>No</v>
      </c>
      <c r="BK335" s="35" t="str">
        <f aca="false">IFERROR(IF(BD335="","",BD335*INDEX('00 - Lists'!$M$2:$M$11,MATCH(L335,'00 - Lists'!$L$2:$L$11,0))/100000),"")</f>
        <v/>
      </c>
      <c r="BL335" s="35" t="str">
        <f aca="false">IFERROR(IF(BE335="","",BE335*INDEX('00 - Lists'!$M$2:$M$11,MATCH(L335,'00 - Lists'!$L$2:$L$11,0))/100000),"")</f>
        <v/>
      </c>
      <c r="BM335" s="35" t="str">
        <f aca="false">IFERROR(IF(BF335="","",BF335*INDEX('00 - Lists'!$M$2:$M$11,MATCH(L335,'00 - Lists'!$L$2:$L$11,0))/100000),"")</f>
        <v/>
      </c>
      <c r="BN335" s="35" t="str">
        <f aca="false">IFERROR(IF(BG335="","",BG335*INDEX('00 - Lists'!$M$2:$M$11,MATCH(L335,'00 - Lists'!$L$2:$L$11,0))/100000),"")</f>
        <v/>
      </c>
      <c r="BO335" s="35" t="str">
        <f aca="false">IFERROR(IF(BH335="","",BH335*INDEX('00 - Lists'!$M$2:$M$11,MATCH(L335,'00 - Lists'!$L$2:$L$11,0))/100000),"")</f>
        <v/>
      </c>
      <c r="BP335" s="35" t="str">
        <f aca="false">IFERROR(IF(BI335="","",BI335*INDEX('00 - Lists'!$M$2:$M$11,MATCH(L335,'00 - Lists'!$L$2:$L$11,0))/100000),"")</f>
        <v/>
      </c>
      <c r="BS335" s="36" t="str">
        <f aca="false">IF(O335="","",IF(O335&gt;=20,"Yes","No"))</f>
        <v/>
      </c>
      <c r="BT335" s="36" t="str">
        <f aca="false">IF(O335="","",IF(O335&gt;=30,"Yes","No"))</f>
        <v/>
      </c>
      <c r="BU335" s="36" t="str">
        <f aca="false">IF(O335="","",IF(O335&gt;=75,"Yes","No"))</f>
        <v/>
      </c>
      <c r="BV335" s="36" t="str">
        <f aca="false">IF(O335="","",IF(O335&gt;=100,"Yes","No"))</f>
        <v/>
      </c>
      <c r="BW335" s="36" t="str">
        <f aca="false">IF(O335="","",IF(O335&gt;=150,"Yes","No"))</f>
        <v/>
      </c>
      <c r="BX335" s="36" t="str">
        <f aca="false">IF(O335="","",IF(O335&gt;=200,"Yes","No"))</f>
        <v/>
      </c>
      <c r="BY335" s="36" t="str">
        <f aca="false">IF(Q335="","",IF(Q335&gt;=150000,"Yes","No"))</f>
        <v/>
      </c>
      <c r="BZ335" s="36" t="str">
        <f aca="false">IF(Q335="","",IF(Q335&gt;=200000,"Yes","No"))</f>
        <v/>
      </c>
      <c r="CA335" s="36" t="str">
        <f aca="false">IF(Q335="","",IF(Q335&gt;=250000,"Yes","No"))</f>
        <v/>
      </c>
      <c r="CB335" s="36" t="str">
        <f aca="false">IF(Q335="","",IF(Q335&gt;=300000,"Yes","No"))</f>
        <v/>
      </c>
      <c r="CC335" s="37"/>
      <c r="CD335" s="36" t="str">
        <f aca="true">IF(B335="","",IF(TODAY()-B335&lt;=7,"🟢 0-7d",IF(TODAY()-B335&lt;=30,"🟡 8-30d",IF(TODAY()-B335&lt;=60,"🟠 31-60d","🔴 60d+"))))</f>
        <v/>
      </c>
      <c r="CE335" s="36" t="str">
        <f aca="false">IF(G335="","",IF(G335&lt;&gt;"USA","N/A - Not USA Role",IF(J335="Yes",IF(OR(F335="Intern",F335="New Grad"),"🟡 Possible","🟢 Strong"),IF(J335="No","🔴 Difficult","⚪ Unknown"))))</f>
        <v/>
      </c>
      <c r="CF335" s="37"/>
      <c r="CG335" s="37"/>
      <c r="CH335" s="38"/>
      <c r="CI335" s="38"/>
      <c r="CJ335" s="38"/>
      <c r="CK335" s="38"/>
    </row>
    <row r="336" customFormat="false" ht="15" hidden="false" customHeight="true" outlineLevel="0" collapsed="false">
      <c r="A336" s="26" t="str">
        <f aca="false">IF($C336="","",ROW()-3)</f>
        <v/>
      </c>
      <c r="B336" s="27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9"/>
      <c r="N336" s="29"/>
      <c r="O336" s="30" t="str">
        <f aca="false">IFERROR(IF(M336="","",M336*INDEX('00 - Lists'!$M$2:$M$11,MATCH(L336,'00 - Lists'!$L$2:$L$11,0))/100000),"")</f>
        <v/>
      </c>
      <c r="P336" s="30" t="str">
        <f aca="false">IFERROR(IF(N336="","",N336*INDEX('00 - Lists'!$M$2:$M$11,MATCH(L336,'00 - Lists'!$L$2:$L$11,0))/100000),"")</f>
        <v/>
      </c>
      <c r="Q336" s="31" t="str">
        <f aca="false">IFERROR(IF(M336="","",M336*INDEX('00 - Lists'!$N$2:$N$11,MATCH(L336,'00 - Lists'!$L$2:$L$11,0))),"")</f>
        <v/>
      </c>
      <c r="R336" s="31" t="str">
        <f aca="false">IFERROR(IF(N336="","",N336*INDEX('00 - Lists'!$N$2:$N$11,MATCH(L336,'00 - Lists'!$L$2:$L$11,0))),"")</f>
        <v/>
      </c>
      <c r="S336" s="32" t="str">
        <f aca="false">IF(O336="","",IF(O336&gt;=50,"Yes","No"))</f>
        <v/>
      </c>
      <c r="T336" s="32" t="str">
        <f aca="false">IF(Q336="","",IF(Q336&gt;=100000,"Yes","No"))</f>
        <v/>
      </c>
      <c r="U336" s="28"/>
      <c r="V336" s="28"/>
      <c r="W336" s="28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J336" s="34" t="str">
        <f aca="false">IF(OR($BD336&lt;&gt;"",$BF336&lt;&gt;"",$BH336&lt;&gt;""),"Yes","No")</f>
        <v>No</v>
      </c>
      <c r="BK336" s="35" t="str">
        <f aca="false">IFERROR(IF(BD336="","",BD336*INDEX('00 - Lists'!$M$2:$M$11,MATCH(L336,'00 - Lists'!$L$2:$L$11,0))/100000),"")</f>
        <v/>
      </c>
      <c r="BL336" s="35" t="str">
        <f aca="false">IFERROR(IF(BE336="","",BE336*INDEX('00 - Lists'!$M$2:$M$11,MATCH(L336,'00 - Lists'!$L$2:$L$11,0))/100000),"")</f>
        <v/>
      </c>
      <c r="BM336" s="35" t="str">
        <f aca="false">IFERROR(IF(BF336="","",BF336*INDEX('00 - Lists'!$M$2:$M$11,MATCH(L336,'00 - Lists'!$L$2:$L$11,0))/100000),"")</f>
        <v/>
      </c>
      <c r="BN336" s="35" t="str">
        <f aca="false">IFERROR(IF(BG336="","",BG336*INDEX('00 - Lists'!$M$2:$M$11,MATCH(L336,'00 - Lists'!$L$2:$L$11,0))/100000),"")</f>
        <v/>
      </c>
      <c r="BO336" s="35" t="str">
        <f aca="false">IFERROR(IF(BH336="","",BH336*INDEX('00 - Lists'!$M$2:$M$11,MATCH(L336,'00 - Lists'!$L$2:$L$11,0))/100000),"")</f>
        <v/>
      </c>
      <c r="BP336" s="35" t="str">
        <f aca="false">IFERROR(IF(BI336="","",BI336*INDEX('00 - Lists'!$M$2:$M$11,MATCH(L336,'00 - Lists'!$L$2:$L$11,0))/100000),"")</f>
        <v/>
      </c>
      <c r="BS336" s="36" t="str">
        <f aca="false">IF(O336="","",IF(O336&gt;=20,"Yes","No"))</f>
        <v/>
      </c>
      <c r="BT336" s="36" t="str">
        <f aca="false">IF(O336="","",IF(O336&gt;=30,"Yes","No"))</f>
        <v/>
      </c>
      <c r="BU336" s="36" t="str">
        <f aca="false">IF(O336="","",IF(O336&gt;=75,"Yes","No"))</f>
        <v/>
      </c>
      <c r="BV336" s="36" t="str">
        <f aca="false">IF(O336="","",IF(O336&gt;=100,"Yes","No"))</f>
        <v/>
      </c>
      <c r="BW336" s="36" t="str">
        <f aca="false">IF(O336="","",IF(O336&gt;=150,"Yes","No"))</f>
        <v/>
      </c>
      <c r="BX336" s="36" t="str">
        <f aca="false">IF(O336="","",IF(O336&gt;=200,"Yes","No"))</f>
        <v/>
      </c>
      <c r="BY336" s="36" t="str">
        <f aca="false">IF(Q336="","",IF(Q336&gt;=150000,"Yes","No"))</f>
        <v/>
      </c>
      <c r="BZ336" s="36" t="str">
        <f aca="false">IF(Q336="","",IF(Q336&gt;=200000,"Yes","No"))</f>
        <v/>
      </c>
      <c r="CA336" s="36" t="str">
        <f aca="false">IF(Q336="","",IF(Q336&gt;=250000,"Yes","No"))</f>
        <v/>
      </c>
      <c r="CB336" s="36" t="str">
        <f aca="false">IF(Q336="","",IF(Q336&gt;=300000,"Yes","No"))</f>
        <v/>
      </c>
      <c r="CC336" s="37"/>
      <c r="CD336" s="36" t="str">
        <f aca="true">IF(B336="","",IF(TODAY()-B336&lt;=7,"🟢 0-7d",IF(TODAY()-B336&lt;=30,"🟡 8-30d",IF(TODAY()-B336&lt;=60,"🟠 31-60d","🔴 60d+"))))</f>
        <v/>
      </c>
      <c r="CE336" s="36" t="str">
        <f aca="false">IF(G336="","",IF(G336&lt;&gt;"USA","N/A - Not USA Role",IF(J336="Yes",IF(OR(F336="Intern",F336="New Grad"),"🟡 Possible","🟢 Strong"),IF(J336="No","🔴 Difficult","⚪ Unknown"))))</f>
        <v/>
      </c>
      <c r="CF336" s="37"/>
      <c r="CG336" s="37"/>
      <c r="CH336" s="38"/>
      <c r="CI336" s="38"/>
      <c r="CJ336" s="38"/>
      <c r="CK336" s="38"/>
    </row>
    <row r="337" customFormat="false" ht="15" hidden="false" customHeight="true" outlineLevel="0" collapsed="false">
      <c r="A337" s="26" t="str">
        <f aca="false">IF($C337="","",ROW()-3)</f>
        <v/>
      </c>
      <c r="B337" s="27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9"/>
      <c r="N337" s="29"/>
      <c r="O337" s="30" t="str">
        <f aca="false">IFERROR(IF(M337="","",M337*INDEX('00 - Lists'!$M$2:$M$11,MATCH(L337,'00 - Lists'!$L$2:$L$11,0))/100000),"")</f>
        <v/>
      </c>
      <c r="P337" s="30" t="str">
        <f aca="false">IFERROR(IF(N337="","",N337*INDEX('00 - Lists'!$M$2:$M$11,MATCH(L337,'00 - Lists'!$L$2:$L$11,0))/100000),"")</f>
        <v/>
      </c>
      <c r="Q337" s="31" t="str">
        <f aca="false">IFERROR(IF(M337="","",M337*INDEX('00 - Lists'!$N$2:$N$11,MATCH(L337,'00 - Lists'!$L$2:$L$11,0))),"")</f>
        <v/>
      </c>
      <c r="R337" s="31" t="str">
        <f aca="false">IFERROR(IF(N337="","",N337*INDEX('00 - Lists'!$N$2:$N$11,MATCH(L337,'00 - Lists'!$L$2:$L$11,0))),"")</f>
        <v/>
      </c>
      <c r="S337" s="32" t="str">
        <f aca="false">IF(O337="","",IF(O337&gt;=50,"Yes","No"))</f>
        <v/>
      </c>
      <c r="T337" s="32" t="str">
        <f aca="false">IF(Q337="","",IF(Q337&gt;=100000,"Yes","No"))</f>
        <v/>
      </c>
      <c r="U337" s="28"/>
      <c r="V337" s="28"/>
      <c r="W337" s="28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J337" s="34" t="str">
        <f aca="false">IF(OR($BD337&lt;&gt;"",$BF337&lt;&gt;"",$BH337&lt;&gt;""),"Yes","No")</f>
        <v>No</v>
      </c>
      <c r="BK337" s="35" t="str">
        <f aca="false">IFERROR(IF(BD337="","",BD337*INDEX('00 - Lists'!$M$2:$M$11,MATCH(L337,'00 - Lists'!$L$2:$L$11,0))/100000),"")</f>
        <v/>
      </c>
      <c r="BL337" s="35" t="str">
        <f aca="false">IFERROR(IF(BE337="","",BE337*INDEX('00 - Lists'!$M$2:$M$11,MATCH(L337,'00 - Lists'!$L$2:$L$11,0))/100000),"")</f>
        <v/>
      </c>
      <c r="BM337" s="35" t="str">
        <f aca="false">IFERROR(IF(BF337="","",BF337*INDEX('00 - Lists'!$M$2:$M$11,MATCH(L337,'00 - Lists'!$L$2:$L$11,0))/100000),"")</f>
        <v/>
      </c>
      <c r="BN337" s="35" t="str">
        <f aca="false">IFERROR(IF(BG337="","",BG337*INDEX('00 - Lists'!$M$2:$M$11,MATCH(L337,'00 - Lists'!$L$2:$L$11,0))/100000),"")</f>
        <v/>
      </c>
      <c r="BO337" s="35" t="str">
        <f aca="false">IFERROR(IF(BH337="","",BH337*INDEX('00 - Lists'!$M$2:$M$11,MATCH(L337,'00 - Lists'!$L$2:$L$11,0))/100000),"")</f>
        <v/>
      </c>
      <c r="BP337" s="35" t="str">
        <f aca="false">IFERROR(IF(BI337="","",BI337*INDEX('00 - Lists'!$M$2:$M$11,MATCH(L337,'00 - Lists'!$L$2:$L$11,0))/100000),"")</f>
        <v/>
      </c>
      <c r="BS337" s="36" t="str">
        <f aca="false">IF(O337="","",IF(O337&gt;=20,"Yes","No"))</f>
        <v/>
      </c>
      <c r="BT337" s="36" t="str">
        <f aca="false">IF(O337="","",IF(O337&gt;=30,"Yes","No"))</f>
        <v/>
      </c>
      <c r="BU337" s="36" t="str">
        <f aca="false">IF(O337="","",IF(O337&gt;=75,"Yes","No"))</f>
        <v/>
      </c>
      <c r="BV337" s="36" t="str">
        <f aca="false">IF(O337="","",IF(O337&gt;=100,"Yes","No"))</f>
        <v/>
      </c>
      <c r="BW337" s="36" t="str">
        <f aca="false">IF(O337="","",IF(O337&gt;=150,"Yes","No"))</f>
        <v/>
      </c>
      <c r="BX337" s="36" t="str">
        <f aca="false">IF(O337="","",IF(O337&gt;=200,"Yes","No"))</f>
        <v/>
      </c>
      <c r="BY337" s="36" t="str">
        <f aca="false">IF(Q337="","",IF(Q337&gt;=150000,"Yes","No"))</f>
        <v/>
      </c>
      <c r="BZ337" s="36" t="str">
        <f aca="false">IF(Q337="","",IF(Q337&gt;=200000,"Yes","No"))</f>
        <v/>
      </c>
      <c r="CA337" s="36" t="str">
        <f aca="false">IF(Q337="","",IF(Q337&gt;=250000,"Yes","No"))</f>
        <v/>
      </c>
      <c r="CB337" s="36" t="str">
        <f aca="false">IF(Q337="","",IF(Q337&gt;=300000,"Yes","No"))</f>
        <v/>
      </c>
      <c r="CC337" s="37"/>
      <c r="CD337" s="36" t="str">
        <f aca="true">IF(B337="","",IF(TODAY()-B337&lt;=7,"🟢 0-7d",IF(TODAY()-B337&lt;=30,"🟡 8-30d",IF(TODAY()-B337&lt;=60,"🟠 31-60d","🔴 60d+"))))</f>
        <v/>
      </c>
      <c r="CE337" s="36" t="str">
        <f aca="false">IF(G337="","",IF(G337&lt;&gt;"USA","N/A - Not USA Role",IF(J337="Yes",IF(OR(F337="Intern",F337="New Grad"),"🟡 Possible","🟢 Strong"),IF(J337="No","🔴 Difficult","⚪ Unknown"))))</f>
        <v/>
      </c>
      <c r="CF337" s="37"/>
      <c r="CG337" s="37"/>
      <c r="CH337" s="38"/>
      <c r="CI337" s="38"/>
      <c r="CJ337" s="38"/>
      <c r="CK337" s="38"/>
    </row>
    <row r="338" customFormat="false" ht="15" hidden="false" customHeight="true" outlineLevel="0" collapsed="false">
      <c r="A338" s="26" t="str">
        <f aca="false">IF($C338="","",ROW()-3)</f>
        <v/>
      </c>
      <c r="B338" s="27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9"/>
      <c r="N338" s="29"/>
      <c r="O338" s="30" t="str">
        <f aca="false">IFERROR(IF(M338="","",M338*INDEX('00 - Lists'!$M$2:$M$11,MATCH(L338,'00 - Lists'!$L$2:$L$11,0))/100000),"")</f>
        <v/>
      </c>
      <c r="P338" s="30" t="str">
        <f aca="false">IFERROR(IF(N338="","",N338*INDEX('00 - Lists'!$M$2:$M$11,MATCH(L338,'00 - Lists'!$L$2:$L$11,0))/100000),"")</f>
        <v/>
      </c>
      <c r="Q338" s="31" t="str">
        <f aca="false">IFERROR(IF(M338="","",M338*INDEX('00 - Lists'!$N$2:$N$11,MATCH(L338,'00 - Lists'!$L$2:$L$11,0))),"")</f>
        <v/>
      </c>
      <c r="R338" s="31" t="str">
        <f aca="false">IFERROR(IF(N338="","",N338*INDEX('00 - Lists'!$N$2:$N$11,MATCH(L338,'00 - Lists'!$L$2:$L$11,0))),"")</f>
        <v/>
      </c>
      <c r="S338" s="32" t="str">
        <f aca="false">IF(O338="","",IF(O338&gt;=50,"Yes","No"))</f>
        <v/>
      </c>
      <c r="T338" s="32" t="str">
        <f aca="false">IF(Q338="","",IF(Q338&gt;=100000,"Yes","No"))</f>
        <v/>
      </c>
      <c r="U338" s="28"/>
      <c r="V338" s="28"/>
      <c r="W338" s="28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J338" s="34" t="str">
        <f aca="false">IF(OR($BD338&lt;&gt;"",$BF338&lt;&gt;"",$BH338&lt;&gt;""),"Yes","No")</f>
        <v>No</v>
      </c>
      <c r="BK338" s="35" t="str">
        <f aca="false">IFERROR(IF(BD338="","",BD338*INDEX('00 - Lists'!$M$2:$M$11,MATCH(L338,'00 - Lists'!$L$2:$L$11,0))/100000),"")</f>
        <v/>
      </c>
      <c r="BL338" s="35" t="str">
        <f aca="false">IFERROR(IF(BE338="","",BE338*INDEX('00 - Lists'!$M$2:$M$11,MATCH(L338,'00 - Lists'!$L$2:$L$11,0))/100000),"")</f>
        <v/>
      </c>
      <c r="BM338" s="35" t="str">
        <f aca="false">IFERROR(IF(BF338="","",BF338*INDEX('00 - Lists'!$M$2:$M$11,MATCH(L338,'00 - Lists'!$L$2:$L$11,0))/100000),"")</f>
        <v/>
      </c>
      <c r="BN338" s="35" t="str">
        <f aca="false">IFERROR(IF(BG338="","",BG338*INDEX('00 - Lists'!$M$2:$M$11,MATCH(L338,'00 - Lists'!$L$2:$L$11,0))/100000),"")</f>
        <v/>
      </c>
      <c r="BO338" s="35" t="str">
        <f aca="false">IFERROR(IF(BH338="","",BH338*INDEX('00 - Lists'!$M$2:$M$11,MATCH(L338,'00 - Lists'!$L$2:$L$11,0))/100000),"")</f>
        <v/>
      </c>
      <c r="BP338" s="35" t="str">
        <f aca="false">IFERROR(IF(BI338="","",BI338*INDEX('00 - Lists'!$M$2:$M$11,MATCH(L338,'00 - Lists'!$L$2:$L$11,0))/100000),"")</f>
        <v/>
      </c>
      <c r="BS338" s="36" t="str">
        <f aca="false">IF(O338="","",IF(O338&gt;=20,"Yes","No"))</f>
        <v/>
      </c>
      <c r="BT338" s="36" t="str">
        <f aca="false">IF(O338="","",IF(O338&gt;=30,"Yes","No"))</f>
        <v/>
      </c>
      <c r="BU338" s="36" t="str">
        <f aca="false">IF(O338="","",IF(O338&gt;=75,"Yes","No"))</f>
        <v/>
      </c>
      <c r="BV338" s="36" t="str">
        <f aca="false">IF(O338="","",IF(O338&gt;=100,"Yes","No"))</f>
        <v/>
      </c>
      <c r="BW338" s="36" t="str">
        <f aca="false">IF(O338="","",IF(O338&gt;=150,"Yes","No"))</f>
        <v/>
      </c>
      <c r="BX338" s="36" t="str">
        <f aca="false">IF(O338="","",IF(O338&gt;=200,"Yes","No"))</f>
        <v/>
      </c>
      <c r="BY338" s="36" t="str">
        <f aca="false">IF(Q338="","",IF(Q338&gt;=150000,"Yes","No"))</f>
        <v/>
      </c>
      <c r="BZ338" s="36" t="str">
        <f aca="false">IF(Q338="","",IF(Q338&gt;=200000,"Yes","No"))</f>
        <v/>
      </c>
      <c r="CA338" s="36" t="str">
        <f aca="false">IF(Q338="","",IF(Q338&gt;=250000,"Yes","No"))</f>
        <v/>
      </c>
      <c r="CB338" s="36" t="str">
        <f aca="false">IF(Q338="","",IF(Q338&gt;=300000,"Yes","No"))</f>
        <v/>
      </c>
      <c r="CC338" s="37"/>
      <c r="CD338" s="36" t="str">
        <f aca="true">IF(B338="","",IF(TODAY()-B338&lt;=7,"🟢 0-7d",IF(TODAY()-B338&lt;=30,"🟡 8-30d",IF(TODAY()-B338&lt;=60,"🟠 31-60d","🔴 60d+"))))</f>
        <v/>
      </c>
      <c r="CE338" s="36" t="str">
        <f aca="false">IF(G338="","",IF(G338&lt;&gt;"USA","N/A - Not USA Role",IF(J338="Yes",IF(OR(F338="Intern",F338="New Grad"),"🟡 Possible","🟢 Strong"),IF(J338="No","🔴 Difficult","⚪ Unknown"))))</f>
        <v/>
      </c>
      <c r="CF338" s="37"/>
      <c r="CG338" s="37"/>
      <c r="CH338" s="38"/>
      <c r="CI338" s="38"/>
      <c r="CJ338" s="38"/>
      <c r="CK338" s="38"/>
    </row>
    <row r="339" customFormat="false" ht="15" hidden="false" customHeight="true" outlineLevel="0" collapsed="false">
      <c r="A339" s="26" t="str">
        <f aca="false">IF($C339="","",ROW()-3)</f>
        <v/>
      </c>
      <c r="B339" s="27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9"/>
      <c r="N339" s="29"/>
      <c r="O339" s="30" t="str">
        <f aca="false">IFERROR(IF(M339="","",M339*INDEX('00 - Lists'!$M$2:$M$11,MATCH(L339,'00 - Lists'!$L$2:$L$11,0))/100000),"")</f>
        <v/>
      </c>
      <c r="P339" s="30" t="str">
        <f aca="false">IFERROR(IF(N339="","",N339*INDEX('00 - Lists'!$M$2:$M$11,MATCH(L339,'00 - Lists'!$L$2:$L$11,0))/100000),"")</f>
        <v/>
      </c>
      <c r="Q339" s="31" t="str">
        <f aca="false">IFERROR(IF(M339="","",M339*INDEX('00 - Lists'!$N$2:$N$11,MATCH(L339,'00 - Lists'!$L$2:$L$11,0))),"")</f>
        <v/>
      </c>
      <c r="R339" s="31" t="str">
        <f aca="false">IFERROR(IF(N339="","",N339*INDEX('00 - Lists'!$N$2:$N$11,MATCH(L339,'00 - Lists'!$L$2:$L$11,0))),"")</f>
        <v/>
      </c>
      <c r="S339" s="32" t="str">
        <f aca="false">IF(O339="","",IF(O339&gt;=50,"Yes","No"))</f>
        <v/>
      </c>
      <c r="T339" s="32" t="str">
        <f aca="false">IF(Q339="","",IF(Q339&gt;=100000,"Yes","No"))</f>
        <v/>
      </c>
      <c r="U339" s="28"/>
      <c r="V339" s="28"/>
      <c r="W339" s="28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J339" s="34" t="str">
        <f aca="false">IF(OR($BD339&lt;&gt;"",$BF339&lt;&gt;"",$BH339&lt;&gt;""),"Yes","No")</f>
        <v>No</v>
      </c>
      <c r="BK339" s="35" t="str">
        <f aca="false">IFERROR(IF(BD339="","",BD339*INDEX('00 - Lists'!$M$2:$M$11,MATCH(L339,'00 - Lists'!$L$2:$L$11,0))/100000),"")</f>
        <v/>
      </c>
      <c r="BL339" s="35" t="str">
        <f aca="false">IFERROR(IF(BE339="","",BE339*INDEX('00 - Lists'!$M$2:$M$11,MATCH(L339,'00 - Lists'!$L$2:$L$11,0))/100000),"")</f>
        <v/>
      </c>
      <c r="BM339" s="35" t="str">
        <f aca="false">IFERROR(IF(BF339="","",BF339*INDEX('00 - Lists'!$M$2:$M$11,MATCH(L339,'00 - Lists'!$L$2:$L$11,0))/100000),"")</f>
        <v/>
      </c>
      <c r="BN339" s="35" t="str">
        <f aca="false">IFERROR(IF(BG339="","",BG339*INDEX('00 - Lists'!$M$2:$M$11,MATCH(L339,'00 - Lists'!$L$2:$L$11,0))/100000),"")</f>
        <v/>
      </c>
      <c r="BO339" s="35" t="str">
        <f aca="false">IFERROR(IF(BH339="","",BH339*INDEX('00 - Lists'!$M$2:$M$11,MATCH(L339,'00 - Lists'!$L$2:$L$11,0))/100000),"")</f>
        <v/>
      </c>
      <c r="BP339" s="35" t="str">
        <f aca="false">IFERROR(IF(BI339="","",BI339*INDEX('00 - Lists'!$M$2:$M$11,MATCH(L339,'00 - Lists'!$L$2:$L$11,0))/100000),"")</f>
        <v/>
      </c>
      <c r="BS339" s="36" t="str">
        <f aca="false">IF(O339="","",IF(O339&gt;=20,"Yes","No"))</f>
        <v/>
      </c>
      <c r="BT339" s="36" t="str">
        <f aca="false">IF(O339="","",IF(O339&gt;=30,"Yes","No"))</f>
        <v/>
      </c>
      <c r="BU339" s="36" t="str">
        <f aca="false">IF(O339="","",IF(O339&gt;=75,"Yes","No"))</f>
        <v/>
      </c>
      <c r="BV339" s="36" t="str">
        <f aca="false">IF(O339="","",IF(O339&gt;=100,"Yes","No"))</f>
        <v/>
      </c>
      <c r="BW339" s="36" t="str">
        <f aca="false">IF(O339="","",IF(O339&gt;=150,"Yes","No"))</f>
        <v/>
      </c>
      <c r="BX339" s="36" t="str">
        <f aca="false">IF(O339="","",IF(O339&gt;=200,"Yes","No"))</f>
        <v/>
      </c>
      <c r="BY339" s="36" t="str">
        <f aca="false">IF(Q339="","",IF(Q339&gt;=150000,"Yes","No"))</f>
        <v/>
      </c>
      <c r="BZ339" s="36" t="str">
        <f aca="false">IF(Q339="","",IF(Q339&gt;=200000,"Yes","No"))</f>
        <v/>
      </c>
      <c r="CA339" s="36" t="str">
        <f aca="false">IF(Q339="","",IF(Q339&gt;=250000,"Yes","No"))</f>
        <v/>
      </c>
      <c r="CB339" s="36" t="str">
        <f aca="false">IF(Q339="","",IF(Q339&gt;=300000,"Yes","No"))</f>
        <v/>
      </c>
      <c r="CC339" s="37"/>
      <c r="CD339" s="36" t="str">
        <f aca="true">IF(B339="","",IF(TODAY()-B339&lt;=7,"🟢 0-7d",IF(TODAY()-B339&lt;=30,"🟡 8-30d",IF(TODAY()-B339&lt;=60,"🟠 31-60d","🔴 60d+"))))</f>
        <v/>
      </c>
      <c r="CE339" s="36" t="str">
        <f aca="false">IF(G339="","",IF(G339&lt;&gt;"USA","N/A - Not USA Role",IF(J339="Yes",IF(OR(F339="Intern",F339="New Grad"),"🟡 Possible","🟢 Strong"),IF(J339="No","🔴 Difficult","⚪ Unknown"))))</f>
        <v/>
      </c>
      <c r="CF339" s="37"/>
      <c r="CG339" s="37"/>
      <c r="CH339" s="38"/>
      <c r="CI339" s="38"/>
      <c r="CJ339" s="38"/>
      <c r="CK339" s="38"/>
    </row>
    <row r="340" customFormat="false" ht="15" hidden="false" customHeight="true" outlineLevel="0" collapsed="false">
      <c r="A340" s="26" t="str">
        <f aca="false">IF($C340="","",ROW()-3)</f>
        <v/>
      </c>
      <c r="B340" s="27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9"/>
      <c r="N340" s="29"/>
      <c r="O340" s="30" t="str">
        <f aca="false">IFERROR(IF(M340="","",M340*INDEX('00 - Lists'!$M$2:$M$11,MATCH(L340,'00 - Lists'!$L$2:$L$11,0))/100000),"")</f>
        <v/>
      </c>
      <c r="P340" s="30" t="str">
        <f aca="false">IFERROR(IF(N340="","",N340*INDEX('00 - Lists'!$M$2:$M$11,MATCH(L340,'00 - Lists'!$L$2:$L$11,0))/100000),"")</f>
        <v/>
      </c>
      <c r="Q340" s="31" t="str">
        <f aca="false">IFERROR(IF(M340="","",M340*INDEX('00 - Lists'!$N$2:$N$11,MATCH(L340,'00 - Lists'!$L$2:$L$11,0))),"")</f>
        <v/>
      </c>
      <c r="R340" s="31" t="str">
        <f aca="false">IFERROR(IF(N340="","",N340*INDEX('00 - Lists'!$N$2:$N$11,MATCH(L340,'00 - Lists'!$L$2:$L$11,0))),"")</f>
        <v/>
      </c>
      <c r="S340" s="32" t="str">
        <f aca="false">IF(O340="","",IF(O340&gt;=50,"Yes","No"))</f>
        <v/>
      </c>
      <c r="T340" s="32" t="str">
        <f aca="false">IF(Q340="","",IF(Q340&gt;=100000,"Yes","No"))</f>
        <v/>
      </c>
      <c r="U340" s="28"/>
      <c r="V340" s="28"/>
      <c r="W340" s="28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J340" s="34" t="str">
        <f aca="false">IF(OR($BD340&lt;&gt;"",$BF340&lt;&gt;"",$BH340&lt;&gt;""),"Yes","No")</f>
        <v>No</v>
      </c>
      <c r="BK340" s="35" t="str">
        <f aca="false">IFERROR(IF(BD340="","",BD340*INDEX('00 - Lists'!$M$2:$M$11,MATCH(L340,'00 - Lists'!$L$2:$L$11,0))/100000),"")</f>
        <v/>
      </c>
      <c r="BL340" s="35" t="str">
        <f aca="false">IFERROR(IF(BE340="","",BE340*INDEX('00 - Lists'!$M$2:$M$11,MATCH(L340,'00 - Lists'!$L$2:$L$11,0))/100000),"")</f>
        <v/>
      </c>
      <c r="BM340" s="35" t="str">
        <f aca="false">IFERROR(IF(BF340="","",BF340*INDEX('00 - Lists'!$M$2:$M$11,MATCH(L340,'00 - Lists'!$L$2:$L$11,0))/100000),"")</f>
        <v/>
      </c>
      <c r="BN340" s="35" t="str">
        <f aca="false">IFERROR(IF(BG340="","",BG340*INDEX('00 - Lists'!$M$2:$M$11,MATCH(L340,'00 - Lists'!$L$2:$L$11,0))/100000),"")</f>
        <v/>
      </c>
      <c r="BO340" s="35" t="str">
        <f aca="false">IFERROR(IF(BH340="","",BH340*INDEX('00 - Lists'!$M$2:$M$11,MATCH(L340,'00 - Lists'!$L$2:$L$11,0))/100000),"")</f>
        <v/>
      </c>
      <c r="BP340" s="35" t="str">
        <f aca="false">IFERROR(IF(BI340="","",BI340*INDEX('00 - Lists'!$M$2:$M$11,MATCH(L340,'00 - Lists'!$L$2:$L$11,0))/100000),"")</f>
        <v/>
      </c>
      <c r="BS340" s="36" t="str">
        <f aca="false">IF(O340="","",IF(O340&gt;=20,"Yes","No"))</f>
        <v/>
      </c>
      <c r="BT340" s="36" t="str">
        <f aca="false">IF(O340="","",IF(O340&gt;=30,"Yes","No"))</f>
        <v/>
      </c>
      <c r="BU340" s="36" t="str">
        <f aca="false">IF(O340="","",IF(O340&gt;=75,"Yes","No"))</f>
        <v/>
      </c>
      <c r="BV340" s="36" t="str">
        <f aca="false">IF(O340="","",IF(O340&gt;=100,"Yes","No"))</f>
        <v/>
      </c>
      <c r="BW340" s="36" t="str">
        <f aca="false">IF(O340="","",IF(O340&gt;=150,"Yes","No"))</f>
        <v/>
      </c>
      <c r="BX340" s="36" t="str">
        <f aca="false">IF(O340="","",IF(O340&gt;=200,"Yes","No"))</f>
        <v/>
      </c>
      <c r="BY340" s="36" t="str">
        <f aca="false">IF(Q340="","",IF(Q340&gt;=150000,"Yes","No"))</f>
        <v/>
      </c>
      <c r="BZ340" s="36" t="str">
        <f aca="false">IF(Q340="","",IF(Q340&gt;=200000,"Yes","No"))</f>
        <v/>
      </c>
      <c r="CA340" s="36" t="str">
        <f aca="false">IF(Q340="","",IF(Q340&gt;=250000,"Yes","No"))</f>
        <v/>
      </c>
      <c r="CB340" s="36" t="str">
        <f aca="false">IF(Q340="","",IF(Q340&gt;=300000,"Yes","No"))</f>
        <v/>
      </c>
      <c r="CC340" s="37"/>
      <c r="CD340" s="36" t="str">
        <f aca="true">IF(B340="","",IF(TODAY()-B340&lt;=7,"🟢 0-7d",IF(TODAY()-B340&lt;=30,"🟡 8-30d",IF(TODAY()-B340&lt;=60,"🟠 31-60d","🔴 60d+"))))</f>
        <v/>
      </c>
      <c r="CE340" s="36" t="str">
        <f aca="false">IF(G340="","",IF(G340&lt;&gt;"USA","N/A - Not USA Role",IF(J340="Yes",IF(OR(F340="Intern",F340="New Grad"),"🟡 Possible","🟢 Strong"),IF(J340="No","🔴 Difficult","⚪ Unknown"))))</f>
        <v/>
      </c>
      <c r="CF340" s="37"/>
      <c r="CG340" s="37"/>
      <c r="CH340" s="38"/>
      <c r="CI340" s="38"/>
      <c r="CJ340" s="38"/>
      <c r="CK340" s="38"/>
    </row>
    <row r="341" customFormat="false" ht="15" hidden="false" customHeight="true" outlineLevel="0" collapsed="false">
      <c r="A341" s="26" t="str">
        <f aca="false">IF($C341="","",ROW()-3)</f>
        <v/>
      </c>
      <c r="B341" s="27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9"/>
      <c r="N341" s="29"/>
      <c r="O341" s="30" t="str">
        <f aca="false">IFERROR(IF(M341="","",M341*INDEX('00 - Lists'!$M$2:$M$11,MATCH(L341,'00 - Lists'!$L$2:$L$11,0))/100000),"")</f>
        <v/>
      </c>
      <c r="P341" s="30" t="str">
        <f aca="false">IFERROR(IF(N341="","",N341*INDEX('00 - Lists'!$M$2:$M$11,MATCH(L341,'00 - Lists'!$L$2:$L$11,0))/100000),"")</f>
        <v/>
      </c>
      <c r="Q341" s="31" t="str">
        <f aca="false">IFERROR(IF(M341="","",M341*INDEX('00 - Lists'!$N$2:$N$11,MATCH(L341,'00 - Lists'!$L$2:$L$11,0))),"")</f>
        <v/>
      </c>
      <c r="R341" s="31" t="str">
        <f aca="false">IFERROR(IF(N341="","",N341*INDEX('00 - Lists'!$N$2:$N$11,MATCH(L341,'00 - Lists'!$L$2:$L$11,0))),"")</f>
        <v/>
      </c>
      <c r="S341" s="32" t="str">
        <f aca="false">IF(O341="","",IF(O341&gt;=50,"Yes","No"))</f>
        <v/>
      </c>
      <c r="T341" s="32" t="str">
        <f aca="false">IF(Q341="","",IF(Q341&gt;=100000,"Yes","No"))</f>
        <v/>
      </c>
      <c r="U341" s="28"/>
      <c r="V341" s="28"/>
      <c r="W341" s="28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J341" s="34" t="str">
        <f aca="false">IF(OR($BD341&lt;&gt;"",$BF341&lt;&gt;"",$BH341&lt;&gt;""),"Yes","No")</f>
        <v>No</v>
      </c>
      <c r="BK341" s="35" t="str">
        <f aca="false">IFERROR(IF(BD341="","",BD341*INDEX('00 - Lists'!$M$2:$M$11,MATCH(L341,'00 - Lists'!$L$2:$L$11,0))/100000),"")</f>
        <v/>
      </c>
      <c r="BL341" s="35" t="str">
        <f aca="false">IFERROR(IF(BE341="","",BE341*INDEX('00 - Lists'!$M$2:$M$11,MATCH(L341,'00 - Lists'!$L$2:$L$11,0))/100000),"")</f>
        <v/>
      </c>
      <c r="BM341" s="35" t="str">
        <f aca="false">IFERROR(IF(BF341="","",BF341*INDEX('00 - Lists'!$M$2:$M$11,MATCH(L341,'00 - Lists'!$L$2:$L$11,0))/100000),"")</f>
        <v/>
      </c>
      <c r="BN341" s="35" t="str">
        <f aca="false">IFERROR(IF(BG341="","",BG341*INDEX('00 - Lists'!$M$2:$M$11,MATCH(L341,'00 - Lists'!$L$2:$L$11,0))/100000),"")</f>
        <v/>
      </c>
      <c r="BO341" s="35" t="str">
        <f aca="false">IFERROR(IF(BH341="","",BH341*INDEX('00 - Lists'!$M$2:$M$11,MATCH(L341,'00 - Lists'!$L$2:$L$11,0))/100000),"")</f>
        <v/>
      </c>
      <c r="BP341" s="35" t="str">
        <f aca="false">IFERROR(IF(BI341="","",BI341*INDEX('00 - Lists'!$M$2:$M$11,MATCH(L341,'00 - Lists'!$L$2:$L$11,0))/100000),"")</f>
        <v/>
      </c>
      <c r="BS341" s="36" t="str">
        <f aca="false">IF(O341="","",IF(O341&gt;=20,"Yes","No"))</f>
        <v/>
      </c>
      <c r="BT341" s="36" t="str">
        <f aca="false">IF(O341="","",IF(O341&gt;=30,"Yes","No"))</f>
        <v/>
      </c>
      <c r="BU341" s="36" t="str">
        <f aca="false">IF(O341="","",IF(O341&gt;=75,"Yes","No"))</f>
        <v/>
      </c>
      <c r="BV341" s="36" t="str">
        <f aca="false">IF(O341="","",IF(O341&gt;=100,"Yes","No"))</f>
        <v/>
      </c>
      <c r="BW341" s="36" t="str">
        <f aca="false">IF(O341="","",IF(O341&gt;=150,"Yes","No"))</f>
        <v/>
      </c>
      <c r="BX341" s="36" t="str">
        <f aca="false">IF(O341="","",IF(O341&gt;=200,"Yes","No"))</f>
        <v/>
      </c>
      <c r="BY341" s="36" t="str">
        <f aca="false">IF(Q341="","",IF(Q341&gt;=150000,"Yes","No"))</f>
        <v/>
      </c>
      <c r="BZ341" s="36" t="str">
        <f aca="false">IF(Q341="","",IF(Q341&gt;=200000,"Yes","No"))</f>
        <v/>
      </c>
      <c r="CA341" s="36" t="str">
        <f aca="false">IF(Q341="","",IF(Q341&gt;=250000,"Yes","No"))</f>
        <v/>
      </c>
      <c r="CB341" s="36" t="str">
        <f aca="false">IF(Q341="","",IF(Q341&gt;=300000,"Yes","No"))</f>
        <v/>
      </c>
      <c r="CC341" s="37"/>
      <c r="CD341" s="36" t="str">
        <f aca="true">IF(B341="","",IF(TODAY()-B341&lt;=7,"🟢 0-7d",IF(TODAY()-B341&lt;=30,"🟡 8-30d",IF(TODAY()-B341&lt;=60,"🟠 31-60d","🔴 60d+"))))</f>
        <v/>
      </c>
      <c r="CE341" s="36" t="str">
        <f aca="false">IF(G341="","",IF(G341&lt;&gt;"USA","N/A - Not USA Role",IF(J341="Yes",IF(OR(F341="Intern",F341="New Grad"),"🟡 Possible","🟢 Strong"),IF(J341="No","🔴 Difficult","⚪ Unknown"))))</f>
        <v/>
      </c>
      <c r="CF341" s="37"/>
      <c r="CG341" s="37"/>
      <c r="CH341" s="38"/>
      <c r="CI341" s="38"/>
      <c r="CJ341" s="38"/>
      <c r="CK341" s="38"/>
    </row>
    <row r="342" customFormat="false" ht="15" hidden="false" customHeight="true" outlineLevel="0" collapsed="false">
      <c r="A342" s="26" t="str">
        <f aca="false">IF($C342="","",ROW()-3)</f>
        <v/>
      </c>
      <c r="B342" s="27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9"/>
      <c r="N342" s="29"/>
      <c r="O342" s="30" t="str">
        <f aca="false">IFERROR(IF(M342="","",M342*INDEX('00 - Lists'!$M$2:$M$11,MATCH(L342,'00 - Lists'!$L$2:$L$11,0))/100000),"")</f>
        <v/>
      </c>
      <c r="P342" s="30" t="str">
        <f aca="false">IFERROR(IF(N342="","",N342*INDEX('00 - Lists'!$M$2:$M$11,MATCH(L342,'00 - Lists'!$L$2:$L$11,0))/100000),"")</f>
        <v/>
      </c>
      <c r="Q342" s="31" t="str">
        <f aca="false">IFERROR(IF(M342="","",M342*INDEX('00 - Lists'!$N$2:$N$11,MATCH(L342,'00 - Lists'!$L$2:$L$11,0))),"")</f>
        <v/>
      </c>
      <c r="R342" s="31" t="str">
        <f aca="false">IFERROR(IF(N342="","",N342*INDEX('00 - Lists'!$N$2:$N$11,MATCH(L342,'00 - Lists'!$L$2:$L$11,0))),"")</f>
        <v/>
      </c>
      <c r="S342" s="32" t="str">
        <f aca="false">IF(O342="","",IF(O342&gt;=50,"Yes","No"))</f>
        <v/>
      </c>
      <c r="T342" s="32" t="str">
        <f aca="false">IF(Q342="","",IF(Q342&gt;=100000,"Yes","No"))</f>
        <v/>
      </c>
      <c r="U342" s="28"/>
      <c r="V342" s="28"/>
      <c r="W342" s="28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J342" s="34" t="str">
        <f aca="false">IF(OR($BD342&lt;&gt;"",$BF342&lt;&gt;"",$BH342&lt;&gt;""),"Yes","No")</f>
        <v>No</v>
      </c>
      <c r="BK342" s="35" t="str">
        <f aca="false">IFERROR(IF(BD342="","",BD342*INDEX('00 - Lists'!$M$2:$M$11,MATCH(L342,'00 - Lists'!$L$2:$L$11,0))/100000),"")</f>
        <v/>
      </c>
      <c r="BL342" s="35" t="str">
        <f aca="false">IFERROR(IF(BE342="","",BE342*INDEX('00 - Lists'!$M$2:$M$11,MATCH(L342,'00 - Lists'!$L$2:$L$11,0))/100000),"")</f>
        <v/>
      </c>
      <c r="BM342" s="35" t="str">
        <f aca="false">IFERROR(IF(BF342="","",BF342*INDEX('00 - Lists'!$M$2:$M$11,MATCH(L342,'00 - Lists'!$L$2:$L$11,0))/100000),"")</f>
        <v/>
      </c>
      <c r="BN342" s="35" t="str">
        <f aca="false">IFERROR(IF(BG342="","",BG342*INDEX('00 - Lists'!$M$2:$M$11,MATCH(L342,'00 - Lists'!$L$2:$L$11,0))/100000),"")</f>
        <v/>
      </c>
      <c r="BO342" s="35" t="str">
        <f aca="false">IFERROR(IF(BH342="","",BH342*INDEX('00 - Lists'!$M$2:$M$11,MATCH(L342,'00 - Lists'!$L$2:$L$11,0))/100000),"")</f>
        <v/>
      </c>
      <c r="BP342" s="35" t="str">
        <f aca="false">IFERROR(IF(BI342="","",BI342*INDEX('00 - Lists'!$M$2:$M$11,MATCH(L342,'00 - Lists'!$L$2:$L$11,0))/100000),"")</f>
        <v/>
      </c>
      <c r="BS342" s="36" t="str">
        <f aca="false">IF(O342="","",IF(O342&gt;=20,"Yes","No"))</f>
        <v/>
      </c>
      <c r="BT342" s="36" t="str">
        <f aca="false">IF(O342="","",IF(O342&gt;=30,"Yes","No"))</f>
        <v/>
      </c>
      <c r="BU342" s="36" t="str">
        <f aca="false">IF(O342="","",IF(O342&gt;=75,"Yes","No"))</f>
        <v/>
      </c>
      <c r="BV342" s="36" t="str">
        <f aca="false">IF(O342="","",IF(O342&gt;=100,"Yes","No"))</f>
        <v/>
      </c>
      <c r="BW342" s="36" t="str">
        <f aca="false">IF(O342="","",IF(O342&gt;=150,"Yes","No"))</f>
        <v/>
      </c>
      <c r="BX342" s="36" t="str">
        <f aca="false">IF(O342="","",IF(O342&gt;=200,"Yes","No"))</f>
        <v/>
      </c>
      <c r="BY342" s="36" t="str">
        <f aca="false">IF(Q342="","",IF(Q342&gt;=150000,"Yes","No"))</f>
        <v/>
      </c>
      <c r="BZ342" s="36" t="str">
        <f aca="false">IF(Q342="","",IF(Q342&gt;=200000,"Yes","No"))</f>
        <v/>
      </c>
      <c r="CA342" s="36" t="str">
        <f aca="false">IF(Q342="","",IF(Q342&gt;=250000,"Yes","No"))</f>
        <v/>
      </c>
      <c r="CB342" s="36" t="str">
        <f aca="false">IF(Q342="","",IF(Q342&gt;=300000,"Yes","No"))</f>
        <v/>
      </c>
      <c r="CC342" s="37"/>
      <c r="CD342" s="36" t="str">
        <f aca="true">IF(B342="","",IF(TODAY()-B342&lt;=7,"🟢 0-7d",IF(TODAY()-B342&lt;=30,"🟡 8-30d",IF(TODAY()-B342&lt;=60,"🟠 31-60d","🔴 60d+"))))</f>
        <v/>
      </c>
      <c r="CE342" s="36" t="str">
        <f aca="false">IF(G342="","",IF(G342&lt;&gt;"USA","N/A - Not USA Role",IF(J342="Yes",IF(OR(F342="Intern",F342="New Grad"),"🟡 Possible","🟢 Strong"),IF(J342="No","🔴 Difficult","⚪ Unknown"))))</f>
        <v/>
      </c>
      <c r="CF342" s="37"/>
      <c r="CG342" s="37"/>
      <c r="CH342" s="38"/>
      <c r="CI342" s="38"/>
      <c r="CJ342" s="38"/>
      <c r="CK342" s="38"/>
    </row>
    <row r="343" customFormat="false" ht="15" hidden="false" customHeight="true" outlineLevel="0" collapsed="false">
      <c r="A343" s="26" t="str">
        <f aca="false">IF($C343="","",ROW()-3)</f>
        <v/>
      </c>
      <c r="B343" s="27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9"/>
      <c r="N343" s="29"/>
      <c r="O343" s="30" t="str">
        <f aca="false">IFERROR(IF(M343="","",M343*INDEX('00 - Lists'!$M$2:$M$11,MATCH(L343,'00 - Lists'!$L$2:$L$11,0))/100000),"")</f>
        <v/>
      </c>
      <c r="P343" s="30" t="str">
        <f aca="false">IFERROR(IF(N343="","",N343*INDEX('00 - Lists'!$M$2:$M$11,MATCH(L343,'00 - Lists'!$L$2:$L$11,0))/100000),"")</f>
        <v/>
      </c>
      <c r="Q343" s="31" t="str">
        <f aca="false">IFERROR(IF(M343="","",M343*INDEX('00 - Lists'!$N$2:$N$11,MATCH(L343,'00 - Lists'!$L$2:$L$11,0))),"")</f>
        <v/>
      </c>
      <c r="R343" s="31" t="str">
        <f aca="false">IFERROR(IF(N343="","",N343*INDEX('00 - Lists'!$N$2:$N$11,MATCH(L343,'00 - Lists'!$L$2:$L$11,0))),"")</f>
        <v/>
      </c>
      <c r="S343" s="32" t="str">
        <f aca="false">IF(O343="","",IF(O343&gt;=50,"Yes","No"))</f>
        <v/>
      </c>
      <c r="T343" s="32" t="str">
        <f aca="false">IF(Q343="","",IF(Q343&gt;=100000,"Yes","No"))</f>
        <v/>
      </c>
      <c r="U343" s="28"/>
      <c r="V343" s="28"/>
      <c r="W343" s="28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J343" s="34" t="str">
        <f aca="false">IF(OR($BD343&lt;&gt;"",$BF343&lt;&gt;"",$BH343&lt;&gt;""),"Yes","No")</f>
        <v>No</v>
      </c>
      <c r="BK343" s="35" t="str">
        <f aca="false">IFERROR(IF(BD343="","",BD343*INDEX('00 - Lists'!$M$2:$M$11,MATCH(L343,'00 - Lists'!$L$2:$L$11,0))/100000),"")</f>
        <v/>
      </c>
      <c r="BL343" s="35" t="str">
        <f aca="false">IFERROR(IF(BE343="","",BE343*INDEX('00 - Lists'!$M$2:$M$11,MATCH(L343,'00 - Lists'!$L$2:$L$11,0))/100000),"")</f>
        <v/>
      </c>
      <c r="BM343" s="35" t="str">
        <f aca="false">IFERROR(IF(BF343="","",BF343*INDEX('00 - Lists'!$M$2:$M$11,MATCH(L343,'00 - Lists'!$L$2:$L$11,0))/100000),"")</f>
        <v/>
      </c>
      <c r="BN343" s="35" t="str">
        <f aca="false">IFERROR(IF(BG343="","",BG343*INDEX('00 - Lists'!$M$2:$M$11,MATCH(L343,'00 - Lists'!$L$2:$L$11,0))/100000),"")</f>
        <v/>
      </c>
      <c r="BO343" s="35" t="str">
        <f aca="false">IFERROR(IF(BH343="","",BH343*INDEX('00 - Lists'!$M$2:$M$11,MATCH(L343,'00 - Lists'!$L$2:$L$11,0))/100000),"")</f>
        <v/>
      </c>
      <c r="BP343" s="35" t="str">
        <f aca="false">IFERROR(IF(BI343="","",BI343*INDEX('00 - Lists'!$M$2:$M$11,MATCH(L343,'00 - Lists'!$L$2:$L$11,0))/100000),"")</f>
        <v/>
      </c>
      <c r="BS343" s="36" t="str">
        <f aca="false">IF(O343="","",IF(O343&gt;=20,"Yes","No"))</f>
        <v/>
      </c>
      <c r="BT343" s="36" t="str">
        <f aca="false">IF(O343="","",IF(O343&gt;=30,"Yes","No"))</f>
        <v/>
      </c>
      <c r="BU343" s="36" t="str">
        <f aca="false">IF(O343="","",IF(O343&gt;=75,"Yes","No"))</f>
        <v/>
      </c>
      <c r="BV343" s="36" t="str">
        <f aca="false">IF(O343="","",IF(O343&gt;=100,"Yes","No"))</f>
        <v/>
      </c>
      <c r="BW343" s="36" t="str">
        <f aca="false">IF(O343="","",IF(O343&gt;=150,"Yes","No"))</f>
        <v/>
      </c>
      <c r="BX343" s="36" t="str">
        <f aca="false">IF(O343="","",IF(O343&gt;=200,"Yes","No"))</f>
        <v/>
      </c>
      <c r="BY343" s="36" t="str">
        <f aca="false">IF(Q343="","",IF(Q343&gt;=150000,"Yes","No"))</f>
        <v/>
      </c>
      <c r="BZ343" s="36" t="str">
        <f aca="false">IF(Q343="","",IF(Q343&gt;=200000,"Yes","No"))</f>
        <v/>
      </c>
      <c r="CA343" s="36" t="str">
        <f aca="false">IF(Q343="","",IF(Q343&gt;=250000,"Yes","No"))</f>
        <v/>
      </c>
      <c r="CB343" s="36" t="str">
        <f aca="false">IF(Q343="","",IF(Q343&gt;=300000,"Yes","No"))</f>
        <v/>
      </c>
      <c r="CC343" s="37"/>
      <c r="CD343" s="36" t="str">
        <f aca="true">IF(B343="","",IF(TODAY()-B343&lt;=7,"🟢 0-7d",IF(TODAY()-B343&lt;=30,"🟡 8-30d",IF(TODAY()-B343&lt;=60,"🟠 31-60d","🔴 60d+"))))</f>
        <v/>
      </c>
      <c r="CE343" s="36" t="str">
        <f aca="false">IF(G343="","",IF(G343&lt;&gt;"USA","N/A - Not USA Role",IF(J343="Yes",IF(OR(F343="Intern",F343="New Grad"),"🟡 Possible","🟢 Strong"),IF(J343="No","🔴 Difficult","⚪ Unknown"))))</f>
        <v/>
      </c>
      <c r="CF343" s="37"/>
      <c r="CG343" s="37"/>
      <c r="CH343" s="38"/>
      <c r="CI343" s="38"/>
      <c r="CJ343" s="38"/>
      <c r="CK343" s="38"/>
    </row>
    <row r="344" customFormat="false" ht="15" hidden="false" customHeight="true" outlineLevel="0" collapsed="false">
      <c r="A344" s="26" t="str">
        <f aca="false">IF($C344="","",ROW()-3)</f>
        <v/>
      </c>
      <c r="B344" s="27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9"/>
      <c r="N344" s="29"/>
      <c r="O344" s="30" t="str">
        <f aca="false">IFERROR(IF(M344="","",M344*INDEX('00 - Lists'!$M$2:$M$11,MATCH(L344,'00 - Lists'!$L$2:$L$11,0))/100000),"")</f>
        <v/>
      </c>
      <c r="P344" s="30" t="str">
        <f aca="false">IFERROR(IF(N344="","",N344*INDEX('00 - Lists'!$M$2:$M$11,MATCH(L344,'00 - Lists'!$L$2:$L$11,0))/100000),"")</f>
        <v/>
      </c>
      <c r="Q344" s="31" t="str">
        <f aca="false">IFERROR(IF(M344="","",M344*INDEX('00 - Lists'!$N$2:$N$11,MATCH(L344,'00 - Lists'!$L$2:$L$11,0))),"")</f>
        <v/>
      </c>
      <c r="R344" s="31" t="str">
        <f aca="false">IFERROR(IF(N344="","",N344*INDEX('00 - Lists'!$N$2:$N$11,MATCH(L344,'00 - Lists'!$L$2:$L$11,0))),"")</f>
        <v/>
      </c>
      <c r="S344" s="32" t="str">
        <f aca="false">IF(O344="","",IF(O344&gt;=50,"Yes","No"))</f>
        <v/>
      </c>
      <c r="T344" s="32" t="str">
        <f aca="false">IF(Q344="","",IF(Q344&gt;=100000,"Yes","No"))</f>
        <v/>
      </c>
      <c r="U344" s="28"/>
      <c r="V344" s="28"/>
      <c r="W344" s="28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J344" s="34" t="str">
        <f aca="false">IF(OR($BD344&lt;&gt;"",$BF344&lt;&gt;"",$BH344&lt;&gt;""),"Yes","No")</f>
        <v>No</v>
      </c>
      <c r="BK344" s="35" t="str">
        <f aca="false">IFERROR(IF(BD344="","",BD344*INDEX('00 - Lists'!$M$2:$M$11,MATCH(L344,'00 - Lists'!$L$2:$L$11,0))/100000),"")</f>
        <v/>
      </c>
      <c r="BL344" s="35" t="str">
        <f aca="false">IFERROR(IF(BE344="","",BE344*INDEX('00 - Lists'!$M$2:$M$11,MATCH(L344,'00 - Lists'!$L$2:$L$11,0))/100000),"")</f>
        <v/>
      </c>
      <c r="BM344" s="35" t="str">
        <f aca="false">IFERROR(IF(BF344="","",BF344*INDEX('00 - Lists'!$M$2:$M$11,MATCH(L344,'00 - Lists'!$L$2:$L$11,0))/100000),"")</f>
        <v/>
      </c>
      <c r="BN344" s="35" t="str">
        <f aca="false">IFERROR(IF(BG344="","",BG344*INDEX('00 - Lists'!$M$2:$M$11,MATCH(L344,'00 - Lists'!$L$2:$L$11,0))/100000),"")</f>
        <v/>
      </c>
      <c r="BO344" s="35" t="str">
        <f aca="false">IFERROR(IF(BH344="","",BH344*INDEX('00 - Lists'!$M$2:$M$11,MATCH(L344,'00 - Lists'!$L$2:$L$11,0))/100000),"")</f>
        <v/>
      </c>
      <c r="BP344" s="35" t="str">
        <f aca="false">IFERROR(IF(BI344="","",BI344*INDEX('00 - Lists'!$M$2:$M$11,MATCH(L344,'00 - Lists'!$L$2:$L$11,0))/100000),"")</f>
        <v/>
      </c>
      <c r="BS344" s="36" t="str">
        <f aca="false">IF(O344="","",IF(O344&gt;=20,"Yes","No"))</f>
        <v/>
      </c>
      <c r="BT344" s="36" t="str">
        <f aca="false">IF(O344="","",IF(O344&gt;=30,"Yes","No"))</f>
        <v/>
      </c>
      <c r="BU344" s="36" t="str">
        <f aca="false">IF(O344="","",IF(O344&gt;=75,"Yes","No"))</f>
        <v/>
      </c>
      <c r="BV344" s="36" t="str">
        <f aca="false">IF(O344="","",IF(O344&gt;=100,"Yes","No"))</f>
        <v/>
      </c>
      <c r="BW344" s="36" t="str">
        <f aca="false">IF(O344="","",IF(O344&gt;=150,"Yes","No"))</f>
        <v/>
      </c>
      <c r="BX344" s="36" t="str">
        <f aca="false">IF(O344="","",IF(O344&gt;=200,"Yes","No"))</f>
        <v/>
      </c>
      <c r="BY344" s="36" t="str">
        <f aca="false">IF(Q344="","",IF(Q344&gt;=150000,"Yes","No"))</f>
        <v/>
      </c>
      <c r="BZ344" s="36" t="str">
        <f aca="false">IF(Q344="","",IF(Q344&gt;=200000,"Yes","No"))</f>
        <v/>
      </c>
      <c r="CA344" s="36" t="str">
        <f aca="false">IF(Q344="","",IF(Q344&gt;=250000,"Yes","No"))</f>
        <v/>
      </c>
      <c r="CB344" s="36" t="str">
        <f aca="false">IF(Q344="","",IF(Q344&gt;=300000,"Yes","No"))</f>
        <v/>
      </c>
      <c r="CC344" s="37"/>
      <c r="CD344" s="36" t="str">
        <f aca="true">IF(B344="","",IF(TODAY()-B344&lt;=7,"🟢 0-7d",IF(TODAY()-B344&lt;=30,"🟡 8-30d",IF(TODAY()-B344&lt;=60,"🟠 31-60d","🔴 60d+"))))</f>
        <v/>
      </c>
      <c r="CE344" s="36" t="str">
        <f aca="false">IF(G344="","",IF(G344&lt;&gt;"USA","N/A - Not USA Role",IF(J344="Yes",IF(OR(F344="Intern",F344="New Grad"),"🟡 Possible","🟢 Strong"),IF(J344="No","🔴 Difficult","⚪ Unknown"))))</f>
        <v/>
      </c>
      <c r="CF344" s="37"/>
      <c r="CG344" s="37"/>
      <c r="CH344" s="38"/>
      <c r="CI344" s="38"/>
      <c r="CJ344" s="38"/>
      <c r="CK344" s="38"/>
    </row>
    <row r="345" customFormat="false" ht="15" hidden="false" customHeight="true" outlineLevel="0" collapsed="false">
      <c r="A345" s="26" t="str">
        <f aca="false">IF($C345="","",ROW()-3)</f>
        <v/>
      </c>
      <c r="B345" s="27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9"/>
      <c r="N345" s="29"/>
      <c r="O345" s="30" t="str">
        <f aca="false">IFERROR(IF(M345="","",M345*INDEX('00 - Lists'!$M$2:$M$11,MATCH(L345,'00 - Lists'!$L$2:$L$11,0))/100000),"")</f>
        <v/>
      </c>
      <c r="P345" s="30" t="str">
        <f aca="false">IFERROR(IF(N345="","",N345*INDEX('00 - Lists'!$M$2:$M$11,MATCH(L345,'00 - Lists'!$L$2:$L$11,0))/100000),"")</f>
        <v/>
      </c>
      <c r="Q345" s="31" t="str">
        <f aca="false">IFERROR(IF(M345="","",M345*INDEX('00 - Lists'!$N$2:$N$11,MATCH(L345,'00 - Lists'!$L$2:$L$11,0))),"")</f>
        <v/>
      </c>
      <c r="R345" s="31" t="str">
        <f aca="false">IFERROR(IF(N345="","",N345*INDEX('00 - Lists'!$N$2:$N$11,MATCH(L345,'00 - Lists'!$L$2:$L$11,0))),"")</f>
        <v/>
      </c>
      <c r="S345" s="32" t="str">
        <f aca="false">IF(O345="","",IF(O345&gt;=50,"Yes","No"))</f>
        <v/>
      </c>
      <c r="T345" s="32" t="str">
        <f aca="false">IF(Q345="","",IF(Q345&gt;=100000,"Yes","No"))</f>
        <v/>
      </c>
      <c r="U345" s="28"/>
      <c r="V345" s="28"/>
      <c r="W345" s="28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J345" s="34" t="str">
        <f aca="false">IF(OR($BD345&lt;&gt;"",$BF345&lt;&gt;"",$BH345&lt;&gt;""),"Yes","No")</f>
        <v>No</v>
      </c>
      <c r="BK345" s="35" t="str">
        <f aca="false">IFERROR(IF(BD345="","",BD345*INDEX('00 - Lists'!$M$2:$M$11,MATCH(L345,'00 - Lists'!$L$2:$L$11,0))/100000),"")</f>
        <v/>
      </c>
      <c r="BL345" s="35" t="str">
        <f aca="false">IFERROR(IF(BE345="","",BE345*INDEX('00 - Lists'!$M$2:$M$11,MATCH(L345,'00 - Lists'!$L$2:$L$11,0))/100000),"")</f>
        <v/>
      </c>
      <c r="BM345" s="35" t="str">
        <f aca="false">IFERROR(IF(BF345="","",BF345*INDEX('00 - Lists'!$M$2:$M$11,MATCH(L345,'00 - Lists'!$L$2:$L$11,0))/100000),"")</f>
        <v/>
      </c>
      <c r="BN345" s="35" t="str">
        <f aca="false">IFERROR(IF(BG345="","",BG345*INDEX('00 - Lists'!$M$2:$M$11,MATCH(L345,'00 - Lists'!$L$2:$L$11,0))/100000),"")</f>
        <v/>
      </c>
      <c r="BO345" s="35" t="str">
        <f aca="false">IFERROR(IF(BH345="","",BH345*INDEX('00 - Lists'!$M$2:$M$11,MATCH(L345,'00 - Lists'!$L$2:$L$11,0))/100000),"")</f>
        <v/>
      </c>
      <c r="BP345" s="35" t="str">
        <f aca="false">IFERROR(IF(BI345="","",BI345*INDEX('00 - Lists'!$M$2:$M$11,MATCH(L345,'00 - Lists'!$L$2:$L$11,0))/100000),"")</f>
        <v/>
      </c>
      <c r="BS345" s="36" t="str">
        <f aca="false">IF(O345="","",IF(O345&gt;=20,"Yes","No"))</f>
        <v/>
      </c>
      <c r="BT345" s="36" t="str">
        <f aca="false">IF(O345="","",IF(O345&gt;=30,"Yes","No"))</f>
        <v/>
      </c>
      <c r="BU345" s="36" t="str">
        <f aca="false">IF(O345="","",IF(O345&gt;=75,"Yes","No"))</f>
        <v/>
      </c>
      <c r="BV345" s="36" t="str">
        <f aca="false">IF(O345="","",IF(O345&gt;=100,"Yes","No"))</f>
        <v/>
      </c>
      <c r="BW345" s="36" t="str">
        <f aca="false">IF(O345="","",IF(O345&gt;=150,"Yes","No"))</f>
        <v/>
      </c>
      <c r="BX345" s="36" t="str">
        <f aca="false">IF(O345="","",IF(O345&gt;=200,"Yes","No"))</f>
        <v/>
      </c>
      <c r="BY345" s="36" t="str">
        <f aca="false">IF(Q345="","",IF(Q345&gt;=150000,"Yes","No"))</f>
        <v/>
      </c>
      <c r="BZ345" s="36" t="str">
        <f aca="false">IF(Q345="","",IF(Q345&gt;=200000,"Yes","No"))</f>
        <v/>
      </c>
      <c r="CA345" s="36" t="str">
        <f aca="false">IF(Q345="","",IF(Q345&gt;=250000,"Yes","No"))</f>
        <v/>
      </c>
      <c r="CB345" s="36" t="str">
        <f aca="false">IF(Q345="","",IF(Q345&gt;=300000,"Yes","No"))</f>
        <v/>
      </c>
      <c r="CC345" s="37"/>
      <c r="CD345" s="36" t="str">
        <f aca="true">IF(B345="","",IF(TODAY()-B345&lt;=7,"🟢 0-7d",IF(TODAY()-B345&lt;=30,"🟡 8-30d",IF(TODAY()-B345&lt;=60,"🟠 31-60d","🔴 60d+"))))</f>
        <v/>
      </c>
      <c r="CE345" s="36" t="str">
        <f aca="false">IF(G345="","",IF(G345&lt;&gt;"USA","N/A - Not USA Role",IF(J345="Yes",IF(OR(F345="Intern",F345="New Grad"),"🟡 Possible","🟢 Strong"),IF(J345="No","🔴 Difficult","⚪ Unknown"))))</f>
        <v/>
      </c>
      <c r="CF345" s="37"/>
      <c r="CG345" s="37"/>
      <c r="CH345" s="38"/>
      <c r="CI345" s="38"/>
      <c r="CJ345" s="38"/>
      <c r="CK345" s="38"/>
    </row>
    <row r="346" customFormat="false" ht="15" hidden="false" customHeight="true" outlineLevel="0" collapsed="false">
      <c r="A346" s="26" t="str">
        <f aca="false">IF($C346="","",ROW()-3)</f>
        <v/>
      </c>
      <c r="B346" s="27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9"/>
      <c r="N346" s="29"/>
      <c r="O346" s="30" t="str">
        <f aca="false">IFERROR(IF(M346="","",M346*INDEX('00 - Lists'!$M$2:$M$11,MATCH(L346,'00 - Lists'!$L$2:$L$11,0))/100000),"")</f>
        <v/>
      </c>
      <c r="P346" s="30" t="str">
        <f aca="false">IFERROR(IF(N346="","",N346*INDEX('00 - Lists'!$M$2:$M$11,MATCH(L346,'00 - Lists'!$L$2:$L$11,0))/100000),"")</f>
        <v/>
      </c>
      <c r="Q346" s="31" t="str">
        <f aca="false">IFERROR(IF(M346="","",M346*INDEX('00 - Lists'!$N$2:$N$11,MATCH(L346,'00 - Lists'!$L$2:$L$11,0))),"")</f>
        <v/>
      </c>
      <c r="R346" s="31" t="str">
        <f aca="false">IFERROR(IF(N346="","",N346*INDEX('00 - Lists'!$N$2:$N$11,MATCH(L346,'00 - Lists'!$L$2:$L$11,0))),"")</f>
        <v/>
      </c>
      <c r="S346" s="32" t="str">
        <f aca="false">IF(O346="","",IF(O346&gt;=50,"Yes","No"))</f>
        <v/>
      </c>
      <c r="T346" s="32" t="str">
        <f aca="false">IF(Q346="","",IF(Q346&gt;=100000,"Yes","No"))</f>
        <v/>
      </c>
      <c r="U346" s="28"/>
      <c r="V346" s="28"/>
      <c r="W346" s="28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J346" s="34" t="str">
        <f aca="false">IF(OR($BD346&lt;&gt;"",$BF346&lt;&gt;"",$BH346&lt;&gt;""),"Yes","No")</f>
        <v>No</v>
      </c>
      <c r="BK346" s="35" t="str">
        <f aca="false">IFERROR(IF(BD346="","",BD346*INDEX('00 - Lists'!$M$2:$M$11,MATCH(L346,'00 - Lists'!$L$2:$L$11,0))/100000),"")</f>
        <v/>
      </c>
      <c r="BL346" s="35" t="str">
        <f aca="false">IFERROR(IF(BE346="","",BE346*INDEX('00 - Lists'!$M$2:$M$11,MATCH(L346,'00 - Lists'!$L$2:$L$11,0))/100000),"")</f>
        <v/>
      </c>
      <c r="BM346" s="35" t="str">
        <f aca="false">IFERROR(IF(BF346="","",BF346*INDEX('00 - Lists'!$M$2:$M$11,MATCH(L346,'00 - Lists'!$L$2:$L$11,0))/100000),"")</f>
        <v/>
      </c>
      <c r="BN346" s="35" t="str">
        <f aca="false">IFERROR(IF(BG346="","",BG346*INDEX('00 - Lists'!$M$2:$M$11,MATCH(L346,'00 - Lists'!$L$2:$L$11,0))/100000),"")</f>
        <v/>
      </c>
      <c r="BO346" s="35" t="str">
        <f aca="false">IFERROR(IF(BH346="","",BH346*INDEX('00 - Lists'!$M$2:$M$11,MATCH(L346,'00 - Lists'!$L$2:$L$11,0))/100000),"")</f>
        <v/>
      </c>
      <c r="BP346" s="35" t="str">
        <f aca="false">IFERROR(IF(BI346="","",BI346*INDEX('00 - Lists'!$M$2:$M$11,MATCH(L346,'00 - Lists'!$L$2:$L$11,0))/100000),"")</f>
        <v/>
      </c>
      <c r="BS346" s="36" t="str">
        <f aca="false">IF(O346="","",IF(O346&gt;=20,"Yes","No"))</f>
        <v/>
      </c>
      <c r="BT346" s="36" t="str">
        <f aca="false">IF(O346="","",IF(O346&gt;=30,"Yes","No"))</f>
        <v/>
      </c>
      <c r="BU346" s="36" t="str">
        <f aca="false">IF(O346="","",IF(O346&gt;=75,"Yes","No"))</f>
        <v/>
      </c>
      <c r="BV346" s="36" t="str">
        <f aca="false">IF(O346="","",IF(O346&gt;=100,"Yes","No"))</f>
        <v/>
      </c>
      <c r="BW346" s="36" t="str">
        <f aca="false">IF(O346="","",IF(O346&gt;=150,"Yes","No"))</f>
        <v/>
      </c>
      <c r="BX346" s="36" t="str">
        <f aca="false">IF(O346="","",IF(O346&gt;=200,"Yes","No"))</f>
        <v/>
      </c>
      <c r="BY346" s="36" t="str">
        <f aca="false">IF(Q346="","",IF(Q346&gt;=150000,"Yes","No"))</f>
        <v/>
      </c>
      <c r="BZ346" s="36" t="str">
        <f aca="false">IF(Q346="","",IF(Q346&gt;=200000,"Yes","No"))</f>
        <v/>
      </c>
      <c r="CA346" s="36" t="str">
        <f aca="false">IF(Q346="","",IF(Q346&gt;=250000,"Yes","No"))</f>
        <v/>
      </c>
      <c r="CB346" s="36" t="str">
        <f aca="false">IF(Q346="","",IF(Q346&gt;=300000,"Yes","No"))</f>
        <v/>
      </c>
      <c r="CC346" s="37"/>
      <c r="CD346" s="36" t="str">
        <f aca="true">IF(B346="","",IF(TODAY()-B346&lt;=7,"🟢 0-7d",IF(TODAY()-B346&lt;=30,"🟡 8-30d",IF(TODAY()-B346&lt;=60,"🟠 31-60d","🔴 60d+"))))</f>
        <v/>
      </c>
      <c r="CE346" s="36" t="str">
        <f aca="false">IF(G346="","",IF(G346&lt;&gt;"USA","N/A - Not USA Role",IF(J346="Yes",IF(OR(F346="Intern",F346="New Grad"),"🟡 Possible","🟢 Strong"),IF(J346="No","🔴 Difficult","⚪ Unknown"))))</f>
        <v/>
      </c>
      <c r="CF346" s="37"/>
      <c r="CG346" s="37"/>
      <c r="CH346" s="38"/>
      <c r="CI346" s="38"/>
      <c r="CJ346" s="38"/>
      <c r="CK346" s="38"/>
    </row>
    <row r="347" customFormat="false" ht="15" hidden="false" customHeight="true" outlineLevel="0" collapsed="false">
      <c r="A347" s="26" t="str">
        <f aca="false">IF($C347="","",ROW()-3)</f>
        <v/>
      </c>
      <c r="B347" s="27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9"/>
      <c r="N347" s="29"/>
      <c r="O347" s="30" t="str">
        <f aca="false">IFERROR(IF(M347="","",M347*INDEX('00 - Lists'!$M$2:$M$11,MATCH(L347,'00 - Lists'!$L$2:$L$11,0))/100000),"")</f>
        <v/>
      </c>
      <c r="P347" s="30" t="str">
        <f aca="false">IFERROR(IF(N347="","",N347*INDEX('00 - Lists'!$M$2:$M$11,MATCH(L347,'00 - Lists'!$L$2:$L$11,0))/100000),"")</f>
        <v/>
      </c>
      <c r="Q347" s="31" t="str">
        <f aca="false">IFERROR(IF(M347="","",M347*INDEX('00 - Lists'!$N$2:$N$11,MATCH(L347,'00 - Lists'!$L$2:$L$11,0))),"")</f>
        <v/>
      </c>
      <c r="R347" s="31" t="str">
        <f aca="false">IFERROR(IF(N347="","",N347*INDEX('00 - Lists'!$N$2:$N$11,MATCH(L347,'00 - Lists'!$L$2:$L$11,0))),"")</f>
        <v/>
      </c>
      <c r="S347" s="32" t="str">
        <f aca="false">IF(O347="","",IF(O347&gt;=50,"Yes","No"))</f>
        <v/>
      </c>
      <c r="T347" s="32" t="str">
        <f aca="false">IF(Q347="","",IF(Q347&gt;=100000,"Yes","No"))</f>
        <v/>
      </c>
      <c r="U347" s="28"/>
      <c r="V347" s="28"/>
      <c r="W347" s="28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J347" s="34" t="str">
        <f aca="false">IF(OR($BD347&lt;&gt;"",$BF347&lt;&gt;"",$BH347&lt;&gt;""),"Yes","No")</f>
        <v>No</v>
      </c>
      <c r="BK347" s="35" t="str">
        <f aca="false">IFERROR(IF(BD347="","",BD347*INDEX('00 - Lists'!$M$2:$M$11,MATCH(L347,'00 - Lists'!$L$2:$L$11,0))/100000),"")</f>
        <v/>
      </c>
      <c r="BL347" s="35" t="str">
        <f aca="false">IFERROR(IF(BE347="","",BE347*INDEX('00 - Lists'!$M$2:$M$11,MATCH(L347,'00 - Lists'!$L$2:$L$11,0))/100000),"")</f>
        <v/>
      </c>
      <c r="BM347" s="35" t="str">
        <f aca="false">IFERROR(IF(BF347="","",BF347*INDEX('00 - Lists'!$M$2:$M$11,MATCH(L347,'00 - Lists'!$L$2:$L$11,0))/100000),"")</f>
        <v/>
      </c>
      <c r="BN347" s="35" t="str">
        <f aca="false">IFERROR(IF(BG347="","",BG347*INDEX('00 - Lists'!$M$2:$M$11,MATCH(L347,'00 - Lists'!$L$2:$L$11,0))/100000),"")</f>
        <v/>
      </c>
      <c r="BO347" s="35" t="str">
        <f aca="false">IFERROR(IF(BH347="","",BH347*INDEX('00 - Lists'!$M$2:$M$11,MATCH(L347,'00 - Lists'!$L$2:$L$11,0))/100000),"")</f>
        <v/>
      </c>
      <c r="BP347" s="35" t="str">
        <f aca="false">IFERROR(IF(BI347="","",BI347*INDEX('00 - Lists'!$M$2:$M$11,MATCH(L347,'00 - Lists'!$L$2:$L$11,0))/100000),"")</f>
        <v/>
      </c>
      <c r="BS347" s="36" t="str">
        <f aca="false">IF(O347="","",IF(O347&gt;=20,"Yes","No"))</f>
        <v/>
      </c>
      <c r="BT347" s="36" t="str">
        <f aca="false">IF(O347="","",IF(O347&gt;=30,"Yes","No"))</f>
        <v/>
      </c>
      <c r="BU347" s="36" t="str">
        <f aca="false">IF(O347="","",IF(O347&gt;=75,"Yes","No"))</f>
        <v/>
      </c>
      <c r="BV347" s="36" t="str">
        <f aca="false">IF(O347="","",IF(O347&gt;=100,"Yes","No"))</f>
        <v/>
      </c>
      <c r="BW347" s="36" t="str">
        <f aca="false">IF(O347="","",IF(O347&gt;=150,"Yes","No"))</f>
        <v/>
      </c>
      <c r="BX347" s="36" t="str">
        <f aca="false">IF(O347="","",IF(O347&gt;=200,"Yes","No"))</f>
        <v/>
      </c>
      <c r="BY347" s="36" t="str">
        <f aca="false">IF(Q347="","",IF(Q347&gt;=150000,"Yes","No"))</f>
        <v/>
      </c>
      <c r="BZ347" s="36" t="str">
        <f aca="false">IF(Q347="","",IF(Q347&gt;=200000,"Yes","No"))</f>
        <v/>
      </c>
      <c r="CA347" s="36" t="str">
        <f aca="false">IF(Q347="","",IF(Q347&gt;=250000,"Yes","No"))</f>
        <v/>
      </c>
      <c r="CB347" s="36" t="str">
        <f aca="false">IF(Q347="","",IF(Q347&gt;=300000,"Yes","No"))</f>
        <v/>
      </c>
      <c r="CC347" s="37"/>
      <c r="CD347" s="36" t="str">
        <f aca="true">IF(B347="","",IF(TODAY()-B347&lt;=7,"🟢 0-7d",IF(TODAY()-B347&lt;=30,"🟡 8-30d",IF(TODAY()-B347&lt;=60,"🟠 31-60d","🔴 60d+"))))</f>
        <v/>
      </c>
      <c r="CE347" s="36" t="str">
        <f aca="false">IF(G347="","",IF(G347&lt;&gt;"USA","N/A - Not USA Role",IF(J347="Yes",IF(OR(F347="Intern",F347="New Grad"),"🟡 Possible","🟢 Strong"),IF(J347="No","🔴 Difficult","⚪ Unknown"))))</f>
        <v/>
      </c>
      <c r="CF347" s="37"/>
      <c r="CG347" s="37"/>
      <c r="CH347" s="38"/>
      <c r="CI347" s="38"/>
      <c r="CJ347" s="38"/>
      <c r="CK347" s="38"/>
    </row>
    <row r="348" customFormat="false" ht="15" hidden="false" customHeight="true" outlineLevel="0" collapsed="false">
      <c r="A348" s="26" t="str">
        <f aca="false">IF($C348="","",ROW()-3)</f>
        <v/>
      </c>
      <c r="B348" s="27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9"/>
      <c r="N348" s="29"/>
      <c r="O348" s="30" t="str">
        <f aca="false">IFERROR(IF(M348="","",M348*INDEX('00 - Lists'!$M$2:$M$11,MATCH(L348,'00 - Lists'!$L$2:$L$11,0))/100000),"")</f>
        <v/>
      </c>
      <c r="P348" s="30" t="str">
        <f aca="false">IFERROR(IF(N348="","",N348*INDEX('00 - Lists'!$M$2:$M$11,MATCH(L348,'00 - Lists'!$L$2:$L$11,0))/100000),"")</f>
        <v/>
      </c>
      <c r="Q348" s="31" t="str">
        <f aca="false">IFERROR(IF(M348="","",M348*INDEX('00 - Lists'!$N$2:$N$11,MATCH(L348,'00 - Lists'!$L$2:$L$11,0))),"")</f>
        <v/>
      </c>
      <c r="R348" s="31" t="str">
        <f aca="false">IFERROR(IF(N348="","",N348*INDEX('00 - Lists'!$N$2:$N$11,MATCH(L348,'00 - Lists'!$L$2:$L$11,0))),"")</f>
        <v/>
      </c>
      <c r="S348" s="32" t="str">
        <f aca="false">IF(O348="","",IF(O348&gt;=50,"Yes","No"))</f>
        <v/>
      </c>
      <c r="T348" s="32" t="str">
        <f aca="false">IF(Q348="","",IF(Q348&gt;=100000,"Yes","No"))</f>
        <v/>
      </c>
      <c r="U348" s="28"/>
      <c r="V348" s="28"/>
      <c r="W348" s="28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J348" s="34" t="str">
        <f aca="false">IF(OR($BD348&lt;&gt;"",$BF348&lt;&gt;"",$BH348&lt;&gt;""),"Yes","No")</f>
        <v>No</v>
      </c>
      <c r="BK348" s="35" t="str">
        <f aca="false">IFERROR(IF(BD348="","",BD348*INDEX('00 - Lists'!$M$2:$M$11,MATCH(L348,'00 - Lists'!$L$2:$L$11,0))/100000),"")</f>
        <v/>
      </c>
      <c r="BL348" s="35" t="str">
        <f aca="false">IFERROR(IF(BE348="","",BE348*INDEX('00 - Lists'!$M$2:$M$11,MATCH(L348,'00 - Lists'!$L$2:$L$11,0))/100000),"")</f>
        <v/>
      </c>
      <c r="BM348" s="35" t="str">
        <f aca="false">IFERROR(IF(BF348="","",BF348*INDEX('00 - Lists'!$M$2:$M$11,MATCH(L348,'00 - Lists'!$L$2:$L$11,0))/100000),"")</f>
        <v/>
      </c>
      <c r="BN348" s="35" t="str">
        <f aca="false">IFERROR(IF(BG348="","",BG348*INDEX('00 - Lists'!$M$2:$M$11,MATCH(L348,'00 - Lists'!$L$2:$L$11,0))/100000),"")</f>
        <v/>
      </c>
      <c r="BO348" s="35" t="str">
        <f aca="false">IFERROR(IF(BH348="","",BH348*INDEX('00 - Lists'!$M$2:$M$11,MATCH(L348,'00 - Lists'!$L$2:$L$11,0))/100000),"")</f>
        <v/>
      </c>
      <c r="BP348" s="35" t="str">
        <f aca="false">IFERROR(IF(BI348="","",BI348*INDEX('00 - Lists'!$M$2:$M$11,MATCH(L348,'00 - Lists'!$L$2:$L$11,0))/100000),"")</f>
        <v/>
      </c>
      <c r="BS348" s="36" t="str">
        <f aca="false">IF(O348="","",IF(O348&gt;=20,"Yes","No"))</f>
        <v/>
      </c>
      <c r="BT348" s="36" t="str">
        <f aca="false">IF(O348="","",IF(O348&gt;=30,"Yes","No"))</f>
        <v/>
      </c>
      <c r="BU348" s="36" t="str">
        <f aca="false">IF(O348="","",IF(O348&gt;=75,"Yes","No"))</f>
        <v/>
      </c>
      <c r="BV348" s="36" t="str">
        <f aca="false">IF(O348="","",IF(O348&gt;=100,"Yes","No"))</f>
        <v/>
      </c>
      <c r="BW348" s="36" t="str">
        <f aca="false">IF(O348="","",IF(O348&gt;=150,"Yes","No"))</f>
        <v/>
      </c>
      <c r="BX348" s="36" t="str">
        <f aca="false">IF(O348="","",IF(O348&gt;=200,"Yes","No"))</f>
        <v/>
      </c>
      <c r="BY348" s="36" t="str">
        <f aca="false">IF(Q348="","",IF(Q348&gt;=150000,"Yes","No"))</f>
        <v/>
      </c>
      <c r="BZ348" s="36" t="str">
        <f aca="false">IF(Q348="","",IF(Q348&gt;=200000,"Yes","No"))</f>
        <v/>
      </c>
      <c r="CA348" s="36" t="str">
        <f aca="false">IF(Q348="","",IF(Q348&gt;=250000,"Yes","No"))</f>
        <v/>
      </c>
      <c r="CB348" s="36" t="str">
        <f aca="false">IF(Q348="","",IF(Q348&gt;=300000,"Yes","No"))</f>
        <v/>
      </c>
      <c r="CC348" s="37"/>
      <c r="CD348" s="36" t="str">
        <f aca="true">IF(B348="","",IF(TODAY()-B348&lt;=7,"🟢 0-7d",IF(TODAY()-B348&lt;=30,"🟡 8-30d",IF(TODAY()-B348&lt;=60,"🟠 31-60d","🔴 60d+"))))</f>
        <v/>
      </c>
      <c r="CE348" s="36" t="str">
        <f aca="false">IF(G348="","",IF(G348&lt;&gt;"USA","N/A - Not USA Role",IF(J348="Yes",IF(OR(F348="Intern",F348="New Grad"),"🟡 Possible","🟢 Strong"),IF(J348="No","🔴 Difficult","⚪ Unknown"))))</f>
        <v/>
      </c>
      <c r="CF348" s="37"/>
      <c r="CG348" s="37"/>
      <c r="CH348" s="38"/>
      <c r="CI348" s="38"/>
      <c r="CJ348" s="38"/>
      <c r="CK348" s="38"/>
    </row>
    <row r="349" customFormat="false" ht="15" hidden="false" customHeight="true" outlineLevel="0" collapsed="false">
      <c r="A349" s="26" t="str">
        <f aca="false">IF($C349="","",ROW()-3)</f>
        <v/>
      </c>
      <c r="B349" s="27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9"/>
      <c r="N349" s="29"/>
      <c r="O349" s="30" t="str">
        <f aca="false">IFERROR(IF(M349="","",M349*INDEX('00 - Lists'!$M$2:$M$11,MATCH(L349,'00 - Lists'!$L$2:$L$11,0))/100000),"")</f>
        <v/>
      </c>
      <c r="P349" s="30" t="str">
        <f aca="false">IFERROR(IF(N349="","",N349*INDEX('00 - Lists'!$M$2:$M$11,MATCH(L349,'00 - Lists'!$L$2:$L$11,0))/100000),"")</f>
        <v/>
      </c>
      <c r="Q349" s="31" t="str">
        <f aca="false">IFERROR(IF(M349="","",M349*INDEX('00 - Lists'!$N$2:$N$11,MATCH(L349,'00 - Lists'!$L$2:$L$11,0))),"")</f>
        <v/>
      </c>
      <c r="R349" s="31" t="str">
        <f aca="false">IFERROR(IF(N349="","",N349*INDEX('00 - Lists'!$N$2:$N$11,MATCH(L349,'00 - Lists'!$L$2:$L$11,0))),"")</f>
        <v/>
      </c>
      <c r="S349" s="32" t="str">
        <f aca="false">IF(O349="","",IF(O349&gt;=50,"Yes","No"))</f>
        <v/>
      </c>
      <c r="T349" s="32" t="str">
        <f aca="false">IF(Q349="","",IF(Q349&gt;=100000,"Yes","No"))</f>
        <v/>
      </c>
      <c r="U349" s="28"/>
      <c r="V349" s="28"/>
      <c r="W349" s="28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J349" s="34" t="str">
        <f aca="false">IF(OR($BD349&lt;&gt;"",$BF349&lt;&gt;"",$BH349&lt;&gt;""),"Yes","No")</f>
        <v>No</v>
      </c>
      <c r="BK349" s="35" t="str">
        <f aca="false">IFERROR(IF(BD349="","",BD349*INDEX('00 - Lists'!$M$2:$M$11,MATCH(L349,'00 - Lists'!$L$2:$L$11,0))/100000),"")</f>
        <v/>
      </c>
      <c r="BL349" s="35" t="str">
        <f aca="false">IFERROR(IF(BE349="","",BE349*INDEX('00 - Lists'!$M$2:$M$11,MATCH(L349,'00 - Lists'!$L$2:$L$11,0))/100000),"")</f>
        <v/>
      </c>
      <c r="BM349" s="35" t="str">
        <f aca="false">IFERROR(IF(BF349="","",BF349*INDEX('00 - Lists'!$M$2:$M$11,MATCH(L349,'00 - Lists'!$L$2:$L$11,0))/100000),"")</f>
        <v/>
      </c>
      <c r="BN349" s="35" t="str">
        <f aca="false">IFERROR(IF(BG349="","",BG349*INDEX('00 - Lists'!$M$2:$M$11,MATCH(L349,'00 - Lists'!$L$2:$L$11,0))/100000),"")</f>
        <v/>
      </c>
      <c r="BO349" s="35" t="str">
        <f aca="false">IFERROR(IF(BH349="","",BH349*INDEX('00 - Lists'!$M$2:$M$11,MATCH(L349,'00 - Lists'!$L$2:$L$11,0))/100000),"")</f>
        <v/>
      </c>
      <c r="BP349" s="35" t="str">
        <f aca="false">IFERROR(IF(BI349="","",BI349*INDEX('00 - Lists'!$M$2:$M$11,MATCH(L349,'00 - Lists'!$L$2:$L$11,0))/100000),"")</f>
        <v/>
      </c>
      <c r="BS349" s="36" t="str">
        <f aca="false">IF(O349="","",IF(O349&gt;=20,"Yes","No"))</f>
        <v/>
      </c>
      <c r="BT349" s="36" t="str">
        <f aca="false">IF(O349="","",IF(O349&gt;=30,"Yes","No"))</f>
        <v/>
      </c>
      <c r="BU349" s="36" t="str">
        <f aca="false">IF(O349="","",IF(O349&gt;=75,"Yes","No"))</f>
        <v/>
      </c>
      <c r="BV349" s="36" t="str">
        <f aca="false">IF(O349="","",IF(O349&gt;=100,"Yes","No"))</f>
        <v/>
      </c>
      <c r="BW349" s="36" t="str">
        <f aca="false">IF(O349="","",IF(O349&gt;=150,"Yes","No"))</f>
        <v/>
      </c>
      <c r="BX349" s="36" t="str">
        <f aca="false">IF(O349="","",IF(O349&gt;=200,"Yes","No"))</f>
        <v/>
      </c>
      <c r="BY349" s="36" t="str">
        <f aca="false">IF(Q349="","",IF(Q349&gt;=150000,"Yes","No"))</f>
        <v/>
      </c>
      <c r="BZ349" s="36" t="str">
        <f aca="false">IF(Q349="","",IF(Q349&gt;=200000,"Yes","No"))</f>
        <v/>
      </c>
      <c r="CA349" s="36" t="str">
        <f aca="false">IF(Q349="","",IF(Q349&gt;=250000,"Yes","No"))</f>
        <v/>
      </c>
      <c r="CB349" s="36" t="str">
        <f aca="false">IF(Q349="","",IF(Q349&gt;=300000,"Yes","No"))</f>
        <v/>
      </c>
      <c r="CC349" s="37"/>
      <c r="CD349" s="36" t="str">
        <f aca="true">IF(B349="","",IF(TODAY()-B349&lt;=7,"🟢 0-7d",IF(TODAY()-B349&lt;=30,"🟡 8-30d",IF(TODAY()-B349&lt;=60,"🟠 31-60d","🔴 60d+"))))</f>
        <v/>
      </c>
      <c r="CE349" s="36" t="str">
        <f aca="false">IF(G349="","",IF(G349&lt;&gt;"USA","N/A - Not USA Role",IF(J349="Yes",IF(OR(F349="Intern",F349="New Grad"),"🟡 Possible","🟢 Strong"),IF(J349="No","🔴 Difficult","⚪ Unknown"))))</f>
        <v/>
      </c>
      <c r="CF349" s="37"/>
      <c r="CG349" s="37"/>
      <c r="CH349" s="38"/>
      <c r="CI349" s="38"/>
      <c r="CJ349" s="38"/>
      <c r="CK349" s="38"/>
    </row>
    <row r="350" customFormat="false" ht="15" hidden="false" customHeight="true" outlineLevel="0" collapsed="false">
      <c r="A350" s="26" t="str">
        <f aca="false">IF($C350="","",ROW()-3)</f>
        <v/>
      </c>
      <c r="B350" s="27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9"/>
      <c r="N350" s="29"/>
      <c r="O350" s="30" t="str">
        <f aca="false">IFERROR(IF(M350="","",M350*INDEX('00 - Lists'!$M$2:$M$11,MATCH(L350,'00 - Lists'!$L$2:$L$11,0))/100000),"")</f>
        <v/>
      </c>
      <c r="P350" s="30" t="str">
        <f aca="false">IFERROR(IF(N350="","",N350*INDEX('00 - Lists'!$M$2:$M$11,MATCH(L350,'00 - Lists'!$L$2:$L$11,0))/100000),"")</f>
        <v/>
      </c>
      <c r="Q350" s="31" t="str">
        <f aca="false">IFERROR(IF(M350="","",M350*INDEX('00 - Lists'!$N$2:$N$11,MATCH(L350,'00 - Lists'!$L$2:$L$11,0))),"")</f>
        <v/>
      </c>
      <c r="R350" s="31" t="str">
        <f aca="false">IFERROR(IF(N350="","",N350*INDEX('00 - Lists'!$N$2:$N$11,MATCH(L350,'00 - Lists'!$L$2:$L$11,0))),"")</f>
        <v/>
      </c>
      <c r="S350" s="32" t="str">
        <f aca="false">IF(O350="","",IF(O350&gt;=50,"Yes","No"))</f>
        <v/>
      </c>
      <c r="T350" s="32" t="str">
        <f aca="false">IF(Q350="","",IF(Q350&gt;=100000,"Yes","No"))</f>
        <v/>
      </c>
      <c r="U350" s="28"/>
      <c r="V350" s="28"/>
      <c r="W350" s="28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J350" s="34" t="str">
        <f aca="false">IF(OR($BD350&lt;&gt;"",$BF350&lt;&gt;"",$BH350&lt;&gt;""),"Yes","No")</f>
        <v>No</v>
      </c>
      <c r="BK350" s="35" t="str">
        <f aca="false">IFERROR(IF(BD350="","",BD350*INDEX('00 - Lists'!$M$2:$M$11,MATCH(L350,'00 - Lists'!$L$2:$L$11,0))/100000),"")</f>
        <v/>
      </c>
      <c r="BL350" s="35" t="str">
        <f aca="false">IFERROR(IF(BE350="","",BE350*INDEX('00 - Lists'!$M$2:$M$11,MATCH(L350,'00 - Lists'!$L$2:$L$11,0))/100000),"")</f>
        <v/>
      </c>
      <c r="BM350" s="35" t="str">
        <f aca="false">IFERROR(IF(BF350="","",BF350*INDEX('00 - Lists'!$M$2:$M$11,MATCH(L350,'00 - Lists'!$L$2:$L$11,0))/100000),"")</f>
        <v/>
      </c>
      <c r="BN350" s="35" t="str">
        <f aca="false">IFERROR(IF(BG350="","",BG350*INDEX('00 - Lists'!$M$2:$M$11,MATCH(L350,'00 - Lists'!$L$2:$L$11,0))/100000),"")</f>
        <v/>
      </c>
      <c r="BO350" s="35" t="str">
        <f aca="false">IFERROR(IF(BH350="","",BH350*INDEX('00 - Lists'!$M$2:$M$11,MATCH(L350,'00 - Lists'!$L$2:$L$11,0))/100000),"")</f>
        <v/>
      </c>
      <c r="BP350" s="35" t="str">
        <f aca="false">IFERROR(IF(BI350="","",BI350*INDEX('00 - Lists'!$M$2:$M$11,MATCH(L350,'00 - Lists'!$L$2:$L$11,0))/100000),"")</f>
        <v/>
      </c>
      <c r="BS350" s="36" t="str">
        <f aca="false">IF(O350="","",IF(O350&gt;=20,"Yes","No"))</f>
        <v/>
      </c>
      <c r="BT350" s="36" t="str">
        <f aca="false">IF(O350="","",IF(O350&gt;=30,"Yes","No"))</f>
        <v/>
      </c>
      <c r="BU350" s="36" t="str">
        <f aca="false">IF(O350="","",IF(O350&gt;=75,"Yes","No"))</f>
        <v/>
      </c>
      <c r="BV350" s="36" t="str">
        <f aca="false">IF(O350="","",IF(O350&gt;=100,"Yes","No"))</f>
        <v/>
      </c>
      <c r="BW350" s="36" t="str">
        <f aca="false">IF(O350="","",IF(O350&gt;=150,"Yes","No"))</f>
        <v/>
      </c>
      <c r="BX350" s="36" t="str">
        <f aca="false">IF(O350="","",IF(O350&gt;=200,"Yes","No"))</f>
        <v/>
      </c>
      <c r="BY350" s="36" t="str">
        <f aca="false">IF(Q350="","",IF(Q350&gt;=150000,"Yes","No"))</f>
        <v/>
      </c>
      <c r="BZ350" s="36" t="str">
        <f aca="false">IF(Q350="","",IF(Q350&gt;=200000,"Yes","No"))</f>
        <v/>
      </c>
      <c r="CA350" s="36" t="str">
        <f aca="false">IF(Q350="","",IF(Q350&gt;=250000,"Yes","No"))</f>
        <v/>
      </c>
      <c r="CB350" s="36" t="str">
        <f aca="false">IF(Q350="","",IF(Q350&gt;=300000,"Yes","No"))</f>
        <v/>
      </c>
      <c r="CC350" s="37"/>
      <c r="CD350" s="36" t="str">
        <f aca="true">IF(B350="","",IF(TODAY()-B350&lt;=7,"🟢 0-7d",IF(TODAY()-B350&lt;=30,"🟡 8-30d",IF(TODAY()-B350&lt;=60,"🟠 31-60d","🔴 60d+"))))</f>
        <v/>
      </c>
      <c r="CE350" s="36" t="str">
        <f aca="false">IF(G350="","",IF(G350&lt;&gt;"USA","N/A - Not USA Role",IF(J350="Yes",IF(OR(F350="Intern",F350="New Grad"),"🟡 Possible","🟢 Strong"),IF(J350="No","🔴 Difficult","⚪ Unknown"))))</f>
        <v/>
      </c>
      <c r="CF350" s="37"/>
      <c r="CG350" s="37"/>
      <c r="CH350" s="38"/>
      <c r="CI350" s="38"/>
      <c r="CJ350" s="38"/>
      <c r="CK350" s="38"/>
    </row>
    <row r="351" customFormat="false" ht="15" hidden="false" customHeight="true" outlineLevel="0" collapsed="false">
      <c r="A351" s="26" t="str">
        <f aca="false">IF($C351="","",ROW()-3)</f>
        <v/>
      </c>
      <c r="B351" s="27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9"/>
      <c r="N351" s="29"/>
      <c r="O351" s="30" t="str">
        <f aca="false">IFERROR(IF(M351="","",M351*INDEX('00 - Lists'!$M$2:$M$11,MATCH(L351,'00 - Lists'!$L$2:$L$11,0))/100000),"")</f>
        <v/>
      </c>
      <c r="P351" s="30" t="str">
        <f aca="false">IFERROR(IF(N351="","",N351*INDEX('00 - Lists'!$M$2:$M$11,MATCH(L351,'00 - Lists'!$L$2:$L$11,0))/100000),"")</f>
        <v/>
      </c>
      <c r="Q351" s="31" t="str">
        <f aca="false">IFERROR(IF(M351="","",M351*INDEX('00 - Lists'!$N$2:$N$11,MATCH(L351,'00 - Lists'!$L$2:$L$11,0))),"")</f>
        <v/>
      </c>
      <c r="R351" s="31" t="str">
        <f aca="false">IFERROR(IF(N351="","",N351*INDEX('00 - Lists'!$N$2:$N$11,MATCH(L351,'00 - Lists'!$L$2:$L$11,0))),"")</f>
        <v/>
      </c>
      <c r="S351" s="32" t="str">
        <f aca="false">IF(O351="","",IF(O351&gt;=50,"Yes","No"))</f>
        <v/>
      </c>
      <c r="T351" s="32" t="str">
        <f aca="false">IF(Q351="","",IF(Q351&gt;=100000,"Yes","No"))</f>
        <v/>
      </c>
      <c r="U351" s="28"/>
      <c r="V351" s="28"/>
      <c r="W351" s="28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J351" s="34" t="str">
        <f aca="false">IF(OR($BD351&lt;&gt;"",$BF351&lt;&gt;"",$BH351&lt;&gt;""),"Yes","No")</f>
        <v>No</v>
      </c>
      <c r="BK351" s="35" t="str">
        <f aca="false">IFERROR(IF(BD351="","",BD351*INDEX('00 - Lists'!$M$2:$M$11,MATCH(L351,'00 - Lists'!$L$2:$L$11,0))/100000),"")</f>
        <v/>
      </c>
      <c r="BL351" s="35" t="str">
        <f aca="false">IFERROR(IF(BE351="","",BE351*INDEX('00 - Lists'!$M$2:$M$11,MATCH(L351,'00 - Lists'!$L$2:$L$11,0))/100000),"")</f>
        <v/>
      </c>
      <c r="BM351" s="35" t="str">
        <f aca="false">IFERROR(IF(BF351="","",BF351*INDEX('00 - Lists'!$M$2:$M$11,MATCH(L351,'00 - Lists'!$L$2:$L$11,0))/100000),"")</f>
        <v/>
      </c>
      <c r="BN351" s="35" t="str">
        <f aca="false">IFERROR(IF(BG351="","",BG351*INDEX('00 - Lists'!$M$2:$M$11,MATCH(L351,'00 - Lists'!$L$2:$L$11,0))/100000),"")</f>
        <v/>
      </c>
      <c r="BO351" s="35" t="str">
        <f aca="false">IFERROR(IF(BH351="","",BH351*INDEX('00 - Lists'!$M$2:$M$11,MATCH(L351,'00 - Lists'!$L$2:$L$11,0))/100000),"")</f>
        <v/>
      </c>
      <c r="BP351" s="35" t="str">
        <f aca="false">IFERROR(IF(BI351="","",BI351*INDEX('00 - Lists'!$M$2:$M$11,MATCH(L351,'00 - Lists'!$L$2:$L$11,0))/100000),"")</f>
        <v/>
      </c>
      <c r="BS351" s="36" t="str">
        <f aca="false">IF(O351="","",IF(O351&gt;=20,"Yes","No"))</f>
        <v/>
      </c>
      <c r="BT351" s="36" t="str">
        <f aca="false">IF(O351="","",IF(O351&gt;=30,"Yes","No"))</f>
        <v/>
      </c>
      <c r="BU351" s="36" t="str">
        <f aca="false">IF(O351="","",IF(O351&gt;=75,"Yes","No"))</f>
        <v/>
      </c>
      <c r="BV351" s="36" t="str">
        <f aca="false">IF(O351="","",IF(O351&gt;=100,"Yes","No"))</f>
        <v/>
      </c>
      <c r="BW351" s="36" t="str">
        <f aca="false">IF(O351="","",IF(O351&gt;=150,"Yes","No"))</f>
        <v/>
      </c>
      <c r="BX351" s="36" t="str">
        <f aca="false">IF(O351="","",IF(O351&gt;=200,"Yes","No"))</f>
        <v/>
      </c>
      <c r="BY351" s="36" t="str">
        <f aca="false">IF(Q351="","",IF(Q351&gt;=150000,"Yes","No"))</f>
        <v/>
      </c>
      <c r="BZ351" s="36" t="str">
        <f aca="false">IF(Q351="","",IF(Q351&gt;=200000,"Yes","No"))</f>
        <v/>
      </c>
      <c r="CA351" s="36" t="str">
        <f aca="false">IF(Q351="","",IF(Q351&gt;=250000,"Yes","No"))</f>
        <v/>
      </c>
      <c r="CB351" s="36" t="str">
        <f aca="false">IF(Q351="","",IF(Q351&gt;=300000,"Yes","No"))</f>
        <v/>
      </c>
      <c r="CC351" s="37"/>
      <c r="CD351" s="36" t="str">
        <f aca="true">IF(B351="","",IF(TODAY()-B351&lt;=7,"🟢 0-7d",IF(TODAY()-B351&lt;=30,"🟡 8-30d",IF(TODAY()-B351&lt;=60,"🟠 31-60d","🔴 60d+"))))</f>
        <v/>
      </c>
      <c r="CE351" s="36" t="str">
        <f aca="false">IF(G351="","",IF(G351&lt;&gt;"USA","N/A - Not USA Role",IF(J351="Yes",IF(OR(F351="Intern",F351="New Grad"),"🟡 Possible","🟢 Strong"),IF(J351="No","🔴 Difficult","⚪ Unknown"))))</f>
        <v/>
      </c>
      <c r="CF351" s="37"/>
      <c r="CG351" s="37"/>
      <c r="CH351" s="38"/>
      <c r="CI351" s="38"/>
      <c r="CJ351" s="38"/>
      <c r="CK351" s="38"/>
    </row>
    <row r="352" customFormat="false" ht="15" hidden="false" customHeight="true" outlineLevel="0" collapsed="false">
      <c r="A352" s="26" t="str">
        <f aca="false">IF($C352="","",ROW()-3)</f>
        <v/>
      </c>
      <c r="B352" s="27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9"/>
      <c r="N352" s="29"/>
      <c r="O352" s="30" t="str">
        <f aca="false">IFERROR(IF(M352="","",M352*INDEX('00 - Lists'!$M$2:$M$11,MATCH(L352,'00 - Lists'!$L$2:$L$11,0))/100000),"")</f>
        <v/>
      </c>
      <c r="P352" s="30" t="str">
        <f aca="false">IFERROR(IF(N352="","",N352*INDEX('00 - Lists'!$M$2:$M$11,MATCH(L352,'00 - Lists'!$L$2:$L$11,0))/100000),"")</f>
        <v/>
      </c>
      <c r="Q352" s="31" t="str">
        <f aca="false">IFERROR(IF(M352="","",M352*INDEX('00 - Lists'!$N$2:$N$11,MATCH(L352,'00 - Lists'!$L$2:$L$11,0))),"")</f>
        <v/>
      </c>
      <c r="R352" s="31" t="str">
        <f aca="false">IFERROR(IF(N352="","",N352*INDEX('00 - Lists'!$N$2:$N$11,MATCH(L352,'00 - Lists'!$L$2:$L$11,0))),"")</f>
        <v/>
      </c>
      <c r="S352" s="32" t="str">
        <f aca="false">IF(O352="","",IF(O352&gt;=50,"Yes","No"))</f>
        <v/>
      </c>
      <c r="T352" s="32" t="str">
        <f aca="false">IF(Q352="","",IF(Q352&gt;=100000,"Yes","No"))</f>
        <v/>
      </c>
      <c r="U352" s="28"/>
      <c r="V352" s="28"/>
      <c r="W352" s="28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J352" s="34" t="str">
        <f aca="false">IF(OR($BD352&lt;&gt;"",$BF352&lt;&gt;"",$BH352&lt;&gt;""),"Yes","No")</f>
        <v>No</v>
      </c>
      <c r="BK352" s="35" t="str">
        <f aca="false">IFERROR(IF(BD352="","",BD352*INDEX('00 - Lists'!$M$2:$M$11,MATCH(L352,'00 - Lists'!$L$2:$L$11,0))/100000),"")</f>
        <v/>
      </c>
      <c r="BL352" s="35" t="str">
        <f aca="false">IFERROR(IF(BE352="","",BE352*INDEX('00 - Lists'!$M$2:$M$11,MATCH(L352,'00 - Lists'!$L$2:$L$11,0))/100000),"")</f>
        <v/>
      </c>
      <c r="BM352" s="35" t="str">
        <f aca="false">IFERROR(IF(BF352="","",BF352*INDEX('00 - Lists'!$M$2:$M$11,MATCH(L352,'00 - Lists'!$L$2:$L$11,0))/100000),"")</f>
        <v/>
      </c>
      <c r="BN352" s="35" t="str">
        <f aca="false">IFERROR(IF(BG352="","",BG352*INDEX('00 - Lists'!$M$2:$M$11,MATCH(L352,'00 - Lists'!$L$2:$L$11,0))/100000),"")</f>
        <v/>
      </c>
      <c r="BO352" s="35" t="str">
        <f aca="false">IFERROR(IF(BH352="","",BH352*INDEX('00 - Lists'!$M$2:$M$11,MATCH(L352,'00 - Lists'!$L$2:$L$11,0))/100000),"")</f>
        <v/>
      </c>
      <c r="BP352" s="35" t="str">
        <f aca="false">IFERROR(IF(BI352="","",BI352*INDEX('00 - Lists'!$M$2:$M$11,MATCH(L352,'00 - Lists'!$L$2:$L$11,0))/100000),"")</f>
        <v/>
      </c>
      <c r="BS352" s="36" t="str">
        <f aca="false">IF(O352="","",IF(O352&gt;=20,"Yes","No"))</f>
        <v/>
      </c>
      <c r="BT352" s="36" t="str">
        <f aca="false">IF(O352="","",IF(O352&gt;=30,"Yes","No"))</f>
        <v/>
      </c>
      <c r="BU352" s="36" t="str">
        <f aca="false">IF(O352="","",IF(O352&gt;=75,"Yes","No"))</f>
        <v/>
      </c>
      <c r="BV352" s="36" t="str">
        <f aca="false">IF(O352="","",IF(O352&gt;=100,"Yes","No"))</f>
        <v/>
      </c>
      <c r="BW352" s="36" t="str">
        <f aca="false">IF(O352="","",IF(O352&gt;=150,"Yes","No"))</f>
        <v/>
      </c>
      <c r="BX352" s="36" t="str">
        <f aca="false">IF(O352="","",IF(O352&gt;=200,"Yes","No"))</f>
        <v/>
      </c>
      <c r="BY352" s="36" t="str">
        <f aca="false">IF(Q352="","",IF(Q352&gt;=150000,"Yes","No"))</f>
        <v/>
      </c>
      <c r="BZ352" s="36" t="str">
        <f aca="false">IF(Q352="","",IF(Q352&gt;=200000,"Yes","No"))</f>
        <v/>
      </c>
      <c r="CA352" s="36" t="str">
        <f aca="false">IF(Q352="","",IF(Q352&gt;=250000,"Yes","No"))</f>
        <v/>
      </c>
      <c r="CB352" s="36" t="str">
        <f aca="false">IF(Q352="","",IF(Q352&gt;=300000,"Yes","No"))</f>
        <v/>
      </c>
      <c r="CC352" s="37"/>
      <c r="CD352" s="36" t="str">
        <f aca="true">IF(B352="","",IF(TODAY()-B352&lt;=7,"🟢 0-7d",IF(TODAY()-B352&lt;=30,"🟡 8-30d",IF(TODAY()-B352&lt;=60,"🟠 31-60d","🔴 60d+"))))</f>
        <v/>
      </c>
      <c r="CE352" s="36" t="str">
        <f aca="false">IF(G352="","",IF(G352&lt;&gt;"USA","N/A - Not USA Role",IF(J352="Yes",IF(OR(F352="Intern",F352="New Grad"),"🟡 Possible","🟢 Strong"),IF(J352="No","🔴 Difficult","⚪ Unknown"))))</f>
        <v/>
      </c>
      <c r="CF352" s="37"/>
      <c r="CG352" s="37"/>
      <c r="CH352" s="38"/>
      <c r="CI352" s="38"/>
      <c r="CJ352" s="38"/>
      <c r="CK352" s="38"/>
    </row>
    <row r="353" customFormat="false" ht="15" hidden="false" customHeight="true" outlineLevel="0" collapsed="false">
      <c r="A353" s="26" t="str">
        <f aca="false">IF($C353="","",ROW()-3)</f>
        <v/>
      </c>
      <c r="B353" s="27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9"/>
      <c r="N353" s="29"/>
      <c r="O353" s="30" t="str">
        <f aca="false">IFERROR(IF(M353="","",M353*INDEX('00 - Lists'!$M$2:$M$11,MATCH(L353,'00 - Lists'!$L$2:$L$11,0))/100000),"")</f>
        <v/>
      </c>
      <c r="P353" s="30" t="str">
        <f aca="false">IFERROR(IF(N353="","",N353*INDEX('00 - Lists'!$M$2:$M$11,MATCH(L353,'00 - Lists'!$L$2:$L$11,0))/100000),"")</f>
        <v/>
      </c>
      <c r="Q353" s="31" t="str">
        <f aca="false">IFERROR(IF(M353="","",M353*INDEX('00 - Lists'!$N$2:$N$11,MATCH(L353,'00 - Lists'!$L$2:$L$11,0))),"")</f>
        <v/>
      </c>
      <c r="R353" s="31" t="str">
        <f aca="false">IFERROR(IF(N353="","",N353*INDEX('00 - Lists'!$N$2:$N$11,MATCH(L353,'00 - Lists'!$L$2:$L$11,0))),"")</f>
        <v/>
      </c>
      <c r="S353" s="32" t="str">
        <f aca="false">IF(O353="","",IF(O353&gt;=50,"Yes","No"))</f>
        <v/>
      </c>
      <c r="T353" s="32" t="str">
        <f aca="false">IF(Q353="","",IF(Q353&gt;=100000,"Yes","No"))</f>
        <v/>
      </c>
      <c r="U353" s="28"/>
      <c r="V353" s="28"/>
      <c r="W353" s="28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J353" s="34" t="str">
        <f aca="false">IF(OR($BD353&lt;&gt;"",$BF353&lt;&gt;"",$BH353&lt;&gt;""),"Yes","No")</f>
        <v>No</v>
      </c>
      <c r="BK353" s="35" t="str">
        <f aca="false">IFERROR(IF(BD353="","",BD353*INDEX('00 - Lists'!$M$2:$M$11,MATCH(L353,'00 - Lists'!$L$2:$L$11,0))/100000),"")</f>
        <v/>
      </c>
      <c r="BL353" s="35" t="str">
        <f aca="false">IFERROR(IF(BE353="","",BE353*INDEX('00 - Lists'!$M$2:$M$11,MATCH(L353,'00 - Lists'!$L$2:$L$11,0))/100000),"")</f>
        <v/>
      </c>
      <c r="BM353" s="35" t="str">
        <f aca="false">IFERROR(IF(BF353="","",BF353*INDEX('00 - Lists'!$M$2:$M$11,MATCH(L353,'00 - Lists'!$L$2:$L$11,0))/100000),"")</f>
        <v/>
      </c>
      <c r="BN353" s="35" t="str">
        <f aca="false">IFERROR(IF(BG353="","",BG353*INDEX('00 - Lists'!$M$2:$M$11,MATCH(L353,'00 - Lists'!$L$2:$L$11,0))/100000),"")</f>
        <v/>
      </c>
      <c r="BO353" s="35" t="str">
        <f aca="false">IFERROR(IF(BH353="","",BH353*INDEX('00 - Lists'!$M$2:$M$11,MATCH(L353,'00 - Lists'!$L$2:$L$11,0))/100000),"")</f>
        <v/>
      </c>
      <c r="BP353" s="35" t="str">
        <f aca="false">IFERROR(IF(BI353="","",BI353*INDEX('00 - Lists'!$M$2:$M$11,MATCH(L353,'00 - Lists'!$L$2:$L$11,0))/100000),"")</f>
        <v/>
      </c>
      <c r="BS353" s="36" t="str">
        <f aca="false">IF(O353="","",IF(O353&gt;=20,"Yes","No"))</f>
        <v/>
      </c>
      <c r="BT353" s="36" t="str">
        <f aca="false">IF(O353="","",IF(O353&gt;=30,"Yes","No"))</f>
        <v/>
      </c>
      <c r="BU353" s="36" t="str">
        <f aca="false">IF(O353="","",IF(O353&gt;=75,"Yes","No"))</f>
        <v/>
      </c>
      <c r="BV353" s="36" t="str">
        <f aca="false">IF(O353="","",IF(O353&gt;=100,"Yes","No"))</f>
        <v/>
      </c>
      <c r="BW353" s="36" t="str">
        <f aca="false">IF(O353="","",IF(O353&gt;=150,"Yes","No"))</f>
        <v/>
      </c>
      <c r="BX353" s="36" t="str">
        <f aca="false">IF(O353="","",IF(O353&gt;=200,"Yes","No"))</f>
        <v/>
      </c>
      <c r="BY353" s="36" t="str">
        <f aca="false">IF(Q353="","",IF(Q353&gt;=150000,"Yes","No"))</f>
        <v/>
      </c>
      <c r="BZ353" s="36" t="str">
        <f aca="false">IF(Q353="","",IF(Q353&gt;=200000,"Yes","No"))</f>
        <v/>
      </c>
      <c r="CA353" s="36" t="str">
        <f aca="false">IF(Q353="","",IF(Q353&gt;=250000,"Yes","No"))</f>
        <v/>
      </c>
      <c r="CB353" s="36" t="str">
        <f aca="false">IF(Q353="","",IF(Q353&gt;=300000,"Yes","No"))</f>
        <v/>
      </c>
      <c r="CC353" s="37"/>
      <c r="CD353" s="36" t="str">
        <f aca="true">IF(B353="","",IF(TODAY()-B353&lt;=7,"🟢 0-7d",IF(TODAY()-B353&lt;=30,"🟡 8-30d",IF(TODAY()-B353&lt;=60,"🟠 31-60d","🔴 60d+"))))</f>
        <v/>
      </c>
      <c r="CE353" s="36" t="str">
        <f aca="false">IF(G353="","",IF(G353&lt;&gt;"USA","N/A - Not USA Role",IF(J353="Yes",IF(OR(F353="Intern",F353="New Grad"),"🟡 Possible","🟢 Strong"),IF(J353="No","🔴 Difficult","⚪ Unknown"))))</f>
        <v/>
      </c>
      <c r="CF353" s="37"/>
      <c r="CG353" s="37"/>
      <c r="CH353" s="38"/>
      <c r="CI353" s="38"/>
      <c r="CJ353" s="38"/>
      <c r="CK353" s="38"/>
    </row>
    <row r="354" customFormat="false" ht="15" hidden="false" customHeight="true" outlineLevel="0" collapsed="false">
      <c r="A354" s="26" t="str">
        <f aca="false">IF($C354="","",ROW()-3)</f>
        <v/>
      </c>
      <c r="B354" s="27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9"/>
      <c r="N354" s="29"/>
      <c r="O354" s="30" t="str">
        <f aca="false">IFERROR(IF(M354="","",M354*INDEX('00 - Lists'!$M$2:$M$11,MATCH(L354,'00 - Lists'!$L$2:$L$11,0))/100000),"")</f>
        <v/>
      </c>
      <c r="P354" s="30" t="str">
        <f aca="false">IFERROR(IF(N354="","",N354*INDEX('00 - Lists'!$M$2:$M$11,MATCH(L354,'00 - Lists'!$L$2:$L$11,0))/100000),"")</f>
        <v/>
      </c>
      <c r="Q354" s="31" t="str">
        <f aca="false">IFERROR(IF(M354="","",M354*INDEX('00 - Lists'!$N$2:$N$11,MATCH(L354,'00 - Lists'!$L$2:$L$11,0))),"")</f>
        <v/>
      </c>
      <c r="R354" s="31" t="str">
        <f aca="false">IFERROR(IF(N354="","",N354*INDEX('00 - Lists'!$N$2:$N$11,MATCH(L354,'00 - Lists'!$L$2:$L$11,0))),"")</f>
        <v/>
      </c>
      <c r="S354" s="32" t="str">
        <f aca="false">IF(O354="","",IF(O354&gt;=50,"Yes","No"))</f>
        <v/>
      </c>
      <c r="T354" s="32" t="str">
        <f aca="false">IF(Q354="","",IF(Q354&gt;=100000,"Yes","No"))</f>
        <v/>
      </c>
      <c r="U354" s="28"/>
      <c r="V354" s="28"/>
      <c r="W354" s="28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J354" s="34" t="str">
        <f aca="false">IF(OR($BD354&lt;&gt;"",$BF354&lt;&gt;"",$BH354&lt;&gt;""),"Yes","No")</f>
        <v>No</v>
      </c>
      <c r="BK354" s="35" t="str">
        <f aca="false">IFERROR(IF(BD354="","",BD354*INDEX('00 - Lists'!$M$2:$M$11,MATCH(L354,'00 - Lists'!$L$2:$L$11,0))/100000),"")</f>
        <v/>
      </c>
      <c r="BL354" s="35" t="str">
        <f aca="false">IFERROR(IF(BE354="","",BE354*INDEX('00 - Lists'!$M$2:$M$11,MATCH(L354,'00 - Lists'!$L$2:$L$11,0))/100000),"")</f>
        <v/>
      </c>
      <c r="BM354" s="35" t="str">
        <f aca="false">IFERROR(IF(BF354="","",BF354*INDEX('00 - Lists'!$M$2:$M$11,MATCH(L354,'00 - Lists'!$L$2:$L$11,0))/100000),"")</f>
        <v/>
      </c>
      <c r="BN354" s="35" t="str">
        <f aca="false">IFERROR(IF(BG354="","",BG354*INDEX('00 - Lists'!$M$2:$M$11,MATCH(L354,'00 - Lists'!$L$2:$L$11,0))/100000),"")</f>
        <v/>
      </c>
      <c r="BO354" s="35" t="str">
        <f aca="false">IFERROR(IF(BH354="","",BH354*INDEX('00 - Lists'!$M$2:$M$11,MATCH(L354,'00 - Lists'!$L$2:$L$11,0))/100000),"")</f>
        <v/>
      </c>
      <c r="BP354" s="35" t="str">
        <f aca="false">IFERROR(IF(BI354="","",BI354*INDEX('00 - Lists'!$M$2:$M$11,MATCH(L354,'00 - Lists'!$L$2:$L$11,0))/100000),"")</f>
        <v/>
      </c>
      <c r="BS354" s="36" t="str">
        <f aca="false">IF(O354="","",IF(O354&gt;=20,"Yes","No"))</f>
        <v/>
      </c>
      <c r="BT354" s="36" t="str">
        <f aca="false">IF(O354="","",IF(O354&gt;=30,"Yes","No"))</f>
        <v/>
      </c>
      <c r="BU354" s="36" t="str">
        <f aca="false">IF(O354="","",IF(O354&gt;=75,"Yes","No"))</f>
        <v/>
      </c>
      <c r="BV354" s="36" t="str">
        <f aca="false">IF(O354="","",IF(O354&gt;=100,"Yes","No"))</f>
        <v/>
      </c>
      <c r="BW354" s="36" t="str">
        <f aca="false">IF(O354="","",IF(O354&gt;=150,"Yes","No"))</f>
        <v/>
      </c>
      <c r="BX354" s="36" t="str">
        <f aca="false">IF(O354="","",IF(O354&gt;=200,"Yes","No"))</f>
        <v/>
      </c>
      <c r="BY354" s="36" t="str">
        <f aca="false">IF(Q354="","",IF(Q354&gt;=150000,"Yes","No"))</f>
        <v/>
      </c>
      <c r="BZ354" s="36" t="str">
        <f aca="false">IF(Q354="","",IF(Q354&gt;=200000,"Yes","No"))</f>
        <v/>
      </c>
      <c r="CA354" s="36" t="str">
        <f aca="false">IF(Q354="","",IF(Q354&gt;=250000,"Yes","No"))</f>
        <v/>
      </c>
      <c r="CB354" s="36" t="str">
        <f aca="false">IF(Q354="","",IF(Q354&gt;=300000,"Yes","No"))</f>
        <v/>
      </c>
      <c r="CC354" s="37"/>
      <c r="CD354" s="36" t="str">
        <f aca="true">IF(B354="","",IF(TODAY()-B354&lt;=7,"🟢 0-7d",IF(TODAY()-B354&lt;=30,"🟡 8-30d",IF(TODAY()-B354&lt;=60,"🟠 31-60d","🔴 60d+"))))</f>
        <v/>
      </c>
      <c r="CE354" s="36" t="str">
        <f aca="false">IF(G354="","",IF(G354&lt;&gt;"USA","N/A - Not USA Role",IF(J354="Yes",IF(OR(F354="Intern",F354="New Grad"),"🟡 Possible","🟢 Strong"),IF(J354="No","🔴 Difficult","⚪ Unknown"))))</f>
        <v/>
      </c>
      <c r="CF354" s="37"/>
      <c r="CG354" s="37"/>
      <c r="CH354" s="38"/>
      <c r="CI354" s="38"/>
      <c r="CJ354" s="38"/>
      <c r="CK354" s="38"/>
    </row>
    <row r="355" customFormat="false" ht="15" hidden="false" customHeight="true" outlineLevel="0" collapsed="false">
      <c r="A355" s="26" t="str">
        <f aca="false">IF($C355="","",ROW()-3)</f>
        <v/>
      </c>
      <c r="B355" s="27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9"/>
      <c r="N355" s="29"/>
      <c r="O355" s="30" t="str">
        <f aca="false">IFERROR(IF(M355="","",M355*INDEX('00 - Lists'!$M$2:$M$11,MATCH(L355,'00 - Lists'!$L$2:$L$11,0))/100000),"")</f>
        <v/>
      </c>
      <c r="P355" s="30" t="str">
        <f aca="false">IFERROR(IF(N355="","",N355*INDEX('00 - Lists'!$M$2:$M$11,MATCH(L355,'00 - Lists'!$L$2:$L$11,0))/100000),"")</f>
        <v/>
      </c>
      <c r="Q355" s="31" t="str">
        <f aca="false">IFERROR(IF(M355="","",M355*INDEX('00 - Lists'!$N$2:$N$11,MATCH(L355,'00 - Lists'!$L$2:$L$11,0))),"")</f>
        <v/>
      </c>
      <c r="R355" s="31" t="str">
        <f aca="false">IFERROR(IF(N355="","",N355*INDEX('00 - Lists'!$N$2:$N$11,MATCH(L355,'00 - Lists'!$L$2:$L$11,0))),"")</f>
        <v/>
      </c>
      <c r="S355" s="32" t="str">
        <f aca="false">IF(O355="","",IF(O355&gt;=50,"Yes","No"))</f>
        <v/>
      </c>
      <c r="T355" s="32" t="str">
        <f aca="false">IF(Q355="","",IF(Q355&gt;=100000,"Yes","No"))</f>
        <v/>
      </c>
      <c r="U355" s="28"/>
      <c r="V355" s="28"/>
      <c r="W355" s="28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J355" s="34" t="str">
        <f aca="false">IF(OR($BD355&lt;&gt;"",$BF355&lt;&gt;"",$BH355&lt;&gt;""),"Yes","No")</f>
        <v>No</v>
      </c>
      <c r="BK355" s="35" t="str">
        <f aca="false">IFERROR(IF(BD355="","",BD355*INDEX('00 - Lists'!$M$2:$M$11,MATCH(L355,'00 - Lists'!$L$2:$L$11,0))/100000),"")</f>
        <v/>
      </c>
      <c r="BL355" s="35" t="str">
        <f aca="false">IFERROR(IF(BE355="","",BE355*INDEX('00 - Lists'!$M$2:$M$11,MATCH(L355,'00 - Lists'!$L$2:$L$11,0))/100000),"")</f>
        <v/>
      </c>
      <c r="BM355" s="35" t="str">
        <f aca="false">IFERROR(IF(BF355="","",BF355*INDEX('00 - Lists'!$M$2:$M$11,MATCH(L355,'00 - Lists'!$L$2:$L$11,0))/100000),"")</f>
        <v/>
      </c>
      <c r="BN355" s="35" t="str">
        <f aca="false">IFERROR(IF(BG355="","",BG355*INDEX('00 - Lists'!$M$2:$M$11,MATCH(L355,'00 - Lists'!$L$2:$L$11,0))/100000),"")</f>
        <v/>
      </c>
      <c r="BO355" s="35" t="str">
        <f aca="false">IFERROR(IF(BH355="","",BH355*INDEX('00 - Lists'!$M$2:$M$11,MATCH(L355,'00 - Lists'!$L$2:$L$11,0))/100000),"")</f>
        <v/>
      </c>
      <c r="BP355" s="35" t="str">
        <f aca="false">IFERROR(IF(BI355="","",BI355*INDEX('00 - Lists'!$M$2:$M$11,MATCH(L355,'00 - Lists'!$L$2:$L$11,0))/100000),"")</f>
        <v/>
      </c>
      <c r="BS355" s="36" t="str">
        <f aca="false">IF(O355="","",IF(O355&gt;=20,"Yes","No"))</f>
        <v/>
      </c>
      <c r="BT355" s="36" t="str">
        <f aca="false">IF(O355="","",IF(O355&gt;=30,"Yes","No"))</f>
        <v/>
      </c>
      <c r="BU355" s="36" t="str">
        <f aca="false">IF(O355="","",IF(O355&gt;=75,"Yes","No"))</f>
        <v/>
      </c>
      <c r="BV355" s="36" t="str">
        <f aca="false">IF(O355="","",IF(O355&gt;=100,"Yes","No"))</f>
        <v/>
      </c>
      <c r="BW355" s="36" t="str">
        <f aca="false">IF(O355="","",IF(O355&gt;=150,"Yes","No"))</f>
        <v/>
      </c>
      <c r="BX355" s="36" t="str">
        <f aca="false">IF(O355="","",IF(O355&gt;=200,"Yes","No"))</f>
        <v/>
      </c>
      <c r="BY355" s="36" t="str">
        <f aca="false">IF(Q355="","",IF(Q355&gt;=150000,"Yes","No"))</f>
        <v/>
      </c>
      <c r="BZ355" s="36" t="str">
        <f aca="false">IF(Q355="","",IF(Q355&gt;=200000,"Yes","No"))</f>
        <v/>
      </c>
      <c r="CA355" s="36" t="str">
        <f aca="false">IF(Q355="","",IF(Q355&gt;=250000,"Yes","No"))</f>
        <v/>
      </c>
      <c r="CB355" s="36" t="str">
        <f aca="false">IF(Q355="","",IF(Q355&gt;=300000,"Yes","No"))</f>
        <v/>
      </c>
      <c r="CC355" s="37"/>
      <c r="CD355" s="36" t="str">
        <f aca="true">IF(B355="","",IF(TODAY()-B355&lt;=7,"🟢 0-7d",IF(TODAY()-B355&lt;=30,"🟡 8-30d",IF(TODAY()-B355&lt;=60,"🟠 31-60d","🔴 60d+"))))</f>
        <v/>
      </c>
      <c r="CE355" s="36" t="str">
        <f aca="false">IF(G355="","",IF(G355&lt;&gt;"USA","N/A - Not USA Role",IF(J355="Yes",IF(OR(F355="Intern",F355="New Grad"),"🟡 Possible","🟢 Strong"),IF(J355="No","🔴 Difficult","⚪ Unknown"))))</f>
        <v/>
      </c>
      <c r="CF355" s="37"/>
      <c r="CG355" s="37"/>
      <c r="CH355" s="38"/>
      <c r="CI355" s="38"/>
      <c r="CJ355" s="38"/>
      <c r="CK355" s="38"/>
    </row>
    <row r="356" customFormat="false" ht="15" hidden="false" customHeight="true" outlineLevel="0" collapsed="false">
      <c r="A356" s="26" t="str">
        <f aca="false">IF($C356="","",ROW()-3)</f>
        <v/>
      </c>
      <c r="B356" s="27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9"/>
      <c r="N356" s="29"/>
      <c r="O356" s="30" t="str">
        <f aca="false">IFERROR(IF(M356="","",M356*INDEX('00 - Lists'!$M$2:$M$11,MATCH(L356,'00 - Lists'!$L$2:$L$11,0))/100000),"")</f>
        <v/>
      </c>
      <c r="P356" s="30" t="str">
        <f aca="false">IFERROR(IF(N356="","",N356*INDEX('00 - Lists'!$M$2:$M$11,MATCH(L356,'00 - Lists'!$L$2:$L$11,0))/100000),"")</f>
        <v/>
      </c>
      <c r="Q356" s="31" t="str">
        <f aca="false">IFERROR(IF(M356="","",M356*INDEX('00 - Lists'!$N$2:$N$11,MATCH(L356,'00 - Lists'!$L$2:$L$11,0))),"")</f>
        <v/>
      </c>
      <c r="R356" s="31" t="str">
        <f aca="false">IFERROR(IF(N356="","",N356*INDEX('00 - Lists'!$N$2:$N$11,MATCH(L356,'00 - Lists'!$L$2:$L$11,0))),"")</f>
        <v/>
      </c>
      <c r="S356" s="32" t="str">
        <f aca="false">IF(O356="","",IF(O356&gt;=50,"Yes","No"))</f>
        <v/>
      </c>
      <c r="T356" s="32" t="str">
        <f aca="false">IF(Q356="","",IF(Q356&gt;=100000,"Yes","No"))</f>
        <v/>
      </c>
      <c r="U356" s="28"/>
      <c r="V356" s="28"/>
      <c r="W356" s="28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J356" s="34" t="str">
        <f aca="false">IF(OR($BD356&lt;&gt;"",$BF356&lt;&gt;"",$BH356&lt;&gt;""),"Yes","No")</f>
        <v>No</v>
      </c>
      <c r="BK356" s="35" t="str">
        <f aca="false">IFERROR(IF(BD356="","",BD356*INDEX('00 - Lists'!$M$2:$M$11,MATCH(L356,'00 - Lists'!$L$2:$L$11,0))/100000),"")</f>
        <v/>
      </c>
      <c r="BL356" s="35" t="str">
        <f aca="false">IFERROR(IF(BE356="","",BE356*INDEX('00 - Lists'!$M$2:$M$11,MATCH(L356,'00 - Lists'!$L$2:$L$11,0))/100000),"")</f>
        <v/>
      </c>
      <c r="BM356" s="35" t="str">
        <f aca="false">IFERROR(IF(BF356="","",BF356*INDEX('00 - Lists'!$M$2:$M$11,MATCH(L356,'00 - Lists'!$L$2:$L$11,0))/100000),"")</f>
        <v/>
      </c>
      <c r="BN356" s="35" t="str">
        <f aca="false">IFERROR(IF(BG356="","",BG356*INDEX('00 - Lists'!$M$2:$M$11,MATCH(L356,'00 - Lists'!$L$2:$L$11,0))/100000),"")</f>
        <v/>
      </c>
      <c r="BO356" s="35" t="str">
        <f aca="false">IFERROR(IF(BH356="","",BH356*INDEX('00 - Lists'!$M$2:$M$11,MATCH(L356,'00 - Lists'!$L$2:$L$11,0))/100000),"")</f>
        <v/>
      </c>
      <c r="BP356" s="35" t="str">
        <f aca="false">IFERROR(IF(BI356="","",BI356*INDEX('00 - Lists'!$M$2:$M$11,MATCH(L356,'00 - Lists'!$L$2:$L$11,0))/100000),"")</f>
        <v/>
      </c>
      <c r="BS356" s="36" t="str">
        <f aca="false">IF(O356="","",IF(O356&gt;=20,"Yes","No"))</f>
        <v/>
      </c>
      <c r="BT356" s="36" t="str">
        <f aca="false">IF(O356="","",IF(O356&gt;=30,"Yes","No"))</f>
        <v/>
      </c>
      <c r="BU356" s="36" t="str">
        <f aca="false">IF(O356="","",IF(O356&gt;=75,"Yes","No"))</f>
        <v/>
      </c>
      <c r="BV356" s="36" t="str">
        <f aca="false">IF(O356="","",IF(O356&gt;=100,"Yes","No"))</f>
        <v/>
      </c>
      <c r="BW356" s="36" t="str">
        <f aca="false">IF(O356="","",IF(O356&gt;=150,"Yes","No"))</f>
        <v/>
      </c>
      <c r="BX356" s="36" t="str">
        <f aca="false">IF(O356="","",IF(O356&gt;=200,"Yes","No"))</f>
        <v/>
      </c>
      <c r="BY356" s="36" t="str">
        <f aca="false">IF(Q356="","",IF(Q356&gt;=150000,"Yes","No"))</f>
        <v/>
      </c>
      <c r="BZ356" s="36" t="str">
        <f aca="false">IF(Q356="","",IF(Q356&gt;=200000,"Yes","No"))</f>
        <v/>
      </c>
      <c r="CA356" s="36" t="str">
        <f aca="false">IF(Q356="","",IF(Q356&gt;=250000,"Yes","No"))</f>
        <v/>
      </c>
      <c r="CB356" s="36" t="str">
        <f aca="false">IF(Q356="","",IF(Q356&gt;=300000,"Yes","No"))</f>
        <v/>
      </c>
      <c r="CC356" s="37"/>
      <c r="CD356" s="36" t="str">
        <f aca="true">IF(B356="","",IF(TODAY()-B356&lt;=7,"🟢 0-7d",IF(TODAY()-B356&lt;=30,"🟡 8-30d",IF(TODAY()-B356&lt;=60,"🟠 31-60d","🔴 60d+"))))</f>
        <v/>
      </c>
      <c r="CE356" s="36" t="str">
        <f aca="false">IF(G356="","",IF(G356&lt;&gt;"USA","N/A - Not USA Role",IF(J356="Yes",IF(OR(F356="Intern",F356="New Grad"),"🟡 Possible","🟢 Strong"),IF(J356="No","🔴 Difficult","⚪ Unknown"))))</f>
        <v/>
      </c>
      <c r="CF356" s="37"/>
      <c r="CG356" s="37"/>
      <c r="CH356" s="38"/>
      <c r="CI356" s="38"/>
      <c r="CJ356" s="38"/>
      <c r="CK356" s="38"/>
    </row>
    <row r="357" customFormat="false" ht="15" hidden="false" customHeight="true" outlineLevel="0" collapsed="false">
      <c r="A357" s="26" t="str">
        <f aca="false">IF($C357="","",ROW()-3)</f>
        <v/>
      </c>
      <c r="B357" s="27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9"/>
      <c r="N357" s="29"/>
      <c r="O357" s="30" t="str">
        <f aca="false">IFERROR(IF(M357="","",M357*INDEX('00 - Lists'!$M$2:$M$11,MATCH(L357,'00 - Lists'!$L$2:$L$11,0))/100000),"")</f>
        <v/>
      </c>
      <c r="P357" s="30" t="str">
        <f aca="false">IFERROR(IF(N357="","",N357*INDEX('00 - Lists'!$M$2:$M$11,MATCH(L357,'00 - Lists'!$L$2:$L$11,0))/100000),"")</f>
        <v/>
      </c>
      <c r="Q357" s="31" t="str">
        <f aca="false">IFERROR(IF(M357="","",M357*INDEX('00 - Lists'!$N$2:$N$11,MATCH(L357,'00 - Lists'!$L$2:$L$11,0))),"")</f>
        <v/>
      </c>
      <c r="R357" s="31" t="str">
        <f aca="false">IFERROR(IF(N357="","",N357*INDEX('00 - Lists'!$N$2:$N$11,MATCH(L357,'00 - Lists'!$L$2:$L$11,0))),"")</f>
        <v/>
      </c>
      <c r="S357" s="32" t="str">
        <f aca="false">IF(O357="","",IF(O357&gt;=50,"Yes","No"))</f>
        <v/>
      </c>
      <c r="T357" s="32" t="str">
        <f aca="false">IF(Q357="","",IF(Q357&gt;=100000,"Yes","No"))</f>
        <v/>
      </c>
      <c r="U357" s="28"/>
      <c r="V357" s="28"/>
      <c r="W357" s="28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J357" s="34" t="str">
        <f aca="false">IF(OR($BD357&lt;&gt;"",$BF357&lt;&gt;"",$BH357&lt;&gt;""),"Yes","No")</f>
        <v>No</v>
      </c>
      <c r="BK357" s="35" t="str">
        <f aca="false">IFERROR(IF(BD357="","",BD357*INDEX('00 - Lists'!$M$2:$M$11,MATCH(L357,'00 - Lists'!$L$2:$L$11,0))/100000),"")</f>
        <v/>
      </c>
      <c r="BL357" s="35" t="str">
        <f aca="false">IFERROR(IF(BE357="","",BE357*INDEX('00 - Lists'!$M$2:$M$11,MATCH(L357,'00 - Lists'!$L$2:$L$11,0))/100000),"")</f>
        <v/>
      </c>
      <c r="BM357" s="35" t="str">
        <f aca="false">IFERROR(IF(BF357="","",BF357*INDEX('00 - Lists'!$M$2:$M$11,MATCH(L357,'00 - Lists'!$L$2:$L$11,0))/100000),"")</f>
        <v/>
      </c>
      <c r="BN357" s="35" t="str">
        <f aca="false">IFERROR(IF(BG357="","",BG357*INDEX('00 - Lists'!$M$2:$M$11,MATCH(L357,'00 - Lists'!$L$2:$L$11,0))/100000),"")</f>
        <v/>
      </c>
      <c r="BO357" s="35" t="str">
        <f aca="false">IFERROR(IF(BH357="","",BH357*INDEX('00 - Lists'!$M$2:$M$11,MATCH(L357,'00 - Lists'!$L$2:$L$11,0))/100000),"")</f>
        <v/>
      </c>
      <c r="BP357" s="35" t="str">
        <f aca="false">IFERROR(IF(BI357="","",BI357*INDEX('00 - Lists'!$M$2:$M$11,MATCH(L357,'00 - Lists'!$L$2:$L$11,0))/100000),"")</f>
        <v/>
      </c>
      <c r="BS357" s="36" t="str">
        <f aca="false">IF(O357="","",IF(O357&gt;=20,"Yes","No"))</f>
        <v/>
      </c>
      <c r="BT357" s="36" t="str">
        <f aca="false">IF(O357="","",IF(O357&gt;=30,"Yes","No"))</f>
        <v/>
      </c>
      <c r="BU357" s="36" t="str">
        <f aca="false">IF(O357="","",IF(O357&gt;=75,"Yes","No"))</f>
        <v/>
      </c>
      <c r="BV357" s="36" t="str">
        <f aca="false">IF(O357="","",IF(O357&gt;=100,"Yes","No"))</f>
        <v/>
      </c>
      <c r="BW357" s="36" t="str">
        <f aca="false">IF(O357="","",IF(O357&gt;=150,"Yes","No"))</f>
        <v/>
      </c>
      <c r="BX357" s="36" t="str">
        <f aca="false">IF(O357="","",IF(O357&gt;=200,"Yes","No"))</f>
        <v/>
      </c>
      <c r="BY357" s="36" t="str">
        <f aca="false">IF(Q357="","",IF(Q357&gt;=150000,"Yes","No"))</f>
        <v/>
      </c>
      <c r="BZ357" s="36" t="str">
        <f aca="false">IF(Q357="","",IF(Q357&gt;=200000,"Yes","No"))</f>
        <v/>
      </c>
      <c r="CA357" s="36" t="str">
        <f aca="false">IF(Q357="","",IF(Q357&gt;=250000,"Yes","No"))</f>
        <v/>
      </c>
      <c r="CB357" s="36" t="str">
        <f aca="false">IF(Q357="","",IF(Q357&gt;=300000,"Yes","No"))</f>
        <v/>
      </c>
      <c r="CC357" s="37"/>
      <c r="CD357" s="36" t="str">
        <f aca="true">IF(B357="","",IF(TODAY()-B357&lt;=7,"🟢 0-7d",IF(TODAY()-B357&lt;=30,"🟡 8-30d",IF(TODAY()-B357&lt;=60,"🟠 31-60d","🔴 60d+"))))</f>
        <v/>
      </c>
      <c r="CE357" s="36" t="str">
        <f aca="false">IF(G357="","",IF(G357&lt;&gt;"USA","N/A - Not USA Role",IF(J357="Yes",IF(OR(F357="Intern",F357="New Grad"),"🟡 Possible","🟢 Strong"),IF(J357="No","🔴 Difficult","⚪ Unknown"))))</f>
        <v/>
      </c>
      <c r="CF357" s="37"/>
      <c r="CG357" s="37"/>
      <c r="CH357" s="38"/>
      <c r="CI357" s="38"/>
      <c r="CJ357" s="38"/>
      <c r="CK357" s="38"/>
    </row>
    <row r="358" customFormat="false" ht="15" hidden="false" customHeight="true" outlineLevel="0" collapsed="false">
      <c r="A358" s="26" t="str">
        <f aca="false">IF($C358="","",ROW()-3)</f>
        <v/>
      </c>
      <c r="B358" s="27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9"/>
      <c r="N358" s="29"/>
      <c r="O358" s="30" t="str">
        <f aca="false">IFERROR(IF(M358="","",M358*INDEX('00 - Lists'!$M$2:$M$11,MATCH(L358,'00 - Lists'!$L$2:$L$11,0))/100000),"")</f>
        <v/>
      </c>
      <c r="P358" s="30" t="str">
        <f aca="false">IFERROR(IF(N358="","",N358*INDEX('00 - Lists'!$M$2:$M$11,MATCH(L358,'00 - Lists'!$L$2:$L$11,0))/100000),"")</f>
        <v/>
      </c>
      <c r="Q358" s="31" t="str">
        <f aca="false">IFERROR(IF(M358="","",M358*INDEX('00 - Lists'!$N$2:$N$11,MATCH(L358,'00 - Lists'!$L$2:$L$11,0))),"")</f>
        <v/>
      </c>
      <c r="R358" s="31" t="str">
        <f aca="false">IFERROR(IF(N358="","",N358*INDEX('00 - Lists'!$N$2:$N$11,MATCH(L358,'00 - Lists'!$L$2:$L$11,0))),"")</f>
        <v/>
      </c>
      <c r="S358" s="32" t="str">
        <f aca="false">IF(O358="","",IF(O358&gt;=50,"Yes","No"))</f>
        <v/>
      </c>
      <c r="T358" s="32" t="str">
        <f aca="false">IF(Q358="","",IF(Q358&gt;=100000,"Yes","No"))</f>
        <v/>
      </c>
      <c r="U358" s="28"/>
      <c r="V358" s="28"/>
      <c r="W358" s="28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J358" s="34" t="str">
        <f aca="false">IF(OR($BD358&lt;&gt;"",$BF358&lt;&gt;"",$BH358&lt;&gt;""),"Yes","No")</f>
        <v>No</v>
      </c>
      <c r="BK358" s="35" t="str">
        <f aca="false">IFERROR(IF(BD358="","",BD358*INDEX('00 - Lists'!$M$2:$M$11,MATCH(L358,'00 - Lists'!$L$2:$L$11,0))/100000),"")</f>
        <v/>
      </c>
      <c r="BL358" s="35" t="str">
        <f aca="false">IFERROR(IF(BE358="","",BE358*INDEX('00 - Lists'!$M$2:$M$11,MATCH(L358,'00 - Lists'!$L$2:$L$11,0))/100000),"")</f>
        <v/>
      </c>
      <c r="BM358" s="35" t="str">
        <f aca="false">IFERROR(IF(BF358="","",BF358*INDEX('00 - Lists'!$M$2:$M$11,MATCH(L358,'00 - Lists'!$L$2:$L$11,0))/100000),"")</f>
        <v/>
      </c>
      <c r="BN358" s="35" t="str">
        <f aca="false">IFERROR(IF(BG358="","",BG358*INDEX('00 - Lists'!$M$2:$M$11,MATCH(L358,'00 - Lists'!$L$2:$L$11,0))/100000),"")</f>
        <v/>
      </c>
      <c r="BO358" s="35" t="str">
        <f aca="false">IFERROR(IF(BH358="","",BH358*INDEX('00 - Lists'!$M$2:$M$11,MATCH(L358,'00 - Lists'!$L$2:$L$11,0))/100000),"")</f>
        <v/>
      </c>
      <c r="BP358" s="35" t="str">
        <f aca="false">IFERROR(IF(BI358="","",BI358*INDEX('00 - Lists'!$M$2:$M$11,MATCH(L358,'00 - Lists'!$L$2:$L$11,0))/100000),"")</f>
        <v/>
      </c>
      <c r="BS358" s="36" t="str">
        <f aca="false">IF(O358="","",IF(O358&gt;=20,"Yes","No"))</f>
        <v/>
      </c>
      <c r="BT358" s="36" t="str">
        <f aca="false">IF(O358="","",IF(O358&gt;=30,"Yes","No"))</f>
        <v/>
      </c>
      <c r="BU358" s="36" t="str">
        <f aca="false">IF(O358="","",IF(O358&gt;=75,"Yes","No"))</f>
        <v/>
      </c>
      <c r="BV358" s="36" t="str">
        <f aca="false">IF(O358="","",IF(O358&gt;=100,"Yes","No"))</f>
        <v/>
      </c>
      <c r="BW358" s="36" t="str">
        <f aca="false">IF(O358="","",IF(O358&gt;=150,"Yes","No"))</f>
        <v/>
      </c>
      <c r="BX358" s="36" t="str">
        <f aca="false">IF(O358="","",IF(O358&gt;=200,"Yes","No"))</f>
        <v/>
      </c>
      <c r="BY358" s="36" t="str">
        <f aca="false">IF(Q358="","",IF(Q358&gt;=150000,"Yes","No"))</f>
        <v/>
      </c>
      <c r="BZ358" s="36" t="str">
        <f aca="false">IF(Q358="","",IF(Q358&gt;=200000,"Yes","No"))</f>
        <v/>
      </c>
      <c r="CA358" s="36" t="str">
        <f aca="false">IF(Q358="","",IF(Q358&gt;=250000,"Yes","No"))</f>
        <v/>
      </c>
      <c r="CB358" s="36" t="str">
        <f aca="false">IF(Q358="","",IF(Q358&gt;=300000,"Yes","No"))</f>
        <v/>
      </c>
      <c r="CC358" s="37"/>
      <c r="CD358" s="36" t="str">
        <f aca="true">IF(B358="","",IF(TODAY()-B358&lt;=7,"🟢 0-7d",IF(TODAY()-B358&lt;=30,"🟡 8-30d",IF(TODAY()-B358&lt;=60,"🟠 31-60d","🔴 60d+"))))</f>
        <v/>
      </c>
      <c r="CE358" s="36" t="str">
        <f aca="false">IF(G358="","",IF(G358&lt;&gt;"USA","N/A - Not USA Role",IF(J358="Yes",IF(OR(F358="Intern",F358="New Grad"),"🟡 Possible","🟢 Strong"),IF(J358="No","🔴 Difficult","⚪ Unknown"))))</f>
        <v/>
      </c>
      <c r="CF358" s="37"/>
      <c r="CG358" s="37"/>
      <c r="CH358" s="38"/>
      <c r="CI358" s="38"/>
      <c r="CJ358" s="38"/>
      <c r="CK358" s="38"/>
    </row>
    <row r="359" customFormat="false" ht="15" hidden="false" customHeight="true" outlineLevel="0" collapsed="false">
      <c r="A359" s="26" t="str">
        <f aca="false">IF($C359="","",ROW()-3)</f>
        <v/>
      </c>
      <c r="B359" s="27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9"/>
      <c r="N359" s="29"/>
      <c r="O359" s="30" t="str">
        <f aca="false">IFERROR(IF(M359="","",M359*INDEX('00 - Lists'!$M$2:$M$11,MATCH(L359,'00 - Lists'!$L$2:$L$11,0))/100000),"")</f>
        <v/>
      </c>
      <c r="P359" s="30" t="str">
        <f aca="false">IFERROR(IF(N359="","",N359*INDEX('00 - Lists'!$M$2:$M$11,MATCH(L359,'00 - Lists'!$L$2:$L$11,0))/100000),"")</f>
        <v/>
      </c>
      <c r="Q359" s="31" t="str">
        <f aca="false">IFERROR(IF(M359="","",M359*INDEX('00 - Lists'!$N$2:$N$11,MATCH(L359,'00 - Lists'!$L$2:$L$11,0))),"")</f>
        <v/>
      </c>
      <c r="R359" s="31" t="str">
        <f aca="false">IFERROR(IF(N359="","",N359*INDEX('00 - Lists'!$N$2:$N$11,MATCH(L359,'00 - Lists'!$L$2:$L$11,0))),"")</f>
        <v/>
      </c>
      <c r="S359" s="32" t="str">
        <f aca="false">IF(O359="","",IF(O359&gt;=50,"Yes","No"))</f>
        <v/>
      </c>
      <c r="T359" s="32" t="str">
        <f aca="false">IF(Q359="","",IF(Q359&gt;=100000,"Yes","No"))</f>
        <v/>
      </c>
      <c r="U359" s="28"/>
      <c r="V359" s="28"/>
      <c r="W359" s="28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J359" s="34" t="str">
        <f aca="false">IF(OR($BD359&lt;&gt;"",$BF359&lt;&gt;"",$BH359&lt;&gt;""),"Yes","No")</f>
        <v>No</v>
      </c>
      <c r="BK359" s="35" t="str">
        <f aca="false">IFERROR(IF(BD359="","",BD359*INDEX('00 - Lists'!$M$2:$M$11,MATCH(L359,'00 - Lists'!$L$2:$L$11,0))/100000),"")</f>
        <v/>
      </c>
      <c r="BL359" s="35" t="str">
        <f aca="false">IFERROR(IF(BE359="","",BE359*INDEX('00 - Lists'!$M$2:$M$11,MATCH(L359,'00 - Lists'!$L$2:$L$11,0))/100000),"")</f>
        <v/>
      </c>
      <c r="BM359" s="35" t="str">
        <f aca="false">IFERROR(IF(BF359="","",BF359*INDEX('00 - Lists'!$M$2:$M$11,MATCH(L359,'00 - Lists'!$L$2:$L$11,0))/100000),"")</f>
        <v/>
      </c>
      <c r="BN359" s="35" t="str">
        <f aca="false">IFERROR(IF(BG359="","",BG359*INDEX('00 - Lists'!$M$2:$M$11,MATCH(L359,'00 - Lists'!$L$2:$L$11,0))/100000),"")</f>
        <v/>
      </c>
      <c r="BO359" s="35" t="str">
        <f aca="false">IFERROR(IF(BH359="","",BH359*INDEX('00 - Lists'!$M$2:$M$11,MATCH(L359,'00 - Lists'!$L$2:$L$11,0))/100000),"")</f>
        <v/>
      </c>
      <c r="BP359" s="35" t="str">
        <f aca="false">IFERROR(IF(BI359="","",BI359*INDEX('00 - Lists'!$M$2:$M$11,MATCH(L359,'00 - Lists'!$L$2:$L$11,0))/100000),"")</f>
        <v/>
      </c>
      <c r="BS359" s="36" t="str">
        <f aca="false">IF(O359="","",IF(O359&gt;=20,"Yes","No"))</f>
        <v/>
      </c>
      <c r="BT359" s="36" t="str">
        <f aca="false">IF(O359="","",IF(O359&gt;=30,"Yes","No"))</f>
        <v/>
      </c>
      <c r="BU359" s="36" t="str">
        <f aca="false">IF(O359="","",IF(O359&gt;=75,"Yes","No"))</f>
        <v/>
      </c>
      <c r="BV359" s="36" t="str">
        <f aca="false">IF(O359="","",IF(O359&gt;=100,"Yes","No"))</f>
        <v/>
      </c>
      <c r="BW359" s="36" t="str">
        <f aca="false">IF(O359="","",IF(O359&gt;=150,"Yes","No"))</f>
        <v/>
      </c>
      <c r="BX359" s="36" t="str">
        <f aca="false">IF(O359="","",IF(O359&gt;=200,"Yes","No"))</f>
        <v/>
      </c>
      <c r="BY359" s="36" t="str">
        <f aca="false">IF(Q359="","",IF(Q359&gt;=150000,"Yes","No"))</f>
        <v/>
      </c>
      <c r="BZ359" s="36" t="str">
        <f aca="false">IF(Q359="","",IF(Q359&gt;=200000,"Yes","No"))</f>
        <v/>
      </c>
      <c r="CA359" s="36" t="str">
        <f aca="false">IF(Q359="","",IF(Q359&gt;=250000,"Yes","No"))</f>
        <v/>
      </c>
      <c r="CB359" s="36" t="str">
        <f aca="false">IF(Q359="","",IF(Q359&gt;=300000,"Yes","No"))</f>
        <v/>
      </c>
      <c r="CC359" s="37"/>
      <c r="CD359" s="36" t="str">
        <f aca="true">IF(B359="","",IF(TODAY()-B359&lt;=7,"🟢 0-7d",IF(TODAY()-B359&lt;=30,"🟡 8-30d",IF(TODAY()-B359&lt;=60,"🟠 31-60d","🔴 60d+"))))</f>
        <v/>
      </c>
      <c r="CE359" s="36" t="str">
        <f aca="false">IF(G359="","",IF(G359&lt;&gt;"USA","N/A - Not USA Role",IF(J359="Yes",IF(OR(F359="Intern",F359="New Grad"),"🟡 Possible","🟢 Strong"),IF(J359="No","🔴 Difficult","⚪ Unknown"))))</f>
        <v/>
      </c>
      <c r="CF359" s="37"/>
      <c r="CG359" s="37"/>
      <c r="CH359" s="38"/>
      <c r="CI359" s="38"/>
      <c r="CJ359" s="38"/>
      <c r="CK359" s="38"/>
    </row>
    <row r="360" customFormat="false" ht="15" hidden="false" customHeight="true" outlineLevel="0" collapsed="false">
      <c r="A360" s="26" t="str">
        <f aca="false">IF($C360="","",ROW()-3)</f>
        <v/>
      </c>
      <c r="B360" s="27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9"/>
      <c r="N360" s="29"/>
      <c r="O360" s="30" t="str">
        <f aca="false">IFERROR(IF(M360="","",M360*INDEX('00 - Lists'!$M$2:$M$11,MATCH(L360,'00 - Lists'!$L$2:$L$11,0))/100000),"")</f>
        <v/>
      </c>
      <c r="P360" s="30" t="str">
        <f aca="false">IFERROR(IF(N360="","",N360*INDEX('00 - Lists'!$M$2:$M$11,MATCH(L360,'00 - Lists'!$L$2:$L$11,0))/100000),"")</f>
        <v/>
      </c>
      <c r="Q360" s="31" t="str">
        <f aca="false">IFERROR(IF(M360="","",M360*INDEX('00 - Lists'!$N$2:$N$11,MATCH(L360,'00 - Lists'!$L$2:$L$11,0))),"")</f>
        <v/>
      </c>
      <c r="R360" s="31" t="str">
        <f aca="false">IFERROR(IF(N360="","",N360*INDEX('00 - Lists'!$N$2:$N$11,MATCH(L360,'00 - Lists'!$L$2:$L$11,0))),"")</f>
        <v/>
      </c>
      <c r="S360" s="32" t="str">
        <f aca="false">IF(O360="","",IF(O360&gt;=50,"Yes","No"))</f>
        <v/>
      </c>
      <c r="T360" s="32" t="str">
        <f aca="false">IF(Q360="","",IF(Q360&gt;=100000,"Yes","No"))</f>
        <v/>
      </c>
      <c r="U360" s="28"/>
      <c r="V360" s="28"/>
      <c r="W360" s="28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J360" s="34" t="str">
        <f aca="false">IF(OR($BD360&lt;&gt;"",$BF360&lt;&gt;"",$BH360&lt;&gt;""),"Yes","No")</f>
        <v>No</v>
      </c>
      <c r="BK360" s="35" t="str">
        <f aca="false">IFERROR(IF(BD360="","",BD360*INDEX('00 - Lists'!$M$2:$M$11,MATCH(L360,'00 - Lists'!$L$2:$L$11,0))/100000),"")</f>
        <v/>
      </c>
      <c r="BL360" s="35" t="str">
        <f aca="false">IFERROR(IF(BE360="","",BE360*INDEX('00 - Lists'!$M$2:$M$11,MATCH(L360,'00 - Lists'!$L$2:$L$11,0))/100000),"")</f>
        <v/>
      </c>
      <c r="BM360" s="35" t="str">
        <f aca="false">IFERROR(IF(BF360="","",BF360*INDEX('00 - Lists'!$M$2:$M$11,MATCH(L360,'00 - Lists'!$L$2:$L$11,0))/100000),"")</f>
        <v/>
      </c>
      <c r="BN360" s="35" t="str">
        <f aca="false">IFERROR(IF(BG360="","",BG360*INDEX('00 - Lists'!$M$2:$M$11,MATCH(L360,'00 - Lists'!$L$2:$L$11,0))/100000),"")</f>
        <v/>
      </c>
      <c r="BO360" s="35" t="str">
        <f aca="false">IFERROR(IF(BH360="","",BH360*INDEX('00 - Lists'!$M$2:$M$11,MATCH(L360,'00 - Lists'!$L$2:$L$11,0))/100000),"")</f>
        <v/>
      </c>
      <c r="BP360" s="35" t="str">
        <f aca="false">IFERROR(IF(BI360="","",BI360*INDEX('00 - Lists'!$M$2:$M$11,MATCH(L360,'00 - Lists'!$L$2:$L$11,0))/100000),"")</f>
        <v/>
      </c>
      <c r="BS360" s="36" t="str">
        <f aca="false">IF(O360="","",IF(O360&gt;=20,"Yes","No"))</f>
        <v/>
      </c>
      <c r="BT360" s="36" t="str">
        <f aca="false">IF(O360="","",IF(O360&gt;=30,"Yes","No"))</f>
        <v/>
      </c>
      <c r="BU360" s="36" t="str">
        <f aca="false">IF(O360="","",IF(O360&gt;=75,"Yes","No"))</f>
        <v/>
      </c>
      <c r="BV360" s="36" t="str">
        <f aca="false">IF(O360="","",IF(O360&gt;=100,"Yes","No"))</f>
        <v/>
      </c>
      <c r="BW360" s="36" t="str">
        <f aca="false">IF(O360="","",IF(O360&gt;=150,"Yes","No"))</f>
        <v/>
      </c>
      <c r="BX360" s="36" t="str">
        <f aca="false">IF(O360="","",IF(O360&gt;=200,"Yes","No"))</f>
        <v/>
      </c>
      <c r="BY360" s="36" t="str">
        <f aca="false">IF(Q360="","",IF(Q360&gt;=150000,"Yes","No"))</f>
        <v/>
      </c>
      <c r="BZ360" s="36" t="str">
        <f aca="false">IF(Q360="","",IF(Q360&gt;=200000,"Yes","No"))</f>
        <v/>
      </c>
      <c r="CA360" s="36" t="str">
        <f aca="false">IF(Q360="","",IF(Q360&gt;=250000,"Yes","No"))</f>
        <v/>
      </c>
      <c r="CB360" s="36" t="str">
        <f aca="false">IF(Q360="","",IF(Q360&gt;=300000,"Yes","No"))</f>
        <v/>
      </c>
      <c r="CC360" s="37"/>
      <c r="CD360" s="36" t="str">
        <f aca="true">IF(B360="","",IF(TODAY()-B360&lt;=7,"🟢 0-7d",IF(TODAY()-B360&lt;=30,"🟡 8-30d",IF(TODAY()-B360&lt;=60,"🟠 31-60d","🔴 60d+"))))</f>
        <v/>
      </c>
      <c r="CE360" s="36" t="str">
        <f aca="false">IF(G360="","",IF(G360&lt;&gt;"USA","N/A - Not USA Role",IF(J360="Yes",IF(OR(F360="Intern",F360="New Grad"),"🟡 Possible","🟢 Strong"),IF(J360="No","🔴 Difficult","⚪ Unknown"))))</f>
        <v/>
      </c>
      <c r="CF360" s="37"/>
      <c r="CG360" s="37"/>
      <c r="CH360" s="38"/>
      <c r="CI360" s="38"/>
      <c r="CJ360" s="38"/>
      <c r="CK360" s="38"/>
    </row>
    <row r="361" customFormat="false" ht="15" hidden="false" customHeight="true" outlineLevel="0" collapsed="false">
      <c r="A361" s="26" t="str">
        <f aca="false">IF($C361="","",ROW()-3)</f>
        <v/>
      </c>
      <c r="B361" s="27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9"/>
      <c r="N361" s="29"/>
      <c r="O361" s="30" t="str">
        <f aca="false">IFERROR(IF(M361="","",M361*INDEX('00 - Lists'!$M$2:$M$11,MATCH(L361,'00 - Lists'!$L$2:$L$11,0))/100000),"")</f>
        <v/>
      </c>
      <c r="P361" s="30" t="str">
        <f aca="false">IFERROR(IF(N361="","",N361*INDEX('00 - Lists'!$M$2:$M$11,MATCH(L361,'00 - Lists'!$L$2:$L$11,0))/100000),"")</f>
        <v/>
      </c>
      <c r="Q361" s="31" t="str">
        <f aca="false">IFERROR(IF(M361="","",M361*INDEX('00 - Lists'!$N$2:$N$11,MATCH(L361,'00 - Lists'!$L$2:$L$11,0))),"")</f>
        <v/>
      </c>
      <c r="R361" s="31" t="str">
        <f aca="false">IFERROR(IF(N361="","",N361*INDEX('00 - Lists'!$N$2:$N$11,MATCH(L361,'00 - Lists'!$L$2:$L$11,0))),"")</f>
        <v/>
      </c>
      <c r="S361" s="32" t="str">
        <f aca="false">IF(O361="","",IF(O361&gt;=50,"Yes","No"))</f>
        <v/>
      </c>
      <c r="T361" s="32" t="str">
        <f aca="false">IF(Q361="","",IF(Q361&gt;=100000,"Yes","No"))</f>
        <v/>
      </c>
      <c r="U361" s="28"/>
      <c r="V361" s="28"/>
      <c r="W361" s="28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J361" s="34" t="str">
        <f aca="false">IF(OR($BD361&lt;&gt;"",$BF361&lt;&gt;"",$BH361&lt;&gt;""),"Yes","No")</f>
        <v>No</v>
      </c>
      <c r="BK361" s="35" t="str">
        <f aca="false">IFERROR(IF(BD361="","",BD361*INDEX('00 - Lists'!$M$2:$M$11,MATCH(L361,'00 - Lists'!$L$2:$L$11,0))/100000),"")</f>
        <v/>
      </c>
      <c r="BL361" s="35" t="str">
        <f aca="false">IFERROR(IF(BE361="","",BE361*INDEX('00 - Lists'!$M$2:$M$11,MATCH(L361,'00 - Lists'!$L$2:$L$11,0))/100000),"")</f>
        <v/>
      </c>
      <c r="BM361" s="35" t="str">
        <f aca="false">IFERROR(IF(BF361="","",BF361*INDEX('00 - Lists'!$M$2:$M$11,MATCH(L361,'00 - Lists'!$L$2:$L$11,0))/100000),"")</f>
        <v/>
      </c>
      <c r="BN361" s="35" t="str">
        <f aca="false">IFERROR(IF(BG361="","",BG361*INDEX('00 - Lists'!$M$2:$M$11,MATCH(L361,'00 - Lists'!$L$2:$L$11,0))/100000),"")</f>
        <v/>
      </c>
      <c r="BO361" s="35" t="str">
        <f aca="false">IFERROR(IF(BH361="","",BH361*INDEX('00 - Lists'!$M$2:$M$11,MATCH(L361,'00 - Lists'!$L$2:$L$11,0))/100000),"")</f>
        <v/>
      </c>
      <c r="BP361" s="35" t="str">
        <f aca="false">IFERROR(IF(BI361="","",BI361*INDEX('00 - Lists'!$M$2:$M$11,MATCH(L361,'00 - Lists'!$L$2:$L$11,0))/100000),"")</f>
        <v/>
      </c>
      <c r="BS361" s="36" t="str">
        <f aca="false">IF(O361="","",IF(O361&gt;=20,"Yes","No"))</f>
        <v/>
      </c>
      <c r="BT361" s="36" t="str">
        <f aca="false">IF(O361="","",IF(O361&gt;=30,"Yes","No"))</f>
        <v/>
      </c>
      <c r="BU361" s="36" t="str">
        <f aca="false">IF(O361="","",IF(O361&gt;=75,"Yes","No"))</f>
        <v/>
      </c>
      <c r="BV361" s="36" t="str">
        <f aca="false">IF(O361="","",IF(O361&gt;=100,"Yes","No"))</f>
        <v/>
      </c>
      <c r="BW361" s="36" t="str">
        <f aca="false">IF(O361="","",IF(O361&gt;=150,"Yes","No"))</f>
        <v/>
      </c>
      <c r="BX361" s="36" t="str">
        <f aca="false">IF(O361="","",IF(O361&gt;=200,"Yes","No"))</f>
        <v/>
      </c>
      <c r="BY361" s="36" t="str">
        <f aca="false">IF(Q361="","",IF(Q361&gt;=150000,"Yes","No"))</f>
        <v/>
      </c>
      <c r="BZ361" s="36" t="str">
        <f aca="false">IF(Q361="","",IF(Q361&gt;=200000,"Yes","No"))</f>
        <v/>
      </c>
      <c r="CA361" s="36" t="str">
        <f aca="false">IF(Q361="","",IF(Q361&gt;=250000,"Yes","No"))</f>
        <v/>
      </c>
      <c r="CB361" s="36" t="str">
        <f aca="false">IF(Q361="","",IF(Q361&gt;=300000,"Yes","No"))</f>
        <v/>
      </c>
      <c r="CC361" s="37"/>
      <c r="CD361" s="36" t="str">
        <f aca="true">IF(B361="","",IF(TODAY()-B361&lt;=7,"🟢 0-7d",IF(TODAY()-B361&lt;=30,"🟡 8-30d",IF(TODAY()-B361&lt;=60,"🟠 31-60d","🔴 60d+"))))</f>
        <v/>
      </c>
      <c r="CE361" s="36" t="str">
        <f aca="false">IF(G361="","",IF(G361&lt;&gt;"USA","N/A - Not USA Role",IF(J361="Yes",IF(OR(F361="Intern",F361="New Grad"),"🟡 Possible","🟢 Strong"),IF(J361="No","🔴 Difficult","⚪ Unknown"))))</f>
        <v/>
      </c>
      <c r="CF361" s="37"/>
      <c r="CG361" s="37"/>
      <c r="CH361" s="38"/>
      <c r="CI361" s="38"/>
      <c r="CJ361" s="38"/>
      <c r="CK361" s="38"/>
    </row>
    <row r="362" customFormat="false" ht="15" hidden="false" customHeight="true" outlineLevel="0" collapsed="false">
      <c r="A362" s="26" t="str">
        <f aca="false">IF($C362="","",ROW()-3)</f>
        <v/>
      </c>
      <c r="B362" s="27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9"/>
      <c r="N362" s="29"/>
      <c r="O362" s="30" t="str">
        <f aca="false">IFERROR(IF(M362="","",M362*INDEX('00 - Lists'!$M$2:$M$11,MATCH(L362,'00 - Lists'!$L$2:$L$11,0))/100000),"")</f>
        <v/>
      </c>
      <c r="P362" s="30" t="str">
        <f aca="false">IFERROR(IF(N362="","",N362*INDEX('00 - Lists'!$M$2:$M$11,MATCH(L362,'00 - Lists'!$L$2:$L$11,0))/100000),"")</f>
        <v/>
      </c>
      <c r="Q362" s="31" t="str">
        <f aca="false">IFERROR(IF(M362="","",M362*INDEX('00 - Lists'!$N$2:$N$11,MATCH(L362,'00 - Lists'!$L$2:$L$11,0))),"")</f>
        <v/>
      </c>
      <c r="R362" s="31" t="str">
        <f aca="false">IFERROR(IF(N362="","",N362*INDEX('00 - Lists'!$N$2:$N$11,MATCH(L362,'00 - Lists'!$L$2:$L$11,0))),"")</f>
        <v/>
      </c>
      <c r="S362" s="32" t="str">
        <f aca="false">IF(O362="","",IF(O362&gt;=50,"Yes","No"))</f>
        <v/>
      </c>
      <c r="T362" s="32" t="str">
        <f aca="false">IF(Q362="","",IF(Q362&gt;=100000,"Yes","No"))</f>
        <v/>
      </c>
      <c r="U362" s="28"/>
      <c r="V362" s="28"/>
      <c r="W362" s="28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J362" s="34" t="str">
        <f aca="false">IF(OR($BD362&lt;&gt;"",$BF362&lt;&gt;"",$BH362&lt;&gt;""),"Yes","No")</f>
        <v>No</v>
      </c>
      <c r="BK362" s="35" t="str">
        <f aca="false">IFERROR(IF(BD362="","",BD362*INDEX('00 - Lists'!$M$2:$M$11,MATCH(L362,'00 - Lists'!$L$2:$L$11,0))/100000),"")</f>
        <v/>
      </c>
      <c r="BL362" s="35" t="str">
        <f aca="false">IFERROR(IF(BE362="","",BE362*INDEX('00 - Lists'!$M$2:$M$11,MATCH(L362,'00 - Lists'!$L$2:$L$11,0))/100000),"")</f>
        <v/>
      </c>
      <c r="BM362" s="35" t="str">
        <f aca="false">IFERROR(IF(BF362="","",BF362*INDEX('00 - Lists'!$M$2:$M$11,MATCH(L362,'00 - Lists'!$L$2:$L$11,0))/100000),"")</f>
        <v/>
      </c>
      <c r="BN362" s="35" t="str">
        <f aca="false">IFERROR(IF(BG362="","",BG362*INDEX('00 - Lists'!$M$2:$M$11,MATCH(L362,'00 - Lists'!$L$2:$L$11,0))/100000),"")</f>
        <v/>
      </c>
      <c r="BO362" s="35" t="str">
        <f aca="false">IFERROR(IF(BH362="","",BH362*INDEX('00 - Lists'!$M$2:$M$11,MATCH(L362,'00 - Lists'!$L$2:$L$11,0))/100000),"")</f>
        <v/>
      </c>
      <c r="BP362" s="35" t="str">
        <f aca="false">IFERROR(IF(BI362="","",BI362*INDEX('00 - Lists'!$M$2:$M$11,MATCH(L362,'00 - Lists'!$L$2:$L$11,0))/100000),"")</f>
        <v/>
      </c>
      <c r="BS362" s="36" t="str">
        <f aca="false">IF(O362="","",IF(O362&gt;=20,"Yes","No"))</f>
        <v/>
      </c>
      <c r="BT362" s="36" t="str">
        <f aca="false">IF(O362="","",IF(O362&gt;=30,"Yes","No"))</f>
        <v/>
      </c>
      <c r="BU362" s="36" t="str">
        <f aca="false">IF(O362="","",IF(O362&gt;=75,"Yes","No"))</f>
        <v/>
      </c>
      <c r="BV362" s="36" t="str">
        <f aca="false">IF(O362="","",IF(O362&gt;=100,"Yes","No"))</f>
        <v/>
      </c>
      <c r="BW362" s="36" t="str">
        <f aca="false">IF(O362="","",IF(O362&gt;=150,"Yes","No"))</f>
        <v/>
      </c>
      <c r="BX362" s="36" t="str">
        <f aca="false">IF(O362="","",IF(O362&gt;=200,"Yes","No"))</f>
        <v/>
      </c>
      <c r="BY362" s="36" t="str">
        <f aca="false">IF(Q362="","",IF(Q362&gt;=150000,"Yes","No"))</f>
        <v/>
      </c>
      <c r="BZ362" s="36" t="str">
        <f aca="false">IF(Q362="","",IF(Q362&gt;=200000,"Yes","No"))</f>
        <v/>
      </c>
      <c r="CA362" s="36" t="str">
        <f aca="false">IF(Q362="","",IF(Q362&gt;=250000,"Yes","No"))</f>
        <v/>
      </c>
      <c r="CB362" s="36" t="str">
        <f aca="false">IF(Q362="","",IF(Q362&gt;=300000,"Yes","No"))</f>
        <v/>
      </c>
      <c r="CC362" s="37"/>
      <c r="CD362" s="36" t="str">
        <f aca="true">IF(B362="","",IF(TODAY()-B362&lt;=7,"🟢 0-7d",IF(TODAY()-B362&lt;=30,"🟡 8-30d",IF(TODAY()-B362&lt;=60,"🟠 31-60d","🔴 60d+"))))</f>
        <v/>
      </c>
      <c r="CE362" s="36" t="str">
        <f aca="false">IF(G362="","",IF(G362&lt;&gt;"USA","N/A - Not USA Role",IF(J362="Yes",IF(OR(F362="Intern",F362="New Grad"),"🟡 Possible","🟢 Strong"),IF(J362="No","🔴 Difficult","⚪ Unknown"))))</f>
        <v/>
      </c>
      <c r="CF362" s="37"/>
      <c r="CG362" s="37"/>
      <c r="CH362" s="38"/>
      <c r="CI362" s="38"/>
      <c r="CJ362" s="38"/>
      <c r="CK362" s="38"/>
    </row>
    <row r="363" customFormat="false" ht="15" hidden="false" customHeight="true" outlineLevel="0" collapsed="false">
      <c r="A363" s="26" t="str">
        <f aca="false">IF($C363="","",ROW()-3)</f>
        <v/>
      </c>
      <c r="B363" s="27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9"/>
      <c r="N363" s="29"/>
      <c r="O363" s="30" t="str">
        <f aca="false">IFERROR(IF(M363="","",M363*INDEX('00 - Lists'!$M$2:$M$11,MATCH(L363,'00 - Lists'!$L$2:$L$11,0))/100000),"")</f>
        <v/>
      </c>
      <c r="P363" s="30" t="str">
        <f aca="false">IFERROR(IF(N363="","",N363*INDEX('00 - Lists'!$M$2:$M$11,MATCH(L363,'00 - Lists'!$L$2:$L$11,0))/100000),"")</f>
        <v/>
      </c>
      <c r="Q363" s="31" t="str">
        <f aca="false">IFERROR(IF(M363="","",M363*INDEX('00 - Lists'!$N$2:$N$11,MATCH(L363,'00 - Lists'!$L$2:$L$11,0))),"")</f>
        <v/>
      </c>
      <c r="R363" s="31" t="str">
        <f aca="false">IFERROR(IF(N363="","",N363*INDEX('00 - Lists'!$N$2:$N$11,MATCH(L363,'00 - Lists'!$L$2:$L$11,0))),"")</f>
        <v/>
      </c>
      <c r="S363" s="32" t="str">
        <f aca="false">IF(O363="","",IF(O363&gt;=50,"Yes","No"))</f>
        <v/>
      </c>
      <c r="T363" s="32" t="str">
        <f aca="false">IF(Q363="","",IF(Q363&gt;=100000,"Yes","No"))</f>
        <v/>
      </c>
      <c r="U363" s="28"/>
      <c r="V363" s="28"/>
      <c r="W363" s="28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J363" s="34" t="str">
        <f aca="false">IF(OR($BD363&lt;&gt;"",$BF363&lt;&gt;"",$BH363&lt;&gt;""),"Yes","No")</f>
        <v>No</v>
      </c>
      <c r="BK363" s="35" t="str">
        <f aca="false">IFERROR(IF(BD363="","",BD363*INDEX('00 - Lists'!$M$2:$M$11,MATCH(L363,'00 - Lists'!$L$2:$L$11,0))/100000),"")</f>
        <v/>
      </c>
      <c r="BL363" s="35" t="str">
        <f aca="false">IFERROR(IF(BE363="","",BE363*INDEX('00 - Lists'!$M$2:$M$11,MATCH(L363,'00 - Lists'!$L$2:$L$11,0))/100000),"")</f>
        <v/>
      </c>
      <c r="BM363" s="35" t="str">
        <f aca="false">IFERROR(IF(BF363="","",BF363*INDEX('00 - Lists'!$M$2:$M$11,MATCH(L363,'00 - Lists'!$L$2:$L$11,0))/100000),"")</f>
        <v/>
      </c>
      <c r="BN363" s="35" t="str">
        <f aca="false">IFERROR(IF(BG363="","",BG363*INDEX('00 - Lists'!$M$2:$M$11,MATCH(L363,'00 - Lists'!$L$2:$L$11,0))/100000),"")</f>
        <v/>
      </c>
      <c r="BO363" s="35" t="str">
        <f aca="false">IFERROR(IF(BH363="","",BH363*INDEX('00 - Lists'!$M$2:$M$11,MATCH(L363,'00 - Lists'!$L$2:$L$11,0))/100000),"")</f>
        <v/>
      </c>
      <c r="BP363" s="35" t="str">
        <f aca="false">IFERROR(IF(BI363="","",BI363*INDEX('00 - Lists'!$M$2:$M$11,MATCH(L363,'00 - Lists'!$L$2:$L$11,0))/100000),"")</f>
        <v/>
      </c>
      <c r="BS363" s="36" t="str">
        <f aca="false">IF(O363="","",IF(O363&gt;=20,"Yes","No"))</f>
        <v/>
      </c>
      <c r="BT363" s="36" t="str">
        <f aca="false">IF(O363="","",IF(O363&gt;=30,"Yes","No"))</f>
        <v/>
      </c>
      <c r="BU363" s="36" t="str">
        <f aca="false">IF(O363="","",IF(O363&gt;=75,"Yes","No"))</f>
        <v/>
      </c>
      <c r="BV363" s="36" t="str">
        <f aca="false">IF(O363="","",IF(O363&gt;=100,"Yes","No"))</f>
        <v/>
      </c>
      <c r="BW363" s="36" t="str">
        <f aca="false">IF(O363="","",IF(O363&gt;=150,"Yes","No"))</f>
        <v/>
      </c>
      <c r="BX363" s="36" t="str">
        <f aca="false">IF(O363="","",IF(O363&gt;=200,"Yes","No"))</f>
        <v/>
      </c>
      <c r="BY363" s="36" t="str">
        <f aca="false">IF(Q363="","",IF(Q363&gt;=150000,"Yes","No"))</f>
        <v/>
      </c>
      <c r="BZ363" s="36" t="str">
        <f aca="false">IF(Q363="","",IF(Q363&gt;=200000,"Yes","No"))</f>
        <v/>
      </c>
      <c r="CA363" s="36" t="str">
        <f aca="false">IF(Q363="","",IF(Q363&gt;=250000,"Yes","No"))</f>
        <v/>
      </c>
      <c r="CB363" s="36" t="str">
        <f aca="false">IF(Q363="","",IF(Q363&gt;=300000,"Yes","No"))</f>
        <v/>
      </c>
      <c r="CC363" s="37"/>
      <c r="CD363" s="36" t="str">
        <f aca="true">IF(B363="","",IF(TODAY()-B363&lt;=7,"🟢 0-7d",IF(TODAY()-B363&lt;=30,"🟡 8-30d",IF(TODAY()-B363&lt;=60,"🟠 31-60d","🔴 60d+"))))</f>
        <v/>
      </c>
      <c r="CE363" s="36" t="str">
        <f aca="false">IF(G363="","",IF(G363&lt;&gt;"USA","N/A - Not USA Role",IF(J363="Yes",IF(OR(F363="Intern",F363="New Grad"),"🟡 Possible","🟢 Strong"),IF(J363="No","🔴 Difficult","⚪ Unknown"))))</f>
        <v/>
      </c>
      <c r="CF363" s="37"/>
      <c r="CG363" s="37"/>
      <c r="CH363" s="38"/>
      <c r="CI363" s="38"/>
      <c r="CJ363" s="38"/>
      <c r="CK363" s="38"/>
    </row>
    <row r="364" customFormat="false" ht="15" hidden="false" customHeight="true" outlineLevel="0" collapsed="false">
      <c r="A364" s="26" t="str">
        <f aca="false">IF($C364="","",ROW()-3)</f>
        <v/>
      </c>
      <c r="B364" s="27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9"/>
      <c r="N364" s="29"/>
      <c r="O364" s="30" t="str">
        <f aca="false">IFERROR(IF(M364="","",M364*INDEX('00 - Lists'!$M$2:$M$11,MATCH(L364,'00 - Lists'!$L$2:$L$11,0))/100000),"")</f>
        <v/>
      </c>
      <c r="P364" s="30" t="str">
        <f aca="false">IFERROR(IF(N364="","",N364*INDEX('00 - Lists'!$M$2:$M$11,MATCH(L364,'00 - Lists'!$L$2:$L$11,0))/100000),"")</f>
        <v/>
      </c>
      <c r="Q364" s="31" t="str">
        <f aca="false">IFERROR(IF(M364="","",M364*INDEX('00 - Lists'!$N$2:$N$11,MATCH(L364,'00 - Lists'!$L$2:$L$11,0))),"")</f>
        <v/>
      </c>
      <c r="R364" s="31" t="str">
        <f aca="false">IFERROR(IF(N364="","",N364*INDEX('00 - Lists'!$N$2:$N$11,MATCH(L364,'00 - Lists'!$L$2:$L$11,0))),"")</f>
        <v/>
      </c>
      <c r="S364" s="32" t="str">
        <f aca="false">IF(O364="","",IF(O364&gt;=50,"Yes","No"))</f>
        <v/>
      </c>
      <c r="T364" s="32" t="str">
        <f aca="false">IF(Q364="","",IF(Q364&gt;=100000,"Yes","No"))</f>
        <v/>
      </c>
      <c r="U364" s="28"/>
      <c r="V364" s="28"/>
      <c r="W364" s="28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J364" s="34" t="str">
        <f aca="false">IF(OR($BD364&lt;&gt;"",$BF364&lt;&gt;"",$BH364&lt;&gt;""),"Yes","No")</f>
        <v>No</v>
      </c>
      <c r="BK364" s="35" t="str">
        <f aca="false">IFERROR(IF(BD364="","",BD364*INDEX('00 - Lists'!$M$2:$M$11,MATCH(L364,'00 - Lists'!$L$2:$L$11,0))/100000),"")</f>
        <v/>
      </c>
      <c r="BL364" s="35" t="str">
        <f aca="false">IFERROR(IF(BE364="","",BE364*INDEX('00 - Lists'!$M$2:$M$11,MATCH(L364,'00 - Lists'!$L$2:$L$11,0))/100000),"")</f>
        <v/>
      </c>
      <c r="BM364" s="35" t="str">
        <f aca="false">IFERROR(IF(BF364="","",BF364*INDEX('00 - Lists'!$M$2:$M$11,MATCH(L364,'00 - Lists'!$L$2:$L$11,0))/100000),"")</f>
        <v/>
      </c>
      <c r="BN364" s="35" t="str">
        <f aca="false">IFERROR(IF(BG364="","",BG364*INDEX('00 - Lists'!$M$2:$M$11,MATCH(L364,'00 - Lists'!$L$2:$L$11,0))/100000),"")</f>
        <v/>
      </c>
      <c r="BO364" s="35" t="str">
        <f aca="false">IFERROR(IF(BH364="","",BH364*INDEX('00 - Lists'!$M$2:$M$11,MATCH(L364,'00 - Lists'!$L$2:$L$11,0))/100000),"")</f>
        <v/>
      </c>
      <c r="BP364" s="35" t="str">
        <f aca="false">IFERROR(IF(BI364="","",BI364*INDEX('00 - Lists'!$M$2:$M$11,MATCH(L364,'00 - Lists'!$L$2:$L$11,0))/100000),"")</f>
        <v/>
      </c>
      <c r="BS364" s="36" t="str">
        <f aca="false">IF(O364="","",IF(O364&gt;=20,"Yes","No"))</f>
        <v/>
      </c>
      <c r="BT364" s="36" t="str">
        <f aca="false">IF(O364="","",IF(O364&gt;=30,"Yes","No"))</f>
        <v/>
      </c>
      <c r="BU364" s="36" t="str">
        <f aca="false">IF(O364="","",IF(O364&gt;=75,"Yes","No"))</f>
        <v/>
      </c>
      <c r="BV364" s="36" t="str">
        <f aca="false">IF(O364="","",IF(O364&gt;=100,"Yes","No"))</f>
        <v/>
      </c>
      <c r="BW364" s="36" t="str">
        <f aca="false">IF(O364="","",IF(O364&gt;=150,"Yes","No"))</f>
        <v/>
      </c>
      <c r="BX364" s="36" t="str">
        <f aca="false">IF(O364="","",IF(O364&gt;=200,"Yes","No"))</f>
        <v/>
      </c>
      <c r="BY364" s="36" t="str">
        <f aca="false">IF(Q364="","",IF(Q364&gt;=150000,"Yes","No"))</f>
        <v/>
      </c>
      <c r="BZ364" s="36" t="str">
        <f aca="false">IF(Q364="","",IF(Q364&gt;=200000,"Yes","No"))</f>
        <v/>
      </c>
      <c r="CA364" s="36" t="str">
        <f aca="false">IF(Q364="","",IF(Q364&gt;=250000,"Yes","No"))</f>
        <v/>
      </c>
      <c r="CB364" s="36" t="str">
        <f aca="false">IF(Q364="","",IF(Q364&gt;=300000,"Yes","No"))</f>
        <v/>
      </c>
      <c r="CC364" s="37"/>
      <c r="CD364" s="36" t="str">
        <f aca="true">IF(B364="","",IF(TODAY()-B364&lt;=7,"🟢 0-7d",IF(TODAY()-B364&lt;=30,"🟡 8-30d",IF(TODAY()-B364&lt;=60,"🟠 31-60d","🔴 60d+"))))</f>
        <v/>
      </c>
      <c r="CE364" s="36" t="str">
        <f aca="false">IF(G364="","",IF(G364&lt;&gt;"USA","N/A - Not USA Role",IF(J364="Yes",IF(OR(F364="Intern",F364="New Grad"),"🟡 Possible","🟢 Strong"),IF(J364="No","🔴 Difficult","⚪ Unknown"))))</f>
        <v/>
      </c>
      <c r="CF364" s="37"/>
      <c r="CG364" s="37"/>
      <c r="CH364" s="38"/>
      <c r="CI364" s="38"/>
      <c r="CJ364" s="38"/>
      <c r="CK364" s="38"/>
    </row>
    <row r="365" customFormat="false" ht="15" hidden="false" customHeight="true" outlineLevel="0" collapsed="false">
      <c r="A365" s="26" t="str">
        <f aca="false">IF($C365="","",ROW()-3)</f>
        <v/>
      </c>
      <c r="B365" s="27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9"/>
      <c r="N365" s="29"/>
      <c r="O365" s="30" t="str">
        <f aca="false">IFERROR(IF(M365="","",M365*INDEX('00 - Lists'!$M$2:$M$11,MATCH(L365,'00 - Lists'!$L$2:$L$11,0))/100000),"")</f>
        <v/>
      </c>
      <c r="P365" s="30" t="str">
        <f aca="false">IFERROR(IF(N365="","",N365*INDEX('00 - Lists'!$M$2:$M$11,MATCH(L365,'00 - Lists'!$L$2:$L$11,0))/100000),"")</f>
        <v/>
      </c>
      <c r="Q365" s="31" t="str">
        <f aca="false">IFERROR(IF(M365="","",M365*INDEX('00 - Lists'!$N$2:$N$11,MATCH(L365,'00 - Lists'!$L$2:$L$11,0))),"")</f>
        <v/>
      </c>
      <c r="R365" s="31" t="str">
        <f aca="false">IFERROR(IF(N365="","",N365*INDEX('00 - Lists'!$N$2:$N$11,MATCH(L365,'00 - Lists'!$L$2:$L$11,0))),"")</f>
        <v/>
      </c>
      <c r="S365" s="32" t="str">
        <f aca="false">IF(O365="","",IF(O365&gt;=50,"Yes","No"))</f>
        <v/>
      </c>
      <c r="T365" s="32" t="str">
        <f aca="false">IF(Q365="","",IF(Q365&gt;=100000,"Yes","No"))</f>
        <v/>
      </c>
      <c r="U365" s="28"/>
      <c r="V365" s="28"/>
      <c r="W365" s="28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J365" s="34" t="str">
        <f aca="false">IF(OR($BD365&lt;&gt;"",$BF365&lt;&gt;"",$BH365&lt;&gt;""),"Yes","No")</f>
        <v>No</v>
      </c>
      <c r="BK365" s="35" t="str">
        <f aca="false">IFERROR(IF(BD365="","",BD365*INDEX('00 - Lists'!$M$2:$M$11,MATCH(L365,'00 - Lists'!$L$2:$L$11,0))/100000),"")</f>
        <v/>
      </c>
      <c r="BL365" s="35" t="str">
        <f aca="false">IFERROR(IF(BE365="","",BE365*INDEX('00 - Lists'!$M$2:$M$11,MATCH(L365,'00 - Lists'!$L$2:$L$11,0))/100000),"")</f>
        <v/>
      </c>
      <c r="BM365" s="35" t="str">
        <f aca="false">IFERROR(IF(BF365="","",BF365*INDEX('00 - Lists'!$M$2:$M$11,MATCH(L365,'00 - Lists'!$L$2:$L$11,0))/100000),"")</f>
        <v/>
      </c>
      <c r="BN365" s="35" t="str">
        <f aca="false">IFERROR(IF(BG365="","",BG365*INDEX('00 - Lists'!$M$2:$M$11,MATCH(L365,'00 - Lists'!$L$2:$L$11,0))/100000),"")</f>
        <v/>
      </c>
      <c r="BO365" s="35" t="str">
        <f aca="false">IFERROR(IF(BH365="","",BH365*INDEX('00 - Lists'!$M$2:$M$11,MATCH(L365,'00 - Lists'!$L$2:$L$11,0))/100000),"")</f>
        <v/>
      </c>
      <c r="BP365" s="35" t="str">
        <f aca="false">IFERROR(IF(BI365="","",BI365*INDEX('00 - Lists'!$M$2:$M$11,MATCH(L365,'00 - Lists'!$L$2:$L$11,0))/100000),"")</f>
        <v/>
      </c>
      <c r="BS365" s="36" t="str">
        <f aca="false">IF(O365="","",IF(O365&gt;=20,"Yes","No"))</f>
        <v/>
      </c>
      <c r="BT365" s="36" t="str">
        <f aca="false">IF(O365="","",IF(O365&gt;=30,"Yes","No"))</f>
        <v/>
      </c>
      <c r="BU365" s="36" t="str">
        <f aca="false">IF(O365="","",IF(O365&gt;=75,"Yes","No"))</f>
        <v/>
      </c>
      <c r="BV365" s="36" t="str">
        <f aca="false">IF(O365="","",IF(O365&gt;=100,"Yes","No"))</f>
        <v/>
      </c>
      <c r="BW365" s="36" t="str">
        <f aca="false">IF(O365="","",IF(O365&gt;=150,"Yes","No"))</f>
        <v/>
      </c>
      <c r="BX365" s="36" t="str">
        <f aca="false">IF(O365="","",IF(O365&gt;=200,"Yes","No"))</f>
        <v/>
      </c>
      <c r="BY365" s="36" t="str">
        <f aca="false">IF(Q365="","",IF(Q365&gt;=150000,"Yes","No"))</f>
        <v/>
      </c>
      <c r="BZ365" s="36" t="str">
        <f aca="false">IF(Q365="","",IF(Q365&gt;=200000,"Yes","No"))</f>
        <v/>
      </c>
      <c r="CA365" s="36" t="str">
        <f aca="false">IF(Q365="","",IF(Q365&gt;=250000,"Yes","No"))</f>
        <v/>
      </c>
      <c r="CB365" s="36" t="str">
        <f aca="false">IF(Q365="","",IF(Q365&gt;=300000,"Yes","No"))</f>
        <v/>
      </c>
      <c r="CC365" s="37"/>
      <c r="CD365" s="36" t="str">
        <f aca="true">IF(B365="","",IF(TODAY()-B365&lt;=7,"🟢 0-7d",IF(TODAY()-B365&lt;=30,"🟡 8-30d",IF(TODAY()-B365&lt;=60,"🟠 31-60d","🔴 60d+"))))</f>
        <v/>
      </c>
      <c r="CE365" s="36" t="str">
        <f aca="false">IF(G365="","",IF(G365&lt;&gt;"USA","N/A - Not USA Role",IF(J365="Yes",IF(OR(F365="Intern",F365="New Grad"),"🟡 Possible","🟢 Strong"),IF(J365="No","🔴 Difficult","⚪ Unknown"))))</f>
        <v/>
      </c>
      <c r="CF365" s="37"/>
      <c r="CG365" s="37"/>
      <c r="CH365" s="38"/>
      <c r="CI365" s="38"/>
      <c r="CJ365" s="38"/>
      <c r="CK365" s="38"/>
    </row>
    <row r="366" customFormat="false" ht="15" hidden="false" customHeight="true" outlineLevel="0" collapsed="false">
      <c r="A366" s="26" t="str">
        <f aca="false">IF($C366="","",ROW()-3)</f>
        <v/>
      </c>
      <c r="B366" s="27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9"/>
      <c r="N366" s="29"/>
      <c r="O366" s="30" t="str">
        <f aca="false">IFERROR(IF(M366="","",M366*INDEX('00 - Lists'!$M$2:$M$11,MATCH(L366,'00 - Lists'!$L$2:$L$11,0))/100000),"")</f>
        <v/>
      </c>
      <c r="P366" s="30" t="str">
        <f aca="false">IFERROR(IF(N366="","",N366*INDEX('00 - Lists'!$M$2:$M$11,MATCH(L366,'00 - Lists'!$L$2:$L$11,0))/100000),"")</f>
        <v/>
      </c>
      <c r="Q366" s="31" t="str">
        <f aca="false">IFERROR(IF(M366="","",M366*INDEX('00 - Lists'!$N$2:$N$11,MATCH(L366,'00 - Lists'!$L$2:$L$11,0))),"")</f>
        <v/>
      </c>
      <c r="R366" s="31" t="str">
        <f aca="false">IFERROR(IF(N366="","",N366*INDEX('00 - Lists'!$N$2:$N$11,MATCH(L366,'00 - Lists'!$L$2:$L$11,0))),"")</f>
        <v/>
      </c>
      <c r="S366" s="32" t="str">
        <f aca="false">IF(O366="","",IF(O366&gt;=50,"Yes","No"))</f>
        <v/>
      </c>
      <c r="T366" s="32" t="str">
        <f aca="false">IF(Q366="","",IF(Q366&gt;=100000,"Yes","No"))</f>
        <v/>
      </c>
      <c r="U366" s="28"/>
      <c r="V366" s="28"/>
      <c r="W366" s="28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J366" s="34" t="str">
        <f aca="false">IF(OR($BD366&lt;&gt;"",$BF366&lt;&gt;"",$BH366&lt;&gt;""),"Yes","No")</f>
        <v>No</v>
      </c>
      <c r="BK366" s="35" t="str">
        <f aca="false">IFERROR(IF(BD366="","",BD366*INDEX('00 - Lists'!$M$2:$M$11,MATCH(L366,'00 - Lists'!$L$2:$L$11,0))/100000),"")</f>
        <v/>
      </c>
      <c r="BL366" s="35" t="str">
        <f aca="false">IFERROR(IF(BE366="","",BE366*INDEX('00 - Lists'!$M$2:$M$11,MATCH(L366,'00 - Lists'!$L$2:$L$11,0))/100000),"")</f>
        <v/>
      </c>
      <c r="BM366" s="35" t="str">
        <f aca="false">IFERROR(IF(BF366="","",BF366*INDEX('00 - Lists'!$M$2:$M$11,MATCH(L366,'00 - Lists'!$L$2:$L$11,0))/100000),"")</f>
        <v/>
      </c>
      <c r="BN366" s="35" t="str">
        <f aca="false">IFERROR(IF(BG366="","",BG366*INDEX('00 - Lists'!$M$2:$M$11,MATCH(L366,'00 - Lists'!$L$2:$L$11,0))/100000),"")</f>
        <v/>
      </c>
      <c r="BO366" s="35" t="str">
        <f aca="false">IFERROR(IF(BH366="","",BH366*INDEX('00 - Lists'!$M$2:$M$11,MATCH(L366,'00 - Lists'!$L$2:$L$11,0))/100000),"")</f>
        <v/>
      </c>
      <c r="BP366" s="35" t="str">
        <f aca="false">IFERROR(IF(BI366="","",BI366*INDEX('00 - Lists'!$M$2:$M$11,MATCH(L366,'00 - Lists'!$L$2:$L$11,0))/100000),"")</f>
        <v/>
      </c>
      <c r="BS366" s="36" t="str">
        <f aca="false">IF(O366="","",IF(O366&gt;=20,"Yes","No"))</f>
        <v/>
      </c>
      <c r="BT366" s="36" t="str">
        <f aca="false">IF(O366="","",IF(O366&gt;=30,"Yes","No"))</f>
        <v/>
      </c>
      <c r="BU366" s="36" t="str">
        <f aca="false">IF(O366="","",IF(O366&gt;=75,"Yes","No"))</f>
        <v/>
      </c>
      <c r="BV366" s="36" t="str">
        <f aca="false">IF(O366="","",IF(O366&gt;=100,"Yes","No"))</f>
        <v/>
      </c>
      <c r="BW366" s="36" t="str">
        <f aca="false">IF(O366="","",IF(O366&gt;=150,"Yes","No"))</f>
        <v/>
      </c>
      <c r="BX366" s="36" t="str">
        <f aca="false">IF(O366="","",IF(O366&gt;=200,"Yes","No"))</f>
        <v/>
      </c>
      <c r="BY366" s="36" t="str">
        <f aca="false">IF(Q366="","",IF(Q366&gt;=150000,"Yes","No"))</f>
        <v/>
      </c>
      <c r="BZ366" s="36" t="str">
        <f aca="false">IF(Q366="","",IF(Q366&gt;=200000,"Yes","No"))</f>
        <v/>
      </c>
      <c r="CA366" s="36" t="str">
        <f aca="false">IF(Q366="","",IF(Q366&gt;=250000,"Yes","No"))</f>
        <v/>
      </c>
      <c r="CB366" s="36" t="str">
        <f aca="false">IF(Q366="","",IF(Q366&gt;=300000,"Yes","No"))</f>
        <v/>
      </c>
      <c r="CC366" s="37"/>
      <c r="CD366" s="36" t="str">
        <f aca="true">IF(B366="","",IF(TODAY()-B366&lt;=7,"🟢 0-7d",IF(TODAY()-B366&lt;=30,"🟡 8-30d",IF(TODAY()-B366&lt;=60,"🟠 31-60d","🔴 60d+"))))</f>
        <v/>
      </c>
      <c r="CE366" s="36" t="str">
        <f aca="false">IF(G366="","",IF(G366&lt;&gt;"USA","N/A - Not USA Role",IF(J366="Yes",IF(OR(F366="Intern",F366="New Grad"),"🟡 Possible","🟢 Strong"),IF(J366="No","🔴 Difficult","⚪ Unknown"))))</f>
        <v/>
      </c>
      <c r="CF366" s="37"/>
      <c r="CG366" s="37"/>
      <c r="CH366" s="38"/>
      <c r="CI366" s="38"/>
      <c r="CJ366" s="38"/>
      <c r="CK366" s="38"/>
    </row>
    <row r="367" customFormat="false" ht="15" hidden="false" customHeight="true" outlineLevel="0" collapsed="false">
      <c r="A367" s="26" t="str">
        <f aca="false">IF($C367="","",ROW()-3)</f>
        <v/>
      </c>
      <c r="B367" s="27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9"/>
      <c r="N367" s="29"/>
      <c r="O367" s="30" t="str">
        <f aca="false">IFERROR(IF(M367="","",M367*INDEX('00 - Lists'!$M$2:$M$11,MATCH(L367,'00 - Lists'!$L$2:$L$11,0))/100000),"")</f>
        <v/>
      </c>
      <c r="P367" s="30" t="str">
        <f aca="false">IFERROR(IF(N367="","",N367*INDEX('00 - Lists'!$M$2:$M$11,MATCH(L367,'00 - Lists'!$L$2:$L$11,0))/100000),"")</f>
        <v/>
      </c>
      <c r="Q367" s="31" t="str">
        <f aca="false">IFERROR(IF(M367="","",M367*INDEX('00 - Lists'!$N$2:$N$11,MATCH(L367,'00 - Lists'!$L$2:$L$11,0))),"")</f>
        <v/>
      </c>
      <c r="R367" s="31" t="str">
        <f aca="false">IFERROR(IF(N367="","",N367*INDEX('00 - Lists'!$N$2:$N$11,MATCH(L367,'00 - Lists'!$L$2:$L$11,0))),"")</f>
        <v/>
      </c>
      <c r="S367" s="32" t="str">
        <f aca="false">IF(O367="","",IF(O367&gt;=50,"Yes","No"))</f>
        <v/>
      </c>
      <c r="T367" s="32" t="str">
        <f aca="false">IF(Q367="","",IF(Q367&gt;=100000,"Yes","No"))</f>
        <v/>
      </c>
      <c r="U367" s="28"/>
      <c r="V367" s="28"/>
      <c r="W367" s="28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J367" s="34" t="str">
        <f aca="false">IF(OR($BD367&lt;&gt;"",$BF367&lt;&gt;"",$BH367&lt;&gt;""),"Yes","No")</f>
        <v>No</v>
      </c>
      <c r="BK367" s="35" t="str">
        <f aca="false">IFERROR(IF(BD367="","",BD367*INDEX('00 - Lists'!$M$2:$M$11,MATCH(L367,'00 - Lists'!$L$2:$L$11,0))/100000),"")</f>
        <v/>
      </c>
      <c r="BL367" s="35" t="str">
        <f aca="false">IFERROR(IF(BE367="","",BE367*INDEX('00 - Lists'!$M$2:$M$11,MATCH(L367,'00 - Lists'!$L$2:$L$11,0))/100000),"")</f>
        <v/>
      </c>
      <c r="BM367" s="35" t="str">
        <f aca="false">IFERROR(IF(BF367="","",BF367*INDEX('00 - Lists'!$M$2:$M$11,MATCH(L367,'00 - Lists'!$L$2:$L$11,0))/100000),"")</f>
        <v/>
      </c>
      <c r="BN367" s="35" t="str">
        <f aca="false">IFERROR(IF(BG367="","",BG367*INDEX('00 - Lists'!$M$2:$M$11,MATCH(L367,'00 - Lists'!$L$2:$L$11,0))/100000),"")</f>
        <v/>
      </c>
      <c r="BO367" s="35" t="str">
        <f aca="false">IFERROR(IF(BH367="","",BH367*INDEX('00 - Lists'!$M$2:$M$11,MATCH(L367,'00 - Lists'!$L$2:$L$11,0))/100000),"")</f>
        <v/>
      </c>
      <c r="BP367" s="35" t="str">
        <f aca="false">IFERROR(IF(BI367="","",BI367*INDEX('00 - Lists'!$M$2:$M$11,MATCH(L367,'00 - Lists'!$L$2:$L$11,0))/100000),"")</f>
        <v/>
      </c>
      <c r="BS367" s="36" t="str">
        <f aca="false">IF(O367="","",IF(O367&gt;=20,"Yes","No"))</f>
        <v/>
      </c>
      <c r="BT367" s="36" t="str">
        <f aca="false">IF(O367="","",IF(O367&gt;=30,"Yes","No"))</f>
        <v/>
      </c>
      <c r="BU367" s="36" t="str">
        <f aca="false">IF(O367="","",IF(O367&gt;=75,"Yes","No"))</f>
        <v/>
      </c>
      <c r="BV367" s="36" t="str">
        <f aca="false">IF(O367="","",IF(O367&gt;=100,"Yes","No"))</f>
        <v/>
      </c>
      <c r="BW367" s="36" t="str">
        <f aca="false">IF(O367="","",IF(O367&gt;=150,"Yes","No"))</f>
        <v/>
      </c>
      <c r="BX367" s="36" t="str">
        <f aca="false">IF(O367="","",IF(O367&gt;=200,"Yes","No"))</f>
        <v/>
      </c>
      <c r="BY367" s="36" t="str">
        <f aca="false">IF(Q367="","",IF(Q367&gt;=150000,"Yes","No"))</f>
        <v/>
      </c>
      <c r="BZ367" s="36" t="str">
        <f aca="false">IF(Q367="","",IF(Q367&gt;=200000,"Yes","No"))</f>
        <v/>
      </c>
      <c r="CA367" s="36" t="str">
        <f aca="false">IF(Q367="","",IF(Q367&gt;=250000,"Yes","No"))</f>
        <v/>
      </c>
      <c r="CB367" s="36" t="str">
        <f aca="false">IF(Q367="","",IF(Q367&gt;=300000,"Yes","No"))</f>
        <v/>
      </c>
      <c r="CC367" s="37"/>
      <c r="CD367" s="36" t="str">
        <f aca="true">IF(B367="","",IF(TODAY()-B367&lt;=7,"🟢 0-7d",IF(TODAY()-B367&lt;=30,"🟡 8-30d",IF(TODAY()-B367&lt;=60,"🟠 31-60d","🔴 60d+"))))</f>
        <v/>
      </c>
      <c r="CE367" s="36" t="str">
        <f aca="false">IF(G367="","",IF(G367&lt;&gt;"USA","N/A - Not USA Role",IF(J367="Yes",IF(OR(F367="Intern",F367="New Grad"),"🟡 Possible","🟢 Strong"),IF(J367="No","🔴 Difficult","⚪ Unknown"))))</f>
        <v/>
      </c>
      <c r="CF367" s="37"/>
      <c r="CG367" s="37"/>
      <c r="CH367" s="38"/>
      <c r="CI367" s="38"/>
      <c r="CJ367" s="38"/>
      <c r="CK367" s="38"/>
    </row>
    <row r="368" customFormat="false" ht="15" hidden="false" customHeight="true" outlineLevel="0" collapsed="false">
      <c r="A368" s="26" t="str">
        <f aca="false">IF($C368="","",ROW()-3)</f>
        <v/>
      </c>
      <c r="B368" s="27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9"/>
      <c r="N368" s="29"/>
      <c r="O368" s="30" t="str">
        <f aca="false">IFERROR(IF(M368="","",M368*INDEX('00 - Lists'!$M$2:$M$11,MATCH(L368,'00 - Lists'!$L$2:$L$11,0))/100000),"")</f>
        <v/>
      </c>
      <c r="P368" s="30" t="str">
        <f aca="false">IFERROR(IF(N368="","",N368*INDEX('00 - Lists'!$M$2:$M$11,MATCH(L368,'00 - Lists'!$L$2:$L$11,0))/100000),"")</f>
        <v/>
      </c>
      <c r="Q368" s="31" t="str">
        <f aca="false">IFERROR(IF(M368="","",M368*INDEX('00 - Lists'!$N$2:$N$11,MATCH(L368,'00 - Lists'!$L$2:$L$11,0))),"")</f>
        <v/>
      </c>
      <c r="R368" s="31" t="str">
        <f aca="false">IFERROR(IF(N368="","",N368*INDEX('00 - Lists'!$N$2:$N$11,MATCH(L368,'00 - Lists'!$L$2:$L$11,0))),"")</f>
        <v/>
      </c>
      <c r="S368" s="32" t="str">
        <f aca="false">IF(O368="","",IF(O368&gt;=50,"Yes","No"))</f>
        <v/>
      </c>
      <c r="T368" s="32" t="str">
        <f aca="false">IF(Q368="","",IF(Q368&gt;=100000,"Yes","No"))</f>
        <v/>
      </c>
      <c r="U368" s="28"/>
      <c r="V368" s="28"/>
      <c r="W368" s="28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J368" s="34" t="str">
        <f aca="false">IF(OR($BD368&lt;&gt;"",$BF368&lt;&gt;"",$BH368&lt;&gt;""),"Yes","No")</f>
        <v>No</v>
      </c>
      <c r="BK368" s="35" t="str">
        <f aca="false">IFERROR(IF(BD368="","",BD368*INDEX('00 - Lists'!$M$2:$M$11,MATCH(L368,'00 - Lists'!$L$2:$L$11,0))/100000),"")</f>
        <v/>
      </c>
      <c r="BL368" s="35" t="str">
        <f aca="false">IFERROR(IF(BE368="","",BE368*INDEX('00 - Lists'!$M$2:$M$11,MATCH(L368,'00 - Lists'!$L$2:$L$11,0))/100000),"")</f>
        <v/>
      </c>
      <c r="BM368" s="35" t="str">
        <f aca="false">IFERROR(IF(BF368="","",BF368*INDEX('00 - Lists'!$M$2:$M$11,MATCH(L368,'00 - Lists'!$L$2:$L$11,0))/100000),"")</f>
        <v/>
      </c>
      <c r="BN368" s="35" t="str">
        <f aca="false">IFERROR(IF(BG368="","",BG368*INDEX('00 - Lists'!$M$2:$M$11,MATCH(L368,'00 - Lists'!$L$2:$L$11,0))/100000),"")</f>
        <v/>
      </c>
      <c r="BO368" s="35" t="str">
        <f aca="false">IFERROR(IF(BH368="","",BH368*INDEX('00 - Lists'!$M$2:$M$11,MATCH(L368,'00 - Lists'!$L$2:$L$11,0))/100000),"")</f>
        <v/>
      </c>
      <c r="BP368" s="35" t="str">
        <f aca="false">IFERROR(IF(BI368="","",BI368*INDEX('00 - Lists'!$M$2:$M$11,MATCH(L368,'00 - Lists'!$L$2:$L$11,0))/100000),"")</f>
        <v/>
      </c>
      <c r="BS368" s="36" t="str">
        <f aca="false">IF(O368="","",IF(O368&gt;=20,"Yes","No"))</f>
        <v/>
      </c>
      <c r="BT368" s="36" t="str">
        <f aca="false">IF(O368="","",IF(O368&gt;=30,"Yes","No"))</f>
        <v/>
      </c>
      <c r="BU368" s="36" t="str">
        <f aca="false">IF(O368="","",IF(O368&gt;=75,"Yes","No"))</f>
        <v/>
      </c>
      <c r="BV368" s="36" t="str">
        <f aca="false">IF(O368="","",IF(O368&gt;=100,"Yes","No"))</f>
        <v/>
      </c>
      <c r="BW368" s="36" t="str">
        <f aca="false">IF(O368="","",IF(O368&gt;=150,"Yes","No"))</f>
        <v/>
      </c>
      <c r="BX368" s="36" t="str">
        <f aca="false">IF(O368="","",IF(O368&gt;=200,"Yes","No"))</f>
        <v/>
      </c>
      <c r="BY368" s="36" t="str">
        <f aca="false">IF(Q368="","",IF(Q368&gt;=150000,"Yes","No"))</f>
        <v/>
      </c>
      <c r="BZ368" s="36" t="str">
        <f aca="false">IF(Q368="","",IF(Q368&gt;=200000,"Yes","No"))</f>
        <v/>
      </c>
      <c r="CA368" s="36" t="str">
        <f aca="false">IF(Q368="","",IF(Q368&gt;=250000,"Yes","No"))</f>
        <v/>
      </c>
      <c r="CB368" s="36" t="str">
        <f aca="false">IF(Q368="","",IF(Q368&gt;=300000,"Yes","No"))</f>
        <v/>
      </c>
      <c r="CC368" s="37"/>
      <c r="CD368" s="36" t="str">
        <f aca="true">IF(B368="","",IF(TODAY()-B368&lt;=7,"🟢 0-7d",IF(TODAY()-B368&lt;=30,"🟡 8-30d",IF(TODAY()-B368&lt;=60,"🟠 31-60d","🔴 60d+"))))</f>
        <v/>
      </c>
      <c r="CE368" s="36" t="str">
        <f aca="false">IF(G368="","",IF(G368&lt;&gt;"USA","N/A - Not USA Role",IF(J368="Yes",IF(OR(F368="Intern",F368="New Grad"),"🟡 Possible","🟢 Strong"),IF(J368="No","🔴 Difficult","⚪ Unknown"))))</f>
        <v/>
      </c>
      <c r="CF368" s="37"/>
      <c r="CG368" s="37"/>
      <c r="CH368" s="38"/>
      <c r="CI368" s="38"/>
      <c r="CJ368" s="38"/>
      <c r="CK368" s="38"/>
    </row>
    <row r="369" customFormat="false" ht="15" hidden="false" customHeight="true" outlineLevel="0" collapsed="false">
      <c r="A369" s="26" t="str">
        <f aca="false">IF($C369="","",ROW()-3)</f>
        <v/>
      </c>
      <c r="B369" s="27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9"/>
      <c r="N369" s="29"/>
      <c r="O369" s="30" t="str">
        <f aca="false">IFERROR(IF(M369="","",M369*INDEX('00 - Lists'!$M$2:$M$11,MATCH(L369,'00 - Lists'!$L$2:$L$11,0))/100000),"")</f>
        <v/>
      </c>
      <c r="P369" s="30" t="str">
        <f aca="false">IFERROR(IF(N369="","",N369*INDEX('00 - Lists'!$M$2:$M$11,MATCH(L369,'00 - Lists'!$L$2:$L$11,0))/100000),"")</f>
        <v/>
      </c>
      <c r="Q369" s="31" t="str">
        <f aca="false">IFERROR(IF(M369="","",M369*INDEX('00 - Lists'!$N$2:$N$11,MATCH(L369,'00 - Lists'!$L$2:$L$11,0))),"")</f>
        <v/>
      </c>
      <c r="R369" s="31" t="str">
        <f aca="false">IFERROR(IF(N369="","",N369*INDEX('00 - Lists'!$N$2:$N$11,MATCH(L369,'00 - Lists'!$L$2:$L$11,0))),"")</f>
        <v/>
      </c>
      <c r="S369" s="32" t="str">
        <f aca="false">IF(O369="","",IF(O369&gt;=50,"Yes","No"))</f>
        <v/>
      </c>
      <c r="T369" s="32" t="str">
        <f aca="false">IF(Q369="","",IF(Q369&gt;=100000,"Yes","No"))</f>
        <v/>
      </c>
      <c r="U369" s="28"/>
      <c r="V369" s="28"/>
      <c r="W369" s="28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J369" s="34" t="str">
        <f aca="false">IF(OR($BD369&lt;&gt;"",$BF369&lt;&gt;"",$BH369&lt;&gt;""),"Yes","No")</f>
        <v>No</v>
      </c>
      <c r="BK369" s="35" t="str">
        <f aca="false">IFERROR(IF(BD369="","",BD369*INDEX('00 - Lists'!$M$2:$M$11,MATCH(L369,'00 - Lists'!$L$2:$L$11,0))/100000),"")</f>
        <v/>
      </c>
      <c r="BL369" s="35" t="str">
        <f aca="false">IFERROR(IF(BE369="","",BE369*INDEX('00 - Lists'!$M$2:$M$11,MATCH(L369,'00 - Lists'!$L$2:$L$11,0))/100000),"")</f>
        <v/>
      </c>
      <c r="BM369" s="35" t="str">
        <f aca="false">IFERROR(IF(BF369="","",BF369*INDEX('00 - Lists'!$M$2:$M$11,MATCH(L369,'00 - Lists'!$L$2:$L$11,0))/100000),"")</f>
        <v/>
      </c>
      <c r="BN369" s="35" t="str">
        <f aca="false">IFERROR(IF(BG369="","",BG369*INDEX('00 - Lists'!$M$2:$M$11,MATCH(L369,'00 - Lists'!$L$2:$L$11,0))/100000),"")</f>
        <v/>
      </c>
      <c r="BO369" s="35" t="str">
        <f aca="false">IFERROR(IF(BH369="","",BH369*INDEX('00 - Lists'!$M$2:$M$11,MATCH(L369,'00 - Lists'!$L$2:$L$11,0))/100000),"")</f>
        <v/>
      </c>
      <c r="BP369" s="35" t="str">
        <f aca="false">IFERROR(IF(BI369="","",BI369*INDEX('00 - Lists'!$M$2:$M$11,MATCH(L369,'00 - Lists'!$L$2:$L$11,0))/100000),"")</f>
        <v/>
      </c>
      <c r="BS369" s="36" t="str">
        <f aca="false">IF(O369="","",IF(O369&gt;=20,"Yes","No"))</f>
        <v/>
      </c>
      <c r="BT369" s="36" t="str">
        <f aca="false">IF(O369="","",IF(O369&gt;=30,"Yes","No"))</f>
        <v/>
      </c>
      <c r="BU369" s="36" t="str">
        <f aca="false">IF(O369="","",IF(O369&gt;=75,"Yes","No"))</f>
        <v/>
      </c>
      <c r="BV369" s="36" t="str">
        <f aca="false">IF(O369="","",IF(O369&gt;=100,"Yes","No"))</f>
        <v/>
      </c>
      <c r="BW369" s="36" t="str">
        <f aca="false">IF(O369="","",IF(O369&gt;=150,"Yes","No"))</f>
        <v/>
      </c>
      <c r="BX369" s="36" t="str">
        <f aca="false">IF(O369="","",IF(O369&gt;=200,"Yes","No"))</f>
        <v/>
      </c>
      <c r="BY369" s="36" t="str">
        <f aca="false">IF(Q369="","",IF(Q369&gt;=150000,"Yes","No"))</f>
        <v/>
      </c>
      <c r="BZ369" s="36" t="str">
        <f aca="false">IF(Q369="","",IF(Q369&gt;=200000,"Yes","No"))</f>
        <v/>
      </c>
      <c r="CA369" s="36" t="str">
        <f aca="false">IF(Q369="","",IF(Q369&gt;=250000,"Yes","No"))</f>
        <v/>
      </c>
      <c r="CB369" s="36" t="str">
        <f aca="false">IF(Q369="","",IF(Q369&gt;=300000,"Yes","No"))</f>
        <v/>
      </c>
      <c r="CC369" s="37"/>
      <c r="CD369" s="36" t="str">
        <f aca="true">IF(B369="","",IF(TODAY()-B369&lt;=7,"🟢 0-7d",IF(TODAY()-B369&lt;=30,"🟡 8-30d",IF(TODAY()-B369&lt;=60,"🟠 31-60d","🔴 60d+"))))</f>
        <v/>
      </c>
      <c r="CE369" s="36" t="str">
        <f aca="false">IF(G369="","",IF(G369&lt;&gt;"USA","N/A - Not USA Role",IF(J369="Yes",IF(OR(F369="Intern",F369="New Grad"),"🟡 Possible","🟢 Strong"),IF(J369="No","🔴 Difficult","⚪ Unknown"))))</f>
        <v/>
      </c>
      <c r="CF369" s="37"/>
      <c r="CG369" s="37"/>
      <c r="CH369" s="38"/>
      <c r="CI369" s="38"/>
      <c r="CJ369" s="38"/>
      <c r="CK369" s="38"/>
    </row>
    <row r="370" customFormat="false" ht="15" hidden="false" customHeight="true" outlineLevel="0" collapsed="false">
      <c r="A370" s="26" t="str">
        <f aca="false">IF($C370="","",ROW()-3)</f>
        <v/>
      </c>
      <c r="B370" s="27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9"/>
      <c r="N370" s="29"/>
      <c r="O370" s="30" t="str">
        <f aca="false">IFERROR(IF(M370="","",M370*INDEX('00 - Lists'!$M$2:$M$11,MATCH(L370,'00 - Lists'!$L$2:$L$11,0))/100000),"")</f>
        <v/>
      </c>
      <c r="P370" s="30" t="str">
        <f aca="false">IFERROR(IF(N370="","",N370*INDEX('00 - Lists'!$M$2:$M$11,MATCH(L370,'00 - Lists'!$L$2:$L$11,0))/100000),"")</f>
        <v/>
      </c>
      <c r="Q370" s="31" t="str">
        <f aca="false">IFERROR(IF(M370="","",M370*INDEX('00 - Lists'!$N$2:$N$11,MATCH(L370,'00 - Lists'!$L$2:$L$11,0))),"")</f>
        <v/>
      </c>
      <c r="R370" s="31" t="str">
        <f aca="false">IFERROR(IF(N370="","",N370*INDEX('00 - Lists'!$N$2:$N$11,MATCH(L370,'00 - Lists'!$L$2:$L$11,0))),"")</f>
        <v/>
      </c>
      <c r="S370" s="32" t="str">
        <f aca="false">IF(O370="","",IF(O370&gt;=50,"Yes","No"))</f>
        <v/>
      </c>
      <c r="T370" s="32" t="str">
        <f aca="false">IF(Q370="","",IF(Q370&gt;=100000,"Yes","No"))</f>
        <v/>
      </c>
      <c r="U370" s="28"/>
      <c r="V370" s="28"/>
      <c r="W370" s="28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J370" s="34" t="str">
        <f aca="false">IF(OR($BD370&lt;&gt;"",$BF370&lt;&gt;"",$BH370&lt;&gt;""),"Yes","No")</f>
        <v>No</v>
      </c>
      <c r="BK370" s="35" t="str">
        <f aca="false">IFERROR(IF(BD370="","",BD370*INDEX('00 - Lists'!$M$2:$M$11,MATCH(L370,'00 - Lists'!$L$2:$L$11,0))/100000),"")</f>
        <v/>
      </c>
      <c r="BL370" s="35" t="str">
        <f aca="false">IFERROR(IF(BE370="","",BE370*INDEX('00 - Lists'!$M$2:$M$11,MATCH(L370,'00 - Lists'!$L$2:$L$11,0))/100000),"")</f>
        <v/>
      </c>
      <c r="BM370" s="35" t="str">
        <f aca="false">IFERROR(IF(BF370="","",BF370*INDEX('00 - Lists'!$M$2:$M$11,MATCH(L370,'00 - Lists'!$L$2:$L$11,0))/100000),"")</f>
        <v/>
      </c>
      <c r="BN370" s="35" t="str">
        <f aca="false">IFERROR(IF(BG370="","",BG370*INDEX('00 - Lists'!$M$2:$M$11,MATCH(L370,'00 - Lists'!$L$2:$L$11,0))/100000),"")</f>
        <v/>
      </c>
      <c r="BO370" s="35" t="str">
        <f aca="false">IFERROR(IF(BH370="","",BH370*INDEX('00 - Lists'!$M$2:$M$11,MATCH(L370,'00 - Lists'!$L$2:$L$11,0))/100000),"")</f>
        <v/>
      </c>
      <c r="BP370" s="35" t="str">
        <f aca="false">IFERROR(IF(BI370="","",BI370*INDEX('00 - Lists'!$M$2:$M$11,MATCH(L370,'00 - Lists'!$L$2:$L$11,0))/100000),"")</f>
        <v/>
      </c>
      <c r="BS370" s="36" t="str">
        <f aca="false">IF(O370="","",IF(O370&gt;=20,"Yes","No"))</f>
        <v/>
      </c>
      <c r="BT370" s="36" t="str">
        <f aca="false">IF(O370="","",IF(O370&gt;=30,"Yes","No"))</f>
        <v/>
      </c>
      <c r="BU370" s="36" t="str">
        <f aca="false">IF(O370="","",IF(O370&gt;=75,"Yes","No"))</f>
        <v/>
      </c>
      <c r="BV370" s="36" t="str">
        <f aca="false">IF(O370="","",IF(O370&gt;=100,"Yes","No"))</f>
        <v/>
      </c>
      <c r="BW370" s="36" t="str">
        <f aca="false">IF(O370="","",IF(O370&gt;=150,"Yes","No"))</f>
        <v/>
      </c>
      <c r="BX370" s="36" t="str">
        <f aca="false">IF(O370="","",IF(O370&gt;=200,"Yes","No"))</f>
        <v/>
      </c>
      <c r="BY370" s="36" t="str">
        <f aca="false">IF(Q370="","",IF(Q370&gt;=150000,"Yes","No"))</f>
        <v/>
      </c>
      <c r="BZ370" s="36" t="str">
        <f aca="false">IF(Q370="","",IF(Q370&gt;=200000,"Yes","No"))</f>
        <v/>
      </c>
      <c r="CA370" s="36" t="str">
        <f aca="false">IF(Q370="","",IF(Q370&gt;=250000,"Yes","No"))</f>
        <v/>
      </c>
      <c r="CB370" s="36" t="str">
        <f aca="false">IF(Q370="","",IF(Q370&gt;=300000,"Yes","No"))</f>
        <v/>
      </c>
      <c r="CC370" s="37"/>
      <c r="CD370" s="36" t="str">
        <f aca="true">IF(B370="","",IF(TODAY()-B370&lt;=7,"🟢 0-7d",IF(TODAY()-B370&lt;=30,"🟡 8-30d",IF(TODAY()-B370&lt;=60,"🟠 31-60d","🔴 60d+"))))</f>
        <v/>
      </c>
      <c r="CE370" s="36" t="str">
        <f aca="false">IF(G370="","",IF(G370&lt;&gt;"USA","N/A - Not USA Role",IF(J370="Yes",IF(OR(F370="Intern",F370="New Grad"),"🟡 Possible","🟢 Strong"),IF(J370="No","🔴 Difficult","⚪ Unknown"))))</f>
        <v/>
      </c>
      <c r="CF370" s="37"/>
      <c r="CG370" s="37"/>
      <c r="CH370" s="38"/>
      <c r="CI370" s="38"/>
      <c r="CJ370" s="38"/>
      <c r="CK370" s="38"/>
    </row>
    <row r="371" customFormat="false" ht="15" hidden="false" customHeight="true" outlineLevel="0" collapsed="false">
      <c r="A371" s="26" t="str">
        <f aca="false">IF($C371="","",ROW()-3)</f>
        <v/>
      </c>
      <c r="B371" s="27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9"/>
      <c r="N371" s="29"/>
      <c r="O371" s="30" t="str">
        <f aca="false">IFERROR(IF(M371="","",M371*INDEX('00 - Lists'!$M$2:$M$11,MATCH(L371,'00 - Lists'!$L$2:$L$11,0))/100000),"")</f>
        <v/>
      </c>
      <c r="P371" s="30" t="str">
        <f aca="false">IFERROR(IF(N371="","",N371*INDEX('00 - Lists'!$M$2:$M$11,MATCH(L371,'00 - Lists'!$L$2:$L$11,0))/100000),"")</f>
        <v/>
      </c>
      <c r="Q371" s="31" t="str">
        <f aca="false">IFERROR(IF(M371="","",M371*INDEX('00 - Lists'!$N$2:$N$11,MATCH(L371,'00 - Lists'!$L$2:$L$11,0))),"")</f>
        <v/>
      </c>
      <c r="R371" s="31" t="str">
        <f aca="false">IFERROR(IF(N371="","",N371*INDEX('00 - Lists'!$N$2:$N$11,MATCH(L371,'00 - Lists'!$L$2:$L$11,0))),"")</f>
        <v/>
      </c>
      <c r="S371" s="32" t="str">
        <f aca="false">IF(O371="","",IF(O371&gt;=50,"Yes","No"))</f>
        <v/>
      </c>
      <c r="T371" s="32" t="str">
        <f aca="false">IF(Q371="","",IF(Q371&gt;=100000,"Yes","No"))</f>
        <v/>
      </c>
      <c r="U371" s="28"/>
      <c r="V371" s="28"/>
      <c r="W371" s="28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J371" s="34" t="str">
        <f aca="false">IF(OR($BD371&lt;&gt;"",$BF371&lt;&gt;"",$BH371&lt;&gt;""),"Yes","No")</f>
        <v>No</v>
      </c>
      <c r="BK371" s="35" t="str">
        <f aca="false">IFERROR(IF(BD371="","",BD371*INDEX('00 - Lists'!$M$2:$M$11,MATCH(L371,'00 - Lists'!$L$2:$L$11,0))/100000),"")</f>
        <v/>
      </c>
      <c r="BL371" s="35" t="str">
        <f aca="false">IFERROR(IF(BE371="","",BE371*INDEX('00 - Lists'!$M$2:$M$11,MATCH(L371,'00 - Lists'!$L$2:$L$11,0))/100000),"")</f>
        <v/>
      </c>
      <c r="BM371" s="35" t="str">
        <f aca="false">IFERROR(IF(BF371="","",BF371*INDEX('00 - Lists'!$M$2:$M$11,MATCH(L371,'00 - Lists'!$L$2:$L$11,0))/100000),"")</f>
        <v/>
      </c>
      <c r="BN371" s="35" t="str">
        <f aca="false">IFERROR(IF(BG371="","",BG371*INDEX('00 - Lists'!$M$2:$M$11,MATCH(L371,'00 - Lists'!$L$2:$L$11,0))/100000),"")</f>
        <v/>
      </c>
      <c r="BO371" s="35" t="str">
        <f aca="false">IFERROR(IF(BH371="","",BH371*INDEX('00 - Lists'!$M$2:$M$11,MATCH(L371,'00 - Lists'!$L$2:$L$11,0))/100000),"")</f>
        <v/>
      </c>
      <c r="BP371" s="35" t="str">
        <f aca="false">IFERROR(IF(BI371="","",BI371*INDEX('00 - Lists'!$M$2:$M$11,MATCH(L371,'00 - Lists'!$L$2:$L$11,0))/100000),"")</f>
        <v/>
      </c>
      <c r="BS371" s="36" t="str">
        <f aca="false">IF(O371="","",IF(O371&gt;=20,"Yes","No"))</f>
        <v/>
      </c>
      <c r="BT371" s="36" t="str">
        <f aca="false">IF(O371="","",IF(O371&gt;=30,"Yes","No"))</f>
        <v/>
      </c>
      <c r="BU371" s="36" t="str">
        <f aca="false">IF(O371="","",IF(O371&gt;=75,"Yes","No"))</f>
        <v/>
      </c>
      <c r="BV371" s="36" t="str">
        <f aca="false">IF(O371="","",IF(O371&gt;=100,"Yes","No"))</f>
        <v/>
      </c>
      <c r="BW371" s="36" t="str">
        <f aca="false">IF(O371="","",IF(O371&gt;=150,"Yes","No"))</f>
        <v/>
      </c>
      <c r="BX371" s="36" t="str">
        <f aca="false">IF(O371="","",IF(O371&gt;=200,"Yes","No"))</f>
        <v/>
      </c>
      <c r="BY371" s="36" t="str">
        <f aca="false">IF(Q371="","",IF(Q371&gt;=150000,"Yes","No"))</f>
        <v/>
      </c>
      <c r="BZ371" s="36" t="str">
        <f aca="false">IF(Q371="","",IF(Q371&gt;=200000,"Yes","No"))</f>
        <v/>
      </c>
      <c r="CA371" s="36" t="str">
        <f aca="false">IF(Q371="","",IF(Q371&gt;=250000,"Yes","No"))</f>
        <v/>
      </c>
      <c r="CB371" s="36" t="str">
        <f aca="false">IF(Q371="","",IF(Q371&gt;=300000,"Yes","No"))</f>
        <v/>
      </c>
      <c r="CC371" s="37"/>
      <c r="CD371" s="36" t="str">
        <f aca="true">IF(B371="","",IF(TODAY()-B371&lt;=7,"🟢 0-7d",IF(TODAY()-B371&lt;=30,"🟡 8-30d",IF(TODAY()-B371&lt;=60,"🟠 31-60d","🔴 60d+"))))</f>
        <v/>
      </c>
      <c r="CE371" s="36" t="str">
        <f aca="false">IF(G371="","",IF(G371&lt;&gt;"USA","N/A - Not USA Role",IF(J371="Yes",IF(OR(F371="Intern",F371="New Grad"),"🟡 Possible","🟢 Strong"),IF(J371="No","🔴 Difficult","⚪ Unknown"))))</f>
        <v/>
      </c>
      <c r="CF371" s="37"/>
      <c r="CG371" s="37"/>
      <c r="CH371" s="38"/>
      <c r="CI371" s="38"/>
      <c r="CJ371" s="38"/>
      <c r="CK371" s="38"/>
    </row>
    <row r="372" customFormat="false" ht="15" hidden="false" customHeight="true" outlineLevel="0" collapsed="false">
      <c r="A372" s="26" t="str">
        <f aca="false">IF($C372="","",ROW()-3)</f>
        <v/>
      </c>
      <c r="B372" s="27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9"/>
      <c r="N372" s="29"/>
      <c r="O372" s="30" t="str">
        <f aca="false">IFERROR(IF(M372="","",M372*INDEX('00 - Lists'!$M$2:$M$11,MATCH(L372,'00 - Lists'!$L$2:$L$11,0))/100000),"")</f>
        <v/>
      </c>
      <c r="P372" s="30" t="str">
        <f aca="false">IFERROR(IF(N372="","",N372*INDEX('00 - Lists'!$M$2:$M$11,MATCH(L372,'00 - Lists'!$L$2:$L$11,0))/100000),"")</f>
        <v/>
      </c>
      <c r="Q372" s="31" t="str">
        <f aca="false">IFERROR(IF(M372="","",M372*INDEX('00 - Lists'!$N$2:$N$11,MATCH(L372,'00 - Lists'!$L$2:$L$11,0))),"")</f>
        <v/>
      </c>
      <c r="R372" s="31" t="str">
        <f aca="false">IFERROR(IF(N372="","",N372*INDEX('00 - Lists'!$N$2:$N$11,MATCH(L372,'00 - Lists'!$L$2:$L$11,0))),"")</f>
        <v/>
      </c>
      <c r="S372" s="32" t="str">
        <f aca="false">IF(O372="","",IF(O372&gt;=50,"Yes","No"))</f>
        <v/>
      </c>
      <c r="T372" s="32" t="str">
        <f aca="false">IF(Q372="","",IF(Q372&gt;=100000,"Yes","No"))</f>
        <v/>
      </c>
      <c r="U372" s="28"/>
      <c r="V372" s="28"/>
      <c r="W372" s="28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J372" s="34" t="str">
        <f aca="false">IF(OR($BD372&lt;&gt;"",$BF372&lt;&gt;"",$BH372&lt;&gt;""),"Yes","No")</f>
        <v>No</v>
      </c>
      <c r="BK372" s="35" t="str">
        <f aca="false">IFERROR(IF(BD372="","",BD372*INDEX('00 - Lists'!$M$2:$M$11,MATCH(L372,'00 - Lists'!$L$2:$L$11,0))/100000),"")</f>
        <v/>
      </c>
      <c r="BL372" s="35" t="str">
        <f aca="false">IFERROR(IF(BE372="","",BE372*INDEX('00 - Lists'!$M$2:$M$11,MATCH(L372,'00 - Lists'!$L$2:$L$11,0))/100000),"")</f>
        <v/>
      </c>
      <c r="BM372" s="35" t="str">
        <f aca="false">IFERROR(IF(BF372="","",BF372*INDEX('00 - Lists'!$M$2:$M$11,MATCH(L372,'00 - Lists'!$L$2:$L$11,0))/100000),"")</f>
        <v/>
      </c>
      <c r="BN372" s="35" t="str">
        <f aca="false">IFERROR(IF(BG372="","",BG372*INDEX('00 - Lists'!$M$2:$M$11,MATCH(L372,'00 - Lists'!$L$2:$L$11,0))/100000),"")</f>
        <v/>
      </c>
      <c r="BO372" s="35" t="str">
        <f aca="false">IFERROR(IF(BH372="","",BH372*INDEX('00 - Lists'!$M$2:$M$11,MATCH(L372,'00 - Lists'!$L$2:$L$11,0))/100000),"")</f>
        <v/>
      </c>
      <c r="BP372" s="35" t="str">
        <f aca="false">IFERROR(IF(BI372="","",BI372*INDEX('00 - Lists'!$M$2:$M$11,MATCH(L372,'00 - Lists'!$L$2:$L$11,0))/100000),"")</f>
        <v/>
      </c>
      <c r="BS372" s="36" t="str">
        <f aca="false">IF(O372="","",IF(O372&gt;=20,"Yes","No"))</f>
        <v/>
      </c>
      <c r="BT372" s="36" t="str">
        <f aca="false">IF(O372="","",IF(O372&gt;=30,"Yes","No"))</f>
        <v/>
      </c>
      <c r="BU372" s="36" t="str">
        <f aca="false">IF(O372="","",IF(O372&gt;=75,"Yes","No"))</f>
        <v/>
      </c>
      <c r="BV372" s="36" t="str">
        <f aca="false">IF(O372="","",IF(O372&gt;=100,"Yes","No"))</f>
        <v/>
      </c>
      <c r="BW372" s="36" t="str">
        <f aca="false">IF(O372="","",IF(O372&gt;=150,"Yes","No"))</f>
        <v/>
      </c>
      <c r="BX372" s="36" t="str">
        <f aca="false">IF(O372="","",IF(O372&gt;=200,"Yes","No"))</f>
        <v/>
      </c>
      <c r="BY372" s="36" t="str">
        <f aca="false">IF(Q372="","",IF(Q372&gt;=150000,"Yes","No"))</f>
        <v/>
      </c>
      <c r="BZ372" s="36" t="str">
        <f aca="false">IF(Q372="","",IF(Q372&gt;=200000,"Yes","No"))</f>
        <v/>
      </c>
      <c r="CA372" s="36" t="str">
        <f aca="false">IF(Q372="","",IF(Q372&gt;=250000,"Yes","No"))</f>
        <v/>
      </c>
      <c r="CB372" s="36" t="str">
        <f aca="false">IF(Q372="","",IF(Q372&gt;=300000,"Yes","No"))</f>
        <v/>
      </c>
      <c r="CC372" s="37"/>
      <c r="CD372" s="36" t="str">
        <f aca="true">IF(B372="","",IF(TODAY()-B372&lt;=7,"🟢 0-7d",IF(TODAY()-B372&lt;=30,"🟡 8-30d",IF(TODAY()-B372&lt;=60,"🟠 31-60d","🔴 60d+"))))</f>
        <v/>
      </c>
      <c r="CE372" s="36" t="str">
        <f aca="false">IF(G372="","",IF(G372&lt;&gt;"USA","N/A - Not USA Role",IF(J372="Yes",IF(OR(F372="Intern",F372="New Grad"),"🟡 Possible","🟢 Strong"),IF(J372="No","🔴 Difficult","⚪ Unknown"))))</f>
        <v/>
      </c>
      <c r="CF372" s="37"/>
      <c r="CG372" s="37"/>
      <c r="CH372" s="38"/>
      <c r="CI372" s="38"/>
      <c r="CJ372" s="38"/>
      <c r="CK372" s="38"/>
    </row>
    <row r="373" customFormat="false" ht="15" hidden="false" customHeight="true" outlineLevel="0" collapsed="false">
      <c r="A373" s="26" t="str">
        <f aca="false">IF($C373="","",ROW()-3)</f>
        <v/>
      </c>
      <c r="B373" s="27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9"/>
      <c r="N373" s="29"/>
      <c r="O373" s="30" t="str">
        <f aca="false">IFERROR(IF(M373="","",M373*INDEX('00 - Lists'!$M$2:$M$11,MATCH(L373,'00 - Lists'!$L$2:$L$11,0))/100000),"")</f>
        <v/>
      </c>
      <c r="P373" s="30" t="str">
        <f aca="false">IFERROR(IF(N373="","",N373*INDEX('00 - Lists'!$M$2:$M$11,MATCH(L373,'00 - Lists'!$L$2:$L$11,0))/100000),"")</f>
        <v/>
      </c>
      <c r="Q373" s="31" t="str">
        <f aca="false">IFERROR(IF(M373="","",M373*INDEX('00 - Lists'!$N$2:$N$11,MATCH(L373,'00 - Lists'!$L$2:$L$11,0))),"")</f>
        <v/>
      </c>
      <c r="R373" s="31" t="str">
        <f aca="false">IFERROR(IF(N373="","",N373*INDEX('00 - Lists'!$N$2:$N$11,MATCH(L373,'00 - Lists'!$L$2:$L$11,0))),"")</f>
        <v/>
      </c>
      <c r="S373" s="32" t="str">
        <f aca="false">IF(O373="","",IF(O373&gt;=50,"Yes","No"))</f>
        <v/>
      </c>
      <c r="T373" s="32" t="str">
        <f aca="false">IF(Q373="","",IF(Q373&gt;=100000,"Yes","No"))</f>
        <v/>
      </c>
      <c r="U373" s="28"/>
      <c r="V373" s="28"/>
      <c r="W373" s="28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J373" s="34" t="str">
        <f aca="false">IF(OR($BD373&lt;&gt;"",$BF373&lt;&gt;"",$BH373&lt;&gt;""),"Yes","No")</f>
        <v>No</v>
      </c>
      <c r="BK373" s="35" t="str">
        <f aca="false">IFERROR(IF(BD373="","",BD373*INDEX('00 - Lists'!$M$2:$M$11,MATCH(L373,'00 - Lists'!$L$2:$L$11,0))/100000),"")</f>
        <v/>
      </c>
      <c r="BL373" s="35" t="str">
        <f aca="false">IFERROR(IF(BE373="","",BE373*INDEX('00 - Lists'!$M$2:$M$11,MATCH(L373,'00 - Lists'!$L$2:$L$11,0))/100000),"")</f>
        <v/>
      </c>
      <c r="BM373" s="35" t="str">
        <f aca="false">IFERROR(IF(BF373="","",BF373*INDEX('00 - Lists'!$M$2:$M$11,MATCH(L373,'00 - Lists'!$L$2:$L$11,0))/100000),"")</f>
        <v/>
      </c>
      <c r="BN373" s="35" t="str">
        <f aca="false">IFERROR(IF(BG373="","",BG373*INDEX('00 - Lists'!$M$2:$M$11,MATCH(L373,'00 - Lists'!$L$2:$L$11,0))/100000),"")</f>
        <v/>
      </c>
      <c r="BO373" s="35" t="str">
        <f aca="false">IFERROR(IF(BH373="","",BH373*INDEX('00 - Lists'!$M$2:$M$11,MATCH(L373,'00 - Lists'!$L$2:$L$11,0))/100000),"")</f>
        <v/>
      </c>
      <c r="BP373" s="35" t="str">
        <f aca="false">IFERROR(IF(BI373="","",BI373*INDEX('00 - Lists'!$M$2:$M$11,MATCH(L373,'00 - Lists'!$L$2:$L$11,0))/100000),"")</f>
        <v/>
      </c>
      <c r="BS373" s="36" t="str">
        <f aca="false">IF(O373="","",IF(O373&gt;=20,"Yes","No"))</f>
        <v/>
      </c>
      <c r="BT373" s="36" t="str">
        <f aca="false">IF(O373="","",IF(O373&gt;=30,"Yes","No"))</f>
        <v/>
      </c>
      <c r="BU373" s="36" t="str">
        <f aca="false">IF(O373="","",IF(O373&gt;=75,"Yes","No"))</f>
        <v/>
      </c>
      <c r="BV373" s="36" t="str">
        <f aca="false">IF(O373="","",IF(O373&gt;=100,"Yes","No"))</f>
        <v/>
      </c>
      <c r="BW373" s="36" t="str">
        <f aca="false">IF(O373="","",IF(O373&gt;=150,"Yes","No"))</f>
        <v/>
      </c>
      <c r="BX373" s="36" t="str">
        <f aca="false">IF(O373="","",IF(O373&gt;=200,"Yes","No"))</f>
        <v/>
      </c>
      <c r="BY373" s="36" t="str">
        <f aca="false">IF(Q373="","",IF(Q373&gt;=150000,"Yes","No"))</f>
        <v/>
      </c>
      <c r="BZ373" s="36" t="str">
        <f aca="false">IF(Q373="","",IF(Q373&gt;=200000,"Yes","No"))</f>
        <v/>
      </c>
      <c r="CA373" s="36" t="str">
        <f aca="false">IF(Q373="","",IF(Q373&gt;=250000,"Yes","No"))</f>
        <v/>
      </c>
      <c r="CB373" s="36" t="str">
        <f aca="false">IF(Q373="","",IF(Q373&gt;=300000,"Yes","No"))</f>
        <v/>
      </c>
      <c r="CC373" s="37"/>
      <c r="CD373" s="36" t="str">
        <f aca="true">IF(B373="","",IF(TODAY()-B373&lt;=7,"🟢 0-7d",IF(TODAY()-B373&lt;=30,"🟡 8-30d",IF(TODAY()-B373&lt;=60,"🟠 31-60d","🔴 60d+"))))</f>
        <v/>
      </c>
      <c r="CE373" s="36" t="str">
        <f aca="false">IF(G373="","",IF(G373&lt;&gt;"USA","N/A - Not USA Role",IF(J373="Yes",IF(OR(F373="Intern",F373="New Grad"),"🟡 Possible","🟢 Strong"),IF(J373="No","🔴 Difficult","⚪ Unknown"))))</f>
        <v/>
      </c>
      <c r="CF373" s="37"/>
      <c r="CG373" s="37"/>
      <c r="CH373" s="38"/>
      <c r="CI373" s="38"/>
      <c r="CJ373" s="38"/>
      <c r="CK373" s="38"/>
    </row>
    <row r="374" customFormat="false" ht="15" hidden="false" customHeight="true" outlineLevel="0" collapsed="false">
      <c r="A374" s="26" t="str">
        <f aca="false">IF($C374="","",ROW()-3)</f>
        <v/>
      </c>
      <c r="B374" s="27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9"/>
      <c r="N374" s="29"/>
      <c r="O374" s="30" t="str">
        <f aca="false">IFERROR(IF(M374="","",M374*INDEX('00 - Lists'!$M$2:$M$11,MATCH(L374,'00 - Lists'!$L$2:$L$11,0))/100000),"")</f>
        <v/>
      </c>
      <c r="P374" s="30" t="str">
        <f aca="false">IFERROR(IF(N374="","",N374*INDEX('00 - Lists'!$M$2:$M$11,MATCH(L374,'00 - Lists'!$L$2:$L$11,0))/100000),"")</f>
        <v/>
      </c>
      <c r="Q374" s="31" t="str">
        <f aca="false">IFERROR(IF(M374="","",M374*INDEX('00 - Lists'!$N$2:$N$11,MATCH(L374,'00 - Lists'!$L$2:$L$11,0))),"")</f>
        <v/>
      </c>
      <c r="R374" s="31" t="str">
        <f aca="false">IFERROR(IF(N374="","",N374*INDEX('00 - Lists'!$N$2:$N$11,MATCH(L374,'00 - Lists'!$L$2:$L$11,0))),"")</f>
        <v/>
      </c>
      <c r="S374" s="32" t="str">
        <f aca="false">IF(O374="","",IF(O374&gt;=50,"Yes","No"))</f>
        <v/>
      </c>
      <c r="T374" s="32" t="str">
        <f aca="false">IF(Q374="","",IF(Q374&gt;=100000,"Yes","No"))</f>
        <v/>
      </c>
      <c r="U374" s="28"/>
      <c r="V374" s="28"/>
      <c r="W374" s="28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J374" s="34" t="str">
        <f aca="false">IF(OR($BD374&lt;&gt;"",$BF374&lt;&gt;"",$BH374&lt;&gt;""),"Yes","No")</f>
        <v>No</v>
      </c>
      <c r="BK374" s="35" t="str">
        <f aca="false">IFERROR(IF(BD374="","",BD374*INDEX('00 - Lists'!$M$2:$M$11,MATCH(L374,'00 - Lists'!$L$2:$L$11,0))/100000),"")</f>
        <v/>
      </c>
      <c r="BL374" s="35" t="str">
        <f aca="false">IFERROR(IF(BE374="","",BE374*INDEX('00 - Lists'!$M$2:$M$11,MATCH(L374,'00 - Lists'!$L$2:$L$11,0))/100000),"")</f>
        <v/>
      </c>
      <c r="BM374" s="35" t="str">
        <f aca="false">IFERROR(IF(BF374="","",BF374*INDEX('00 - Lists'!$M$2:$M$11,MATCH(L374,'00 - Lists'!$L$2:$L$11,0))/100000),"")</f>
        <v/>
      </c>
      <c r="BN374" s="35" t="str">
        <f aca="false">IFERROR(IF(BG374="","",BG374*INDEX('00 - Lists'!$M$2:$M$11,MATCH(L374,'00 - Lists'!$L$2:$L$11,0))/100000),"")</f>
        <v/>
      </c>
      <c r="BO374" s="35" t="str">
        <f aca="false">IFERROR(IF(BH374="","",BH374*INDEX('00 - Lists'!$M$2:$M$11,MATCH(L374,'00 - Lists'!$L$2:$L$11,0))/100000),"")</f>
        <v/>
      </c>
      <c r="BP374" s="35" t="str">
        <f aca="false">IFERROR(IF(BI374="","",BI374*INDEX('00 - Lists'!$M$2:$M$11,MATCH(L374,'00 - Lists'!$L$2:$L$11,0))/100000),"")</f>
        <v/>
      </c>
      <c r="BS374" s="36" t="str">
        <f aca="false">IF(O374="","",IF(O374&gt;=20,"Yes","No"))</f>
        <v/>
      </c>
      <c r="BT374" s="36" t="str">
        <f aca="false">IF(O374="","",IF(O374&gt;=30,"Yes","No"))</f>
        <v/>
      </c>
      <c r="BU374" s="36" t="str">
        <f aca="false">IF(O374="","",IF(O374&gt;=75,"Yes","No"))</f>
        <v/>
      </c>
      <c r="BV374" s="36" t="str">
        <f aca="false">IF(O374="","",IF(O374&gt;=100,"Yes","No"))</f>
        <v/>
      </c>
      <c r="BW374" s="36" t="str">
        <f aca="false">IF(O374="","",IF(O374&gt;=150,"Yes","No"))</f>
        <v/>
      </c>
      <c r="BX374" s="36" t="str">
        <f aca="false">IF(O374="","",IF(O374&gt;=200,"Yes","No"))</f>
        <v/>
      </c>
      <c r="BY374" s="36" t="str">
        <f aca="false">IF(Q374="","",IF(Q374&gt;=150000,"Yes","No"))</f>
        <v/>
      </c>
      <c r="BZ374" s="36" t="str">
        <f aca="false">IF(Q374="","",IF(Q374&gt;=200000,"Yes","No"))</f>
        <v/>
      </c>
      <c r="CA374" s="36" t="str">
        <f aca="false">IF(Q374="","",IF(Q374&gt;=250000,"Yes","No"))</f>
        <v/>
      </c>
      <c r="CB374" s="36" t="str">
        <f aca="false">IF(Q374="","",IF(Q374&gt;=300000,"Yes","No"))</f>
        <v/>
      </c>
      <c r="CC374" s="37"/>
      <c r="CD374" s="36" t="str">
        <f aca="true">IF(B374="","",IF(TODAY()-B374&lt;=7,"🟢 0-7d",IF(TODAY()-B374&lt;=30,"🟡 8-30d",IF(TODAY()-B374&lt;=60,"🟠 31-60d","🔴 60d+"))))</f>
        <v/>
      </c>
      <c r="CE374" s="36" t="str">
        <f aca="false">IF(G374="","",IF(G374&lt;&gt;"USA","N/A - Not USA Role",IF(J374="Yes",IF(OR(F374="Intern",F374="New Grad"),"🟡 Possible","🟢 Strong"),IF(J374="No","🔴 Difficult","⚪ Unknown"))))</f>
        <v/>
      </c>
      <c r="CF374" s="37"/>
      <c r="CG374" s="37"/>
      <c r="CH374" s="38"/>
      <c r="CI374" s="38"/>
      <c r="CJ374" s="38"/>
      <c r="CK374" s="38"/>
    </row>
    <row r="375" customFormat="false" ht="15" hidden="false" customHeight="true" outlineLevel="0" collapsed="false">
      <c r="A375" s="26" t="str">
        <f aca="false">IF($C375="","",ROW()-3)</f>
        <v/>
      </c>
      <c r="B375" s="27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9"/>
      <c r="N375" s="29"/>
      <c r="O375" s="30" t="str">
        <f aca="false">IFERROR(IF(M375="","",M375*INDEX('00 - Lists'!$M$2:$M$11,MATCH(L375,'00 - Lists'!$L$2:$L$11,0))/100000),"")</f>
        <v/>
      </c>
      <c r="P375" s="30" t="str">
        <f aca="false">IFERROR(IF(N375="","",N375*INDEX('00 - Lists'!$M$2:$M$11,MATCH(L375,'00 - Lists'!$L$2:$L$11,0))/100000),"")</f>
        <v/>
      </c>
      <c r="Q375" s="31" t="str">
        <f aca="false">IFERROR(IF(M375="","",M375*INDEX('00 - Lists'!$N$2:$N$11,MATCH(L375,'00 - Lists'!$L$2:$L$11,0))),"")</f>
        <v/>
      </c>
      <c r="R375" s="31" t="str">
        <f aca="false">IFERROR(IF(N375="","",N375*INDEX('00 - Lists'!$N$2:$N$11,MATCH(L375,'00 - Lists'!$L$2:$L$11,0))),"")</f>
        <v/>
      </c>
      <c r="S375" s="32" t="str">
        <f aca="false">IF(O375="","",IF(O375&gt;=50,"Yes","No"))</f>
        <v/>
      </c>
      <c r="T375" s="32" t="str">
        <f aca="false">IF(Q375="","",IF(Q375&gt;=100000,"Yes","No"))</f>
        <v/>
      </c>
      <c r="U375" s="28"/>
      <c r="V375" s="28"/>
      <c r="W375" s="28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J375" s="34" t="str">
        <f aca="false">IF(OR($BD375&lt;&gt;"",$BF375&lt;&gt;"",$BH375&lt;&gt;""),"Yes","No")</f>
        <v>No</v>
      </c>
      <c r="BK375" s="35" t="str">
        <f aca="false">IFERROR(IF(BD375="","",BD375*INDEX('00 - Lists'!$M$2:$M$11,MATCH(L375,'00 - Lists'!$L$2:$L$11,0))/100000),"")</f>
        <v/>
      </c>
      <c r="BL375" s="35" t="str">
        <f aca="false">IFERROR(IF(BE375="","",BE375*INDEX('00 - Lists'!$M$2:$M$11,MATCH(L375,'00 - Lists'!$L$2:$L$11,0))/100000),"")</f>
        <v/>
      </c>
      <c r="BM375" s="35" t="str">
        <f aca="false">IFERROR(IF(BF375="","",BF375*INDEX('00 - Lists'!$M$2:$M$11,MATCH(L375,'00 - Lists'!$L$2:$L$11,0))/100000),"")</f>
        <v/>
      </c>
      <c r="BN375" s="35" t="str">
        <f aca="false">IFERROR(IF(BG375="","",BG375*INDEX('00 - Lists'!$M$2:$M$11,MATCH(L375,'00 - Lists'!$L$2:$L$11,0))/100000),"")</f>
        <v/>
      </c>
      <c r="BO375" s="35" t="str">
        <f aca="false">IFERROR(IF(BH375="","",BH375*INDEX('00 - Lists'!$M$2:$M$11,MATCH(L375,'00 - Lists'!$L$2:$L$11,0))/100000),"")</f>
        <v/>
      </c>
      <c r="BP375" s="35" t="str">
        <f aca="false">IFERROR(IF(BI375="","",BI375*INDEX('00 - Lists'!$M$2:$M$11,MATCH(L375,'00 - Lists'!$L$2:$L$11,0))/100000),"")</f>
        <v/>
      </c>
      <c r="BS375" s="36" t="str">
        <f aca="false">IF(O375="","",IF(O375&gt;=20,"Yes","No"))</f>
        <v/>
      </c>
      <c r="BT375" s="36" t="str">
        <f aca="false">IF(O375="","",IF(O375&gt;=30,"Yes","No"))</f>
        <v/>
      </c>
      <c r="BU375" s="36" t="str">
        <f aca="false">IF(O375="","",IF(O375&gt;=75,"Yes","No"))</f>
        <v/>
      </c>
      <c r="BV375" s="36" t="str">
        <f aca="false">IF(O375="","",IF(O375&gt;=100,"Yes","No"))</f>
        <v/>
      </c>
      <c r="BW375" s="36" t="str">
        <f aca="false">IF(O375="","",IF(O375&gt;=150,"Yes","No"))</f>
        <v/>
      </c>
      <c r="BX375" s="36" t="str">
        <f aca="false">IF(O375="","",IF(O375&gt;=200,"Yes","No"))</f>
        <v/>
      </c>
      <c r="BY375" s="36" t="str">
        <f aca="false">IF(Q375="","",IF(Q375&gt;=150000,"Yes","No"))</f>
        <v/>
      </c>
      <c r="BZ375" s="36" t="str">
        <f aca="false">IF(Q375="","",IF(Q375&gt;=200000,"Yes","No"))</f>
        <v/>
      </c>
      <c r="CA375" s="36" t="str">
        <f aca="false">IF(Q375="","",IF(Q375&gt;=250000,"Yes","No"))</f>
        <v/>
      </c>
      <c r="CB375" s="36" t="str">
        <f aca="false">IF(Q375="","",IF(Q375&gt;=300000,"Yes","No"))</f>
        <v/>
      </c>
      <c r="CC375" s="37"/>
      <c r="CD375" s="36" t="str">
        <f aca="true">IF(B375="","",IF(TODAY()-B375&lt;=7,"🟢 0-7d",IF(TODAY()-B375&lt;=30,"🟡 8-30d",IF(TODAY()-B375&lt;=60,"🟠 31-60d","🔴 60d+"))))</f>
        <v/>
      </c>
      <c r="CE375" s="36" t="str">
        <f aca="false">IF(G375="","",IF(G375&lt;&gt;"USA","N/A - Not USA Role",IF(J375="Yes",IF(OR(F375="Intern",F375="New Grad"),"🟡 Possible","🟢 Strong"),IF(J375="No","🔴 Difficult","⚪ Unknown"))))</f>
        <v/>
      </c>
      <c r="CF375" s="37"/>
      <c r="CG375" s="37"/>
      <c r="CH375" s="38"/>
      <c r="CI375" s="38"/>
      <c r="CJ375" s="38"/>
      <c r="CK375" s="38"/>
    </row>
    <row r="376" customFormat="false" ht="15" hidden="false" customHeight="true" outlineLevel="0" collapsed="false">
      <c r="A376" s="26" t="str">
        <f aca="false">IF($C376="","",ROW()-3)</f>
        <v/>
      </c>
      <c r="B376" s="27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9"/>
      <c r="N376" s="29"/>
      <c r="O376" s="30" t="str">
        <f aca="false">IFERROR(IF(M376="","",M376*INDEX('00 - Lists'!$M$2:$M$11,MATCH(L376,'00 - Lists'!$L$2:$L$11,0))/100000),"")</f>
        <v/>
      </c>
      <c r="P376" s="30" t="str">
        <f aca="false">IFERROR(IF(N376="","",N376*INDEX('00 - Lists'!$M$2:$M$11,MATCH(L376,'00 - Lists'!$L$2:$L$11,0))/100000),"")</f>
        <v/>
      </c>
      <c r="Q376" s="31" t="str">
        <f aca="false">IFERROR(IF(M376="","",M376*INDEX('00 - Lists'!$N$2:$N$11,MATCH(L376,'00 - Lists'!$L$2:$L$11,0))),"")</f>
        <v/>
      </c>
      <c r="R376" s="31" t="str">
        <f aca="false">IFERROR(IF(N376="","",N376*INDEX('00 - Lists'!$N$2:$N$11,MATCH(L376,'00 - Lists'!$L$2:$L$11,0))),"")</f>
        <v/>
      </c>
      <c r="S376" s="32" t="str">
        <f aca="false">IF(O376="","",IF(O376&gt;=50,"Yes","No"))</f>
        <v/>
      </c>
      <c r="T376" s="32" t="str">
        <f aca="false">IF(Q376="","",IF(Q376&gt;=100000,"Yes","No"))</f>
        <v/>
      </c>
      <c r="U376" s="28"/>
      <c r="V376" s="28"/>
      <c r="W376" s="28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J376" s="34" t="str">
        <f aca="false">IF(OR($BD376&lt;&gt;"",$BF376&lt;&gt;"",$BH376&lt;&gt;""),"Yes","No")</f>
        <v>No</v>
      </c>
      <c r="BK376" s="35" t="str">
        <f aca="false">IFERROR(IF(BD376="","",BD376*INDEX('00 - Lists'!$M$2:$M$11,MATCH(L376,'00 - Lists'!$L$2:$L$11,0))/100000),"")</f>
        <v/>
      </c>
      <c r="BL376" s="35" t="str">
        <f aca="false">IFERROR(IF(BE376="","",BE376*INDEX('00 - Lists'!$M$2:$M$11,MATCH(L376,'00 - Lists'!$L$2:$L$11,0))/100000),"")</f>
        <v/>
      </c>
      <c r="BM376" s="35" t="str">
        <f aca="false">IFERROR(IF(BF376="","",BF376*INDEX('00 - Lists'!$M$2:$M$11,MATCH(L376,'00 - Lists'!$L$2:$L$11,0))/100000),"")</f>
        <v/>
      </c>
      <c r="BN376" s="35" t="str">
        <f aca="false">IFERROR(IF(BG376="","",BG376*INDEX('00 - Lists'!$M$2:$M$11,MATCH(L376,'00 - Lists'!$L$2:$L$11,0))/100000),"")</f>
        <v/>
      </c>
      <c r="BO376" s="35" t="str">
        <f aca="false">IFERROR(IF(BH376="","",BH376*INDEX('00 - Lists'!$M$2:$M$11,MATCH(L376,'00 - Lists'!$L$2:$L$11,0))/100000),"")</f>
        <v/>
      </c>
      <c r="BP376" s="35" t="str">
        <f aca="false">IFERROR(IF(BI376="","",BI376*INDEX('00 - Lists'!$M$2:$M$11,MATCH(L376,'00 - Lists'!$L$2:$L$11,0))/100000),"")</f>
        <v/>
      </c>
      <c r="BS376" s="36" t="str">
        <f aca="false">IF(O376="","",IF(O376&gt;=20,"Yes","No"))</f>
        <v/>
      </c>
      <c r="BT376" s="36" t="str">
        <f aca="false">IF(O376="","",IF(O376&gt;=30,"Yes","No"))</f>
        <v/>
      </c>
      <c r="BU376" s="36" t="str">
        <f aca="false">IF(O376="","",IF(O376&gt;=75,"Yes","No"))</f>
        <v/>
      </c>
      <c r="BV376" s="36" t="str">
        <f aca="false">IF(O376="","",IF(O376&gt;=100,"Yes","No"))</f>
        <v/>
      </c>
      <c r="BW376" s="36" t="str">
        <f aca="false">IF(O376="","",IF(O376&gt;=150,"Yes","No"))</f>
        <v/>
      </c>
      <c r="BX376" s="36" t="str">
        <f aca="false">IF(O376="","",IF(O376&gt;=200,"Yes","No"))</f>
        <v/>
      </c>
      <c r="BY376" s="36" t="str">
        <f aca="false">IF(Q376="","",IF(Q376&gt;=150000,"Yes","No"))</f>
        <v/>
      </c>
      <c r="BZ376" s="36" t="str">
        <f aca="false">IF(Q376="","",IF(Q376&gt;=200000,"Yes","No"))</f>
        <v/>
      </c>
      <c r="CA376" s="36" t="str">
        <f aca="false">IF(Q376="","",IF(Q376&gt;=250000,"Yes","No"))</f>
        <v/>
      </c>
      <c r="CB376" s="36" t="str">
        <f aca="false">IF(Q376="","",IF(Q376&gt;=300000,"Yes","No"))</f>
        <v/>
      </c>
      <c r="CC376" s="37"/>
      <c r="CD376" s="36" t="str">
        <f aca="true">IF(B376="","",IF(TODAY()-B376&lt;=7,"🟢 0-7d",IF(TODAY()-B376&lt;=30,"🟡 8-30d",IF(TODAY()-B376&lt;=60,"🟠 31-60d","🔴 60d+"))))</f>
        <v/>
      </c>
      <c r="CE376" s="36" t="str">
        <f aca="false">IF(G376="","",IF(G376&lt;&gt;"USA","N/A - Not USA Role",IF(J376="Yes",IF(OR(F376="Intern",F376="New Grad"),"🟡 Possible","🟢 Strong"),IF(J376="No","🔴 Difficult","⚪ Unknown"))))</f>
        <v/>
      </c>
      <c r="CF376" s="37"/>
      <c r="CG376" s="37"/>
      <c r="CH376" s="38"/>
      <c r="CI376" s="38"/>
      <c r="CJ376" s="38"/>
      <c r="CK376" s="38"/>
    </row>
    <row r="377" customFormat="false" ht="15" hidden="false" customHeight="true" outlineLevel="0" collapsed="false">
      <c r="A377" s="26" t="str">
        <f aca="false">IF($C377="","",ROW()-3)</f>
        <v/>
      </c>
      <c r="B377" s="27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9"/>
      <c r="N377" s="29"/>
      <c r="O377" s="30" t="str">
        <f aca="false">IFERROR(IF(M377="","",M377*INDEX('00 - Lists'!$M$2:$M$11,MATCH(L377,'00 - Lists'!$L$2:$L$11,0))/100000),"")</f>
        <v/>
      </c>
      <c r="P377" s="30" t="str">
        <f aca="false">IFERROR(IF(N377="","",N377*INDEX('00 - Lists'!$M$2:$M$11,MATCH(L377,'00 - Lists'!$L$2:$L$11,0))/100000),"")</f>
        <v/>
      </c>
      <c r="Q377" s="31" t="str">
        <f aca="false">IFERROR(IF(M377="","",M377*INDEX('00 - Lists'!$N$2:$N$11,MATCH(L377,'00 - Lists'!$L$2:$L$11,0))),"")</f>
        <v/>
      </c>
      <c r="R377" s="31" t="str">
        <f aca="false">IFERROR(IF(N377="","",N377*INDEX('00 - Lists'!$N$2:$N$11,MATCH(L377,'00 - Lists'!$L$2:$L$11,0))),"")</f>
        <v/>
      </c>
      <c r="S377" s="32" t="str">
        <f aca="false">IF(O377="","",IF(O377&gt;=50,"Yes","No"))</f>
        <v/>
      </c>
      <c r="T377" s="32" t="str">
        <f aca="false">IF(Q377="","",IF(Q377&gt;=100000,"Yes","No"))</f>
        <v/>
      </c>
      <c r="U377" s="28"/>
      <c r="V377" s="28"/>
      <c r="W377" s="28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J377" s="34" t="str">
        <f aca="false">IF(OR($BD377&lt;&gt;"",$BF377&lt;&gt;"",$BH377&lt;&gt;""),"Yes","No")</f>
        <v>No</v>
      </c>
      <c r="BK377" s="35" t="str">
        <f aca="false">IFERROR(IF(BD377="","",BD377*INDEX('00 - Lists'!$M$2:$M$11,MATCH(L377,'00 - Lists'!$L$2:$L$11,0))/100000),"")</f>
        <v/>
      </c>
      <c r="BL377" s="35" t="str">
        <f aca="false">IFERROR(IF(BE377="","",BE377*INDEX('00 - Lists'!$M$2:$M$11,MATCH(L377,'00 - Lists'!$L$2:$L$11,0))/100000),"")</f>
        <v/>
      </c>
      <c r="BM377" s="35" t="str">
        <f aca="false">IFERROR(IF(BF377="","",BF377*INDEX('00 - Lists'!$M$2:$M$11,MATCH(L377,'00 - Lists'!$L$2:$L$11,0))/100000),"")</f>
        <v/>
      </c>
      <c r="BN377" s="35" t="str">
        <f aca="false">IFERROR(IF(BG377="","",BG377*INDEX('00 - Lists'!$M$2:$M$11,MATCH(L377,'00 - Lists'!$L$2:$L$11,0))/100000),"")</f>
        <v/>
      </c>
      <c r="BO377" s="35" t="str">
        <f aca="false">IFERROR(IF(BH377="","",BH377*INDEX('00 - Lists'!$M$2:$M$11,MATCH(L377,'00 - Lists'!$L$2:$L$11,0))/100000),"")</f>
        <v/>
      </c>
      <c r="BP377" s="35" t="str">
        <f aca="false">IFERROR(IF(BI377="","",BI377*INDEX('00 - Lists'!$M$2:$M$11,MATCH(L377,'00 - Lists'!$L$2:$L$11,0))/100000),"")</f>
        <v/>
      </c>
      <c r="BS377" s="36" t="str">
        <f aca="false">IF(O377="","",IF(O377&gt;=20,"Yes","No"))</f>
        <v/>
      </c>
      <c r="BT377" s="36" t="str">
        <f aca="false">IF(O377="","",IF(O377&gt;=30,"Yes","No"))</f>
        <v/>
      </c>
      <c r="BU377" s="36" t="str">
        <f aca="false">IF(O377="","",IF(O377&gt;=75,"Yes","No"))</f>
        <v/>
      </c>
      <c r="BV377" s="36" t="str">
        <f aca="false">IF(O377="","",IF(O377&gt;=100,"Yes","No"))</f>
        <v/>
      </c>
      <c r="BW377" s="36" t="str">
        <f aca="false">IF(O377="","",IF(O377&gt;=150,"Yes","No"))</f>
        <v/>
      </c>
      <c r="BX377" s="36" t="str">
        <f aca="false">IF(O377="","",IF(O377&gt;=200,"Yes","No"))</f>
        <v/>
      </c>
      <c r="BY377" s="36" t="str">
        <f aca="false">IF(Q377="","",IF(Q377&gt;=150000,"Yes","No"))</f>
        <v/>
      </c>
      <c r="BZ377" s="36" t="str">
        <f aca="false">IF(Q377="","",IF(Q377&gt;=200000,"Yes","No"))</f>
        <v/>
      </c>
      <c r="CA377" s="36" t="str">
        <f aca="false">IF(Q377="","",IF(Q377&gt;=250000,"Yes","No"))</f>
        <v/>
      </c>
      <c r="CB377" s="36" t="str">
        <f aca="false">IF(Q377="","",IF(Q377&gt;=300000,"Yes","No"))</f>
        <v/>
      </c>
      <c r="CC377" s="37"/>
      <c r="CD377" s="36" t="str">
        <f aca="true">IF(B377="","",IF(TODAY()-B377&lt;=7,"🟢 0-7d",IF(TODAY()-B377&lt;=30,"🟡 8-30d",IF(TODAY()-B377&lt;=60,"🟠 31-60d","🔴 60d+"))))</f>
        <v/>
      </c>
      <c r="CE377" s="36" t="str">
        <f aca="false">IF(G377="","",IF(G377&lt;&gt;"USA","N/A - Not USA Role",IF(J377="Yes",IF(OR(F377="Intern",F377="New Grad"),"🟡 Possible","🟢 Strong"),IF(J377="No","🔴 Difficult","⚪ Unknown"))))</f>
        <v/>
      </c>
      <c r="CF377" s="37"/>
      <c r="CG377" s="37"/>
      <c r="CH377" s="38"/>
      <c r="CI377" s="38"/>
      <c r="CJ377" s="38"/>
      <c r="CK377" s="38"/>
    </row>
    <row r="378" customFormat="false" ht="15" hidden="false" customHeight="true" outlineLevel="0" collapsed="false">
      <c r="A378" s="26" t="str">
        <f aca="false">IF($C378="","",ROW()-3)</f>
        <v/>
      </c>
      <c r="B378" s="27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9"/>
      <c r="N378" s="29"/>
      <c r="O378" s="30" t="str">
        <f aca="false">IFERROR(IF(M378="","",M378*INDEX('00 - Lists'!$M$2:$M$11,MATCH(L378,'00 - Lists'!$L$2:$L$11,0))/100000),"")</f>
        <v/>
      </c>
      <c r="P378" s="30" t="str">
        <f aca="false">IFERROR(IF(N378="","",N378*INDEX('00 - Lists'!$M$2:$M$11,MATCH(L378,'00 - Lists'!$L$2:$L$11,0))/100000),"")</f>
        <v/>
      </c>
      <c r="Q378" s="31" t="str">
        <f aca="false">IFERROR(IF(M378="","",M378*INDEX('00 - Lists'!$N$2:$N$11,MATCH(L378,'00 - Lists'!$L$2:$L$11,0))),"")</f>
        <v/>
      </c>
      <c r="R378" s="31" t="str">
        <f aca="false">IFERROR(IF(N378="","",N378*INDEX('00 - Lists'!$N$2:$N$11,MATCH(L378,'00 - Lists'!$L$2:$L$11,0))),"")</f>
        <v/>
      </c>
      <c r="S378" s="32" t="str">
        <f aca="false">IF(O378="","",IF(O378&gt;=50,"Yes","No"))</f>
        <v/>
      </c>
      <c r="T378" s="32" t="str">
        <f aca="false">IF(Q378="","",IF(Q378&gt;=100000,"Yes","No"))</f>
        <v/>
      </c>
      <c r="U378" s="28"/>
      <c r="V378" s="28"/>
      <c r="W378" s="28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J378" s="34" t="str">
        <f aca="false">IF(OR($BD378&lt;&gt;"",$BF378&lt;&gt;"",$BH378&lt;&gt;""),"Yes","No")</f>
        <v>No</v>
      </c>
      <c r="BK378" s="35" t="str">
        <f aca="false">IFERROR(IF(BD378="","",BD378*INDEX('00 - Lists'!$M$2:$M$11,MATCH(L378,'00 - Lists'!$L$2:$L$11,0))/100000),"")</f>
        <v/>
      </c>
      <c r="BL378" s="35" t="str">
        <f aca="false">IFERROR(IF(BE378="","",BE378*INDEX('00 - Lists'!$M$2:$M$11,MATCH(L378,'00 - Lists'!$L$2:$L$11,0))/100000),"")</f>
        <v/>
      </c>
      <c r="BM378" s="35" t="str">
        <f aca="false">IFERROR(IF(BF378="","",BF378*INDEX('00 - Lists'!$M$2:$M$11,MATCH(L378,'00 - Lists'!$L$2:$L$11,0))/100000),"")</f>
        <v/>
      </c>
      <c r="BN378" s="35" t="str">
        <f aca="false">IFERROR(IF(BG378="","",BG378*INDEX('00 - Lists'!$M$2:$M$11,MATCH(L378,'00 - Lists'!$L$2:$L$11,0))/100000),"")</f>
        <v/>
      </c>
      <c r="BO378" s="35" t="str">
        <f aca="false">IFERROR(IF(BH378="","",BH378*INDEX('00 - Lists'!$M$2:$M$11,MATCH(L378,'00 - Lists'!$L$2:$L$11,0))/100000),"")</f>
        <v/>
      </c>
      <c r="BP378" s="35" t="str">
        <f aca="false">IFERROR(IF(BI378="","",BI378*INDEX('00 - Lists'!$M$2:$M$11,MATCH(L378,'00 - Lists'!$L$2:$L$11,0))/100000),"")</f>
        <v/>
      </c>
      <c r="BS378" s="36" t="str">
        <f aca="false">IF(O378="","",IF(O378&gt;=20,"Yes","No"))</f>
        <v/>
      </c>
      <c r="BT378" s="36" t="str">
        <f aca="false">IF(O378="","",IF(O378&gt;=30,"Yes","No"))</f>
        <v/>
      </c>
      <c r="BU378" s="36" t="str">
        <f aca="false">IF(O378="","",IF(O378&gt;=75,"Yes","No"))</f>
        <v/>
      </c>
      <c r="BV378" s="36" t="str">
        <f aca="false">IF(O378="","",IF(O378&gt;=100,"Yes","No"))</f>
        <v/>
      </c>
      <c r="BW378" s="36" t="str">
        <f aca="false">IF(O378="","",IF(O378&gt;=150,"Yes","No"))</f>
        <v/>
      </c>
      <c r="BX378" s="36" t="str">
        <f aca="false">IF(O378="","",IF(O378&gt;=200,"Yes","No"))</f>
        <v/>
      </c>
      <c r="BY378" s="36" t="str">
        <f aca="false">IF(Q378="","",IF(Q378&gt;=150000,"Yes","No"))</f>
        <v/>
      </c>
      <c r="BZ378" s="36" t="str">
        <f aca="false">IF(Q378="","",IF(Q378&gt;=200000,"Yes","No"))</f>
        <v/>
      </c>
      <c r="CA378" s="36" t="str">
        <f aca="false">IF(Q378="","",IF(Q378&gt;=250000,"Yes","No"))</f>
        <v/>
      </c>
      <c r="CB378" s="36" t="str">
        <f aca="false">IF(Q378="","",IF(Q378&gt;=300000,"Yes","No"))</f>
        <v/>
      </c>
      <c r="CC378" s="37"/>
      <c r="CD378" s="36" t="str">
        <f aca="true">IF(B378="","",IF(TODAY()-B378&lt;=7,"🟢 0-7d",IF(TODAY()-B378&lt;=30,"🟡 8-30d",IF(TODAY()-B378&lt;=60,"🟠 31-60d","🔴 60d+"))))</f>
        <v/>
      </c>
      <c r="CE378" s="36" t="str">
        <f aca="false">IF(G378="","",IF(G378&lt;&gt;"USA","N/A - Not USA Role",IF(J378="Yes",IF(OR(F378="Intern",F378="New Grad"),"🟡 Possible","🟢 Strong"),IF(J378="No","🔴 Difficult","⚪ Unknown"))))</f>
        <v/>
      </c>
      <c r="CF378" s="37"/>
      <c r="CG378" s="37"/>
      <c r="CH378" s="38"/>
      <c r="CI378" s="38"/>
      <c r="CJ378" s="38"/>
      <c r="CK378" s="38"/>
    </row>
    <row r="379" customFormat="false" ht="15" hidden="false" customHeight="true" outlineLevel="0" collapsed="false">
      <c r="A379" s="26" t="str">
        <f aca="false">IF($C379="","",ROW()-3)</f>
        <v/>
      </c>
      <c r="B379" s="27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9"/>
      <c r="N379" s="29"/>
      <c r="O379" s="30" t="str">
        <f aca="false">IFERROR(IF(M379="","",M379*INDEX('00 - Lists'!$M$2:$M$11,MATCH(L379,'00 - Lists'!$L$2:$L$11,0))/100000),"")</f>
        <v/>
      </c>
      <c r="P379" s="30" t="str">
        <f aca="false">IFERROR(IF(N379="","",N379*INDEX('00 - Lists'!$M$2:$M$11,MATCH(L379,'00 - Lists'!$L$2:$L$11,0))/100000),"")</f>
        <v/>
      </c>
      <c r="Q379" s="31" t="str">
        <f aca="false">IFERROR(IF(M379="","",M379*INDEX('00 - Lists'!$N$2:$N$11,MATCH(L379,'00 - Lists'!$L$2:$L$11,0))),"")</f>
        <v/>
      </c>
      <c r="R379" s="31" t="str">
        <f aca="false">IFERROR(IF(N379="","",N379*INDEX('00 - Lists'!$N$2:$N$11,MATCH(L379,'00 - Lists'!$L$2:$L$11,0))),"")</f>
        <v/>
      </c>
      <c r="S379" s="32" t="str">
        <f aca="false">IF(O379="","",IF(O379&gt;=50,"Yes","No"))</f>
        <v/>
      </c>
      <c r="T379" s="32" t="str">
        <f aca="false">IF(Q379="","",IF(Q379&gt;=100000,"Yes","No"))</f>
        <v/>
      </c>
      <c r="U379" s="28"/>
      <c r="V379" s="28"/>
      <c r="W379" s="28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J379" s="34" t="str">
        <f aca="false">IF(OR($BD379&lt;&gt;"",$BF379&lt;&gt;"",$BH379&lt;&gt;""),"Yes","No")</f>
        <v>No</v>
      </c>
      <c r="BK379" s="35" t="str">
        <f aca="false">IFERROR(IF(BD379="","",BD379*INDEX('00 - Lists'!$M$2:$M$11,MATCH(L379,'00 - Lists'!$L$2:$L$11,0))/100000),"")</f>
        <v/>
      </c>
      <c r="BL379" s="35" t="str">
        <f aca="false">IFERROR(IF(BE379="","",BE379*INDEX('00 - Lists'!$M$2:$M$11,MATCH(L379,'00 - Lists'!$L$2:$L$11,0))/100000),"")</f>
        <v/>
      </c>
      <c r="BM379" s="35" t="str">
        <f aca="false">IFERROR(IF(BF379="","",BF379*INDEX('00 - Lists'!$M$2:$M$11,MATCH(L379,'00 - Lists'!$L$2:$L$11,0))/100000),"")</f>
        <v/>
      </c>
      <c r="BN379" s="35" t="str">
        <f aca="false">IFERROR(IF(BG379="","",BG379*INDEX('00 - Lists'!$M$2:$M$11,MATCH(L379,'00 - Lists'!$L$2:$L$11,0))/100000),"")</f>
        <v/>
      </c>
      <c r="BO379" s="35" t="str">
        <f aca="false">IFERROR(IF(BH379="","",BH379*INDEX('00 - Lists'!$M$2:$M$11,MATCH(L379,'00 - Lists'!$L$2:$L$11,0))/100000),"")</f>
        <v/>
      </c>
      <c r="BP379" s="35" t="str">
        <f aca="false">IFERROR(IF(BI379="","",BI379*INDEX('00 - Lists'!$M$2:$M$11,MATCH(L379,'00 - Lists'!$L$2:$L$11,0))/100000),"")</f>
        <v/>
      </c>
      <c r="BS379" s="36" t="str">
        <f aca="false">IF(O379="","",IF(O379&gt;=20,"Yes","No"))</f>
        <v/>
      </c>
      <c r="BT379" s="36" t="str">
        <f aca="false">IF(O379="","",IF(O379&gt;=30,"Yes","No"))</f>
        <v/>
      </c>
      <c r="BU379" s="36" t="str">
        <f aca="false">IF(O379="","",IF(O379&gt;=75,"Yes","No"))</f>
        <v/>
      </c>
      <c r="BV379" s="36" t="str">
        <f aca="false">IF(O379="","",IF(O379&gt;=100,"Yes","No"))</f>
        <v/>
      </c>
      <c r="BW379" s="36" t="str">
        <f aca="false">IF(O379="","",IF(O379&gt;=150,"Yes","No"))</f>
        <v/>
      </c>
      <c r="BX379" s="36" t="str">
        <f aca="false">IF(O379="","",IF(O379&gt;=200,"Yes","No"))</f>
        <v/>
      </c>
      <c r="BY379" s="36" t="str">
        <f aca="false">IF(Q379="","",IF(Q379&gt;=150000,"Yes","No"))</f>
        <v/>
      </c>
      <c r="BZ379" s="36" t="str">
        <f aca="false">IF(Q379="","",IF(Q379&gt;=200000,"Yes","No"))</f>
        <v/>
      </c>
      <c r="CA379" s="36" t="str">
        <f aca="false">IF(Q379="","",IF(Q379&gt;=250000,"Yes","No"))</f>
        <v/>
      </c>
      <c r="CB379" s="36" t="str">
        <f aca="false">IF(Q379="","",IF(Q379&gt;=300000,"Yes","No"))</f>
        <v/>
      </c>
      <c r="CC379" s="37"/>
      <c r="CD379" s="36" t="str">
        <f aca="true">IF(B379="","",IF(TODAY()-B379&lt;=7,"🟢 0-7d",IF(TODAY()-B379&lt;=30,"🟡 8-30d",IF(TODAY()-B379&lt;=60,"🟠 31-60d","🔴 60d+"))))</f>
        <v/>
      </c>
      <c r="CE379" s="36" t="str">
        <f aca="false">IF(G379="","",IF(G379&lt;&gt;"USA","N/A - Not USA Role",IF(J379="Yes",IF(OR(F379="Intern",F379="New Grad"),"🟡 Possible","🟢 Strong"),IF(J379="No","🔴 Difficult","⚪ Unknown"))))</f>
        <v/>
      </c>
      <c r="CF379" s="37"/>
      <c r="CG379" s="37"/>
      <c r="CH379" s="38"/>
      <c r="CI379" s="38"/>
      <c r="CJ379" s="38"/>
      <c r="CK379" s="38"/>
    </row>
    <row r="380" customFormat="false" ht="15" hidden="false" customHeight="true" outlineLevel="0" collapsed="false">
      <c r="A380" s="26" t="str">
        <f aca="false">IF($C380="","",ROW()-3)</f>
        <v/>
      </c>
      <c r="B380" s="27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9"/>
      <c r="N380" s="29"/>
      <c r="O380" s="30" t="str">
        <f aca="false">IFERROR(IF(M380="","",M380*INDEX('00 - Lists'!$M$2:$M$11,MATCH(L380,'00 - Lists'!$L$2:$L$11,0))/100000),"")</f>
        <v/>
      </c>
      <c r="P380" s="30" t="str">
        <f aca="false">IFERROR(IF(N380="","",N380*INDEX('00 - Lists'!$M$2:$M$11,MATCH(L380,'00 - Lists'!$L$2:$L$11,0))/100000),"")</f>
        <v/>
      </c>
      <c r="Q380" s="31" t="str">
        <f aca="false">IFERROR(IF(M380="","",M380*INDEX('00 - Lists'!$N$2:$N$11,MATCH(L380,'00 - Lists'!$L$2:$L$11,0))),"")</f>
        <v/>
      </c>
      <c r="R380" s="31" t="str">
        <f aca="false">IFERROR(IF(N380="","",N380*INDEX('00 - Lists'!$N$2:$N$11,MATCH(L380,'00 - Lists'!$L$2:$L$11,0))),"")</f>
        <v/>
      </c>
      <c r="S380" s="32" t="str">
        <f aca="false">IF(O380="","",IF(O380&gt;=50,"Yes","No"))</f>
        <v/>
      </c>
      <c r="T380" s="32" t="str">
        <f aca="false">IF(Q380="","",IF(Q380&gt;=100000,"Yes","No"))</f>
        <v/>
      </c>
      <c r="U380" s="28"/>
      <c r="V380" s="28"/>
      <c r="W380" s="28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J380" s="34" t="str">
        <f aca="false">IF(OR($BD380&lt;&gt;"",$BF380&lt;&gt;"",$BH380&lt;&gt;""),"Yes","No")</f>
        <v>No</v>
      </c>
      <c r="BK380" s="35" t="str">
        <f aca="false">IFERROR(IF(BD380="","",BD380*INDEX('00 - Lists'!$M$2:$M$11,MATCH(L380,'00 - Lists'!$L$2:$L$11,0))/100000),"")</f>
        <v/>
      </c>
      <c r="BL380" s="35" t="str">
        <f aca="false">IFERROR(IF(BE380="","",BE380*INDEX('00 - Lists'!$M$2:$M$11,MATCH(L380,'00 - Lists'!$L$2:$L$11,0))/100000),"")</f>
        <v/>
      </c>
      <c r="BM380" s="35" t="str">
        <f aca="false">IFERROR(IF(BF380="","",BF380*INDEX('00 - Lists'!$M$2:$M$11,MATCH(L380,'00 - Lists'!$L$2:$L$11,0))/100000),"")</f>
        <v/>
      </c>
      <c r="BN380" s="35" t="str">
        <f aca="false">IFERROR(IF(BG380="","",BG380*INDEX('00 - Lists'!$M$2:$M$11,MATCH(L380,'00 - Lists'!$L$2:$L$11,0))/100000),"")</f>
        <v/>
      </c>
      <c r="BO380" s="35" t="str">
        <f aca="false">IFERROR(IF(BH380="","",BH380*INDEX('00 - Lists'!$M$2:$M$11,MATCH(L380,'00 - Lists'!$L$2:$L$11,0))/100000),"")</f>
        <v/>
      </c>
      <c r="BP380" s="35" t="str">
        <f aca="false">IFERROR(IF(BI380="","",BI380*INDEX('00 - Lists'!$M$2:$M$11,MATCH(L380,'00 - Lists'!$L$2:$L$11,0))/100000),"")</f>
        <v/>
      </c>
      <c r="BS380" s="36" t="str">
        <f aca="false">IF(O380="","",IF(O380&gt;=20,"Yes","No"))</f>
        <v/>
      </c>
      <c r="BT380" s="36" t="str">
        <f aca="false">IF(O380="","",IF(O380&gt;=30,"Yes","No"))</f>
        <v/>
      </c>
      <c r="BU380" s="36" t="str">
        <f aca="false">IF(O380="","",IF(O380&gt;=75,"Yes","No"))</f>
        <v/>
      </c>
      <c r="BV380" s="36" t="str">
        <f aca="false">IF(O380="","",IF(O380&gt;=100,"Yes","No"))</f>
        <v/>
      </c>
      <c r="BW380" s="36" t="str">
        <f aca="false">IF(O380="","",IF(O380&gt;=150,"Yes","No"))</f>
        <v/>
      </c>
      <c r="BX380" s="36" t="str">
        <f aca="false">IF(O380="","",IF(O380&gt;=200,"Yes","No"))</f>
        <v/>
      </c>
      <c r="BY380" s="36" t="str">
        <f aca="false">IF(Q380="","",IF(Q380&gt;=150000,"Yes","No"))</f>
        <v/>
      </c>
      <c r="BZ380" s="36" t="str">
        <f aca="false">IF(Q380="","",IF(Q380&gt;=200000,"Yes","No"))</f>
        <v/>
      </c>
      <c r="CA380" s="36" t="str">
        <f aca="false">IF(Q380="","",IF(Q380&gt;=250000,"Yes","No"))</f>
        <v/>
      </c>
      <c r="CB380" s="36" t="str">
        <f aca="false">IF(Q380="","",IF(Q380&gt;=300000,"Yes","No"))</f>
        <v/>
      </c>
      <c r="CC380" s="37"/>
      <c r="CD380" s="36" t="str">
        <f aca="true">IF(B380="","",IF(TODAY()-B380&lt;=7,"🟢 0-7d",IF(TODAY()-B380&lt;=30,"🟡 8-30d",IF(TODAY()-B380&lt;=60,"🟠 31-60d","🔴 60d+"))))</f>
        <v/>
      </c>
      <c r="CE380" s="36" t="str">
        <f aca="false">IF(G380="","",IF(G380&lt;&gt;"USA","N/A - Not USA Role",IF(J380="Yes",IF(OR(F380="Intern",F380="New Grad"),"🟡 Possible","🟢 Strong"),IF(J380="No","🔴 Difficult","⚪ Unknown"))))</f>
        <v/>
      </c>
      <c r="CF380" s="37"/>
      <c r="CG380" s="37"/>
      <c r="CH380" s="38"/>
      <c r="CI380" s="38"/>
      <c r="CJ380" s="38"/>
      <c r="CK380" s="38"/>
    </row>
    <row r="381" customFormat="false" ht="15" hidden="false" customHeight="true" outlineLevel="0" collapsed="false">
      <c r="A381" s="26" t="str">
        <f aca="false">IF($C381="","",ROW()-3)</f>
        <v/>
      </c>
      <c r="B381" s="27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9"/>
      <c r="N381" s="29"/>
      <c r="O381" s="30" t="str">
        <f aca="false">IFERROR(IF(M381="","",M381*INDEX('00 - Lists'!$M$2:$M$11,MATCH(L381,'00 - Lists'!$L$2:$L$11,0))/100000),"")</f>
        <v/>
      </c>
      <c r="P381" s="30" t="str">
        <f aca="false">IFERROR(IF(N381="","",N381*INDEX('00 - Lists'!$M$2:$M$11,MATCH(L381,'00 - Lists'!$L$2:$L$11,0))/100000),"")</f>
        <v/>
      </c>
      <c r="Q381" s="31" t="str">
        <f aca="false">IFERROR(IF(M381="","",M381*INDEX('00 - Lists'!$N$2:$N$11,MATCH(L381,'00 - Lists'!$L$2:$L$11,0))),"")</f>
        <v/>
      </c>
      <c r="R381" s="31" t="str">
        <f aca="false">IFERROR(IF(N381="","",N381*INDEX('00 - Lists'!$N$2:$N$11,MATCH(L381,'00 - Lists'!$L$2:$L$11,0))),"")</f>
        <v/>
      </c>
      <c r="S381" s="32" t="str">
        <f aca="false">IF(O381="","",IF(O381&gt;=50,"Yes","No"))</f>
        <v/>
      </c>
      <c r="T381" s="32" t="str">
        <f aca="false">IF(Q381="","",IF(Q381&gt;=100000,"Yes","No"))</f>
        <v/>
      </c>
      <c r="U381" s="28"/>
      <c r="V381" s="28"/>
      <c r="W381" s="28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J381" s="34" t="str">
        <f aca="false">IF(OR($BD381&lt;&gt;"",$BF381&lt;&gt;"",$BH381&lt;&gt;""),"Yes","No")</f>
        <v>No</v>
      </c>
      <c r="BK381" s="35" t="str">
        <f aca="false">IFERROR(IF(BD381="","",BD381*INDEX('00 - Lists'!$M$2:$M$11,MATCH(L381,'00 - Lists'!$L$2:$L$11,0))/100000),"")</f>
        <v/>
      </c>
      <c r="BL381" s="35" t="str">
        <f aca="false">IFERROR(IF(BE381="","",BE381*INDEX('00 - Lists'!$M$2:$M$11,MATCH(L381,'00 - Lists'!$L$2:$L$11,0))/100000),"")</f>
        <v/>
      </c>
      <c r="BM381" s="35" t="str">
        <f aca="false">IFERROR(IF(BF381="","",BF381*INDEX('00 - Lists'!$M$2:$M$11,MATCH(L381,'00 - Lists'!$L$2:$L$11,0))/100000),"")</f>
        <v/>
      </c>
      <c r="BN381" s="35" t="str">
        <f aca="false">IFERROR(IF(BG381="","",BG381*INDEX('00 - Lists'!$M$2:$M$11,MATCH(L381,'00 - Lists'!$L$2:$L$11,0))/100000),"")</f>
        <v/>
      </c>
      <c r="BO381" s="35" t="str">
        <f aca="false">IFERROR(IF(BH381="","",BH381*INDEX('00 - Lists'!$M$2:$M$11,MATCH(L381,'00 - Lists'!$L$2:$L$11,0))/100000),"")</f>
        <v/>
      </c>
      <c r="BP381" s="35" t="str">
        <f aca="false">IFERROR(IF(BI381="","",BI381*INDEX('00 - Lists'!$M$2:$M$11,MATCH(L381,'00 - Lists'!$L$2:$L$11,0))/100000),"")</f>
        <v/>
      </c>
      <c r="BS381" s="36" t="str">
        <f aca="false">IF(O381="","",IF(O381&gt;=20,"Yes","No"))</f>
        <v/>
      </c>
      <c r="BT381" s="36" t="str">
        <f aca="false">IF(O381="","",IF(O381&gt;=30,"Yes","No"))</f>
        <v/>
      </c>
      <c r="BU381" s="36" t="str">
        <f aca="false">IF(O381="","",IF(O381&gt;=75,"Yes","No"))</f>
        <v/>
      </c>
      <c r="BV381" s="36" t="str">
        <f aca="false">IF(O381="","",IF(O381&gt;=100,"Yes","No"))</f>
        <v/>
      </c>
      <c r="BW381" s="36" t="str">
        <f aca="false">IF(O381="","",IF(O381&gt;=150,"Yes","No"))</f>
        <v/>
      </c>
      <c r="BX381" s="36" t="str">
        <f aca="false">IF(O381="","",IF(O381&gt;=200,"Yes","No"))</f>
        <v/>
      </c>
      <c r="BY381" s="36" t="str">
        <f aca="false">IF(Q381="","",IF(Q381&gt;=150000,"Yes","No"))</f>
        <v/>
      </c>
      <c r="BZ381" s="36" t="str">
        <f aca="false">IF(Q381="","",IF(Q381&gt;=200000,"Yes","No"))</f>
        <v/>
      </c>
      <c r="CA381" s="36" t="str">
        <f aca="false">IF(Q381="","",IF(Q381&gt;=250000,"Yes","No"))</f>
        <v/>
      </c>
      <c r="CB381" s="36" t="str">
        <f aca="false">IF(Q381="","",IF(Q381&gt;=300000,"Yes","No"))</f>
        <v/>
      </c>
      <c r="CC381" s="37"/>
      <c r="CD381" s="36" t="str">
        <f aca="true">IF(B381="","",IF(TODAY()-B381&lt;=7,"🟢 0-7d",IF(TODAY()-B381&lt;=30,"🟡 8-30d",IF(TODAY()-B381&lt;=60,"🟠 31-60d","🔴 60d+"))))</f>
        <v/>
      </c>
      <c r="CE381" s="36" t="str">
        <f aca="false">IF(G381="","",IF(G381&lt;&gt;"USA","N/A - Not USA Role",IF(J381="Yes",IF(OR(F381="Intern",F381="New Grad"),"🟡 Possible","🟢 Strong"),IF(J381="No","🔴 Difficult","⚪ Unknown"))))</f>
        <v/>
      </c>
      <c r="CF381" s="37"/>
      <c r="CG381" s="37"/>
      <c r="CH381" s="38"/>
      <c r="CI381" s="38"/>
      <c r="CJ381" s="38"/>
      <c r="CK381" s="38"/>
    </row>
    <row r="382" customFormat="false" ht="15" hidden="false" customHeight="true" outlineLevel="0" collapsed="false">
      <c r="A382" s="26" t="str">
        <f aca="false">IF($C382="","",ROW()-3)</f>
        <v/>
      </c>
      <c r="B382" s="27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9"/>
      <c r="N382" s="29"/>
      <c r="O382" s="30" t="str">
        <f aca="false">IFERROR(IF(M382="","",M382*INDEX('00 - Lists'!$M$2:$M$11,MATCH(L382,'00 - Lists'!$L$2:$L$11,0))/100000),"")</f>
        <v/>
      </c>
      <c r="P382" s="30" t="str">
        <f aca="false">IFERROR(IF(N382="","",N382*INDEX('00 - Lists'!$M$2:$M$11,MATCH(L382,'00 - Lists'!$L$2:$L$11,0))/100000),"")</f>
        <v/>
      </c>
      <c r="Q382" s="31" t="str">
        <f aca="false">IFERROR(IF(M382="","",M382*INDEX('00 - Lists'!$N$2:$N$11,MATCH(L382,'00 - Lists'!$L$2:$L$11,0))),"")</f>
        <v/>
      </c>
      <c r="R382" s="31" t="str">
        <f aca="false">IFERROR(IF(N382="","",N382*INDEX('00 - Lists'!$N$2:$N$11,MATCH(L382,'00 - Lists'!$L$2:$L$11,0))),"")</f>
        <v/>
      </c>
      <c r="S382" s="32" t="str">
        <f aca="false">IF(O382="","",IF(O382&gt;=50,"Yes","No"))</f>
        <v/>
      </c>
      <c r="T382" s="32" t="str">
        <f aca="false">IF(Q382="","",IF(Q382&gt;=100000,"Yes","No"))</f>
        <v/>
      </c>
      <c r="U382" s="28"/>
      <c r="V382" s="28"/>
      <c r="W382" s="28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J382" s="34" t="str">
        <f aca="false">IF(OR($BD382&lt;&gt;"",$BF382&lt;&gt;"",$BH382&lt;&gt;""),"Yes","No")</f>
        <v>No</v>
      </c>
      <c r="BK382" s="35" t="str">
        <f aca="false">IFERROR(IF(BD382="","",BD382*INDEX('00 - Lists'!$M$2:$M$11,MATCH(L382,'00 - Lists'!$L$2:$L$11,0))/100000),"")</f>
        <v/>
      </c>
      <c r="BL382" s="35" t="str">
        <f aca="false">IFERROR(IF(BE382="","",BE382*INDEX('00 - Lists'!$M$2:$M$11,MATCH(L382,'00 - Lists'!$L$2:$L$11,0))/100000),"")</f>
        <v/>
      </c>
      <c r="BM382" s="35" t="str">
        <f aca="false">IFERROR(IF(BF382="","",BF382*INDEX('00 - Lists'!$M$2:$M$11,MATCH(L382,'00 - Lists'!$L$2:$L$11,0))/100000),"")</f>
        <v/>
      </c>
      <c r="BN382" s="35" t="str">
        <f aca="false">IFERROR(IF(BG382="","",BG382*INDEX('00 - Lists'!$M$2:$M$11,MATCH(L382,'00 - Lists'!$L$2:$L$11,0))/100000),"")</f>
        <v/>
      </c>
      <c r="BO382" s="35" t="str">
        <f aca="false">IFERROR(IF(BH382="","",BH382*INDEX('00 - Lists'!$M$2:$M$11,MATCH(L382,'00 - Lists'!$L$2:$L$11,0))/100000),"")</f>
        <v/>
      </c>
      <c r="BP382" s="35" t="str">
        <f aca="false">IFERROR(IF(BI382="","",BI382*INDEX('00 - Lists'!$M$2:$M$11,MATCH(L382,'00 - Lists'!$L$2:$L$11,0))/100000),"")</f>
        <v/>
      </c>
      <c r="BS382" s="36" t="str">
        <f aca="false">IF(O382="","",IF(O382&gt;=20,"Yes","No"))</f>
        <v/>
      </c>
      <c r="BT382" s="36" t="str">
        <f aca="false">IF(O382="","",IF(O382&gt;=30,"Yes","No"))</f>
        <v/>
      </c>
      <c r="BU382" s="36" t="str">
        <f aca="false">IF(O382="","",IF(O382&gt;=75,"Yes","No"))</f>
        <v/>
      </c>
      <c r="BV382" s="36" t="str">
        <f aca="false">IF(O382="","",IF(O382&gt;=100,"Yes","No"))</f>
        <v/>
      </c>
      <c r="BW382" s="36" t="str">
        <f aca="false">IF(O382="","",IF(O382&gt;=150,"Yes","No"))</f>
        <v/>
      </c>
      <c r="BX382" s="36" t="str">
        <f aca="false">IF(O382="","",IF(O382&gt;=200,"Yes","No"))</f>
        <v/>
      </c>
      <c r="BY382" s="36" t="str">
        <f aca="false">IF(Q382="","",IF(Q382&gt;=150000,"Yes","No"))</f>
        <v/>
      </c>
      <c r="BZ382" s="36" t="str">
        <f aca="false">IF(Q382="","",IF(Q382&gt;=200000,"Yes","No"))</f>
        <v/>
      </c>
      <c r="CA382" s="36" t="str">
        <f aca="false">IF(Q382="","",IF(Q382&gt;=250000,"Yes","No"))</f>
        <v/>
      </c>
      <c r="CB382" s="36" t="str">
        <f aca="false">IF(Q382="","",IF(Q382&gt;=300000,"Yes","No"))</f>
        <v/>
      </c>
      <c r="CC382" s="37"/>
      <c r="CD382" s="36" t="str">
        <f aca="true">IF(B382="","",IF(TODAY()-B382&lt;=7,"🟢 0-7d",IF(TODAY()-B382&lt;=30,"🟡 8-30d",IF(TODAY()-B382&lt;=60,"🟠 31-60d","🔴 60d+"))))</f>
        <v/>
      </c>
      <c r="CE382" s="36" t="str">
        <f aca="false">IF(G382="","",IF(G382&lt;&gt;"USA","N/A - Not USA Role",IF(J382="Yes",IF(OR(F382="Intern",F382="New Grad"),"🟡 Possible","🟢 Strong"),IF(J382="No","🔴 Difficult","⚪ Unknown"))))</f>
        <v/>
      </c>
      <c r="CF382" s="37"/>
      <c r="CG382" s="37"/>
      <c r="CH382" s="38"/>
      <c r="CI382" s="38"/>
      <c r="CJ382" s="38"/>
      <c r="CK382" s="38"/>
    </row>
    <row r="383" customFormat="false" ht="15" hidden="false" customHeight="true" outlineLevel="0" collapsed="false">
      <c r="A383" s="26" t="str">
        <f aca="false">IF($C383="","",ROW()-3)</f>
        <v/>
      </c>
      <c r="B383" s="27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9"/>
      <c r="N383" s="29"/>
      <c r="O383" s="30" t="str">
        <f aca="false">IFERROR(IF(M383="","",M383*INDEX('00 - Lists'!$M$2:$M$11,MATCH(L383,'00 - Lists'!$L$2:$L$11,0))/100000),"")</f>
        <v/>
      </c>
      <c r="P383" s="30" t="str">
        <f aca="false">IFERROR(IF(N383="","",N383*INDEX('00 - Lists'!$M$2:$M$11,MATCH(L383,'00 - Lists'!$L$2:$L$11,0))/100000),"")</f>
        <v/>
      </c>
      <c r="Q383" s="31" t="str">
        <f aca="false">IFERROR(IF(M383="","",M383*INDEX('00 - Lists'!$N$2:$N$11,MATCH(L383,'00 - Lists'!$L$2:$L$11,0))),"")</f>
        <v/>
      </c>
      <c r="R383" s="31" t="str">
        <f aca="false">IFERROR(IF(N383="","",N383*INDEX('00 - Lists'!$N$2:$N$11,MATCH(L383,'00 - Lists'!$L$2:$L$11,0))),"")</f>
        <v/>
      </c>
      <c r="S383" s="32" t="str">
        <f aca="false">IF(O383="","",IF(O383&gt;=50,"Yes","No"))</f>
        <v/>
      </c>
      <c r="T383" s="32" t="str">
        <f aca="false">IF(Q383="","",IF(Q383&gt;=100000,"Yes","No"))</f>
        <v/>
      </c>
      <c r="U383" s="28"/>
      <c r="V383" s="28"/>
      <c r="W383" s="28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J383" s="34" t="str">
        <f aca="false">IF(OR($BD383&lt;&gt;"",$BF383&lt;&gt;"",$BH383&lt;&gt;""),"Yes","No")</f>
        <v>No</v>
      </c>
      <c r="BK383" s="35" t="str">
        <f aca="false">IFERROR(IF(BD383="","",BD383*INDEX('00 - Lists'!$M$2:$M$11,MATCH(L383,'00 - Lists'!$L$2:$L$11,0))/100000),"")</f>
        <v/>
      </c>
      <c r="BL383" s="35" t="str">
        <f aca="false">IFERROR(IF(BE383="","",BE383*INDEX('00 - Lists'!$M$2:$M$11,MATCH(L383,'00 - Lists'!$L$2:$L$11,0))/100000),"")</f>
        <v/>
      </c>
      <c r="BM383" s="35" t="str">
        <f aca="false">IFERROR(IF(BF383="","",BF383*INDEX('00 - Lists'!$M$2:$M$11,MATCH(L383,'00 - Lists'!$L$2:$L$11,0))/100000),"")</f>
        <v/>
      </c>
      <c r="BN383" s="35" t="str">
        <f aca="false">IFERROR(IF(BG383="","",BG383*INDEX('00 - Lists'!$M$2:$M$11,MATCH(L383,'00 - Lists'!$L$2:$L$11,0))/100000),"")</f>
        <v/>
      </c>
      <c r="BO383" s="35" t="str">
        <f aca="false">IFERROR(IF(BH383="","",BH383*INDEX('00 - Lists'!$M$2:$M$11,MATCH(L383,'00 - Lists'!$L$2:$L$11,0))/100000),"")</f>
        <v/>
      </c>
      <c r="BP383" s="35" t="str">
        <f aca="false">IFERROR(IF(BI383="","",BI383*INDEX('00 - Lists'!$M$2:$M$11,MATCH(L383,'00 - Lists'!$L$2:$L$11,0))/100000),"")</f>
        <v/>
      </c>
      <c r="BS383" s="36" t="str">
        <f aca="false">IF(O383="","",IF(O383&gt;=20,"Yes","No"))</f>
        <v/>
      </c>
      <c r="BT383" s="36" t="str">
        <f aca="false">IF(O383="","",IF(O383&gt;=30,"Yes","No"))</f>
        <v/>
      </c>
      <c r="BU383" s="36" t="str">
        <f aca="false">IF(O383="","",IF(O383&gt;=75,"Yes","No"))</f>
        <v/>
      </c>
      <c r="BV383" s="36" t="str">
        <f aca="false">IF(O383="","",IF(O383&gt;=100,"Yes","No"))</f>
        <v/>
      </c>
      <c r="BW383" s="36" t="str">
        <f aca="false">IF(O383="","",IF(O383&gt;=150,"Yes","No"))</f>
        <v/>
      </c>
      <c r="BX383" s="36" t="str">
        <f aca="false">IF(O383="","",IF(O383&gt;=200,"Yes","No"))</f>
        <v/>
      </c>
      <c r="BY383" s="36" t="str">
        <f aca="false">IF(Q383="","",IF(Q383&gt;=150000,"Yes","No"))</f>
        <v/>
      </c>
      <c r="BZ383" s="36" t="str">
        <f aca="false">IF(Q383="","",IF(Q383&gt;=200000,"Yes","No"))</f>
        <v/>
      </c>
      <c r="CA383" s="36" t="str">
        <f aca="false">IF(Q383="","",IF(Q383&gt;=250000,"Yes","No"))</f>
        <v/>
      </c>
      <c r="CB383" s="36" t="str">
        <f aca="false">IF(Q383="","",IF(Q383&gt;=300000,"Yes","No"))</f>
        <v/>
      </c>
      <c r="CC383" s="37"/>
      <c r="CD383" s="36" t="str">
        <f aca="true">IF(B383="","",IF(TODAY()-B383&lt;=7,"🟢 0-7d",IF(TODAY()-B383&lt;=30,"🟡 8-30d",IF(TODAY()-B383&lt;=60,"🟠 31-60d","🔴 60d+"))))</f>
        <v/>
      </c>
      <c r="CE383" s="36" t="str">
        <f aca="false">IF(G383="","",IF(G383&lt;&gt;"USA","N/A - Not USA Role",IF(J383="Yes",IF(OR(F383="Intern",F383="New Grad"),"🟡 Possible","🟢 Strong"),IF(J383="No","🔴 Difficult","⚪ Unknown"))))</f>
        <v/>
      </c>
      <c r="CF383" s="37"/>
      <c r="CG383" s="37"/>
      <c r="CH383" s="38"/>
      <c r="CI383" s="38"/>
      <c r="CJ383" s="38"/>
      <c r="CK383" s="38"/>
    </row>
    <row r="384" customFormat="false" ht="15" hidden="false" customHeight="true" outlineLevel="0" collapsed="false">
      <c r="A384" s="26" t="str">
        <f aca="false">IF($C384="","",ROW()-3)</f>
        <v/>
      </c>
      <c r="B384" s="27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9"/>
      <c r="N384" s="29"/>
      <c r="O384" s="30" t="str">
        <f aca="false">IFERROR(IF(M384="","",M384*INDEX('00 - Lists'!$M$2:$M$11,MATCH(L384,'00 - Lists'!$L$2:$L$11,0))/100000),"")</f>
        <v/>
      </c>
      <c r="P384" s="30" t="str">
        <f aca="false">IFERROR(IF(N384="","",N384*INDEX('00 - Lists'!$M$2:$M$11,MATCH(L384,'00 - Lists'!$L$2:$L$11,0))/100000),"")</f>
        <v/>
      </c>
      <c r="Q384" s="31" t="str">
        <f aca="false">IFERROR(IF(M384="","",M384*INDEX('00 - Lists'!$N$2:$N$11,MATCH(L384,'00 - Lists'!$L$2:$L$11,0))),"")</f>
        <v/>
      </c>
      <c r="R384" s="31" t="str">
        <f aca="false">IFERROR(IF(N384="","",N384*INDEX('00 - Lists'!$N$2:$N$11,MATCH(L384,'00 - Lists'!$L$2:$L$11,0))),"")</f>
        <v/>
      </c>
      <c r="S384" s="32" t="str">
        <f aca="false">IF(O384="","",IF(O384&gt;=50,"Yes","No"))</f>
        <v/>
      </c>
      <c r="T384" s="32" t="str">
        <f aca="false">IF(Q384="","",IF(Q384&gt;=100000,"Yes","No"))</f>
        <v/>
      </c>
      <c r="U384" s="28"/>
      <c r="V384" s="28"/>
      <c r="W384" s="28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J384" s="34" t="str">
        <f aca="false">IF(OR($BD384&lt;&gt;"",$BF384&lt;&gt;"",$BH384&lt;&gt;""),"Yes","No")</f>
        <v>No</v>
      </c>
      <c r="BK384" s="35" t="str">
        <f aca="false">IFERROR(IF(BD384="","",BD384*INDEX('00 - Lists'!$M$2:$M$11,MATCH(L384,'00 - Lists'!$L$2:$L$11,0))/100000),"")</f>
        <v/>
      </c>
      <c r="BL384" s="35" t="str">
        <f aca="false">IFERROR(IF(BE384="","",BE384*INDEX('00 - Lists'!$M$2:$M$11,MATCH(L384,'00 - Lists'!$L$2:$L$11,0))/100000),"")</f>
        <v/>
      </c>
      <c r="BM384" s="35" t="str">
        <f aca="false">IFERROR(IF(BF384="","",BF384*INDEX('00 - Lists'!$M$2:$M$11,MATCH(L384,'00 - Lists'!$L$2:$L$11,0))/100000),"")</f>
        <v/>
      </c>
      <c r="BN384" s="35" t="str">
        <f aca="false">IFERROR(IF(BG384="","",BG384*INDEX('00 - Lists'!$M$2:$M$11,MATCH(L384,'00 - Lists'!$L$2:$L$11,0))/100000),"")</f>
        <v/>
      </c>
      <c r="BO384" s="35" t="str">
        <f aca="false">IFERROR(IF(BH384="","",BH384*INDEX('00 - Lists'!$M$2:$M$11,MATCH(L384,'00 - Lists'!$L$2:$L$11,0))/100000),"")</f>
        <v/>
      </c>
      <c r="BP384" s="35" t="str">
        <f aca="false">IFERROR(IF(BI384="","",BI384*INDEX('00 - Lists'!$M$2:$M$11,MATCH(L384,'00 - Lists'!$L$2:$L$11,0))/100000),"")</f>
        <v/>
      </c>
      <c r="BS384" s="36" t="str">
        <f aca="false">IF(O384="","",IF(O384&gt;=20,"Yes","No"))</f>
        <v/>
      </c>
      <c r="BT384" s="36" t="str">
        <f aca="false">IF(O384="","",IF(O384&gt;=30,"Yes","No"))</f>
        <v/>
      </c>
      <c r="BU384" s="36" t="str">
        <f aca="false">IF(O384="","",IF(O384&gt;=75,"Yes","No"))</f>
        <v/>
      </c>
      <c r="BV384" s="36" t="str">
        <f aca="false">IF(O384="","",IF(O384&gt;=100,"Yes","No"))</f>
        <v/>
      </c>
      <c r="BW384" s="36" t="str">
        <f aca="false">IF(O384="","",IF(O384&gt;=150,"Yes","No"))</f>
        <v/>
      </c>
      <c r="BX384" s="36" t="str">
        <f aca="false">IF(O384="","",IF(O384&gt;=200,"Yes","No"))</f>
        <v/>
      </c>
      <c r="BY384" s="36" t="str">
        <f aca="false">IF(Q384="","",IF(Q384&gt;=150000,"Yes","No"))</f>
        <v/>
      </c>
      <c r="BZ384" s="36" t="str">
        <f aca="false">IF(Q384="","",IF(Q384&gt;=200000,"Yes","No"))</f>
        <v/>
      </c>
      <c r="CA384" s="36" t="str">
        <f aca="false">IF(Q384="","",IF(Q384&gt;=250000,"Yes","No"))</f>
        <v/>
      </c>
      <c r="CB384" s="36" t="str">
        <f aca="false">IF(Q384="","",IF(Q384&gt;=300000,"Yes","No"))</f>
        <v/>
      </c>
      <c r="CC384" s="37"/>
      <c r="CD384" s="36" t="str">
        <f aca="true">IF(B384="","",IF(TODAY()-B384&lt;=7,"🟢 0-7d",IF(TODAY()-B384&lt;=30,"🟡 8-30d",IF(TODAY()-B384&lt;=60,"🟠 31-60d","🔴 60d+"))))</f>
        <v/>
      </c>
      <c r="CE384" s="36" t="str">
        <f aca="false">IF(G384="","",IF(G384&lt;&gt;"USA","N/A - Not USA Role",IF(J384="Yes",IF(OR(F384="Intern",F384="New Grad"),"🟡 Possible","🟢 Strong"),IF(J384="No","🔴 Difficult","⚪ Unknown"))))</f>
        <v/>
      </c>
      <c r="CF384" s="37"/>
      <c r="CG384" s="37"/>
      <c r="CH384" s="38"/>
      <c r="CI384" s="38"/>
      <c r="CJ384" s="38"/>
      <c r="CK384" s="38"/>
    </row>
    <row r="385" customFormat="false" ht="15" hidden="false" customHeight="true" outlineLevel="0" collapsed="false">
      <c r="A385" s="26" t="str">
        <f aca="false">IF($C385="","",ROW()-3)</f>
        <v/>
      </c>
      <c r="B385" s="27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9"/>
      <c r="N385" s="29"/>
      <c r="O385" s="30" t="str">
        <f aca="false">IFERROR(IF(M385="","",M385*INDEX('00 - Lists'!$M$2:$M$11,MATCH(L385,'00 - Lists'!$L$2:$L$11,0))/100000),"")</f>
        <v/>
      </c>
      <c r="P385" s="30" t="str">
        <f aca="false">IFERROR(IF(N385="","",N385*INDEX('00 - Lists'!$M$2:$M$11,MATCH(L385,'00 - Lists'!$L$2:$L$11,0))/100000),"")</f>
        <v/>
      </c>
      <c r="Q385" s="31" t="str">
        <f aca="false">IFERROR(IF(M385="","",M385*INDEX('00 - Lists'!$N$2:$N$11,MATCH(L385,'00 - Lists'!$L$2:$L$11,0))),"")</f>
        <v/>
      </c>
      <c r="R385" s="31" t="str">
        <f aca="false">IFERROR(IF(N385="","",N385*INDEX('00 - Lists'!$N$2:$N$11,MATCH(L385,'00 - Lists'!$L$2:$L$11,0))),"")</f>
        <v/>
      </c>
      <c r="S385" s="32" t="str">
        <f aca="false">IF(O385="","",IF(O385&gt;=50,"Yes","No"))</f>
        <v/>
      </c>
      <c r="T385" s="32" t="str">
        <f aca="false">IF(Q385="","",IF(Q385&gt;=100000,"Yes","No"))</f>
        <v/>
      </c>
      <c r="U385" s="28"/>
      <c r="V385" s="28"/>
      <c r="W385" s="28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J385" s="34" t="str">
        <f aca="false">IF(OR($BD385&lt;&gt;"",$BF385&lt;&gt;"",$BH385&lt;&gt;""),"Yes","No")</f>
        <v>No</v>
      </c>
      <c r="BK385" s="35" t="str">
        <f aca="false">IFERROR(IF(BD385="","",BD385*INDEX('00 - Lists'!$M$2:$M$11,MATCH(L385,'00 - Lists'!$L$2:$L$11,0))/100000),"")</f>
        <v/>
      </c>
      <c r="BL385" s="35" t="str">
        <f aca="false">IFERROR(IF(BE385="","",BE385*INDEX('00 - Lists'!$M$2:$M$11,MATCH(L385,'00 - Lists'!$L$2:$L$11,0))/100000),"")</f>
        <v/>
      </c>
      <c r="BM385" s="35" t="str">
        <f aca="false">IFERROR(IF(BF385="","",BF385*INDEX('00 - Lists'!$M$2:$M$11,MATCH(L385,'00 - Lists'!$L$2:$L$11,0))/100000),"")</f>
        <v/>
      </c>
      <c r="BN385" s="35" t="str">
        <f aca="false">IFERROR(IF(BG385="","",BG385*INDEX('00 - Lists'!$M$2:$M$11,MATCH(L385,'00 - Lists'!$L$2:$L$11,0))/100000),"")</f>
        <v/>
      </c>
      <c r="BO385" s="35" t="str">
        <f aca="false">IFERROR(IF(BH385="","",BH385*INDEX('00 - Lists'!$M$2:$M$11,MATCH(L385,'00 - Lists'!$L$2:$L$11,0))/100000),"")</f>
        <v/>
      </c>
      <c r="BP385" s="35" t="str">
        <f aca="false">IFERROR(IF(BI385="","",BI385*INDEX('00 - Lists'!$M$2:$M$11,MATCH(L385,'00 - Lists'!$L$2:$L$11,0))/100000),"")</f>
        <v/>
      </c>
      <c r="BS385" s="36" t="str">
        <f aca="false">IF(O385="","",IF(O385&gt;=20,"Yes","No"))</f>
        <v/>
      </c>
      <c r="BT385" s="36" t="str">
        <f aca="false">IF(O385="","",IF(O385&gt;=30,"Yes","No"))</f>
        <v/>
      </c>
      <c r="BU385" s="36" t="str">
        <f aca="false">IF(O385="","",IF(O385&gt;=75,"Yes","No"))</f>
        <v/>
      </c>
      <c r="BV385" s="36" t="str">
        <f aca="false">IF(O385="","",IF(O385&gt;=100,"Yes","No"))</f>
        <v/>
      </c>
      <c r="BW385" s="36" t="str">
        <f aca="false">IF(O385="","",IF(O385&gt;=150,"Yes","No"))</f>
        <v/>
      </c>
      <c r="BX385" s="36" t="str">
        <f aca="false">IF(O385="","",IF(O385&gt;=200,"Yes","No"))</f>
        <v/>
      </c>
      <c r="BY385" s="36" t="str">
        <f aca="false">IF(Q385="","",IF(Q385&gt;=150000,"Yes","No"))</f>
        <v/>
      </c>
      <c r="BZ385" s="36" t="str">
        <f aca="false">IF(Q385="","",IF(Q385&gt;=200000,"Yes","No"))</f>
        <v/>
      </c>
      <c r="CA385" s="36" t="str">
        <f aca="false">IF(Q385="","",IF(Q385&gt;=250000,"Yes","No"))</f>
        <v/>
      </c>
      <c r="CB385" s="36" t="str">
        <f aca="false">IF(Q385="","",IF(Q385&gt;=300000,"Yes","No"))</f>
        <v/>
      </c>
      <c r="CC385" s="37"/>
      <c r="CD385" s="36" t="str">
        <f aca="true">IF(B385="","",IF(TODAY()-B385&lt;=7,"🟢 0-7d",IF(TODAY()-B385&lt;=30,"🟡 8-30d",IF(TODAY()-B385&lt;=60,"🟠 31-60d","🔴 60d+"))))</f>
        <v/>
      </c>
      <c r="CE385" s="36" t="str">
        <f aca="false">IF(G385="","",IF(G385&lt;&gt;"USA","N/A - Not USA Role",IF(J385="Yes",IF(OR(F385="Intern",F385="New Grad"),"🟡 Possible","🟢 Strong"),IF(J385="No","🔴 Difficult","⚪ Unknown"))))</f>
        <v/>
      </c>
      <c r="CF385" s="37"/>
      <c r="CG385" s="37"/>
      <c r="CH385" s="38"/>
      <c r="CI385" s="38"/>
      <c r="CJ385" s="38"/>
      <c r="CK385" s="38"/>
    </row>
    <row r="386" customFormat="false" ht="15" hidden="false" customHeight="true" outlineLevel="0" collapsed="false">
      <c r="A386" s="26" t="str">
        <f aca="false">IF($C386="","",ROW()-3)</f>
        <v/>
      </c>
      <c r="B386" s="27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9"/>
      <c r="N386" s="29"/>
      <c r="O386" s="30" t="str">
        <f aca="false">IFERROR(IF(M386="","",M386*INDEX('00 - Lists'!$M$2:$M$11,MATCH(L386,'00 - Lists'!$L$2:$L$11,0))/100000),"")</f>
        <v/>
      </c>
      <c r="P386" s="30" t="str">
        <f aca="false">IFERROR(IF(N386="","",N386*INDEX('00 - Lists'!$M$2:$M$11,MATCH(L386,'00 - Lists'!$L$2:$L$11,0))/100000),"")</f>
        <v/>
      </c>
      <c r="Q386" s="31" t="str">
        <f aca="false">IFERROR(IF(M386="","",M386*INDEX('00 - Lists'!$N$2:$N$11,MATCH(L386,'00 - Lists'!$L$2:$L$11,0))),"")</f>
        <v/>
      </c>
      <c r="R386" s="31" t="str">
        <f aca="false">IFERROR(IF(N386="","",N386*INDEX('00 - Lists'!$N$2:$N$11,MATCH(L386,'00 - Lists'!$L$2:$L$11,0))),"")</f>
        <v/>
      </c>
      <c r="S386" s="32" t="str">
        <f aca="false">IF(O386="","",IF(O386&gt;=50,"Yes","No"))</f>
        <v/>
      </c>
      <c r="T386" s="32" t="str">
        <f aca="false">IF(Q386="","",IF(Q386&gt;=100000,"Yes","No"))</f>
        <v/>
      </c>
      <c r="U386" s="28"/>
      <c r="V386" s="28"/>
      <c r="W386" s="28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J386" s="34" t="str">
        <f aca="false">IF(OR($BD386&lt;&gt;"",$BF386&lt;&gt;"",$BH386&lt;&gt;""),"Yes","No")</f>
        <v>No</v>
      </c>
      <c r="BK386" s="35" t="str">
        <f aca="false">IFERROR(IF(BD386="","",BD386*INDEX('00 - Lists'!$M$2:$M$11,MATCH(L386,'00 - Lists'!$L$2:$L$11,0))/100000),"")</f>
        <v/>
      </c>
      <c r="BL386" s="35" t="str">
        <f aca="false">IFERROR(IF(BE386="","",BE386*INDEX('00 - Lists'!$M$2:$M$11,MATCH(L386,'00 - Lists'!$L$2:$L$11,0))/100000),"")</f>
        <v/>
      </c>
      <c r="BM386" s="35" t="str">
        <f aca="false">IFERROR(IF(BF386="","",BF386*INDEX('00 - Lists'!$M$2:$M$11,MATCH(L386,'00 - Lists'!$L$2:$L$11,0))/100000),"")</f>
        <v/>
      </c>
      <c r="BN386" s="35" t="str">
        <f aca="false">IFERROR(IF(BG386="","",BG386*INDEX('00 - Lists'!$M$2:$M$11,MATCH(L386,'00 - Lists'!$L$2:$L$11,0))/100000),"")</f>
        <v/>
      </c>
      <c r="BO386" s="35" t="str">
        <f aca="false">IFERROR(IF(BH386="","",BH386*INDEX('00 - Lists'!$M$2:$M$11,MATCH(L386,'00 - Lists'!$L$2:$L$11,0))/100000),"")</f>
        <v/>
      </c>
      <c r="BP386" s="35" t="str">
        <f aca="false">IFERROR(IF(BI386="","",BI386*INDEX('00 - Lists'!$M$2:$M$11,MATCH(L386,'00 - Lists'!$L$2:$L$11,0))/100000),"")</f>
        <v/>
      </c>
      <c r="BS386" s="36" t="str">
        <f aca="false">IF(O386="","",IF(O386&gt;=20,"Yes","No"))</f>
        <v/>
      </c>
      <c r="BT386" s="36" t="str">
        <f aca="false">IF(O386="","",IF(O386&gt;=30,"Yes","No"))</f>
        <v/>
      </c>
      <c r="BU386" s="36" t="str">
        <f aca="false">IF(O386="","",IF(O386&gt;=75,"Yes","No"))</f>
        <v/>
      </c>
      <c r="BV386" s="36" t="str">
        <f aca="false">IF(O386="","",IF(O386&gt;=100,"Yes","No"))</f>
        <v/>
      </c>
      <c r="BW386" s="36" t="str">
        <f aca="false">IF(O386="","",IF(O386&gt;=150,"Yes","No"))</f>
        <v/>
      </c>
      <c r="BX386" s="36" t="str">
        <f aca="false">IF(O386="","",IF(O386&gt;=200,"Yes","No"))</f>
        <v/>
      </c>
      <c r="BY386" s="36" t="str">
        <f aca="false">IF(Q386="","",IF(Q386&gt;=150000,"Yes","No"))</f>
        <v/>
      </c>
      <c r="BZ386" s="36" t="str">
        <f aca="false">IF(Q386="","",IF(Q386&gt;=200000,"Yes","No"))</f>
        <v/>
      </c>
      <c r="CA386" s="36" t="str">
        <f aca="false">IF(Q386="","",IF(Q386&gt;=250000,"Yes","No"))</f>
        <v/>
      </c>
      <c r="CB386" s="36" t="str">
        <f aca="false">IF(Q386="","",IF(Q386&gt;=300000,"Yes","No"))</f>
        <v/>
      </c>
      <c r="CC386" s="37"/>
      <c r="CD386" s="36" t="str">
        <f aca="true">IF(B386="","",IF(TODAY()-B386&lt;=7,"🟢 0-7d",IF(TODAY()-B386&lt;=30,"🟡 8-30d",IF(TODAY()-B386&lt;=60,"🟠 31-60d","🔴 60d+"))))</f>
        <v/>
      </c>
      <c r="CE386" s="36" t="str">
        <f aca="false">IF(G386="","",IF(G386&lt;&gt;"USA","N/A - Not USA Role",IF(J386="Yes",IF(OR(F386="Intern",F386="New Grad"),"🟡 Possible","🟢 Strong"),IF(J386="No","🔴 Difficult","⚪ Unknown"))))</f>
        <v/>
      </c>
      <c r="CF386" s="37"/>
      <c r="CG386" s="37"/>
      <c r="CH386" s="38"/>
      <c r="CI386" s="38"/>
      <c r="CJ386" s="38"/>
      <c r="CK386" s="38"/>
    </row>
    <row r="387" customFormat="false" ht="15" hidden="false" customHeight="true" outlineLevel="0" collapsed="false">
      <c r="A387" s="26" t="str">
        <f aca="false">IF($C387="","",ROW()-3)</f>
        <v/>
      </c>
      <c r="B387" s="27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9"/>
      <c r="N387" s="29"/>
      <c r="O387" s="30" t="str">
        <f aca="false">IFERROR(IF(M387="","",M387*INDEX('00 - Lists'!$M$2:$M$11,MATCH(L387,'00 - Lists'!$L$2:$L$11,0))/100000),"")</f>
        <v/>
      </c>
      <c r="P387" s="30" t="str">
        <f aca="false">IFERROR(IF(N387="","",N387*INDEX('00 - Lists'!$M$2:$M$11,MATCH(L387,'00 - Lists'!$L$2:$L$11,0))/100000),"")</f>
        <v/>
      </c>
      <c r="Q387" s="31" t="str">
        <f aca="false">IFERROR(IF(M387="","",M387*INDEX('00 - Lists'!$N$2:$N$11,MATCH(L387,'00 - Lists'!$L$2:$L$11,0))),"")</f>
        <v/>
      </c>
      <c r="R387" s="31" t="str">
        <f aca="false">IFERROR(IF(N387="","",N387*INDEX('00 - Lists'!$N$2:$N$11,MATCH(L387,'00 - Lists'!$L$2:$L$11,0))),"")</f>
        <v/>
      </c>
      <c r="S387" s="32" t="str">
        <f aca="false">IF(O387="","",IF(O387&gt;=50,"Yes","No"))</f>
        <v/>
      </c>
      <c r="T387" s="32" t="str">
        <f aca="false">IF(Q387="","",IF(Q387&gt;=100000,"Yes","No"))</f>
        <v/>
      </c>
      <c r="U387" s="28"/>
      <c r="V387" s="28"/>
      <c r="W387" s="28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J387" s="34" t="str">
        <f aca="false">IF(OR($BD387&lt;&gt;"",$BF387&lt;&gt;"",$BH387&lt;&gt;""),"Yes","No")</f>
        <v>No</v>
      </c>
      <c r="BK387" s="35" t="str">
        <f aca="false">IFERROR(IF(BD387="","",BD387*INDEX('00 - Lists'!$M$2:$M$11,MATCH(L387,'00 - Lists'!$L$2:$L$11,0))/100000),"")</f>
        <v/>
      </c>
      <c r="BL387" s="35" t="str">
        <f aca="false">IFERROR(IF(BE387="","",BE387*INDEX('00 - Lists'!$M$2:$M$11,MATCH(L387,'00 - Lists'!$L$2:$L$11,0))/100000),"")</f>
        <v/>
      </c>
      <c r="BM387" s="35" t="str">
        <f aca="false">IFERROR(IF(BF387="","",BF387*INDEX('00 - Lists'!$M$2:$M$11,MATCH(L387,'00 - Lists'!$L$2:$L$11,0))/100000),"")</f>
        <v/>
      </c>
      <c r="BN387" s="35" t="str">
        <f aca="false">IFERROR(IF(BG387="","",BG387*INDEX('00 - Lists'!$M$2:$M$11,MATCH(L387,'00 - Lists'!$L$2:$L$11,0))/100000),"")</f>
        <v/>
      </c>
      <c r="BO387" s="35" t="str">
        <f aca="false">IFERROR(IF(BH387="","",BH387*INDEX('00 - Lists'!$M$2:$M$11,MATCH(L387,'00 - Lists'!$L$2:$L$11,0))/100000),"")</f>
        <v/>
      </c>
      <c r="BP387" s="35" t="str">
        <f aca="false">IFERROR(IF(BI387="","",BI387*INDEX('00 - Lists'!$M$2:$M$11,MATCH(L387,'00 - Lists'!$L$2:$L$11,0))/100000),"")</f>
        <v/>
      </c>
      <c r="BS387" s="36" t="str">
        <f aca="false">IF(O387="","",IF(O387&gt;=20,"Yes","No"))</f>
        <v/>
      </c>
      <c r="BT387" s="36" t="str">
        <f aca="false">IF(O387="","",IF(O387&gt;=30,"Yes","No"))</f>
        <v/>
      </c>
      <c r="BU387" s="36" t="str">
        <f aca="false">IF(O387="","",IF(O387&gt;=75,"Yes","No"))</f>
        <v/>
      </c>
      <c r="BV387" s="36" t="str">
        <f aca="false">IF(O387="","",IF(O387&gt;=100,"Yes","No"))</f>
        <v/>
      </c>
      <c r="BW387" s="36" t="str">
        <f aca="false">IF(O387="","",IF(O387&gt;=150,"Yes","No"))</f>
        <v/>
      </c>
      <c r="BX387" s="36" t="str">
        <f aca="false">IF(O387="","",IF(O387&gt;=200,"Yes","No"))</f>
        <v/>
      </c>
      <c r="BY387" s="36" t="str">
        <f aca="false">IF(Q387="","",IF(Q387&gt;=150000,"Yes","No"))</f>
        <v/>
      </c>
      <c r="BZ387" s="36" t="str">
        <f aca="false">IF(Q387="","",IF(Q387&gt;=200000,"Yes","No"))</f>
        <v/>
      </c>
      <c r="CA387" s="36" t="str">
        <f aca="false">IF(Q387="","",IF(Q387&gt;=250000,"Yes","No"))</f>
        <v/>
      </c>
      <c r="CB387" s="36" t="str">
        <f aca="false">IF(Q387="","",IF(Q387&gt;=300000,"Yes","No"))</f>
        <v/>
      </c>
      <c r="CC387" s="37"/>
      <c r="CD387" s="36" t="str">
        <f aca="true">IF(B387="","",IF(TODAY()-B387&lt;=7,"🟢 0-7d",IF(TODAY()-B387&lt;=30,"🟡 8-30d",IF(TODAY()-B387&lt;=60,"🟠 31-60d","🔴 60d+"))))</f>
        <v/>
      </c>
      <c r="CE387" s="36" t="str">
        <f aca="false">IF(G387="","",IF(G387&lt;&gt;"USA","N/A - Not USA Role",IF(J387="Yes",IF(OR(F387="Intern",F387="New Grad"),"🟡 Possible","🟢 Strong"),IF(J387="No","🔴 Difficult","⚪ Unknown"))))</f>
        <v/>
      </c>
      <c r="CF387" s="37"/>
      <c r="CG387" s="37"/>
      <c r="CH387" s="38"/>
      <c r="CI387" s="38"/>
      <c r="CJ387" s="38"/>
      <c r="CK387" s="38"/>
    </row>
    <row r="388" customFormat="false" ht="15" hidden="false" customHeight="true" outlineLevel="0" collapsed="false">
      <c r="A388" s="26" t="str">
        <f aca="false">IF($C388="","",ROW()-3)</f>
        <v/>
      </c>
      <c r="B388" s="27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9"/>
      <c r="N388" s="29"/>
      <c r="O388" s="30" t="str">
        <f aca="false">IFERROR(IF(M388="","",M388*INDEX('00 - Lists'!$M$2:$M$11,MATCH(L388,'00 - Lists'!$L$2:$L$11,0))/100000),"")</f>
        <v/>
      </c>
      <c r="P388" s="30" t="str">
        <f aca="false">IFERROR(IF(N388="","",N388*INDEX('00 - Lists'!$M$2:$M$11,MATCH(L388,'00 - Lists'!$L$2:$L$11,0))/100000),"")</f>
        <v/>
      </c>
      <c r="Q388" s="31" t="str">
        <f aca="false">IFERROR(IF(M388="","",M388*INDEX('00 - Lists'!$N$2:$N$11,MATCH(L388,'00 - Lists'!$L$2:$L$11,0))),"")</f>
        <v/>
      </c>
      <c r="R388" s="31" t="str">
        <f aca="false">IFERROR(IF(N388="","",N388*INDEX('00 - Lists'!$N$2:$N$11,MATCH(L388,'00 - Lists'!$L$2:$L$11,0))),"")</f>
        <v/>
      </c>
      <c r="S388" s="32" t="str">
        <f aca="false">IF(O388="","",IF(O388&gt;=50,"Yes","No"))</f>
        <v/>
      </c>
      <c r="T388" s="32" t="str">
        <f aca="false">IF(Q388="","",IF(Q388&gt;=100000,"Yes","No"))</f>
        <v/>
      </c>
      <c r="U388" s="28"/>
      <c r="V388" s="28"/>
      <c r="W388" s="28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J388" s="34" t="str">
        <f aca="false">IF(OR($BD388&lt;&gt;"",$BF388&lt;&gt;"",$BH388&lt;&gt;""),"Yes","No")</f>
        <v>No</v>
      </c>
      <c r="BK388" s="35" t="str">
        <f aca="false">IFERROR(IF(BD388="","",BD388*INDEX('00 - Lists'!$M$2:$M$11,MATCH(L388,'00 - Lists'!$L$2:$L$11,0))/100000),"")</f>
        <v/>
      </c>
      <c r="BL388" s="35" t="str">
        <f aca="false">IFERROR(IF(BE388="","",BE388*INDEX('00 - Lists'!$M$2:$M$11,MATCH(L388,'00 - Lists'!$L$2:$L$11,0))/100000),"")</f>
        <v/>
      </c>
      <c r="BM388" s="35" t="str">
        <f aca="false">IFERROR(IF(BF388="","",BF388*INDEX('00 - Lists'!$M$2:$M$11,MATCH(L388,'00 - Lists'!$L$2:$L$11,0))/100000),"")</f>
        <v/>
      </c>
      <c r="BN388" s="35" t="str">
        <f aca="false">IFERROR(IF(BG388="","",BG388*INDEX('00 - Lists'!$M$2:$M$11,MATCH(L388,'00 - Lists'!$L$2:$L$11,0))/100000),"")</f>
        <v/>
      </c>
      <c r="BO388" s="35" t="str">
        <f aca="false">IFERROR(IF(BH388="","",BH388*INDEX('00 - Lists'!$M$2:$M$11,MATCH(L388,'00 - Lists'!$L$2:$L$11,0))/100000),"")</f>
        <v/>
      </c>
      <c r="BP388" s="35" t="str">
        <f aca="false">IFERROR(IF(BI388="","",BI388*INDEX('00 - Lists'!$M$2:$M$11,MATCH(L388,'00 - Lists'!$L$2:$L$11,0))/100000),"")</f>
        <v/>
      </c>
      <c r="BS388" s="36" t="str">
        <f aca="false">IF(O388="","",IF(O388&gt;=20,"Yes","No"))</f>
        <v/>
      </c>
      <c r="BT388" s="36" t="str">
        <f aca="false">IF(O388="","",IF(O388&gt;=30,"Yes","No"))</f>
        <v/>
      </c>
      <c r="BU388" s="36" t="str">
        <f aca="false">IF(O388="","",IF(O388&gt;=75,"Yes","No"))</f>
        <v/>
      </c>
      <c r="BV388" s="36" t="str">
        <f aca="false">IF(O388="","",IF(O388&gt;=100,"Yes","No"))</f>
        <v/>
      </c>
      <c r="BW388" s="36" t="str">
        <f aca="false">IF(O388="","",IF(O388&gt;=150,"Yes","No"))</f>
        <v/>
      </c>
      <c r="BX388" s="36" t="str">
        <f aca="false">IF(O388="","",IF(O388&gt;=200,"Yes","No"))</f>
        <v/>
      </c>
      <c r="BY388" s="36" t="str">
        <f aca="false">IF(Q388="","",IF(Q388&gt;=150000,"Yes","No"))</f>
        <v/>
      </c>
      <c r="BZ388" s="36" t="str">
        <f aca="false">IF(Q388="","",IF(Q388&gt;=200000,"Yes","No"))</f>
        <v/>
      </c>
      <c r="CA388" s="36" t="str">
        <f aca="false">IF(Q388="","",IF(Q388&gt;=250000,"Yes","No"))</f>
        <v/>
      </c>
      <c r="CB388" s="36" t="str">
        <f aca="false">IF(Q388="","",IF(Q388&gt;=300000,"Yes","No"))</f>
        <v/>
      </c>
      <c r="CC388" s="37"/>
      <c r="CD388" s="36" t="str">
        <f aca="true">IF(B388="","",IF(TODAY()-B388&lt;=7,"🟢 0-7d",IF(TODAY()-B388&lt;=30,"🟡 8-30d",IF(TODAY()-B388&lt;=60,"🟠 31-60d","🔴 60d+"))))</f>
        <v/>
      </c>
      <c r="CE388" s="36" t="str">
        <f aca="false">IF(G388="","",IF(G388&lt;&gt;"USA","N/A - Not USA Role",IF(J388="Yes",IF(OR(F388="Intern",F388="New Grad"),"🟡 Possible","🟢 Strong"),IF(J388="No","🔴 Difficult","⚪ Unknown"))))</f>
        <v/>
      </c>
      <c r="CF388" s="37"/>
      <c r="CG388" s="37"/>
      <c r="CH388" s="38"/>
      <c r="CI388" s="38"/>
      <c r="CJ388" s="38"/>
      <c r="CK388" s="38"/>
    </row>
    <row r="389" customFormat="false" ht="15" hidden="false" customHeight="true" outlineLevel="0" collapsed="false">
      <c r="A389" s="26" t="str">
        <f aca="false">IF($C389="","",ROW()-3)</f>
        <v/>
      </c>
      <c r="B389" s="27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9"/>
      <c r="N389" s="29"/>
      <c r="O389" s="30" t="str">
        <f aca="false">IFERROR(IF(M389="","",M389*INDEX('00 - Lists'!$M$2:$M$11,MATCH(L389,'00 - Lists'!$L$2:$L$11,0))/100000),"")</f>
        <v/>
      </c>
      <c r="P389" s="30" t="str">
        <f aca="false">IFERROR(IF(N389="","",N389*INDEX('00 - Lists'!$M$2:$M$11,MATCH(L389,'00 - Lists'!$L$2:$L$11,0))/100000),"")</f>
        <v/>
      </c>
      <c r="Q389" s="31" t="str">
        <f aca="false">IFERROR(IF(M389="","",M389*INDEX('00 - Lists'!$N$2:$N$11,MATCH(L389,'00 - Lists'!$L$2:$L$11,0))),"")</f>
        <v/>
      </c>
      <c r="R389" s="31" t="str">
        <f aca="false">IFERROR(IF(N389="","",N389*INDEX('00 - Lists'!$N$2:$N$11,MATCH(L389,'00 - Lists'!$L$2:$L$11,0))),"")</f>
        <v/>
      </c>
      <c r="S389" s="32" t="str">
        <f aca="false">IF(O389="","",IF(O389&gt;=50,"Yes","No"))</f>
        <v/>
      </c>
      <c r="T389" s="32" t="str">
        <f aca="false">IF(Q389="","",IF(Q389&gt;=100000,"Yes","No"))</f>
        <v/>
      </c>
      <c r="U389" s="28"/>
      <c r="V389" s="28"/>
      <c r="W389" s="28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J389" s="34" t="str">
        <f aca="false">IF(OR($BD389&lt;&gt;"",$BF389&lt;&gt;"",$BH389&lt;&gt;""),"Yes","No")</f>
        <v>No</v>
      </c>
      <c r="BK389" s="35" t="str">
        <f aca="false">IFERROR(IF(BD389="","",BD389*INDEX('00 - Lists'!$M$2:$M$11,MATCH(L389,'00 - Lists'!$L$2:$L$11,0))/100000),"")</f>
        <v/>
      </c>
      <c r="BL389" s="35" t="str">
        <f aca="false">IFERROR(IF(BE389="","",BE389*INDEX('00 - Lists'!$M$2:$M$11,MATCH(L389,'00 - Lists'!$L$2:$L$11,0))/100000),"")</f>
        <v/>
      </c>
      <c r="BM389" s="35" t="str">
        <f aca="false">IFERROR(IF(BF389="","",BF389*INDEX('00 - Lists'!$M$2:$M$11,MATCH(L389,'00 - Lists'!$L$2:$L$11,0))/100000),"")</f>
        <v/>
      </c>
      <c r="BN389" s="35" t="str">
        <f aca="false">IFERROR(IF(BG389="","",BG389*INDEX('00 - Lists'!$M$2:$M$11,MATCH(L389,'00 - Lists'!$L$2:$L$11,0))/100000),"")</f>
        <v/>
      </c>
      <c r="BO389" s="35" t="str">
        <f aca="false">IFERROR(IF(BH389="","",BH389*INDEX('00 - Lists'!$M$2:$M$11,MATCH(L389,'00 - Lists'!$L$2:$L$11,0))/100000),"")</f>
        <v/>
      </c>
      <c r="BP389" s="35" t="str">
        <f aca="false">IFERROR(IF(BI389="","",BI389*INDEX('00 - Lists'!$M$2:$M$11,MATCH(L389,'00 - Lists'!$L$2:$L$11,0))/100000),"")</f>
        <v/>
      </c>
      <c r="BS389" s="36" t="str">
        <f aca="false">IF(O389="","",IF(O389&gt;=20,"Yes","No"))</f>
        <v/>
      </c>
      <c r="BT389" s="36" t="str">
        <f aca="false">IF(O389="","",IF(O389&gt;=30,"Yes","No"))</f>
        <v/>
      </c>
      <c r="BU389" s="36" t="str">
        <f aca="false">IF(O389="","",IF(O389&gt;=75,"Yes","No"))</f>
        <v/>
      </c>
      <c r="BV389" s="36" t="str">
        <f aca="false">IF(O389="","",IF(O389&gt;=100,"Yes","No"))</f>
        <v/>
      </c>
      <c r="BW389" s="36" t="str">
        <f aca="false">IF(O389="","",IF(O389&gt;=150,"Yes","No"))</f>
        <v/>
      </c>
      <c r="BX389" s="36" t="str">
        <f aca="false">IF(O389="","",IF(O389&gt;=200,"Yes","No"))</f>
        <v/>
      </c>
      <c r="BY389" s="36" t="str">
        <f aca="false">IF(Q389="","",IF(Q389&gt;=150000,"Yes","No"))</f>
        <v/>
      </c>
      <c r="BZ389" s="36" t="str">
        <f aca="false">IF(Q389="","",IF(Q389&gt;=200000,"Yes","No"))</f>
        <v/>
      </c>
      <c r="CA389" s="36" t="str">
        <f aca="false">IF(Q389="","",IF(Q389&gt;=250000,"Yes","No"))</f>
        <v/>
      </c>
      <c r="CB389" s="36" t="str">
        <f aca="false">IF(Q389="","",IF(Q389&gt;=300000,"Yes","No"))</f>
        <v/>
      </c>
      <c r="CC389" s="37"/>
      <c r="CD389" s="36" t="str">
        <f aca="true">IF(B389="","",IF(TODAY()-B389&lt;=7,"🟢 0-7d",IF(TODAY()-B389&lt;=30,"🟡 8-30d",IF(TODAY()-B389&lt;=60,"🟠 31-60d","🔴 60d+"))))</f>
        <v/>
      </c>
      <c r="CE389" s="36" t="str">
        <f aca="false">IF(G389="","",IF(G389&lt;&gt;"USA","N/A - Not USA Role",IF(J389="Yes",IF(OR(F389="Intern",F389="New Grad"),"🟡 Possible","🟢 Strong"),IF(J389="No","🔴 Difficult","⚪ Unknown"))))</f>
        <v/>
      </c>
      <c r="CF389" s="37"/>
      <c r="CG389" s="37"/>
      <c r="CH389" s="38"/>
      <c r="CI389" s="38"/>
      <c r="CJ389" s="38"/>
      <c r="CK389" s="38"/>
    </row>
    <row r="390" customFormat="false" ht="15" hidden="false" customHeight="true" outlineLevel="0" collapsed="false">
      <c r="A390" s="26" t="str">
        <f aca="false">IF($C390="","",ROW()-3)</f>
        <v/>
      </c>
      <c r="B390" s="27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9"/>
      <c r="N390" s="29"/>
      <c r="O390" s="30" t="str">
        <f aca="false">IFERROR(IF(M390="","",M390*INDEX('00 - Lists'!$M$2:$M$11,MATCH(L390,'00 - Lists'!$L$2:$L$11,0))/100000),"")</f>
        <v/>
      </c>
      <c r="P390" s="30" t="str">
        <f aca="false">IFERROR(IF(N390="","",N390*INDEX('00 - Lists'!$M$2:$M$11,MATCH(L390,'00 - Lists'!$L$2:$L$11,0))/100000),"")</f>
        <v/>
      </c>
      <c r="Q390" s="31" t="str">
        <f aca="false">IFERROR(IF(M390="","",M390*INDEX('00 - Lists'!$N$2:$N$11,MATCH(L390,'00 - Lists'!$L$2:$L$11,0))),"")</f>
        <v/>
      </c>
      <c r="R390" s="31" t="str">
        <f aca="false">IFERROR(IF(N390="","",N390*INDEX('00 - Lists'!$N$2:$N$11,MATCH(L390,'00 - Lists'!$L$2:$L$11,0))),"")</f>
        <v/>
      </c>
      <c r="S390" s="32" t="str">
        <f aca="false">IF(O390="","",IF(O390&gt;=50,"Yes","No"))</f>
        <v/>
      </c>
      <c r="T390" s="32" t="str">
        <f aca="false">IF(Q390="","",IF(Q390&gt;=100000,"Yes","No"))</f>
        <v/>
      </c>
      <c r="U390" s="28"/>
      <c r="V390" s="28"/>
      <c r="W390" s="28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J390" s="34" t="str">
        <f aca="false">IF(OR($BD390&lt;&gt;"",$BF390&lt;&gt;"",$BH390&lt;&gt;""),"Yes","No")</f>
        <v>No</v>
      </c>
      <c r="BK390" s="35" t="str">
        <f aca="false">IFERROR(IF(BD390="","",BD390*INDEX('00 - Lists'!$M$2:$M$11,MATCH(L390,'00 - Lists'!$L$2:$L$11,0))/100000),"")</f>
        <v/>
      </c>
      <c r="BL390" s="35" t="str">
        <f aca="false">IFERROR(IF(BE390="","",BE390*INDEX('00 - Lists'!$M$2:$M$11,MATCH(L390,'00 - Lists'!$L$2:$L$11,0))/100000),"")</f>
        <v/>
      </c>
      <c r="BM390" s="35" t="str">
        <f aca="false">IFERROR(IF(BF390="","",BF390*INDEX('00 - Lists'!$M$2:$M$11,MATCH(L390,'00 - Lists'!$L$2:$L$11,0))/100000),"")</f>
        <v/>
      </c>
      <c r="BN390" s="35" t="str">
        <f aca="false">IFERROR(IF(BG390="","",BG390*INDEX('00 - Lists'!$M$2:$M$11,MATCH(L390,'00 - Lists'!$L$2:$L$11,0))/100000),"")</f>
        <v/>
      </c>
      <c r="BO390" s="35" t="str">
        <f aca="false">IFERROR(IF(BH390="","",BH390*INDEX('00 - Lists'!$M$2:$M$11,MATCH(L390,'00 - Lists'!$L$2:$L$11,0))/100000),"")</f>
        <v/>
      </c>
      <c r="BP390" s="35" t="str">
        <f aca="false">IFERROR(IF(BI390="","",BI390*INDEX('00 - Lists'!$M$2:$M$11,MATCH(L390,'00 - Lists'!$L$2:$L$11,0))/100000),"")</f>
        <v/>
      </c>
      <c r="BS390" s="36" t="str">
        <f aca="false">IF(O390="","",IF(O390&gt;=20,"Yes","No"))</f>
        <v/>
      </c>
      <c r="BT390" s="36" t="str">
        <f aca="false">IF(O390="","",IF(O390&gt;=30,"Yes","No"))</f>
        <v/>
      </c>
      <c r="BU390" s="36" t="str">
        <f aca="false">IF(O390="","",IF(O390&gt;=75,"Yes","No"))</f>
        <v/>
      </c>
      <c r="BV390" s="36" t="str">
        <f aca="false">IF(O390="","",IF(O390&gt;=100,"Yes","No"))</f>
        <v/>
      </c>
      <c r="BW390" s="36" t="str">
        <f aca="false">IF(O390="","",IF(O390&gt;=150,"Yes","No"))</f>
        <v/>
      </c>
      <c r="BX390" s="36" t="str">
        <f aca="false">IF(O390="","",IF(O390&gt;=200,"Yes","No"))</f>
        <v/>
      </c>
      <c r="BY390" s="36" t="str">
        <f aca="false">IF(Q390="","",IF(Q390&gt;=150000,"Yes","No"))</f>
        <v/>
      </c>
      <c r="BZ390" s="36" t="str">
        <f aca="false">IF(Q390="","",IF(Q390&gt;=200000,"Yes","No"))</f>
        <v/>
      </c>
      <c r="CA390" s="36" t="str">
        <f aca="false">IF(Q390="","",IF(Q390&gt;=250000,"Yes","No"))</f>
        <v/>
      </c>
      <c r="CB390" s="36" t="str">
        <f aca="false">IF(Q390="","",IF(Q390&gt;=300000,"Yes","No"))</f>
        <v/>
      </c>
      <c r="CC390" s="37"/>
      <c r="CD390" s="36" t="str">
        <f aca="true">IF(B390="","",IF(TODAY()-B390&lt;=7,"🟢 0-7d",IF(TODAY()-B390&lt;=30,"🟡 8-30d",IF(TODAY()-B390&lt;=60,"🟠 31-60d","🔴 60d+"))))</f>
        <v/>
      </c>
      <c r="CE390" s="36" t="str">
        <f aca="false">IF(G390="","",IF(G390&lt;&gt;"USA","N/A - Not USA Role",IF(J390="Yes",IF(OR(F390="Intern",F390="New Grad"),"🟡 Possible","🟢 Strong"),IF(J390="No","🔴 Difficult","⚪ Unknown"))))</f>
        <v/>
      </c>
      <c r="CF390" s="37"/>
      <c r="CG390" s="37"/>
      <c r="CH390" s="38"/>
      <c r="CI390" s="38"/>
      <c r="CJ390" s="38"/>
      <c r="CK390" s="38"/>
    </row>
    <row r="391" customFormat="false" ht="15" hidden="false" customHeight="true" outlineLevel="0" collapsed="false">
      <c r="A391" s="26" t="str">
        <f aca="false">IF($C391="","",ROW()-3)</f>
        <v/>
      </c>
      <c r="B391" s="27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9"/>
      <c r="N391" s="29"/>
      <c r="O391" s="30" t="str">
        <f aca="false">IFERROR(IF(M391="","",M391*INDEX('00 - Lists'!$M$2:$M$11,MATCH(L391,'00 - Lists'!$L$2:$L$11,0))/100000),"")</f>
        <v/>
      </c>
      <c r="P391" s="30" t="str">
        <f aca="false">IFERROR(IF(N391="","",N391*INDEX('00 - Lists'!$M$2:$M$11,MATCH(L391,'00 - Lists'!$L$2:$L$11,0))/100000),"")</f>
        <v/>
      </c>
      <c r="Q391" s="31" t="str">
        <f aca="false">IFERROR(IF(M391="","",M391*INDEX('00 - Lists'!$N$2:$N$11,MATCH(L391,'00 - Lists'!$L$2:$L$11,0))),"")</f>
        <v/>
      </c>
      <c r="R391" s="31" t="str">
        <f aca="false">IFERROR(IF(N391="","",N391*INDEX('00 - Lists'!$N$2:$N$11,MATCH(L391,'00 - Lists'!$L$2:$L$11,0))),"")</f>
        <v/>
      </c>
      <c r="S391" s="32" t="str">
        <f aca="false">IF(O391="","",IF(O391&gt;=50,"Yes","No"))</f>
        <v/>
      </c>
      <c r="T391" s="32" t="str">
        <f aca="false">IF(Q391="","",IF(Q391&gt;=100000,"Yes","No"))</f>
        <v/>
      </c>
      <c r="U391" s="28"/>
      <c r="V391" s="28"/>
      <c r="W391" s="28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J391" s="34" t="str">
        <f aca="false">IF(OR($BD391&lt;&gt;"",$BF391&lt;&gt;"",$BH391&lt;&gt;""),"Yes","No")</f>
        <v>No</v>
      </c>
      <c r="BK391" s="35" t="str">
        <f aca="false">IFERROR(IF(BD391="","",BD391*INDEX('00 - Lists'!$M$2:$M$11,MATCH(L391,'00 - Lists'!$L$2:$L$11,0))/100000),"")</f>
        <v/>
      </c>
      <c r="BL391" s="35" t="str">
        <f aca="false">IFERROR(IF(BE391="","",BE391*INDEX('00 - Lists'!$M$2:$M$11,MATCH(L391,'00 - Lists'!$L$2:$L$11,0))/100000),"")</f>
        <v/>
      </c>
      <c r="BM391" s="35" t="str">
        <f aca="false">IFERROR(IF(BF391="","",BF391*INDEX('00 - Lists'!$M$2:$M$11,MATCH(L391,'00 - Lists'!$L$2:$L$11,0))/100000),"")</f>
        <v/>
      </c>
      <c r="BN391" s="35" t="str">
        <f aca="false">IFERROR(IF(BG391="","",BG391*INDEX('00 - Lists'!$M$2:$M$11,MATCH(L391,'00 - Lists'!$L$2:$L$11,0))/100000),"")</f>
        <v/>
      </c>
      <c r="BO391" s="35" t="str">
        <f aca="false">IFERROR(IF(BH391="","",BH391*INDEX('00 - Lists'!$M$2:$M$11,MATCH(L391,'00 - Lists'!$L$2:$L$11,0))/100000),"")</f>
        <v/>
      </c>
      <c r="BP391" s="35" t="str">
        <f aca="false">IFERROR(IF(BI391="","",BI391*INDEX('00 - Lists'!$M$2:$M$11,MATCH(L391,'00 - Lists'!$L$2:$L$11,0))/100000),"")</f>
        <v/>
      </c>
      <c r="BS391" s="36" t="str">
        <f aca="false">IF(O391="","",IF(O391&gt;=20,"Yes","No"))</f>
        <v/>
      </c>
      <c r="BT391" s="36" t="str">
        <f aca="false">IF(O391="","",IF(O391&gt;=30,"Yes","No"))</f>
        <v/>
      </c>
      <c r="BU391" s="36" t="str">
        <f aca="false">IF(O391="","",IF(O391&gt;=75,"Yes","No"))</f>
        <v/>
      </c>
      <c r="BV391" s="36" t="str">
        <f aca="false">IF(O391="","",IF(O391&gt;=100,"Yes","No"))</f>
        <v/>
      </c>
      <c r="BW391" s="36" t="str">
        <f aca="false">IF(O391="","",IF(O391&gt;=150,"Yes","No"))</f>
        <v/>
      </c>
      <c r="BX391" s="36" t="str">
        <f aca="false">IF(O391="","",IF(O391&gt;=200,"Yes","No"))</f>
        <v/>
      </c>
      <c r="BY391" s="36" t="str">
        <f aca="false">IF(Q391="","",IF(Q391&gt;=150000,"Yes","No"))</f>
        <v/>
      </c>
      <c r="BZ391" s="36" t="str">
        <f aca="false">IF(Q391="","",IF(Q391&gt;=200000,"Yes","No"))</f>
        <v/>
      </c>
      <c r="CA391" s="36" t="str">
        <f aca="false">IF(Q391="","",IF(Q391&gt;=250000,"Yes","No"))</f>
        <v/>
      </c>
      <c r="CB391" s="36" t="str">
        <f aca="false">IF(Q391="","",IF(Q391&gt;=300000,"Yes","No"))</f>
        <v/>
      </c>
      <c r="CC391" s="37"/>
      <c r="CD391" s="36" t="str">
        <f aca="true">IF(B391="","",IF(TODAY()-B391&lt;=7,"🟢 0-7d",IF(TODAY()-B391&lt;=30,"🟡 8-30d",IF(TODAY()-B391&lt;=60,"🟠 31-60d","🔴 60d+"))))</f>
        <v/>
      </c>
      <c r="CE391" s="36" t="str">
        <f aca="false">IF(G391="","",IF(G391&lt;&gt;"USA","N/A - Not USA Role",IF(J391="Yes",IF(OR(F391="Intern",F391="New Grad"),"🟡 Possible","🟢 Strong"),IF(J391="No","🔴 Difficult","⚪ Unknown"))))</f>
        <v/>
      </c>
      <c r="CF391" s="37"/>
      <c r="CG391" s="37"/>
      <c r="CH391" s="38"/>
      <c r="CI391" s="38"/>
      <c r="CJ391" s="38"/>
      <c r="CK391" s="38"/>
    </row>
    <row r="392" customFormat="false" ht="15" hidden="false" customHeight="true" outlineLevel="0" collapsed="false">
      <c r="A392" s="26" t="str">
        <f aca="false">IF($C392="","",ROW()-3)</f>
        <v/>
      </c>
      <c r="B392" s="27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9"/>
      <c r="N392" s="29"/>
      <c r="O392" s="30" t="str">
        <f aca="false">IFERROR(IF(M392="","",M392*INDEX('00 - Lists'!$M$2:$M$11,MATCH(L392,'00 - Lists'!$L$2:$L$11,0))/100000),"")</f>
        <v/>
      </c>
      <c r="P392" s="30" t="str">
        <f aca="false">IFERROR(IF(N392="","",N392*INDEX('00 - Lists'!$M$2:$M$11,MATCH(L392,'00 - Lists'!$L$2:$L$11,0))/100000),"")</f>
        <v/>
      </c>
      <c r="Q392" s="31" t="str">
        <f aca="false">IFERROR(IF(M392="","",M392*INDEX('00 - Lists'!$N$2:$N$11,MATCH(L392,'00 - Lists'!$L$2:$L$11,0))),"")</f>
        <v/>
      </c>
      <c r="R392" s="31" t="str">
        <f aca="false">IFERROR(IF(N392="","",N392*INDEX('00 - Lists'!$N$2:$N$11,MATCH(L392,'00 - Lists'!$L$2:$L$11,0))),"")</f>
        <v/>
      </c>
      <c r="S392" s="32" t="str">
        <f aca="false">IF(O392="","",IF(O392&gt;=50,"Yes","No"))</f>
        <v/>
      </c>
      <c r="T392" s="32" t="str">
        <f aca="false">IF(Q392="","",IF(Q392&gt;=100000,"Yes","No"))</f>
        <v/>
      </c>
      <c r="U392" s="28"/>
      <c r="V392" s="28"/>
      <c r="W392" s="28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J392" s="34" t="str">
        <f aca="false">IF(OR($BD392&lt;&gt;"",$BF392&lt;&gt;"",$BH392&lt;&gt;""),"Yes","No")</f>
        <v>No</v>
      </c>
      <c r="BK392" s="35" t="str">
        <f aca="false">IFERROR(IF(BD392="","",BD392*INDEX('00 - Lists'!$M$2:$M$11,MATCH(L392,'00 - Lists'!$L$2:$L$11,0))/100000),"")</f>
        <v/>
      </c>
      <c r="BL392" s="35" t="str">
        <f aca="false">IFERROR(IF(BE392="","",BE392*INDEX('00 - Lists'!$M$2:$M$11,MATCH(L392,'00 - Lists'!$L$2:$L$11,0))/100000),"")</f>
        <v/>
      </c>
      <c r="BM392" s="35" t="str">
        <f aca="false">IFERROR(IF(BF392="","",BF392*INDEX('00 - Lists'!$M$2:$M$11,MATCH(L392,'00 - Lists'!$L$2:$L$11,0))/100000),"")</f>
        <v/>
      </c>
      <c r="BN392" s="35" t="str">
        <f aca="false">IFERROR(IF(BG392="","",BG392*INDEX('00 - Lists'!$M$2:$M$11,MATCH(L392,'00 - Lists'!$L$2:$L$11,0))/100000),"")</f>
        <v/>
      </c>
      <c r="BO392" s="35" t="str">
        <f aca="false">IFERROR(IF(BH392="","",BH392*INDEX('00 - Lists'!$M$2:$M$11,MATCH(L392,'00 - Lists'!$L$2:$L$11,0))/100000),"")</f>
        <v/>
      </c>
      <c r="BP392" s="35" t="str">
        <f aca="false">IFERROR(IF(BI392="","",BI392*INDEX('00 - Lists'!$M$2:$M$11,MATCH(L392,'00 - Lists'!$L$2:$L$11,0))/100000),"")</f>
        <v/>
      </c>
      <c r="BS392" s="36" t="str">
        <f aca="false">IF(O392="","",IF(O392&gt;=20,"Yes","No"))</f>
        <v/>
      </c>
      <c r="BT392" s="36" t="str">
        <f aca="false">IF(O392="","",IF(O392&gt;=30,"Yes","No"))</f>
        <v/>
      </c>
      <c r="BU392" s="36" t="str">
        <f aca="false">IF(O392="","",IF(O392&gt;=75,"Yes","No"))</f>
        <v/>
      </c>
      <c r="BV392" s="36" t="str">
        <f aca="false">IF(O392="","",IF(O392&gt;=100,"Yes","No"))</f>
        <v/>
      </c>
      <c r="BW392" s="36" t="str">
        <f aca="false">IF(O392="","",IF(O392&gt;=150,"Yes","No"))</f>
        <v/>
      </c>
      <c r="BX392" s="36" t="str">
        <f aca="false">IF(O392="","",IF(O392&gt;=200,"Yes","No"))</f>
        <v/>
      </c>
      <c r="BY392" s="36" t="str">
        <f aca="false">IF(Q392="","",IF(Q392&gt;=150000,"Yes","No"))</f>
        <v/>
      </c>
      <c r="BZ392" s="36" t="str">
        <f aca="false">IF(Q392="","",IF(Q392&gt;=200000,"Yes","No"))</f>
        <v/>
      </c>
      <c r="CA392" s="36" t="str">
        <f aca="false">IF(Q392="","",IF(Q392&gt;=250000,"Yes","No"))</f>
        <v/>
      </c>
      <c r="CB392" s="36" t="str">
        <f aca="false">IF(Q392="","",IF(Q392&gt;=300000,"Yes","No"))</f>
        <v/>
      </c>
      <c r="CC392" s="37"/>
      <c r="CD392" s="36" t="str">
        <f aca="true">IF(B392="","",IF(TODAY()-B392&lt;=7,"🟢 0-7d",IF(TODAY()-B392&lt;=30,"🟡 8-30d",IF(TODAY()-B392&lt;=60,"🟠 31-60d","🔴 60d+"))))</f>
        <v/>
      </c>
      <c r="CE392" s="36" t="str">
        <f aca="false">IF(G392="","",IF(G392&lt;&gt;"USA","N/A - Not USA Role",IF(J392="Yes",IF(OR(F392="Intern",F392="New Grad"),"🟡 Possible","🟢 Strong"),IF(J392="No","🔴 Difficult","⚪ Unknown"))))</f>
        <v/>
      </c>
      <c r="CF392" s="37"/>
      <c r="CG392" s="37"/>
      <c r="CH392" s="38"/>
      <c r="CI392" s="38"/>
      <c r="CJ392" s="38"/>
      <c r="CK392" s="38"/>
    </row>
    <row r="393" customFormat="false" ht="15" hidden="false" customHeight="true" outlineLevel="0" collapsed="false">
      <c r="A393" s="26" t="str">
        <f aca="false">IF($C393="","",ROW()-3)</f>
        <v/>
      </c>
      <c r="B393" s="27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9"/>
      <c r="N393" s="29"/>
      <c r="O393" s="30" t="str">
        <f aca="false">IFERROR(IF(M393="","",M393*INDEX('00 - Lists'!$M$2:$M$11,MATCH(L393,'00 - Lists'!$L$2:$L$11,0))/100000),"")</f>
        <v/>
      </c>
      <c r="P393" s="30" t="str">
        <f aca="false">IFERROR(IF(N393="","",N393*INDEX('00 - Lists'!$M$2:$M$11,MATCH(L393,'00 - Lists'!$L$2:$L$11,0))/100000),"")</f>
        <v/>
      </c>
      <c r="Q393" s="31" t="str">
        <f aca="false">IFERROR(IF(M393="","",M393*INDEX('00 - Lists'!$N$2:$N$11,MATCH(L393,'00 - Lists'!$L$2:$L$11,0))),"")</f>
        <v/>
      </c>
      <c r="R393" s="31" t="str">
        <f aca="false">IFERROR(IF(N393="","",N393*INDEX('00 - Lists'!$N$2:$N$11,MATCH(L393,'00 - Lists'!$L$2:$L$11,0))),"")</f>
        <v/>
      </c>
      <c r="S393" s="32" t="str">
        <f aca="false">IF(O393="","",IF(O393&gt;=50,"Yes","No"))</f>
        <v/>
      </c>
      <c r="T393" s="32" t="str">
        <f aca="false">IF(Q393="","",IF(Q393&gt;=100000,"Yes","No"))</f>
        <v/>
      </c>
      <c r="U393" s="28"/>
      <c r="V393" s="28"/>
      <c r="W393" s="28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J393" s="34" t="str">
        <f aca="false">IF(OR($BD393&lt;&gt;"",$BF393&lt;&gt;"",$BH393&lt;&gt;""),"Yes","No")</f>
        <v>No</v>
      </c>
      <c r="BK393" s="35" t="str">
        <f aca="false">IFERROR(IF(BD393="","",BD393*INDEX('00 - Lists'!$M$2:$M$11,MATCH(L393,'00 - Lists'!$L$2:$L$11,0))/100000),"")</f>
        <v/>
      </c>
      <c r="BL393" s="35" t="str">
        <f aca="false">IFERROR(IF(BE393="","",BE393*INDEX('00 - Lists'!$M$2:$M$11,MATCH(L393,'00 - Lists'!$L$2:$L$11,0))/100000),"")</f>
        <v/>
      </c>
      <c r="BM393" s="35" t="str">
        <f aca="false">IFERROR(IF(BF393="","",BF393*INDEX('00 - Lists'!$M$2:$M$11,MATCH(L393,'00 - Lists'!$L$2:$L$11,0))/100000),"")</f>
        <v/>
      </c>
      <c r="BN393" s="35" t="str">
        <f aca="false">IFERROR(IF(BG393="","",BG393*INDEX('00 - Lists'!$M$2:$M$11,MATCH(L393,'00 - Lists'!$L$2:$L$11,0))/100000),"")</f>
        <v/>
      </c>
      <c r="BO393" s="35" t="str">
        <f aca="false">IFERROR(IF(BH393="","",BH393*INDEX('00 - Lists'!$M$2:$M$11,MATCH(L393,'00 - Lists'!$L$2:$L$11,0))/100000),"")</f>
        <v/>
      </c>
      <c r="BP393" s="35" t="str">
        <f aca="false">IFERROR(IF(BI393="","",BI393*INDEX('00 - Lists'!$M$2:$M$11,MATCH(L393,'00 - Lists'!$L$2:$L$11,0))/100000),"")</f>
        <v/>
      </c>
      <c r="BS393" s="36" t="str">
        <f aca="false">IF(O393="","",IF(O393&gt;=20,"Yes","No"))</f>
        <v/>
      </c>
      <c r="BT393" s="36" t="str">
        <f aca="false">IF(O393="","",IF(O393&gt;=30,"Yes","No"))</f>
        <v/>
      </c>
      <c r="BU393" s="36" t="str">
        <f aca="false">IF(O393="","",IF(O393&gt;=75,"Yes","No"))</f>
        <v/>
      </c>
      <c r="BV393" s="36" t="str">
        <f aca="false">IF(O393="","",IF(O393&gt;=100,"Yes","No"))</f>
        <v/>
      </c>
      <c r="BW393" s="36" t="str">
        <f aca="false">IF(O393="","",IF(O393&gt;=150,"Yes","No"))</f>
        <v/>
      </c>
      <c r="BX393" s="36" t="str">
        <f aca="false">IF(O393="","",IF(O393&gt;=200,"Yes","No"))</f>
        <v/>
      </c>
      <c r="BY393" s="36" t="str">
        <f aca="false">IF(Q393="","",IF(Q393&gt;=150000,"Yes","No"))</f>
        <v/>
      </c>
      <c r="BZ393" s="36" t="str">
        <f aca="false">IF(Q393="","",IF(Q393&gt;=200000,"Yes","No"))</f>
        <v/>
      </c>
      <c r="CA393" s="36" t="str">
        <f aca="false">IF(Q393="","",IF(Q393&gt;=250000,"Yes","No"))</f>
        <v/>
      </c>
      <c r="CB393" s="36" t="str">
        <f aca="false">IF(Q393="","",IF(Q393&gt;=300000,"Yes","No"))</f>
        <v/>
      </c>
      <c r="CC393" s="37"/>
      <c r="CD393" s="36" t="str">
        <f aca="true">IF(B393="","",IF(TODAY()-B393&lt;=7,"🟢 0-7d",IF(TODAY()-B393&lt;=30,"🟡 8-30d",IF(TODAY()-B393&lt;=60,"🟠 31-60d","🔴 60d+"))))</f>
        <v/>
      </c>
      <c r="CE393" s="36" t="str">
        <f aca="false">IF(G393="","",IF(G393&lt;&gt;"USA","N/A - Not USA Role",IF(J393="Yes",IF(OR(F393="Intern",F393="New Grad"),"🟡 Possible","🟢 Strong"),IF(J393="No","🔴 Difficult","⚪ Unknown"))))</f>
        <v/>
      </c>
      <c r="CF393" s="37"/>
      <c r="CG393" s="37"/>
      <c r="CH393" s="38"/>
      <c r="CI393" s="38"/>
      <c r="CJ393" s="38"/>
      <c r="CK393" s="38"/>
    </row>
    <row r="394" customFormat="false" ht="15" hidden="false" customHeight="true" outlineLevel="0" collapsed="false">
      <c r="A394" s="26" t="str">
        <f aca="false">IF($C394="","",ROW()-3)</f>
        <v/>
      </c>
      <c r="B394" s="27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9"/>
      <c r="N394" s="29"/>
      <c r="O394" s="30" t="str">
        <f aca="false">IFERROR(IF(M394="","",M394*INDEX('00 - Lists'!$M$2:$M$11,MATCH(L394,'00 - Lists'!$L$2:$L$11,0))/100000),"")</f>
        <v/>
      </c>
      <c r="P394" s="30" t="str">
        <f aca="false">IFERROR(IF(N394="","",N394*INDEX('00 - Lists'!$M$2:$M$11,MATCH(L394,'00 - Lists'!$L$2:$L$11,0))/100000),"")</f>
        <v/>
      </c>
      <c r="Q394" s="31" t="str">
        <f aca="false">IFERROR(IF(M394="","",M394*INDEX('00 - Lists'!$N$2:$N$11,MATCH(L394,'00 - Lists'!$L$2:$L$11,0))),"")</f>
        <v/>
      </c>
      <c r="R394" s="31" t="str">
        <f aca="false">IFERROR(IF(N394="","",N394*INDEX('00 - Lists'!$N$2:$N$11,MATCH(L394,'00 - Lists'!$L$2:$L$11,0))),"")</f>
        <v/>
      </c>
      <c r="S394" s="32" t="str">
        <f aca="false">IF(O394="","",IF(O394&gt;=50,"Yes","No"))</f>
        <v/>
      </c>
      <c r="T394" s="32" t="str">
        <f aca="false">IF(Q394="","",IF(Q394&gt;=100000,"Yes","No"))</f>
        <v/>
      </c>
      <c r="U394" s="28"/>
      <c r="V394" s="28"/>
      <c r="W394" s="28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J394" s="34" t="str">
        <f aca="false">IF(OR($BD394&lt;&gt;"",$BF394&lt;&gt;"",$BH394&lt;&gt;""),"Yes","No")</f>
        <v>No</v>
      </c>
      <c r="BK394" s="35" t="str">
        <f aca="false">IFERROR(IF(BD394="","",BD394*INDEX('00 - Lists'!$M$2:$M$11,MATCH(L394,'00 - Lists'!$L$2:$L$11,0))/100000),"")</f>
        <v/>
      </c>
      <c r="BL394" s="35" t="str">
        <f aca="false">IFERROR(IF(BE394="","",BE394*INDEX('00 - Lists'!$M$2:$M$11,MATCH(L394,'00 - Lists'!$L$2:$L$11,0))/100000),"")</f>
        <v/>
      </c>
      <c r="BM394" s="35" t="str">
        <f aca="false">IFERROR(IF(BF394="","",BF394*INDEX('00 - Lists'!$M$2:$M$11,MATCH(L394,'00 - Lists'!$L$2:$L$11,0))/100000),"")</f>
        <v/>
      </c>
      <c r="BN394" s="35" t="str">
        <f aca="false">IFERROR(IF(BG394="","",BG394*INDEX('00 - Lists'!$M$2:$M$11,MATCH(L394,'00 - Lists'!$L$2:$L$11,0))/100000),"")</f>
        <v/>
      </c>
      <c r="BO394" s="35" t="str">
        <f aca="false">IFERROR(IF(BH394="","",BH394*INDEX('00 - Lists'!$M$2:$M$11,MATCH(L394,'00 - Lists'!$L$2:$L$11,0))/100000),"")</f>
        <v/>
      </c>
      <c r="BP394" s="35" t="str">
        <f aca="false">IFERROR(IF(BI394="","",BI394*INDEX('00 - Lists'!$M$2:$M$11,MATCH(L394,'00 - Lists'!$L$2:$L$11,0))/100000),"")</f>
        <v/>
      </c>
      <c r="BS394" s="36" t="str">
        <f aca="false">IF(O394="","",IF(O394&gt;=20,"Yes","No"))</f>
        <v/>
      </c>
      <c r="BT394" s="36" t="str">
        <f aca="false">IF(O394="","",IF(O394&gt;=30,"Yes","No"))</f>
        <v/>
      </c>
      <c r="BU394" s="36" t="str">
        <f aca="false">IF(O394="","",IF(O394&gt;=75,"Yes","No"))</f>
        <v/>
      </c>
      <c r="BV394" s="36" t="str">
        <f aca="false">IF(O394="","",IF(O394&gt;=100,"Yes","No"))</f>
        <v/>
      </c>
      <c r="BW394" s="36" t="str">
        <f aca="false">IF(O394="","",IF(O394&gt;=150,"Yes","No"))</f>
        <v/>
      </c>
      <c r="BX394" s="36" t="str">
        <f aca="false">IF(O394="","",IF(O394&gt;=200,"Yes","No"))</f>
        <v/>
      </c>
      <c r="BY394" s="36" t="str">
        <f aca="false">IF(Q394="","",IF(Q394&gt;=150000,"Yes","No"))</f>
        <v/>
      </c>
      <c r="BZ394" s="36" t="str">
        <f aca="false">IF(Q394="","",IF(Q394&gt;=200000,"Yes","No"))</f>
        <v/>
      </c>
      <c r="CA394" s="36" t="str">
        <f aca="false">IF(Q394="","",IF(Q394&gt;=250000,"Yes","No"))</f>
        <v/>
      </c>
      <c r="CB394" s="36" t="str">
        <f aca="false">IF(Q394="","",IF(Q394&gt;=300000,"Yes","No"))</f>
        <v/>
      </c>
      <c r="CC394" s="37"/>
      <c r="CD394" s="36" t="str">
        <f aca="true">IF(B394="","",IF(TODAY()-B394&lt;=7,"🟢 0-7d",IF(TODAY()-B394&lt;=30,"🟡 8-30d",IF(TODAY()-B394&lt;=60,"🟠 31-60d","🔴 60d+"))))</f>
        <v/>
      </c>
      <c r="CE394" s="36" t="str">
        <f aca="false">IF(G394="","",IF(G394&lt;&gt;"USA","N/A - Not USA Role",IF(J394="Yes",IF(OR(F394="Intern",F394="New Grad"),"🟡 Possible","🟢 Strong"),IF(J394="No","🔴 Difficult","⚪ Unknown"))))</f>
        <v/>
      </c>
      <c r="CF394" s="37"/>
      <c r="CG394" s="37"/>
      <c r="CH394" s="38"/>
      <c r="CI394" s="38"/>
      <c r="CJ394" s="38"/>
      <c r="CK394" s="38"/>
    </row>
    <row r="395" customFormat="false" ht="15" hidden="false" customHeight="true" outlineLevel="0" collapsed="false">
      <c r="A395" s="26" t="str">
        <f aca="false">IF($C395="","",ROW()-3)</f>
        <v/>
      </c>
      <c r="B395" s="27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9"/>
      <c r="N395" s="29"/>
      <c r="O395" s="30" t="str">
        <f aca="false">IFERROR(IF(M395="","",M395*INDEX('00 - Lists'!$M$2:$M$11,MATCH(L395,'00 - Lists'!$L$2:$L$11,0))/100000),"")</f>
        <v/>
      </c>
      <c r="P395" s="30" t="str">
        <f aca="false">IFERROR(IF(N395="","",N395*INDEX('00 - Lists'!$M$2:$M$11,MATCH(L395,'00 - Lists'!$L$2:$L$11,0))/100000),"")</f>
        <v/>
      </c>
      <c r="Q395" s="31" t="str">
        <f aca="false">IFERROR(IF(M395="","",M395*INDEX('00 - Lists'!$N$2:$N$11,MATCH(L395,'00 - Lists'!$L$2:$L$11,0))),"")</f>
        <v/>
      </c>
      <c r="R395" s="31" t="str">
        <f aca="false">IFERROR(IF(N395="","",N395*INDEX('00 - Lists'!$N$2:$N$11,MATCH(L395,'00 - Lists'!$L$2:$L$11,0))),"")</f>
        <v/>
      </c>
      <c r="S395" s="32" t="str">
        <f aca="false">IF(O395="","",IF(O395&gt;=50,"Yes","No"))</f>
        <v/>
      </c>
      <c r="T395" s="32" t="str">
        <f aca="false">IF(Q395="","",IF(Q395&gt;=100000,"Yes","No"))</f>
        <v/>
      </c>
      <c r="U395" s="28"/>
      <c r="V395" s="28"/>
      <c r="W395" s="28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J395" s="34" t="str">
        <f aca="false">IF(OR($BD395&lt;&gt;"",$BF395&lt;&gt;"",$BH395&lt;&gt;""),"Yes","No")</f>
        <v>No</v>
      </c>
      <c r="BK395" s="35" t="str">
        <f aca="false">IFERROR(IF(BD395="","",BD395*INDEX('00 - Lists'!$M$2:$M$11,MATCH(L395,'00 - Lists'!$L$2:$L$11,0))/100000),"")</f>
        <v/>
      </c>
      <c r="BL395" s="35" t="str">
        <f aca="false">IFERROR(IF(BE395="","",BE395*INDEX('00 - Lists'!$M$2:$M$11,MATCH(L395,'00 - Lists'!$L$2:$L$11,0))/100000),"")</f>
        <v/>
      </c>
      <c r="BM395" s="35" t="str">
        <f aca="false">IFERROR(IF(BF395="","",BF395*INDEX('00 - Lists'!$M$2:$M$11,MATCH(L395,'00 - Lists'!$L$2:$L$11,0))/100000),"")</f>
        <v/>
      </c>
      <c r="BN395" s="35" t="str">
        <f aca="false">IFERROR(IF(BG395="","",BG395*INDEX('00 - Lists'!$M$2:$M$11,MATCH(L395,'00 - Lists'!$L$2:$L$11,0))/100000),"")</f>
        <v/>
      </c>
      <c r="BO395" s="35" t="str">
        <f aca="false">IFERROR(IF(BH395="","",BH395*INDEX('00 - Lists'!$M$2:$M$11,MATCH(L395,'00 - Lists'!$L$2:$L$11,0))/100000),"")</f>
        <v/>
      </c>
      <c r="BP395" s="35" t="str">
        <f aca="false">IFERROR(IF(BI395="","",BI395*INDEX('00 - Lists'!$M$2:$M$11,MATCH(L395,'00 - Lists'!$L$2:$L$11,0))/100000),"")</f>
        <v/>
      </c>
      <c r="BS395" s="36" t="str">
        <f aca="false">IF(O395="","",IF(O395&gt;=20,"Yes","No"))</f>
        <v/>
      </c>
      <c r="BT395" s="36" t="str">
        <f aca="false">IF(O395="","",IF(O395&gt;=30,"Yes","No"))</f>
        <v/>
      </c>
      <c r="BU395" s="36" t="str">
        <f aca="false">IF(O395="","",IF(O395&gt;=75,"Yes","No"))</f>
        <v/>
      </c>
      <c r="BV395" s="36" t="str">
        <f aca="false">IF(O395="","",IF(O395&gt;=100,"Yes","No"))</f>
        <v/>
      </c>
      <c r="BW395" s="36" t="str">
        <f aca="false">IF(O395="","",IF(O395&gt;=150,"Yes","No"))</f>
        <v/>
      </c>
      <c r="BX395" s="36" t="str">
        <f aca="false">IF(O395="","",IF(O395&gt;=200,"Yes","No"))</f>
        <v/>
      </c>
      <c r="BY395" s="36" t="str">
        <f aca="false">IF(Q395="","",IF(Q395&gt;=150000,"Yes","No"))</f>
        <v/>
      </c>
      <c r="BZ395" s="36" t="str">
        <f aca="false">IF(Q395="","",IF(Q395&gt;=200000,"Yes","No"))</f>
        <v/>
      </c>
      <c r="CA395" s="36" t="str">
        <f aca="false">IF(Q395="","",IF(Q395&gt;=250000,"Yes","No"))</f>
        <v/>
      </c>
      <c r="CB395" s="36" t="str">
        <f aca="false">IF(Q395="","",IF(Q395&gt;=300000,"Yes","No"))</f>
        <v/>
      </c>
      <c r="CC395" s="37"/>
      <c r="CD395" s="36" t="str">
        <f aca="true">IF(B395="","",IF(TODAY()-B395&lt;=7,"🟢 0-7d",IF(TODAY()-B395&lt;=30,"🟡 8-30d",IF(TODAY()-B395&lt;=60,"🟠 31-60d","🔴 60d+"))))</f>
        <v/>
      </c>
      <c r="CE395" s="36" t="str">
        <f aca="false">IF(G395="","",IF(G395&lt;&gt;"USA","N/A - Not USA Role",IF(J395="Yes",IF(OR(F395="Intern",F395="New Grad"),"🟡 Possible","🟢 Strong"),IF(J395="No","🔴 Difficult","⚪ Unknown"))))</f>
        <v/>
      </c>
      <c r="CF395" s="37"/>
      <c r="CG395" s="37"/>
      <c r="CH395" s="38"/>
      <c r="CI395" s="38"/>
      <c r="CJ395" s="38"/>
      <c r="CK395" s="38"/>
    </row>
    <row r="396" customFormat="false" ht="15" hidden="false" customHeight="true" outlineLevel="0" collapsed="false">
      <c r="A396" s="26" t="str">
        <f aca="false">IF($C396="","",ROW()-3)</f>
        <v/>
      </c>
      <c r="B396" s="27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9"/>
      <c r="N396" s="29"/>
      <c r="O396" s="30" t="str">
        <f aca="false">IFERROR(IF(M396="","",M396*INDEX('00 - Lists'!$M$2:$M$11,MATCH(L396,'00 - Lists'!$L$2:$L$11,0))/100000),"")</f>
        <v/>
      </c>
      <c r="P396" s="30" t="str">
        <f aca="false">IFERROR(IF(N396="","",N396*INDEX('00 - Lists'!$M$2:$M$11,MATCH(L396,'00 - Lists'!$L$2:$L$11,0))/100000),"")</f>
        <v/>
      </c>
      <c r="Q396" s="31" t="str">
        <f aca="false">IFERROR(IF(M396="","",M396*INDEX('00 - Lists'!$N$2:$N$11,MATCH(L396,'00 - Lists'!$L$2:$L$11,0))),"")</f>
        <v/>
      </c>
      <c r="R396" s="31" t="str">
        <f aca="false">IFERROR(IF(N396="","",N396*INDEX('00 - Lists'!$N$2:$N$11,MATCH(L396,'00 - Lists'!$L$2:$L$11,0))),"")</f>
        <v/>
      </c>
      <c r="S396" s="32" t="str">
        <f aca="false">IF(O396="","",IF(O396&gt;=50,"Yes","No"))</f>
        <v/>
      </c>
      <c r="T396" s="32" t="str">
        <f aca="false">IF(Q396="","",IF(Q396&gt;=100000,"Yes","No"))</f>
        <v/>
      </c>
      <c r="U396" s="28"/>
      <c r="V396" s="28"/>
      <c r="W396" s="28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J396" s="34" t="str">
        <f aca="false">IF(OR($BD396&lt;&gt;"",$BF396&lt;&gt;"",$BH396&lt;&gt;""),"Yes","No")</f>
        <v>No</v>
      </c>
      <c r="BK396" s="35" t="str">
        <f aca="false">IFERROR(IF(BD396="","",BD396*INDEX('00 - Lists'!$M$2:$M$11,MATCH(L396,'00 - Lists'!$L$2:$L$11,0))/100000),"")</f>
        <v/>
      </c>
      <c r="BL396" s="35" t="str">
        <f aca="false">IFERROR(IF(BE396="","",BE396*INDEX('00 - Lists'!$M$2:$M$11,MATCH(L396,'00 - Lists'!$L$2:$L$11,0))/100000),"")</f>
        <v/>
      </c>
      <c r="BM396" s="35" t="str">
        <f aca="false">IFERROR(IF(BF396="","",BF396*INDEX('00 - Lists'!$M$2:$M$11,MATCH(L396,'00 - Lists'!$L$2:$L$11,0))/100000),"")</f>
        <v/>
      </c>
      <c r="BN396" s="35" t="str">
        <f aca="false">IFERROR(IF(BG396="","",BG396*INDEX('00 - Lists'!$M$2:$M$11,MATCH(L396,'00 - Lists'!$L$2:$L$11,0))/100000),"")</f>
        <v/>
      </c>
      <c r="BO396" s="35" t="str">
        <f aca="false">IFERROR(IF(BH396="","",BH396*INDEX('00 - Lists'!$M$2:$M$11,MATCH(L396,'00 - Lists'!$L$2:$L$11,0))/100000),"")</f>
        <v/>
      </c>
      <c r="BP396" s="35" t="str">
        <f aca="false">IFERROR(IF(BI396="","",BI396*INDEX('00 - Lists'!$M$2:$M$11,MATCH(L396,'00 - Lists'!$L$2:$L$11,0))/100000),"")</f>
        <v/>
      </c>
      <c r="BS396" s="36" t="str">
        <f aca="false">IF(O396="","",IF(O396&gt;=20,"Yes","No"))</f>
        <v/>
      </c>
      <c r="BT396" s="36" t="str">
        <f aca="false">IF(O396="","",IF(O396&gt;=30,"Yes","No"))</f>
        <v/>
      </c>
      <c r="BU396" s="36" t="str">
        <f aca="false">IF(O396="","",IF(O396&gt;=75,"Yes","No"))</f>
        <v/>
      </c>
      <c r="BV396" s="36" t="str">
        <f aca="false">IF(O396="","",IF(O396&gt;=100,"Yes","No"))</f>
        <v/>
      </c>
      <c r="BW396" s="36" t="str">
        <f aca="false">IF(O396="","",IF(O396&gt;=150,"Yes","No"))</f>
        <v/>
      </c>
      <c r="BX396" s="36" t="str">
        <f aca="false">IF(O396="","",IF(O396&gt;=200,"Yes","No"))</f>
        <v/>
      </c>
      <c r="BY396" s="36" t="str">
        <f aca="false">IF(Q396="","",IF(Q396&gt;=150000,"Yes","No"))</f>
        <v/>
      </c>
      <c r="BZ396" s="36" t="str">
        <f aca="false">IF(Q396="","",IF(Q396&gt;=200000,"Yes","No"))</f>
        <v/>
      </c>
      <c r="CA396" s="36" t="str">
        <f aca="false">IF(Q396="","",IF(Q396&gt;=250000,"Yes","No"))</f>
        <v/>
      </c>
      <c r="CB396" s="36" t="str">
        <f aca="false">IF(Q396="","",IF(Q396&gt;=300000,"Yes","No"))</f>
        <v/>
      </c>
      <c r="CC396" s="37"/>
      <c r="CD396" s="36" t="str">
        <f aca="true">IF(B396="","",IF(TODAY()-B396&lt;=7,"🟢 0-7d",IF(TODAY()-B396&lt;=30,"🟡 8-30d",IF(TODAY()-B396&lt;=60,"🟠 31-60d","🔴 60d+"))))</f>
        <v/>
      </c>
      <c r="CE396" s="36" t="str">
        <f aca="false">IF(G396="","",IF(G396&lt;&gt;"USA","N/A - Not USA Role",IF(J396="Yes",IF(OR(F396="Intern",F396="New Grad"),"🟡 Possible","🟢 Strong"),IF(J396="No","🔴 Difficult","⚪ Unknown"))))</f>
        <v/>
      </c>
      <c r="CF396" s="37"/>
      <c r="CG396" s="37"/>
      <c r="CH396" s="38"/>
      <c r="CI396" s="38"/>
      <c r="CJ396" s="38"/>
      <c r="CK396" s="38"/>
    </row>
    <row r="397" customFormat="false" ht="15" hidden="false" customHeight="true" outlineLevel="0" collapsed="false">
      <c r="A397" s="26" t="str">
        <f aca="false">IF($C397="","",ROW()-3)</f>
        <v/>
      </c>
      <c r="B397" s="27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9"/>
      <c r="N397" s="29"/>
      <c r="O397" s="30" t="str">
        <f aca="false">IFERROR(IF(M397="","",M397*INDEX('00 - Lists'!$M$2:$M$11,MATCH(L397,'00 - Lists'!$L$2:$L$11,0))/100000),"")</f>
        <v/>
      </c>
      <c r="P397" s="30" t="str">
        <f aca="false">IFERROR(IF(N397="","",N397*INDEX('00 - Lists'!$M$2:$M$11,MATCH(L397,'00 - Lists'!$L$2:$L$11,0))/100000),"")</f>
        <v/>
      </c>
      <c r="Q397" s="31" t="str">
        <f aca="false">IFERROR(IF(M397="","",M397*INDEX('00 - Lists'!$N$2:$N$11,MATCH(L397,'00 - Lists'!$L$2:$L$11,0))),"")</f>
        <v/>
      </c>
      <c r="R397" s="31" t="str">
        <f aca="false">IFERROR(IF(N397="","",N397*INDEX('00 - Lists'!$N$2:$N$11,MATCH(L397,'00 - Lists'!$L$2:$L$11,0))),"")</f>
        <v/>
      </c>
      <c r="S397" s="32" t="str">
        <f aca="false">IF(O397="","",IF(O397&gt;=50,"Yes","No"))</f>
        <v/>
      </c>
      <c r="T397" s="32" t="str">
        <f aca="false">IF(Q397="","",IF(Q397&gt;=100000,"Yes","No"))</f>
        <v/>
      </c>
      <c r="U397" s="28"/>
      <c r="V397" s="28"/>
      <c r="W397" s="28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J397" s="34" t="str">
        <f aca="false">IF(OR($BD397&lt;&gt;"",$BF397&lt;&gt;"",$BH397&lt;&gt;""),"Yes","No")</f>
        <v>No</v>
      </c>
      <c r="BK397" s="35" t="str">
        <f aca="false">IFERROR(IF(BD397="","",BD397*INDEX('00 - Lists'!$M$2:$M$11,MATCH(L397,'00 - Lists'!$L$2:$L$11,0))/100000),"")</f>
        <v/>
      </c>
      <c r="BL397" s="35" t="str">
        <f aca="false">IFERROR(IF(BE397="","",BE397*INDEX('00 - Lists'!$M$2:$M$11,MATCH(L397,'00 - Lists'!$L$2:$L$11,0))/100000),"")</f>
        <v/>
      </c>
      <c r="BM397" s="35" t="str">
        <f aca="false">IFERROR(IF(BF397="","",BF397*INDEX('00 - Lists'!$M$2:$M$11,MATCH(L397,'00 - Lists'!$L$2:$L$11,0))/100000),"")</f>
        <v/>
      </c>
      <c r="BN397" s="35" t="str">
        <f aca="false">IFERROR(IF(BG397="","",BG397*INDEX('00 - Lists'!$M$2:$M$11,MATCH(L397,'00 - Lists'!$L$2:$L$11,0))/100000),"")</f>
        <v/>
      </c>
      <c r="BO397" s="35" t="str">
        <f aca="false">IFERROR(IF(BH397="","",BH397*INDEX('00 - Lists'!$M$2:$M$11,MATCH(L397,'00 - Lists'!$L$2:$L$11,0))/100000),"")</f>
        <v/>
      </c>
      <c r="BP397" s="35" t="str">
        <f aca="false">IFERROR(IF(BI397="","",BI397*INDEX('00 - Lists'!$M$2:$M$11,MATCH(L397,'00 - Lists'!$L$2:$L$11,0))/100000),"")</f>
        <v/>
      </c>
      <c r="BS397" s="36" t="str">
        <f aca="false">IF(O397="","",IF(O397&gt;=20,"Yes","No"))</f>
        <v/>
      </c>
      <c r="BT397" s="36" t="str">
        <f aca="false">IF(O397="","",IF(O397&gt;=30,"Yes","No"))</f>
        <v/>
      </c>
      <c r="BU397" s="36" t="str">
        <f aca="false">IF(O397="","",IF(O397&gt;=75,"Yes","No"))</f>
        <v/>
      </c>
      <c r="BV397" s="36" t="str">
        <f aca="false">IF(O397="","",IF(O397&gt;=100,"Yes","No"))</f>
        <v/>
      </c>
      <c r="BW397" s="36" t="str">
        <f aca="false">IF(O397="","",IF(O397&gt;=150,"Yes","No"))</f>
        <v/>
      </c>
      <c r="BX397" s="36" t="str">
        <f aca="false">IF(O397="","",IF(O397&gt;=200,"Yes","No"))</f>
        <v/>
      </c>
      <c r="BY397" s="36" t="str">
        <f aca="false">IF(Q397="","",IF(Q397&gt;=150000,"Yes","No"))</f>
        <v/>
      </c>
      <c r="BZ397" s="36" t="str">
        <f aca="false">IF(Q397="","",IF(Q397&gt;=200000,"Yes","No"))</f>
        <v/>
      </c>
      <c r="CA397" s="36" t="str">
        <f aca="false">IF(Q397="","",IF(Q397&gt;=250000,"Yes","No"))</f>
        <v/>
      </c>
      <c r="CB397" s="36" t="str">
        <f aca="false">IF(Q397="","",IF(Q397&gt;=300000,"Yes","No"))</f>
        <v/>
      </c>
      <c r="CC397" s="37"/>
      <c r="CD397" s="36" t="str">
        <f aca="true">IF(B397="","",IF(TODAY()-B397&lt;=7,"🟢 0-7d",IF(TODAY()-B397&lt;=30,"🟡 8-30d",IF(TODAY()-B397&lt;=60,"🟠 31-60d","🔴 60d+"))))</f>
        <v/>
      </c>
      <c r="CE397" s="36" t="str">
        <f aca="false">IF(G397="","",IF(G397&lt;&gt;"USA","N/A - Not USA Role",IF(J397="Yes",IF(OR(F397="Intern",F397="New Grad"),"🟡 Possible","🟢 Strong"),IF(J397="No","🔴 Difficult","⚪ Unknown"))))</f>
        <v/>
      </c>
      <c r="CF397" s="37"/>
      <c r="CG397" s="37"/>
      <c r="CH397" s="38"/>
      <c r="CI397" s="38"/>
      <c r="CJ397" s="38"/>
      <c r="CK397" s="38"/>
    </row>
    <row r="398" customFormat="false" ht="15" hidden="false" customHeight="true" outlineLevel="0" collapsed="false">
      <c r="A398" s="26" t="str">
        <f aca="false">IF($C398="","",ROW()-3)</f>
        <v/>
      </c>
      <c r="B398" s="27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9"/>
      <c r="N398" s="29"/>
      <c r="O398" s="30" t="str">
        <f aca="false">IFERROR(IF(M398="","",M398*INDEX('00 - Lists'!$M$2:$M$11,MATCH(L398,'00 - Lists'!$L$2:$L$11,0))/100000),"")</f>
        <v/>
      </c>
      <c r="P398" s="30" t="str">
        <f aca="false">IFERROR(IF(N398="","",N398*INDEX('00 - Lists'!$M$2:$M$11,MATCH(L398,'00 - Lists'!$L$2:$L$11,0))/100000),"")</f>
        <v/>
      </c>
      <c r="Q398" s="31" t="str">
        <f aca="false">IFERROR(IF(M398="","",M398*INDEX('00 - Lists'!$N$2:$N$11,MATCH(L398,'00 - Lists'!$L$2:$L$11,0))),"")</f>
        <v/>
      </c>
      <c r="R398" s="31" t="str">
        <f aca="false">IFERROR(IF(N398="","",N398*INDEX('00 - Lists'!$N$2:$N$11,MATCH(L398,'00 - Lists'!$L$2:$L$11,0))),"")</f>
        <v/>
      </c>
      <c r="S398" s="32" t="str">
        <f aca="false">IF(O398="","",IF(O398&gt;=50,"Yes","No"))</f>
        <v/>
      </c>
      <c r="T398" s="32" t="str">
        <f aca="false">IF(Q398="","",IF(Q398&gt;=100000,"Yes","No"))</f>
        <v/>
      </c>
      <c r="U398" s="28"/>
      <c r="V398" s="28"/>
      <c r="W398" s="28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J398" s="34" t="str">
        <f aca="false">IF(OR($BD398&lt;&gt;"",$BF398&lt;&gt;"",$BH398&lt;&gt;""),"Yes","No")</f>
        <v>No</v>
      </c>
      <c r="BK398" s="35" t="str">
        <f aca="false">IFERROR(IF(BD398="","",BD398*INDEX('00 - Lists'!$M$2:$M$11,MATCH(L398,'00 - Lists'!$L$2:$L$11,0))/100000),"")</f>
        <v/>
      </c>
      <c r="BL398" s="35" t="str">
        <f aca="false">IFERROR(IF(BE398="","",BE398*INDEX('00 - Lists'!$M$2:$M$11,MATCH(L398,'00 - Lists'!$L$2:$L$11,0))/100000),"")</f>
        <v/>
      </c>
      <c r="BM398" s="35" t="str">
        <f aca="false">IFERROR(IF(BF398="","",BF398*INDEX('00 - Lists'!$M$2:$M$11,MATCH(L398,'00 - Lists'!$L$2:$L$11,0))/100000),"")</f>
        <v/>
      </c>
      <c r="BN398" s="35" t="str">
        <f aca="false">IFERROR(IF(BG398="","",BG398*INDEX('00 - Lists'!$M$2:$M$11,MATCH(L398,'00 - Lists'!$L$2:$L$11,0))/100000),"")</f>
        <v/>
      </c>
      <c r="BO398" s="35" t="str">
        <f aca="false">IFERROR(IF(BH398="","",BH398*INDEX('00 - Lists'!$M$2:$M$11,MATCH(L398,'00 - Lists'!$L$2:$L$11,0))/100000),"")</f>
        <v/>
      </c>
      <c r="BP398" s="35" t="str">
        <f aca="false">IFERROR(IF(BI398="","",BI398*INDEX('00 - Lists'!$M$2:$M$11,MATCH(L398,'00 - Lists'!$L$2:$L$11,0))/100000),"")</f>
        <v/>
      </c>
      <c r="BS398" s="36" t="str">
        <f aca="false">IF(O398="","",IF(O398&gt;=20,"Yes","No"))</f>
        <v/>
      </c>
      <c r="BT398" s="36" t="str">
        <f aca="false">IF(O398="","",IF(O398&gt;=30,"Yes","No"))</f>
        <v/>
      </c>
      <c r="BU398" s="36" t="str">
        <f aca="false">IF(O398="","",IF(O398&gt;=75,"Yes","No"))</f>
        <v/>
      </c>
      <c r="BV398" s="36" t="str">
        <f aca="false">IF(O398="","",IF(O398&gt;=100,"Yes","No"))</f>
        <v/>
      </c>
      <c r="BW398" s="36" t="str">
        <f aca="false">IF(O398="","",IF(O398&gt;=150,"Yes","No"))</f>
        <v/>
      </c>
      <c r="BX398" s="36" t="str">
        <f aca="false">IF(O398="","",IF(O398&gt;=200,"Yes","No"))</f>
        <v/>
      </c>
      <c r="BY398" s="36" t="str">
        <f aca="false">IF(Q398="","",IF(Q398&gt;=150000,"Yes","No"))</f>
        <v/>
      </c>
      <c r="BZ398" s="36" t="str">
        <f aca="false">IF(Q398="","",IF(Q398&gt;=200000,"Yes","No"))</f>
        <v/>
      </c>
      <c r="CA398" s="36" t="str">
        <f aca="false">IF(Q398="","",IF(Q398&gt;=250000,"Yes","No"))</f>
        <v/>
      </c>
      <c r="CB398" s="36" t="str">
        <f aca="false">IF(Q398="","",IF(Q398&gt;=300000,"Yes","No"))</f>
        <v/>
      </c>
      <c r="CC398" s="37"/>
      <c r="CD398" s="36" t="str">
        <f aca="true">IF(B398="","",IF(TODAY()-B398&lt;=7,"🟢 0-7d",IF(TODAY()-B398&lt;=30,"🟡 8-30d",IF(TODAY()-B398&lt;=60,"🟠 31-60d","🔴 60d+"))))</f>
        <v/>
      </c>
      <c r="CE398" s="36" t="str">
        <f aca="false">IF(G398="","",IF(G398&lt;&gt;"USA","N/A - Not USA Role",IF(J398="Yes",IF(OR(F398="Intern",F398="New Grad"),"🟡 Possible","🟢 Strong"),IF(J398="No","🔴 Difficult","⚪ Unknown"))))</f>
        <v/>
      </c>
      <c r="CF398" s="37"/>
      <c r="CG398" s="37"/>
      <c r="CH398" s="38"/>
      <c r="CI398" s="38"/>
      <c r="CJ398" s="38"/>
      <c r="CK398" s="38"/>
    </row>
    <row r="399" customFormat="false" ht="15" hidden="false" customHeight="true" outlineLevel="0" collapsed="false">
      <c r="A399" s="26" t="str">
        <f aca="false">IF($C399="","",ROW()-3)</f>
        <v/>
      </c>
      <c r="B399" s="27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9"/>
      <c r="N399" s="29"/>
      <c r="O399" s="30" t="str">
        <f aca="false">IFERROR(IF(M399="","",M399*INDEX('00 - Lists'!$M$2:$M$11,MATCH(L399,'00 - Lists'!$L$2:$L$11,0))/100000),"")</f>
        <v/>
      </c>
      <c r="P399" s="30" t="str">
        <f aca="false">IFERROR(IF(N399="","",N399*INDEX('00 - Lists'!$M$2:$M$11,MATCH(L399,'00 - Lists'!$L$2:$L$11,0))/100000),"")</f>
        <v/>
      </c>
      <c r="Q399" s="31" t="str">
        <f aca="false">IFERROR(IF(M399="","",M399*INDEX('00 - Lists'!$N$2:$N$11,MATCH(L399,'00 - Lists'!$L$2:$L$11,0))),"")</f>
        <v/>
      </c>
      <c r="R399" s="31" t="str">
        <f aca="false">IFERROR(IF(N399="","",N399*INDEX('00 - Lists'!$N$2:$N$11,MATCH(L399,'00 - Lists'!$L$2:$L$11,0))),"")</f>
        <v/>
      </c>
      <c r="S399" s="32" t="str">
        <f aca="false">IF(O399="","",IF(O399&gt;=50,"Yes","No"))</f>
        <v/>
      </c>
      <c r="T399" s="32" t="str">
        <f aca="false">IF(Q399="","",IF(Q399&gt;=100000,"Yes","No"))</f>
        <v/>
      </c>
      <c r="U399" s="28"/>
      <c r="V399" s="28"/>
      <c r="W399" s="28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J399" s="34" t="str">
        <f aca="false">IF(OR($BD399&lt;&gt;"",$BF399&lt;&gt;"",$BH399&lt;&gt;""),"Yes","No")</f>
        <v>No</v>
      </c>
      <c r="BK399" s="35" t="str">
        <f aca="false">IFERROR(IF(BD399="","",BD399*INDEX('00 - Lists'!$M$2:$M$11,MATCH(L399,'00 - Lists'!$L$2:$L$11,0))/100000),"")</f>
        <v/>
      </c>
      <c r="BL399" s="35" t="str">
        <f aca="false">IFERROR(IF(BE399="","",BE399*INDEX('00 - Lists'!$M$2:$M$11,MATCH(L399,'00 - Lists'!$L$2:$L$11,0))/100000),"")</f>
        <v/>
      </c>
      <c r="BM399" s="35" t="str">
        <f aca="false">IFERROR(IF(BF399="","",BF399*INDEX('00 - Lists'!$M$2:$M$11,MATCH(L399,'00 - Lists'!$L$2:$L$11,0))/100000),"")</f>
        <v/>
      </c>
      <c r="BN399" s="35" t="str">
        <f aca="false">IFERROR(IF(BG399="","",BG399*INDEX('00 - Lists'!$M$2:$M$11,MATCH(L399,'00 - Lists'!$L$2:$L$11,0))/100000),"")</f>
        <v/>
      </c>
      <c r="BO399" s="35" t="str">
        <f aca="false">IFERROR(IF(BH399="","",BH399*INDEX('00 - Lists'!$M$2:$M$11,MATCH(L399,'00 - Lists'!$L$2:$L$11,0))/100000),"")</f>
        <v/>
      </c>
      <c r="BP399" s="35" t="str">
        <f aca="false">IFERROR(IF(BI399="","",BI399*INDEX('00 - Lists'!$M$2:$M$11,MATCH(L399,'00 - Lists'!$L$2:$L$11,0))/100000),"")</f>
        <v/>
      </c>
      <c r="BS399" s="36" t="str">
        <f aca="false">IF(O399="","",IF(O399&gt;=20,"Yes","No"))</f>
        <v/>
      </c>
      <c r="BT399" s="36" t="str">
        <f aca="false">IF(O399="","",IF(O399&gt;=30,"Yes","No"))</f>
        <v/>
      </c>
      <c r="BU399" s="36" t="str">
        <f aca="false">IF(O399="","",IF(O399&gt;=75,"Yes","No"))</f>
        <v/>
      </c>
      <c r="BV399" s="36" t="str">
        <f aca="false">IF(O399="","",IF(O399&gt;=100,"Yes","No"))</f>
        <v/>
      </c>
      <c r="BW399" s="36" t="str">
        <f aca="false">IF(O399="","",IF(O399&gt;=150,"Yes","No"))</f>
        <v/>
      </c>
      <c r="BX399" s="36" t="str">
        <f aca="false">IF(O399="","",IF(O399&gt;=200,"Yes","No"))</f>
        <v/>
      </c>
      <c r="BY399" s="36" t="str">
        <f aca="false">IF(Q399="","",IF(Q399&gt;=150000,"Yes","No"))</f>
        <v/>
      </c>
      <c r="BZ399" s="36" t="str">
        <f aca="false">IF(Q399="","",IF(Q399&gt;=200000,"Yes","No"))</f>
        <v/>
      </c>
      <c r="CA399" s="36" t="str">
        <f aca="false">IF(Q399="","",IF(Q399&gt;=250000,"Yes","No"))</f>
        <v/>
      </c>
      <c r="CB399" s="36" t="str">
        <f aca="false">IF(Q399="","",IF(Q399&gt;=300000,"Yes","No"))</f>
        <v/>
      </c>
      <c r="CC399" s="37"/>
      <c r="CD399" s="36" t="str">
        <f aca="true">IF(B399="","",IF(TODAY()-B399&lt;=7,"🟢 0-7d",IF(TODAY()-B399&lt;=30,"🟡 8-30d",IF(TODAY()-B399&lt;=60,"🟠 31-60d","🔴 60d+"))))</f>
        <v/>
      </c>
      <c r="CE399" s="36" t="str">
        <f aca="false">IF(G399="","",IF(G399&lt;&gt;"USA","N/A - Not USA Role",IF(J399="Yes",IF(OR(F399="Intern",F399="New Grad"),"🟡 Possible","🟢 Strong"),IF(J399="No","🔴 Difficult","⚪ Unknown"))))</f>
        <v/>
      </c>
      <c r="CF399" s="37"/>
      <c r="CG399" s="37"/>
      <c r="CH399" s="38"/>
      <c r="CI399" s="38"/>
      <c r="CJ399" s="38"/>
      <c r="CK399" s="38"/>
    </row>
    <row r="400" customFormat="false" ht="15" hidden="false" customHeight="true" outlineLevel="0" collapsed="false">
      <c r="A400" s="26" t="str">
        <f aca="false">IF($C400="","",ROW()-3)</f>
        <v/>
      </c>
      <c r="B400" s="27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9"/>
      <c r="N400" s="29"/>
      <c r="O400" s="30" t="str">
        <f aca="false">IFERROR(IF(M400="","",M400*INDEX('00 - Lists'!$M$2:$M$11,MATCH(L400,'00 - Lists'!$L$2:$L$11,0))/100000),"")</f>
        <v/>
      </c>
      <c r="P400" s="30" t="str">
        <f aca="false">IFERROR(IF(N400="","",N400*INDEX('00 - Lists'!$M$2:$M$11,MATCH(L400,'00 - Lists'!$L$2:$L$11,0))/100000),"")</f>
        <v/>
      </c>
      <c r="Q400" s="31" t="str">
        <f aca="false">IFERROR(IF(M400="","",M400*INDEX('00 - Lists'!$N$2:$N$11,MATCH(L400,'00 - Lists'!$L$2:$L$11,0))),"")</f>
        <v/>
      </c>
      <c r="R400" s="31" t="str">
        <f aca="false">IFERROR(IF(N400="","",N400*INDEX('00 - Lists'!$N$2:$N$11,MATCH(L400,'00 - Lists'!$L$2:$L$11,0))),"")</f>
        <v/>
      </c>
      <c r="S400" s="32" t="str">
        <f aca="false">IF(O400="","",IF(O400&gt;=50,"Yes","No"))</f>
        <v/>
      </c>
      <c r="T400" s="32" t="str">
        <f aca="false">IF(Q400="","",IF(Q400&gt;=100000,"Yes","No"))</f>
        <v/>
      </c>
      <c r="U400" s="28"/>
      <c r="V400" s="28"/>
      <c r="W400" s="28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J400" s="34" t="str">
        <f aca="false">IF(OR($BD400&lt;&gt;"",$BF400&lt;&gt;"",$BH400&lt;&gt;""),"Yes","No")</f>
        <v>No</v>
      </c>
      <c r="BK400" s="35" t="str">
        <f aca="false">IFERROR(IF(BD400="","",BD400*INDEX('00 - Lists'!$M$2:$M$11,MATCH(L400,'00 - Lists'!$L$2:$L$11,0))/100000),"")</f>
        <v/>
      </c>
      <c r="BL400" s="35" t="str">
        <f aca="false">IFERROR(IF(BE400="","",BE400*INDEX('00 - Lists'!$M$2:$M$11,MATCH(L400,'00 - Lists'!$L$2:$L$11,0))/100000),"")</f>
        <v/>
      </c>
      <c r="BM400" s="35" t="str">
        <f aca="false">IFERROR(IF(BF400="","",BF400*INDEX('00 - Lists'!$M$2:$M$11,MATCH(L400,'00 - Lists'!$L$2:$L$11,0))/100000),"")</f>
        <v/>
      </c>
      <c r="BN400" s="35" t="str">
        <f aca="false">IFERROR(IF(BG400="","",BG400*INDEX('00 - Lists'!$M$2:$M$11,MATCH(L400,'00 - Lists'!$L$2:$L$11,0))/100000),"")</f>
        <v/>
      </c>
      <c r="BO400" s="35" t="str">
        <f aca="false">IFERROR(IF(BH400="","",BH400*INDEX('00 - Lists'!$M$2:$M$11,MATCH(L400,'00 - Lists'!$L$2:$L$11,0))/100000),"")</f>
        <v/>
      </c>
      <c r="BP400" s="35" t="str">
        <f aca="false">IFERROR(IF(BI400="","",BI400*INDEX('00 - Lists'!$M$2:$M$11,MATCH(L400,'00 - Lists'!$L$2:$L$11,0))/100000),"")</f>
        <v/>
      </c>
      <c r="BS400" s="36" t="str">
        <f aca="false">IF(O400="","",IF(O400&gt;=20,"Yes","No"))</f>
        <v/>
      </c>
      <c r="BT400" s="36" t="str">
        <f aca="false">IF(O400="","",IF(O400&gt;=30,"Yes","No"))</f>
        <v/>
      </c>
      <c r="BU400" s="36" t="str">
        <f aca="false">IF(O400="","",IF(O400&gt;=75,"Yes","No"))</f>
        <v/>
      </c>
      <c r="BV400" s="36" t="str">
        <f aca="false">IF(O400="","",IF(O400&gt;=100,"Yes","No"))</f>
        <v/>
      </c>
      <c r="BW400" s="36" t="str">
        <f aca="false">IF(O400="","",IF(O400&gt;=150,"Yes","No"))</f>
        <v/>
      </c>
      <c r="BX400" s="36" t="str">
        <f aca="false">IF(O400="","",IF(O400&gt;=200,"Yes","No"))</f>
        <v/>
      </c>
      <c r="BY400" s="36" t="str">
        <f aca="false">IF(Q400="","",IF(Q400&gt;=150000,"Yes","No"))</f>
        <v/>
      </c>
      <c r="BZ400" s="36" t="str">
        <f aca="false">IF(Q400="","",IF(Q400&gt;=200000,"Yes","No"))</f>
        <v/>
      </c>
      <c r="CA400" s="36" t="str">
        <f aca="false">IF(Q400="","",IF(Q400&gt;=250000,"Yes","No"))</f>
        <v/>
      </c>
      <c r="CB400" s="36" t="str">
        <f aca="false">IF(Q400="","",IF(Q400&gt;=300000,"Yes","No"))</f>
        <v/>
      </c>
      <c r="CC400" s="37"/>
      <c r="CD400" s="36" t="str">
        <f aca="true">IF(B400="","",IF(TODAY()-B400&lt;=7,"🟢 0-7d",IF(TODAY()-B400&lt;=30,"🟡 8-30d",IF(TODAY()-B400&lt;=60,"🟠 31-60d","🔴 60d+"))))</f>
        <v/>
      </c>
      <c r="CE400" s="36" t="str">
        <f aca="false">IF(G400="","",IF(G400&lt;&gt;"USA","N/A - Not USA Role",IF(J400="Yes",IF(OR(F400="Intern",F400="New Grad"),"🟡 Possible","🟢 Strong"),IF(J400="No","🔴 Difficult","⚪ Unknown"))))</f>
        <v/>
      </c>
      <c r="CF400" s="37"/>
      <c r="CG400" s="37"/>
      <c r="CH400" s="38"/>
      <c r="CI400" s="38"/>
      <c r="CJ400" s="38"/>
      <c r="CK400" s="38"/>
    </row>
    <row r="401" customFormat="false" ht="15" hidden="false" customHeight="true" outlineLevel="0" collapsed="false">
      <c r="A401" s="26" t="str">
        <f aca="false">IF($C401="","",ROW()-3)</f>
        <v/>
      </c>
      <c r="B401" s="27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9"/>
      <c r="N401" s="29"/>
      <c r="O401" s="30" t="str">
        <f aca="false">IFERROR(IF(M401="","",M401*INDEX('00 - Lists'!$M$2:$M$11,MATCH(L401,'00 - Lists'!$L$2:$L$11,0))/100000),"")</f>
        <v/>
      </c>
      <c r="P401" s="30" t="str">
        <f aca="false">IFERROR(IF(N401="","",N401*INDEX('00 - Lists'!$M$2:$M$11,MATCH(L401,'00 - Lists'!$L$2:$L$11,0))/100000),"")</f>
        <v/>
      </c>
      <c r="Q401" s="31" t="str">
        <f aca="false">IFERROR(IF(M401="","",M401*INDEX('00 - Lists'!$N$2:$N$11,MATCH(L401,'00 - Lists'!$L$2:$L$11,0))),"")</f>
        <v/>
      </c>
      <c r="R401" s="31" t="str">
        <f aca="false">IFERROR(IF(N401="","",N401*INDEX('00 - Lists'!$N$2:$N$11,MATCH(L401,'00 - Lists'!$L$2:$L$11,0))),"")</f>
        <v/>
      </c>
      <c r="S401" s="32" t="str">
        <f aca="false">IF(O401="","",IF(O401&gt;=50,"Yes","No"))</f>
        <v/>
      </c>
      <c r="T401" s="32" t="str">
        <f aca="false">IF(Q401="","",IF(Q401&gt;=100000,"Yes","No"))</f>
        <v/>
      </c>
      <c r="U401" s="28"/>
      <c r="V401" s="28"/>
      <c r="W401" s="28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J401" s="34" t="str">
        <f aca="false">IF(OR($BD401&lt;&gt;"",$BF401&lt;&gt;"",$BH401&lt;&gt;""),"Yes","No")</f>
        <v>No</v>
      </c>
      <c r="BK401" s="35" t="str">
        <f aca="false">IFERROR(IF(BD401="","",BD401*INDEX('00 - Lists'!$M$2:$M$11,MATCH(L401,'00 - Lists'!$L$2:$L$11,0))/100000),"")</f>
        <v/>
      </c>
      <c r="BL401" s="35" t="str">
        <f aca="false">IFERROR(IF(BE401="","",BE401*INDEX('00 - Lists'!$M$2:$M$11,MATCH(L401,'00 - Lists'!$L$2:$L$11,0))/100000),"")</f>
        <v/>
      </c>
      <c r="BM401" s="35" t="str">
        <f aca="false">IFERROR(IF(BF401="","",BF401*INDEX('00 - Lists'!$M$2:$M$11,MATCH(L401,'00 - Lists'!$L$2:$L$11,0))/100000),"")</f>
        <v/>
      </c>
      <c r="BN401" s="35" t="str">
        <f aca="false">IFERROR(IF(BG401="","",BG401*INDEX('00 - Lists'!$M$2:$M$11,MATCH(L401,'00 - Lists'!$L$2:$L$11,0))/100000),"")</f>
        <v/>
      </c>
      <c r="BO401" s="35" t="str">
        <f aca="false">IFERROR(IF(BH401="","",BH401*INDEX('00 - Lists'!$M$2:$M$11,MATCH(L401,'00 - Lists'!$L$2:$L$11,0))/100000),"")</f>
        <v/>
      </c>
      <c r="BP401" s="35" t="str">
        <f aca="false">IFERROR(IF(BI401="","",BI401*INDEX('00 - Lists'!$M$2:$M$11,MATCH(L401,'00 - Lists'!$L$2:$L$11,0))/100000),"")</f>
        <v/>
      </c>
      <c r="BS401" s="36" t="str">
        <f aca="false">IF(O401="","",IF(O401&gt;=20,"Yes","No"))</f>
        <v/>
      </c>
      <c r="BT401" s="36" t="str">
        <f aca="false">IF(O401="","",IF(O401&gt;=30,"Yes","No"))</f>
        <v/>
      </c>
      <c r="BU401" s="36" t="str">
        <f aca="false">IF(O401="","",IF(O401&gt;=75,"Yes","No"))</f>
        <v/>
      </c>
      <c r="BV401" s="36" t="str">
        <f aca="false">IF(O401="","",IF(O401&gt;=100,"Yes","No"))</f>
        <v/>
      </c>
      <c r="BW401" s="36" t="str">
        <f aca="false">IF(O401="","",IF(O401&gt;=150,"Yes","No"))</f>
        <v/>
      </c>
      <c r="BX401" s="36" t="str">
        <f aca="false">IF(O401="","",IF(O401&gt;=200,"Yes","No"))</f>
        <v/>
      </c>
      <c r="BY401" s="36" t="str">
        <f aca="false">IF(Q401="","",IF(Q401&gt;=150000,"Yes","No"))</f>
        <v/>
      </c>
      <c r="BZ401" s="36" t="str">
        <f aca="false">IF(Q401="","",IF(Q401&gt;=200000,"Yes","No"))</f>
        <v/>
      </c>
      <c r="CA401" s="36" t="str">
        <f aca="false">IF(Q401="","",IF(Q401&gt;=250000,"Yes","No"))</f>
        <v/>
      </c>
      <c r="CB401" s="36" t="str">
        <f aca="false">IF(Q401="","",IF(Q401&gt;=300000,"Yes","No"))</f>
        <v/>
      </c>
      <c r="CC401" s="37"/>
      <c r="CD401" s="36" t="str">
        <f aca="true">IF(B401="","",IF(TODAY()-B401&lt;=7,"🟢 0-7d",IF(TODAY()-B401&lt;=30,"🟡 8-30d",IF(TODAY()-B401&lt;=60,"🟠 31-60d","🔴 60d+"))))</f>
        <v/>
      </c>
      <c r="CE401" s="36" t="str">
        <f aca="false">IF(G401="","",IF(G401&lt;&gt;"USA","N/A - Not USA Role",IF(J401="Yes",IF(OR(F401="Intern",F401="New Grad"),"🟡 Possible","🟢 Strong"),IF(J401="No","🔴 Difficult","⚪ Unknown"))))</f>
        <v/>
      </c>
      <c r="CF401" s="37"/>
      <c r="CG401" s="37"/>
      <c r="CH401" s="38"/>
      <c r="CI401" s="38"/>
      <c r="CJ401" s="38"/>
      <c r="CK401" s="38"/>
    </row>
    <row r="402" customFormat="false" ht="15" hidden="false" customHeight="true" outlineLevel="0" collapsed="false">
      <c r="A402" s="26" t="str">
        <f aca="false">IF($C402="","",ROW()-3)</f>
        <v/>
      </c>
      <c r="B402" s="27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9"/>
      <c r="N402" s="29"/>
      <c r="O402" s="30" t="str">
        <f aca="false">IFERROR(IF(M402="","",M402*INDEX('00 - Lists'!$M$2:$M$11,MATCH(L402,'00 - Lists'!$L$2:$L$11,0))/100000),"")</f>
        <v/>
      </c>
      <c r="P402" s="30" t="str">
        <f aca="false">IFERROR(IF(N402="","",N402*INDEX('00 - Lists'!$M$2:$M$11,MATCH(L402,'00 - Lists'!$L$2:$L$11,0))/100000),"")</f>
        <v/>
      </c>
      <c r="Q402" s="31" t="str">
        <f aca="false">IFERROR(IF(M402="","",M402*INDEX('00 - Lists'!$N$2:$N$11,MATCH(L402,'00 - Lists'!$L$2:$L$11,0))),"")</f>
        <v/>
      </c>
      <c r="R402" s="31" t="str">
        <f aca="false">IFERROR(IF(N402="","",N402*INDEX('00 - Lists'!$N$2:$N$11,MATCH(L402,'00 - Lists'!$L$2:$L$11,0))),"")</f>
        <v/>
      </c>
      <c r="S402" s="32" t="str">
        <f aca="false">IF(O402="","",IF(O402&gt;=50,"Yes","No"))</f>
        <v/>
      </c>
      <c r="T402" s="32" t="str">
        <f aca="false">IF(Q402="","",IF(Q402&gt;=100000,"Yes","No"))</f>
        <v/>
      </c>
      <c r="U402" s="28"/>
      <c r="V402" s="28"/>
      <c r="W402" s="28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J402" s="34" t="str">
        <f aca="false">IF(OR($BD402&lt;&gt;"",$BF402&lt;&gt;"",$BH402&lt;&gt;""),"Yes","No")</f>
        <v>No</v>
      </c>
      <c r="BK402" s="35" t="str">
        <f aca="false">IFERROR(IF(BD402="","",BD402*INDEX('00 - Lists'!$M$2:$M$11,MATCH(L402,'00 - Lists'!$L$2:$L$11,0))/100000),"")</f>
        <v/>
      </c>
      <c r="BL402" s="35" t="str">
        <f aca="false">IFERROR(IF(BE402="","",BE402*INDEX('00 - Lists'!$M$2:$M$11,MATCH(L402,'00 - Lists'!$L$2:$L$11,0))/100000),"")</f>
        <v/>
      </c>
      <c r="BM402" s="35" t="str">
        <f aca="false">IFERROR(IF(BF402="","",BF402*INDEX('00 - Lists'!$M$2:$M$11,MATCH(L402,'00 - Lists'!$L$2:$L$11,0))/100000),"")</f>
        <v/>
      </c>
      <c r="BN402" s="35" t="str">
        <f aca="false">IFERROR(IF(BG402="","",BG402*INDEX('00 - Lists'!$M$2:$M$11,MATCH(L402,'00 - Lists'!$L$2:$L$11,0))/100000),"")</f>
        <v/>
      </c>
      <c r="BO402" s="35" t="str">
        <f aca="false">IFERROR(IF(BH402="","",BH402*INDEX('00 - Lists'!$M$2:$M$11,MATCH(L402,'00 - Lists'!$L$2:$L$11,0))/100000),"")</f>
        <v/>
      </c>
      <c r="BP402" s="35" t="str">
        <f aca="false">IFERROR(IF(BI402="","",BI402*INDEX('00 - Lists'!$M$2:$M$11,MATCH(L402,'00 - Lists'!$L$2:$L$11,0))/100000),"")</f>
        <v/>
      </c>
      <c r="BS402" s="36" t="str">
        <f aca="false">IF(O402="","",IF(O402&gt;=20,"Yes","No"))</f>
        <v/>
      </c>
      <c r="BT402" s="36" t="str">
        <f aca="false">IF(O402="","",IF(O402&gt;=30,"Yes","No"))</f>
        <v/>
      </c>
      <c r="BU402" s="36" t="str">
        <f aca="false">IF(O402="","",IF(O402&gt;=75,"Yes","No"))</f>
        <v/>
      </c>
      <c r="BV402" s="36" t="str">
        <f aca="false">IF(O402="","",IF(O402&gt;=100,"Yes","No"))</f>
        <v/>
      </c>
      <c r="BW402" s="36" t="str">
        <f aca="false">IF(O402="","",IF(O402&gt;=150,"Yes","No"))</f>
        <v/>
      </c>
      <c r="BX402" s="36" t="str">
        <f aca="false">IF(O402="","",IF(O402&gt;=200,"Yes","No"))</f>
        <v/>
      </c>
      <c r="BY402" s="36" t="str">
        <f aca="false">IF(Q402="","",IF(Q402&gt;=150000,"Yes","No"))</f>
        <v/>
      </c>
      <c r="BZ402" s="36" t="str">
        <f aca="false">IF(Q402="","",IF(Q402&gt;=200000,"Yes","No"))</f>
        <v/>
      </c>
      <c r="CA402" s="36" t="str">
        <f aca="false">IF(Q402="","",IF(Q402&gt;=250000,"Yes","No"))</f>
        <v/>
      </c>
      <c r="CB402" s="36" t="str">
        <f aca="false">IF(Q402="","",IF(Q402&gt;=300000,"Yes","No"))</f>
        <v/>
      </c>
      <c r="CC402" s="37"/>
      <c r="CD402" s="36" t="str">
        <f aca="true">IF(B402="","",IF(TODAY()-B402&lt;=7,"🟢 0-7d",IF(TODAY()-B402&lt;=30,"🟡 8-30d",IF(TODAY()-B402&lt;=60,"🟠 31-60d","🔴 60d+"))))</f>
        <v/>
      </c>
      <c r="CE402" s="36" t="str">
        <f aca="false">IF(G402="","",IF(G402&lt;&gt;"USA","N/A - Not USA Role",IF(J402="Yes",IF(OR(F402="Intern",F402="New Grad"),"🟡 Possible","🟢 Strong"),IF(J402="No","🔴 Difficult","⚪ Unknown"))))</f>
        <v/>
      </c>
      <c r="CF402" s="37"/>
      <c r="CG402" s="37"/>
      <c r="CH402" s="38"/>
      <c r="CI402" s="38"/>
      <c r="CJ402" s="38"/>
      <c r="CK402" s="38"/>
    </row>
    <row r="403" customFormat="false" ht="15" hidden="false" customHeight="true" outlineLevel="0" collapsed="false">
      <c r="A403" s="26" t="str">
        <f aca="false">IF($C403="","",ROW()-3)</f>
        <v/>
      </c>
      <c r="B403" s="27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9"/>
      <c r="N403" s="29"/>
      <c r="O403" s="30" t="str">
        <f aca="false">IFERROR(IF(M403="","",M403*INDEX('00 - Lists'!$M$2:$M$11,MATCH(L403,'00 - Lists'!$L$2:$L$11,0))/100000),"")</f>
        <v/>
      </c>
      <c r="P403" s="30" t="str">
        <f aca="false">IFERROR(IF(N403="","",N403*INDEX('00 - Lists'!$M$2:$M$11,MATCH(L403,'00 - Lists'!$L$2:$L$11,0))/100000),"")</f>
        <v/>
      </c>
      <c r="Q403" s="31" t="str">
        <f aca="false">IFERROR(IF(M403="","",M403*INDEX('00 - Lists'!$N$2:$N$11,MATCH(L403,'00 - Lists'!$L$2:$L$11,0))),"")</f>
        <v/>
      </c>
      <c r="R403" s="31" t="str">
        <f aca="false">IFERROR(IF(N403="","",N403*INDEX('00 - Lists'!$N$2:$N$11,MATCH(L403,'00 - Lists'!$L$2:$L$11,0))),"")</f>
        <v/>
      </c>
      <c r="S403" s="32" t="str">
        <f aca="false">IF(O403="","",IF(O403&gt;=50,"Yes","No"))</f>
        <v/>
      </c>
      <c r="T403" s="32" t="str">
        <f aca="false">IF(Q403="","",IF(Q403&gt;=100000,"Yes","No"))</f>
        <v/>
      </c>
      <c r="U403" s="28"/>
      <c r="V403" s="28"/>
      <c r="W403" s="28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J403" s="34" t="str">
        <f aca="false">IF(OR($BD403&lt;&gt;"",$BF403&lt;&gt;"",$BH403&lt;&gt;""),"Yes","No")</f>
        <v>No</v>
      </c>
      <c r="BK403" s="35" t="str">
        <f aca="false">IFERROR(IF(BD403="","",BD403*INDEX('00 - Lists'!$M$2:$M$11,MATCH(L403,'00 - Lists'!$L$2:$L$11,0))/100000),"")</f>
        <v/>
      </c>
      <c r="BL403" s="35" t="str">
        <f aca="false">IFERROR(IF(BE403="","",BE403*INDEX('00 - Lists'!$M$2:$M$11,MATCH(L403,'00 - Lists'!$L$2:$L$11,0))/100000),"")</f>
        <v/>
      </c>
      <c r="BM403" s="35" t="str">
        <f aca="false">IFERROR(IF(BF403="","",BF403*INDEX('00 - Lists'!$M$2:$M$11,MATCH(L403,'00 - Lists'!$L$2:$L$11,0))/100000),"")</f>
        <v/>
      </c>
      <c r="BN403" s="35" t="str">
        <f aca="false">IFERROR(IF(BG403="","",BG403*INDEX('00 - Lists'!$M$2:$M$11,MATCH(L403,'00 - Lists'!$L$2:$L$11,0))/100000),"")</f>
        <v/>
      </c>
      <c r="BO403" s="35" t="str">
        <f aca="false">IFERROR(IF(BH403="","",BH403*INDEX('00 - Lists'!$M$2:$M$11,MATCH(L403,'00 - Lists'!$L$2:$L$11,0))/100000),"")</f>
        <v/>
      </c>
      <c r="BP403" s="35" t="str">
        <f aca="false">IFERROR(IF(BI403="","",BI403*INDEX('00 - Lists'!$M$2:$M$11,MATCH(L403,'00 - Lists'!$L$2:$L$11,0))/100000),"")</f>
        <v/>
      </c>
      <c r="BS403" s="36" t="str">
        <f aca="false">IF(O403="","",IF(O403&gt;=20,"Yes","No"))</f>
        <v/>
      </c>
      <c r="BT403" s="36" t="str">
        <f aca="false">IF(O403="","",IF(O403&gt;=30,"Yes","No"))</f>
        <v/>
      </c>
      <c r="BU403" s="36" t="str">
        <f aca="false">IF(O403="","",IF(O403&gt;=75,"Yes","No"))</f>
        <v/>
      </c>
      <c r="BV403" s="36" t="str">
        <f aca="false">IF(O403="","",IF(O403&gt;=100,"Yes","No"))</f>
        <v/>
      </c>
      <c r="BW403" s="36" t="str">
        <f aca="false">IF(O403="","",IF(O403&gt;=150,"Yes","No"))</f>
        <v/>
      </c>
      <c r="BX403" s="36" t="str">
        <f aca="false">IF(O403="","",IF(O403&gt;=200,"Yes","No"))</f>
        <v/>
      </c>
      <c r="BY403" s="36" t="str">
        <f aca="false">IF(Q403="","",IF(Q403&gt;=150000,"Yes","No"))</f>
        <v/>
      </c>
      <c r="BZ403" s="36" t="str">
        <f aca="false">IF(Q403="","",IF(Q403&gt;=200000,"Yes","No"))</f>
        <v/>
      </c>
      <c r="CA403" s="36" t="str">
        <f aca="false">IF(Q403="","",IF(Q403&gt;=250000,"Yes","No"))</f>
        <v/>
      </c>
      <c r="CB403" s="36" t="str">
        <f aca="false">IF(Q403="","",IF(Q403&gt;=300000,"Yes","No"))</f>
        <v/>
      </c>
      <c r="CC403" s="37"/>
      <c r="CD403" s="36" t="str">
        <f aca="true">IF(B403="","",IF(TODAY()-B403&lt;=7,"🟢 0-7d",IF(TODAY()-B403&lt;=30,"🟡 8-30d",IF(TODAY()-B403&lt;=60,"🟠 31-60d","🔴 60d+"))))</f>
        <v/>
      </c>
      <c r="CE403" s="36" t="str">
        <f aca="false">IF(G403="","",IF(G403&lt;&gt;"USA","N/A - Not USA Role",IF(J403="Yes",IF(OR(F403="Intern",F403="New Grad"),"🟡 Possible","🟢 Strong"),IF(J403="No","🔴 Difficult","⚪ Unknown"))))</f>
        <v/>
      </c>
      <c r="CF403" s="37"/>
      <c r="CG403" s="37"/>
      <c r="CH403" s="38"/>
      <c r="CI403" s="38"/>
      <c r="CJ403" s="38"/>
      <c r="CK403" s="38"/>
    </row>
    <row r="404" customFormat="false" ht="15" hidden="false" customHeight="true" outlineLevel="0" collapsed="false">
      <c r="A404" s="26" t="str">
        <f aca="false">IF($C404="","",ROW()-3)</f>
        <v/>
      </c>
      <c r="B404" s="27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9"/>
      <c r="N404" s="29"/>
      <c r="O404" s="30" t="str">
        <f aca="false">IFERROR(IF(M404="","",M404*INDEX('00 - Lists'!$M$2:$M$11,MATCH(L404,'00 - Lists'!$L$2:$L$11,0))/100000),"")</f>
        <v/>
      </c>
      <c r="P404" s="30" t="str">
        <f aca="false">IFERROR(IF(N404="","",N404*INDEX('00 - Lists'!$M$2:$M$11,MATCH(L404,'00 - Lists'!$L$2:$L$11,0))/100000),"")</f>
        <v/>
      </c>
      <c r="Q404" s="31" t="str">
        <f aca="false">IFERROR(IF(M404="","",M404*INDEX('00 - Lists'!$N$2:$N$11,MATCH(L404,'00 - Lists'!$L$2:$L$11,0))),"")</f>
        <v/>
      </c>
      <c r="R404" s="31" t="str">
        <f aca="false">IFERROR(IF(N404="","",N404*INDEX('00 - Lists'!$N$2:$N$11,MATCH(L404,'00 - Lists'!$L$2:$L$11,0))),"")</f>
        <v/>
      </c>
      <c r="S404" s="32" t="str">
        <f aca="false">IF(O404="","",IF(O404&gt;=50,"Yes","No"))</f>
        <v/>
      </c>
      <c r="T404" s="32" t="str">
        <f aca="false">IF(Q404="","",IF(Q404&gt;=100000,"Yes","No"))</f>
        <v/>
      </c>
      <c r="U404" s="28"/>
      <c r="V404" s="28"/>
      <c r="W404" s="28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J404" s="34" t="str">
        <f aca="false">IF(OR($BD404&lt;&gt;"",$BF404&lt;&gt;"",$BH404&lt;&gt;""),"Yes","No")</f>
        <v>No</v>
      </c>
      <c r="BK404" s="35" t="str">
        <f aca="false">IFERROR(IF(BD404="","",BD404*INDEX('00 - Lists'!$M$2:$M$11,MATCH(L404,'00 - Lists'!$L$2:$L$11,0))/100000),"")</f>
        <v/>
      </c>
      <c r="BL404" s="35" t="str">
        <f aca="false">IFERROR(IF(BE404="","",BE404*INDEX('00 - Lists'!$M$2:$M$11,MATCH(L404,'00 - Lists'!$L$2:$L$11,0))/100000),"")</f>
        <v/>
      </c>
      <c r="BM404" s="35" t="str">
        <f aca="false">IFERROR(IF(BF404="","",BF404*INDEX('00 - Lists'!$M$2:$M$11,MATCH(L404,'00 - Lists'!$L$2:$L$11,0))/100000),"")</f>
        <v/>
      </c>
      <c r="BN404" s="35" t="str">
        <f aca="false">IFERROR(IF(BG404="","",BG404*INDEX('00 - Lists'!$M$2:$M$11,MATCH(L404,'00 - Lists'!$L$2:$L$11,0))/100000),"")</f>
        <v/>
      </c>
      <c r="BO404" s="35" t="str">
        <f aca="false">IFERROR(IF(BH404="","",BH404*INDEX('00 - Lists'!$M$2:$M$11,MATCH(L404,'00 - Lists'!$L$2:$L$11,0))/100000),"")</f>
        <v/>
      </c>
      <c r="BP404" s="35" t="str">
        <f aca="false">IFERROR(IF(BI404="","",BI404*INDEX('00 - Lists'!$M$2:$M$11,MATCH(L404,'00 - Lists'!$L$2:$L$11,0))/100000),"")</f>
        <v/>
      </c>
      <c r="BS404" s="36" t="str">
        <f aca="false">IF(O404="","",IF(O404&gt;=20,"Yes","No"))</f>
        <v/>
      </c>
      <c r="BT404" s="36" t="str">
        <f aca="false">IF(O404="","",IF(O404&gt;=30,"Yes","No"))</f>
        <v/>
      </c>
      <c r="BU404" s="36" t="str">
        <f aca="false">IF(O404="","",IF(O404&gt;=75,"Yes","No"))</f>
        <v/>
      </c>
      <c r="BV404" s="36" t="str">
        <f aca="false">IF(O404="","",IF(O404&gt;=100,"Yes","No"))</f>
        <v/>
      </c>
      <c r="BW404" s="36" t="str">
        <f aca="false">IF(O404="","",IF(O404&gt;=150,"Yes","No"))</f>
        <v/>
      </c>
      <c r="BX404" s="36" t="str">
        <f aca="false">IF(O404="","",IF(O404&gt;=200,"Yes","No"))</f>
        <v/>
      </c>
      <c r="BY404" s="36" t="str">
        <f aca="false">IF(Q404="","",IF(Q404&gt;=150000,"Yes","No"))</f>
        <v/>
      </c>
      <c r="BZ404" s="36" t="str">
        <f aca="false">IF(Q404="","",IF(Q404&gt;=200000,"Yes","No"))</f>
        <v/>
      </c>
      <c r="CA404" s="36" t="str">
        <f aca="false">IF(Q404="","",IF(Q404&gt;=250000,"Yes","No"))</f>
        <v/>
      </c>
      <c r="CB404" s="36" t="str">
        <f aca="false">IF(Q404="","",IF(Q404&gt;=300000,"Yes","No"))</f>
        <v/>
      </c>
      <c r="CC404" s="37"/>
      <c r="CD404" s="36" t="str">
        <f aca="true">IF(B404="","",IF(TODAY()-B404&lt;=7,"🟢 0-7d",IF(TODAY()-B404&lt;=30,"🟡 8-30d",IF(TODAY()-B404&lt;=60,"🟠 31-60d","🔴 60d+"))))</f>
        <v/>
      </c>
      <c r="CE404" s="36" t="str">
        <f aca="false">IF(G404="","",IF(G404&lt;&gt;"USA","N/A - Not USA Role",IF(J404="Yes",IF(OR(F404="Intern",F404="New Grad"),"🟡 Possible","🟢 Strong"),IF(J404="No","🔴 Difficult","⚪ Unknown"))))</f>
        <v/>
      </c>
      <c r="CF404" s="37"/>
      <c r="CG404" s="37"/>
      <c r="CH404" s="38"/>
      <c r="CI404" s="38"/>
      <c r="CJ404" s="38"/>
      <c r="CK404" s="38"/>
    </row>
    <row r="405" customFormat="false" ht="15" hidden="false" customHeight="true" outlineLevel="0" collapsed="false">
      <c r="A405" s="26" t="str">
        <f aca="false">IF($C405="","",ROW()-3)</f>
        <v/>
      </c>
      <c r="B405" s="27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9"/>
      <c r="N405" s="29"/>
      <c r="O405" s="30" t="str">
        <f aca="false">IFERROR(IF(M405="","",M405*INDEX('00 - Lists'!$M$2:$M$11,MATCH(L405,'00 - Lists'!$L$2:$L$11,0))/100000),"")</f>
        <v/>
      </c>
      <c r="P405" s="30" t="str">
        <f aca="false">IFERROR(IF(N405="","",N405*INDEX('00 - Lists'!$M$2:$M$11,MATCH(L405,'00 - Lists'!$L$2:$L$11,0))/100000),"")</f>
        <v/>
      </c>
      <c r="Q405" s="31" t="str">
        <f aca="false">IFERROR(IF(M405="","",M405*INDEX('00 - Lists'!$N$2:$N$11,MATCH(L405,'00 - Lists'!$L$2:$L$11,0))),"")</f>
        <v/>
      </c>
      <c r="R405" s="31" t="str">
        <f aca="false">IFERROR(IF(N405="","",N405*INDEX('00 - Lists'!$N$2:$N$11,MATCH(L405,'00 - Lists'!$L$2:$L$11,0))),"")</f>
        <v/>
      </c>
      <c r="S405" s="32" t="str">
        <f aca="false">IF(O405="","",IF(O405&gt;=50,"Yes","No"))</f>
        <v/>
      </c>
      <c r="T405" s="32" t="str">
        <f aca="false">IF(Q405="","",IF(Q405&gt;=100000,"Yes","No"))</f>
        <v/>
      </c>
      <c r="U405" s="28"/>
      <c r="V405" s="28"/>
      <c r="W405" s="28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J405" s="34" t="str">
        <f aca="false">IF(OR($BD405&lt;&gt;"",$BF405&lt;&gt;"",$BH405&lt;&gt;""),"Yes","No")</f>
        <v>No</v>
      </c>
      <c r="BK405" s="35" t="str">
        <f aca="false">IFERROR(IF(BD405="","",BD405*INDEX('00 - Lists'!$M$2:$M$11,MATCH(L405,'00 - Lists'!$L$2:$L$11,0))/100000),"")</f>
        <v/>
      </c>
      <c r="BL405" s="35" t="str">
        <f aca="false">IFERROR(IF(BE405="","",BE405*INDEX('00 - Lists'!$M$2:$M$11,MATCH(L405,'00 - Lists'!$L$2:$L$11,0))/100000),"")</f>
        <v/>
      </c>
      <c r="BM405" s="35" t="str">
        <f aca="false">IFERROR(IF(BF405="","",BF405*INDEX('00 - Lists'!$M$2:$M$11,MATCH(L405,'00 - Lists'!$L$2:$L$11,0))/100000),"")</f>
        <v/>
      </c>
      <c r="BN405" s="35" t="str">
        <f aca="false">IFERROR(IF(BG405="","",BG405*INDEX('00 - Lists'!$M$2:$M$11,MATCH(L405,'00 - Lists'!$L$2:$L$11,0))/100000),"")</f>
        <v/>
      </c>
      <c r="BO405" s="35" t="str">
        <f aca="false">IFERROR(IF(BH405="","",BH405*INDEX('00 - Lists'!$M$2:$M$11,MATCH(L405,'00 - Lists'!$L$2:$L$11,0))/100000),"")</f>
        <v/>
      </c>
      <c r="BP405" s="35" t="str">
        <f aca="false">IFERROR(IF(BI405="","",BI405*INDEX('00 - Lists'!$M$2:$M$11,MATCH(L405,'00 - Lists'!$L$2:$L$11,0))/100000),"")</f>
        <v/>
      </c>
      <c r="BS405" s="36" t="str">
        <f aca="false">IF(O405="","",IF(O405&gt;=20,"Yes","No"))</f>
        <v/>
      </c>
      <c r="BT405" s="36" t="str">
        <f aca="false">IF(O405="","",IF(O405&gt;=30,"Yes","No"))</f>
        <v/>
      </c>
      <c r="BU405" s="36" t="str">
        <f aca="false">IF(O405="","",IF(O405&gt;=75,"Yes","No"))</f>
        <v/>
      </c>
      <c r="BV405" s="36" t="str">
        <f aca="false">IF(O405="","",IF(O405&gt;=100,"Yes","No"))</f>
        <v/>
      </c>
      <c r="BW405" s="36" t="str">
        <f aca="false">IF(O405="","",IF(O405&gt;=150,"Yes","No"))</f>
        <v/>
      </c>
      <c r="BX405" s="36" t="str">
        <f aca="false">IF(O405="","",IF(O405&gt;=200,"Yes","No"))</f>
        <v/>
      </c>
      <c r="BY405" s="36" t="str">
        <f aca="false">IF(Q405="","",IF(Q405&gt;=150000,"Yes","No"))</f>
        <v/>
      </c>
      <c r="BZ405" s="36" t="str">
        <f aca="false">IF(Q405="","",IF(Q405&gt;=200000,"Yes","No"))</f>
        <v/>
      </c>
      <c r="CA405" s="36" t="str">
        <f aca="false">IF(Q405="","",IF(Q405&gt;=250000,"Yes","No"))</f>
        <v/>
      </c>
      <c r="CB405" s="36" t="str">
        <f aca="false">IF(Q405="","",IF(Q405&gt;=300000,"Yes","No"))</f>
        <v/>
      </c>
      <c r="CC405" s="37"/>
      <c r="CD405" s="36" t="str">
        <f aca="true">IF(B405="","",IF(TODAY()-B405&lt;=7,"🟢 0-7d",IF(TODAY()-B405&lt;=30,"🟡 8-30d",IF(TODAY()-B405&lt;=60,"🟠 31-60d","🔴 60d+"))))</f>
        <v/>
      </c>
      <c r="CE405" s="36" t="str">
        <f aca="false">IF(G405="","",IF(G405&lt;&gt;"USA","N/A - Not USA Role",IF(J405="Yes",IF(OR(F405="Intern",F405="New Grad"),"🟡 Possible","🟢 Strong"),IF(J405="No","🔴 Difficult","⚪ Unknown"))))</f>
        <v/>
      </c>
      <c r="CF405" s="37"/>
      <c r="CG405" s="37"/>
      <c r="CH405" s="38"/>
      <c r="CI405" s="38"/>
      <c r="CJ405" s="38"/>
      <c r="CK405" s="38"/>
    </row>
    <row r="406" customFormat="false" ht="15" hidden="false" customHeight="true" outlineLevel="0" collapsed="false">
      <c r="A406" s="26" t="str">
        <f aca="false">IF($C406="","",ROW()-3)</f>
        <v/>
      </c>
      <c r="B406" s="27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9"/>
      <c r="N406" s="29"/>
      <c r="O406" s="30" t="str">
        <f aca="false">IFERROR(IF(M406="","",M406*INDEX('00 - Lists'!$M$2:$M$11,MATCH(L406,'00 - Lists'!$L$2:$L$11,0))/100000),"")</f>
        <v/>
      </c>
      <c r="P406" s="30" t="str">
        <f aca="false">IFERROR(IF(N406="","",N406*INDEX('00 - Lists'!$M$2:$M$11,MATCH(L406,'00 - Lists'!$L$2:$L$11,0))/100000),"")</f>
        <v/>
      </c>
      <c r="Q406" s="31" t="str">
        <f aca="false">IFERROR(IF(M406="","",M406*INDEX('00 - Lists'!$N$2:$N$11,MATCH(L406,'00 - Lists'!$L$2:$L$11,0))),"")</f>
        <v/>
      </c>
      <c r="R406" s="31" t="str">
        <f aca="false">IFERROR(IF(N406="","",N406*INDEX('00 - Lists'!$N$2:$N$11,MATCH(L406,'00 - Lists'!$L$2:$L$11,0))),"")</f>
        <v/>
      </c>
      <c r="S406" s="32" t="str">
        <f aca="false">IF(O406="","",IF(O406&gt;=50,"Yes","No"))</f>
        <v/>
      </c>
      <c r="T406" s="32" t="str">
        <f aca="false">IF(Q406="","",IF(Q406&gt;=100000,"Yes","No"))</f>
        <v/>
      </c>
      <c r="U406" s="28"/>
      <c r="V406" s="28"/>
      <c r="W406" s="28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J406" s="34" t="str">
        <f aca="false">IF(OR($BD406&lt;&gt;"",$BF406&lt;&gt;"",$BH406&lt;&gt;""),"Yes","No")</f>
        <v>No</v>
      </c>
      <c r="BK406" s="35" t="str">
        <f aca="false">IFERROR(IF(BD406="","",BD406*INDEX('00 - Lists'!$M$2:$M$11,MATCH(L406,'00 - Lists'!$L$2:$L$11,0))/100000),"")</f>
        <v/>
      </c>
      <c r="BL406" s="35" t="str">
        <f aca="false">IFERROR(IF(BE406="","",BE406*INDEX('00 - Lists'!$M$2:$M$11,MATCH(L406,'00 - Lists'!$L$2:$L$11,0))/100000),"")</f>
        <v/>
      </c>
      <c r="BM406" s="35" t="str">
        <f aca="false">IFERROR(IF(BF406="","",BF406*INDEX('00 - Lists'!$M$2:$M$11,MATCH(L406,'00 - Lists'!$L$2:$L$11,0))/100000),"")</f>
        <v/>
      </c>
      <c r="BN406" s="35" t="str">
        <f aca="false">IFERROR(IF(BG406="","",BG406*INDEX('00 - Lists'!$M$2:$M$11,MATCH(L406,'00 - Lists'!$L$2:$L$11,0))/100000),"")</f>
        <v/>
      </c>
      <c r="BO406" s="35" t="str">
        <f aca="false">IFERROR(IF(BH406="","",BH406*INDEX('00 - Lists'!$M$2:$M$11,MATCH(L406,'00 - Lists'!$L$2:$L$11,0))/100000),"")</f>
        <v/>
      </c>
      <c r="BP406" s="35" t="str">
        <f aca="false">IFERROR(IF(BI406="","",BI406*INDEX('00 - Lists'!$M$2:$M$11,MATCH(L406,'00 - Lists'!$L$2:$L$11,0))/100000),"")</f>
        <v/>
      </c>
      <c r="BS406" s="36" t="str">
        <f aca="false">IF(O406="","",IF(O406&gt;=20,"Yes","No"))</f>
        <v/>
      </c>
      <c r="BT406" s="36" t="str">
        <f aca="false">IF(O406="","",IF(O406&gt;=30,"Yes","No"))</f>
        <v/>
      </c>
      <c r="BU406" s="36" t="str">
        <f aca="false">IF(O406="","",IF(O406&gt;=75,"Yes","No"))</f>
        <v/>
      </c>
      <c r="BV406" s="36" t="str">
        <f aca="false">IF(O406="","",IF(O406&gt;=100,"Yes","No"))</f>
        <v/>
      </c>
      <c r="BW406" s="36" t="str">
        <f aca="false">IF(O406="","",IF(O406&gt;=150,"Yes","No"))</f>
        <v/>
      </c>
      <c r="BX406" s="36" t="str">
        <f aca="false">IF(O406="","",IF(O406&gt;=200,"Yes","No"))</f>
        <v/>
      </c>
      <c r="BY406" s="36" t="str">
        <f aca="false">IF(Q406="","",IF(Q406&gt;=150000,"Yes","No"))</f>
        <v/>
      </c>
      <c r="BZ406" s="36" t="str">
        <f aca="false">IF(Q406="","",IF(Q406&gt;=200000,"Yes","No"))</f>
        <v/>
      </c>
      <c r="CA406" s="36" t="str">
        <f aca="false">IF(Q406="","",IF(Q406&gt;=250000,"Yes","No"))</f>
        <v/>
      </c>
      <c r="CB406" s="36" t="str">
        <f aca="false">IF(Q406="","",IF(Q406&gt;=300000,"Yes","No"))</f>
        <v/>
      </c>
      <c r="CC406" s="37"/>
      <c r="CD406" s="36" t="str">
        <f aca="true">IF(B406="","",IF(TODAY()-B406&lt;=7,"🟢 0-7d",IF(TODAY()-B406&lt;=30,"🟡 8-30d",IF(TODAY()-B406&lt;=60,"🟠 31-60d","🔴 60d+"))))</f>
        <v/>
      </c>
      <c r="CE406" s="36" t="str">
        <f aca="false">IF(G406="","",IF(G406&lt;&gt;"USA","N/A - Not USA Role",IF(J406="Yes",IF(OR(F406="Intern",F406="New Grad"),"🟡 Possible","🟢 Strong"),IF(J406="No","🔴 Difficult","⚪ Unknown"))))</f>
        <v/>
      </c>
      <c r="CF406" s="37"/>
      <c r="CG406" s="37"/>
      <c r="CH406" s="38"/>
      <c r="CI406" s="38"/>
      <c r="CJ406" s="38"/>
      <c r="CK406" s="38"/>
    </row>
    <row r="407" customFormat="false" ht="15" hidden="false" customHeight="true" outlineLevel="0" collapsed="false">
      <c r="A407" s="26" t="str">
        <f aca="false">IF($C407="","",ROW()-3)</f>
        <v/>
      </c>
      <c r="B407" s="27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9"/>
      <c r="N407" s="29"/>
      <c r="O407" s="30" t="str">
        <f aca="false">IFERROR(IF(M407="","",M407*INDEX('00 - Lists'!$M$2:$M$11,MATCH(L407,'00 - Lists'!$L$2:$L$11,0))/100000),"")</f>
        <v/>
      </c>
      <c r="P407" s="30" t="str">
        <f aca="false">IFERROR(IF(N407="","",N407*INDEX('00 - Lists'!$M$2:$M$11,MATCH(L407,'00 - Lists'!$L$2:$L$11,0))/100000),"")</f>
        <v/>
      </c>
      <c r="Q407" s="31" t="str">
        <f aca="false">IFERROR(IF(M407="","",M407*INDEX('00 - Lists'!$N$2:$N$11,MATCH(L407,'00 - Lists'!$L$2:$L$11,0))),"")</f>
        <v/>
      </c>
      <c r="R407" s="31" t="str">
        <f aca="false">IFERROR(IF(N407="","",N407*INDEX('00 - Lists'!$N$2:$N$11,MATCH(L407,'00 - Lists'!$L$2:$L$11,0))),"")</f>
        <v/>
      </c>
      <c r="S407" s="32" t="str">
        <f aca="false">IF(O407="","",IF(O407&gt;=50,"Yes","No"))</f>
        <v/>
      </c>
      <c r="T407" s="32" t="str">
        <f aca="false">IF(Q407="","",IF(Q407&gt;=100000,"Yes","No"))</f>
        <v/>
      </c>
      <c r="U407" s="28"/>
      <c r="V407" s="28"/>
      <c r="W407" s="28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J407" s="34" t="str">
        <f aca="false">IF(OR($BD407&lt;&gt;"",$BF407&lt;&gt;"",$BH407&lt;&gt;""),"Yes","No")</f>
        <v>No</v>
      </c>
      <c r="BK407" s="35" t="str">
        <f aca="false">IFERROR(IF(BD407="","",BD407*INDEX('00 - Lists'!$M$2:$M$11,MATCH(L407,'00 - Lists'!$L$2:$L$11,0))/100000),"")</f>
        <v/>
      </c>
      <c r="BL407" s="35" t="str">
        <f aca="false">IFERROR(IF(BE407="","",BE407*INDEX('00 - Lists'!$M$2:$M$11,MATCH(L407,'00 - Lists'!$L$2:$L$11,0))/100000),"")</f>
        <v/>
      </c>
      <c r="BM407" s="35" t="str">
        <f aca="false">IFERROR(IF(BF407="","",BF407*INDEX('00 - Lists'!$M$2:$M$11,MATCH(L407,'00 - Lists'!$L$2:$L$11,0))/100000),"")</f>
        <v/>
      </c>
      <c r="BN407" s="35" t="str">
        <f aca="false">IFERROR(IF(BG407="","",BG407*INDEX('00 - Lists'!$M$2:$M$11,MATCH(L407,'00 - Lists'!$L$2:$L$11,0))/100000),"")</f>
        <v/>
      </c>
      <c r="BO407" s="35" t="str">
        <f aca="false">IFERROR(IF(BH407="","",BH407*INDEX('00 - Lists'!$M$2:$M$11,MATCH(L407,'00 - Lists'!$L$2:$L$11,0))/100000),"")</f>
        <v/>
      </c>
      <c r="BP407" s="35" t="str">
        <f aca="false">IFERROR(IF(BI407="","",BI407*INDEX('00 - Lists'!$M$2:$M$11,MATCH(L407,'00 - Lists'!$L$2:$L$11,0))/100000),"")</f>
        <v/>
      </c>
      <c r="BS407" s="36" t="str">
        <f aca="false">IF(O407="","",IF(O407&gt;=20,"Yes","No"))</f>
        <v/>
      </c>
      <c r="BT407" s="36" t="str">
        <f aca="false">IF(O407="","",IF(O407&gt;=30,"Yes","No"))</f>
        <v/>
      </c>
      <c r="BU407" s="36" t="str">
        <f aca="false">IF(O407="","",IF(O407&gt;=75,"Yes","No"))</f>
        <v/>
      </c>
      <c r="BV407" s="36" t="str">
        <f aca="false">IF(O407="","",IF(O407&gt;=100,"Yes","No"))</f>
        <v/>
      </c>
      <c r="BW407" s="36" t="str">
        <f aca="false">IF(O407="","",IF(O407&gt;=150,"Yes","No"))</f>
        <v/>
      </c>
      <c r="BX407" s="36" t="str">
        <f aca="false">IF(O407="","",IF(O407&gt;=200,"Yes","No"))</f>
        <v/>
      </c>
      <c r="BY407" s="36" t="str">
        <f aca="false">IF(Q407="","",IF(Q407&gt;=150000,"Yes","No"))</f>
        <v/>
      </c>
      <c r="BZ407" s="36" t="str">
        <f aca="false">IF(Q407="","",IF(Q407&gt;=200000,"Yes","No"))</f>
        <v/>
      </c>
      <c r="CA407" s="36" t="str">
        <f aca="false">IF(Q407="","",IF(Q407&gt;=250000,"Yes","No"))</f>
        <v/>
      </c>
      <c r="CB407" s="36" t="str">
        <f aca="false">IF(Q407="","",IF(Q407&gt;=300000,"Yes","No"))</f>
        <v/>
      </c>
      <c r="CC407" s="37"/>
      <c r="CD407" s="36" t="str">
        <f aca="true">IF(B407="","",IF(TODAY()-B407&lt;=7,"🟢 0-7d",IF(TODAY()-B407&lt;=30,"🟡 8-30d",IF(TODAY()-B407&lt;=60,"🟠 31-60d","🔴 60d+"))))</f>
        <v/>
      </c>
      <c r="CE407" s="36" t="str">
        <f aca="false">IF(G407="","",IF(G407&lt;&gt;"USA","N/A - Not USA Role",IF(J407="Yes",IF(OR(F407="Intern",F407="New Grad"),"🟡 Possible","🟢 Strong"),IF(J407="No","🔴 Difficult","⚪ Unknown"))))</f>
        <v/>
      </c>
      <c r="CF407" s="37"/>
      <c r="CG407" s="37"/>
      <c r="CH407" s="38"/>
      <c r="CI407" s="38"/>
      <c r="CJ407" s="38"/>
      <c r="CK407" s="38"/>
    </row>
    <row r="408" customFormat="false" ht="15" hidden="false" customHeight="true" outlineLevel="0" collapsed="false">
      <c r="A408" s="26" t="str">
        <f aca="false">IF($C408="","",ROW()-3)</f>
        <v/>
      </c>
      <c r="B408" s="27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9"/>
      <c r="N408" s="29"/>
      <c r="O408" s="30" t="str">
        <f aca="false">IFERROR(IF(M408="","",M408*INDEX('00 - Lists'!$M$2:$M$11,MATCH(L408,'00 - Lists'!$L$2:$L$11,0))/100000),"")</f>
        <v/>
      </c>
      <c r="P408" s="30" t="str">
        <f aca="false">IFERROR(IF(N408="","",N408*INDEX('00 - Lists'!$M$2:$M$11,MATCH(L408,'00 - Lists'!$L$2:$L$11,0))/100000),"")</f>
        <v/>
      </c>
      <c r="Q408" s="31" t="str">
        <f aca="false">IFERROR(IF(M408="","",M408*INDEX('00 - Lists'!$N$2:$N$11,MATCH(L408,'00 - Lists'!$L$2:$L$11,0))),"")</f>
        <v/>
      </c>
      <c r="R408" s="31" t="str">
        <f aca="false">IFERROR(IF(N408="","",N408*INDEX('00 - Lists'!$N$2:$N$11,MATCH(L408,'00 - Lists'!$L$2:$L$11,0))),"")</f>
        <v/>
      </c>
      <c r="S408" s="32" t="str">
        <f aca="false">IF(O408="","",IF(O408&gt;=50,"Yes","No"))</f>
        <v/>
      </c>
      <c r="T408" s="32" t="str">
        <f aca="false">IF(Q408="","",IF(Q408&gt;=100000,"Yes","No"))</f>
        <v/>
      </c>
      <c r="U408" s="28"/>
      <c r="V408" s="28"/>
      <c r="W408" s="28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J408" s="34" t="str">
        <f aca="false">IF(OR($BD408&lt;&gt;"",$BF408&lt;&gt;"",$BH408&lt;&gt;""),"Yes","No")</f>
        <v>No</v>
      </c>
      <c r="BK408" s="35" t="str">
        <f aca="false">IFERROR(IF(BD408="","",BD408*INDEX('00 - Lists'!$M$2:$M$11,MATCH(L408,'00 - Lists'!$L$2:$L$11,0))/100000),"")</f>
        <v/>
      </c>
      <c r="BL408" s="35" t="str">
        <f aca="false">IFERROR(IF(BE408="","",BE408*INDEX('00 - Lists'!$M$2:$M$11,MATCH(L408,'00 - Lists'!$L$2:$L$11,0))/100000),"")</f>
        <v/>
      </c>
      <c r="BM408" s="35" t="str">
        <f aca="false">IFERROR(IF(BF408="","",BF408*INDEX('00 - Lists'!$M$2:$M$11,MATCH(L408,'00 - Lists'!$L$2:$L$11,0))/100000),"")</f>
        <v/>
      </c>
      <c r="BN408" s="35" t="str">
        <f aca="false">IFERROR(IF(BG408="","",BG408*INDEX('00 - Lists'!$M$2:$M$11,MATCH(L408,'00 - Lists'!$L$2:$L$11,0))/100000),"")</f>
        <v/>
      </c>
      <c r="BO408" s="35" t="str">
        <f aca="false">IFERROR(IF(BH408="","",BH408*INDEX('00 - Lists'!$M$2:$M$11,MATCH(L408,'00 - Lists'!$L$2:$L$11,0))/100000),"")</f>
        <v/>
      </c>
      <c r="BP408" s="35" t="str">
        <f aca="false">IFERROR(IF(BI408="","",BI408*INDEX('00 - Lists'!$M$2:$M$11,MATCH(L408,'00 - Lists'!$L$2:$L$11,0))/100000),"")</f>
        <v/>
      </c>
      <c r="BS408" s="36" t="str">
        <f aca="false">IF(O408="","",IF(O408&gt;=20,"Yes","No"))</f>
        <v/>
      </c>
      <c r="BT408" s="36" t="str">
        <f aca="false">IF(O408="","",IF(O408&gt;=30,"Yes","No"))</f>
        <v/>
      </c>
      <c r="BU408" s="36" t="str">
        <f aca="false">IF(O408="","",IF(O408&gt;=75,"Yes","No"))</f>
        <v/>
      </c>
      <c r="BV408" s="36" t="str">
        <f aca="false">IF(O408="","",IF(O408&gt;=100,"Yes","No"))</f>
        <v/>
      </c>
      <c r="BW408" s="36" t="str">
        <f aca="false">IF(O408="","",IF(O408&gt;=150,"Yes","No"))</f>
        <v/>
      </c>
      <c r="BX408" s="36" t="str">
        <f aca="false">IF(O408="","",IF(O408&gt;=200,"Yes","No"))</f>
        <v/>
      </c>
      <c r="BY408" s="36" t="str">
        <f aca="false">IF(Q408="","",IF(Q408&gt;=150000,"Yes","No"))</f>
        <v/>
      </c>
      <c r="BZ408" s="36" t="str">
        <f aca="false">IF(Q408="","",IF(Q408&gt;=200000,"Yes","No"))</f>
        <v/>
      </c>
      <c r="CA408" s="36" t="str">
        <f aca="false">IF(Q408="","",IF(Q408&gt;=250000,"Yes","No"))</f>
        <v/>
      </c>
      <c r="CB408" s="36" t="str">
        <f aca="false">IF(Q408="","",IF(Q408&gt;=300000,"Yes","No"))</f>
        <v/>
      </c>
      <c r="CC408" s="37"/>
      <c r="CD408" s="36" t="str">
        <f aca="true">IF(B408="","",IF(TODAY()-B408&lt;=7,"🟢 0-7d",IF(TODAY()-B408&lt;=30,"🟡 8-30d",IF(TODAY()-B408&lt;=60,"🟠 31-60d","🔴 60d+"))))</f>
        <v/>
      </c>
      <c r="CE408" s="36" t="str">
        <f aca="false">IF(G408="","",IF(G408&lt;&gt;"USA","N/A - Not USA Role",IF(J408="Yes",IF(OR(F408="Intern",F408="New Grad"),"🟡 Possible","🟢 Strong"),IF(J408="No","🔴 Difficult","⚪ Unknown"))))</f>
        <v/>
      </c>
      <c r="CF408" s="37"/>
      <c r="CG408" s="37"/>
      <c r="CH408" s="38"/>
      <c r="CI408" s="38"/>
      <c r="CJ408" s="38"/>
      <c r="CK408" s="38"/>
    </row>
    <row r="409" customFormat="false" ht="15" hidden="false" customHeight="true" outlineLevel="0" collapsed="false">
      <c r="A409" s="26" t="str">
        <f aca="false">IF($C409="","",ROW()-3)</f>
        <v/>
      </c>
      <c r="B409" s="27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9"/>
      <c r="N409" s="29"/>
      <c r="O409" s="30" t="str">
        <f aca="false">IFERROR(IF(M409="","",M409*INDEX('00 - Lists'!$M$2:$M$11,MATCH(L409,'00 - Lists'!$L$2:$L$11,0))/100000),"")</f>
        <v/>
      </c>
      <c r="P409" s="30" t="str">
        <f aca="false">IFERROR(IF(N409="","",N409*INDEX('00 - Lists'!$M$2:$M$11,MATCH(L409,'00 - Lists'!$L$2:$L$11,0))/100000),"")</f>
        <v/>
      </c>
      <c r="Q409" s="31" t="str">
        <f aca="false">IFERROR(IF(M409="","",M409*INDEX('00 - Lists'!$N$2:$N$11,MATCH(L409,'00 - Lists'!$L$2:$L$11,0))),"")</f>
        <v/>
      </c>
      <c r="R409" s="31" t="str">
        <f aca="false">IFERROR(IF(N409="","",N409*INDEX('00 - Lists'!$N$2:$N$11,MATCH(L409,'00 - Lists'!$L$2:$L$11,0))),"")</f>
        <v/>
      </c>
      <c r="S409" s="32" t="str">
        <f aca="false">IF(O409="","",IF(O409&gt;=50,"Yes","No"))</f>
        <v/>
      </c>
      <c r="T409" s="32" t="str">
        <f aca="false">IF(Q409="","",IF(Q409&gt;=100000,"Yes","No"))</f>
        <v/>
      </c>
      <c r="U409" s="28"/>
      <c r="V409" s="28"/>
      <c r="W409" s="28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J409" s="34" t="str">
        <f aca="false">IF(OR($BD409&lt;&gt;"",$BF409&lt;&gt;"",$BH409&lt;&gt;""),"Yes","No")</f>
        <v>No</v>
      </c>
      <c r="BK409" s="35" t="str">
        <f aca="false">IFERROR(IF(BD409="","",BD409*INDEX('00 - Lists'!$M$2:$M$11,MATCH(L409,'00 - Lists'!$L$2:$L$11,0))/100000),"")</f>
        <v/>
      </c>
      <c r="BL409" s="35" t="str">
        <f aca="false">IFERROR(IF(BE409="","",BE409*INDEX('00 - Lists'!$M$2:$M$11,MATCH(L409,'00 - Lists'!$L$2:$L$11,0))/100000),"")</f>
        <v/>
      </c>
      <c r="BM409" s="35" t="str">
        <f aca="false">IFERROR(IF(BF409="","",BF409*INDEX('00 - Lists'!$M$2:$M$11,MATCH(L409,'00 - Lists'!$L$2:$L$11,0))/100000),"")</f>
        <v/>
      </c>
      <c r="BN409" s="35" t="str">
        <f aca="false">IFERROR(IF(BG409="","",BG409*INDEX('00 - Lists'!$M$2:$M$11,MATCH(L409,'00 - Lists'!$L$2:$L$11,0))/100000),"")</f>
        <v/>
      </c>
      <c r="BO409" s="35" t="str">
        <f aca="false">IFERROR(IF(BH409="","",BH409*INDEX('00 - Lists'!$M$2:$M$11,MATCH(L409,'00 - Lists'!$L$2:$L$11,0))/100000),"")</f>
        <v/>
      </c>
      <c r="BP409" s="35" t="str">
        <f aca="false">IFERROR(IF(BI409="","",BI409*INDEX('00 - Lists'!$M$2:$M$11,MATCH(L409,'00 - Lists'!$L$2:$L$11,0))/100000),"")</f>
        <v/>
      </c>
      <c r="BS409" s="36" t="str">
        <f aca="false">IF(O409="","",IF(O409&gt;=20,"Yes","No"))</f>
        <v/>
      </c>
      <c r="BT409" s="36" t="str">
        <f aca="false">IF(O409="","",IF(O409&gt;=30,"Yes","No"))</f>
        <v/>
      </c>
      <c r="BU409" s="36" t="str">
        <f aca="false">IF(O409="","",IF(O409&gt;=75,"Yes","No"))</f>
        <v/>
      </c>
      <c r="BV409" s="36" t="str">
        <f aca="false">IF(O409="","",IF(O409&gt;=100,"Yes","No"))</f>
        <v/>
      </c>
      <c r="BW409" s="36" t="str">
        <f aca="false">IF(O409="","",IF(O409&gt;=150,"Yes","No"))</f>
        <v/>
      </c>
      <c r="BX409" s="36" t="str">
        <f aca="false">IF(O409="","",IF(O409&gt;=200,"Yes","No"))</f>
        <v/>
      </c>
      <c r="BY409" s="36" t="str">
        <f aca="false">IF(Q409="","",IF(Q409&gt;=150000,"Yes","No"))</f>
        <v/>
      </c>
      <c r="BZ409" s="36" t="str">
        <f aca="false">IF(Q409="","",IF(Q409&gt;=200000,"Yes","No"))</f>
        <v/>
      </c>
      <c r="CA409" s="36" t="str">
        <f aca="false">IF(Q409="","",IF(Q409&gt;=250000,"Yes","No"))</f>
        <v/>
      </c>
      <c r="CB409" s="36" t="str">
        <f aca="false">IF(Q409="","",IF(Q409&gt;=300000,"Yes","No"))</f>
        <v/>
      </c>
      <c r="CC409" s="37"/>
      <c r="CD409" s="36" t="str">
        <f aca="true">IF(B409="","",IF(TODAY()-B409&lt;=7,"🟢 0-7d",IF(TODAY()-B409&lt;=30,"🟡 8-30d",IF(TODAY()-B409&lt;=60,"🟠 31-60d","🔴 60d+"))))</f>
        <v/>
      </c>
      <c r="CE409" s="36" t="str">
        <f aca="false">IF(G409="","",IF(G409&lt;&gt;"USA","N/A - Not USA Role",IF(J409="Yes",IF(OR(F409="Intern",F409="New Grad"),"🟡 Possible","🟢 Strong"),IF(J409="No","🔴 Difficult","⚪ Unknown"))))</f>
        <v/>
      </c>
      <c r="CF409" s="37"/>
      <c r="CG409" s="37"/>
      <c r="CH409" s="38"/>
      <c r="CI409" s="38"/>
      <c r="CJ409" s="38"/>
      <c r="CK409" s="38"/>
    </row>
    <row r="410" customFormat="false" ht="15" hidden="false" customHeight="true" outlineLevel="0" collapsed="false">
      <c r="A410" s="26" t="str">
        <f aca="false">IF($C410="","",ROW()-3)</f>
        <v/>
      </c>
      <c r="B410" s="27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9"/>
      <c r="N410" s="29"/>
      <c r="O410" s="30" t="str">
        <f aca="false">IFERROR(IF(M410="","",M410*INDEX('00 - Lists'!$M$2:$M$11,MATCH(L410,'00 - Lists'!$L$2:$L$11,0))/100000),"")</f>
        <v/>
      </c>
      <c r="P410" s="30" t="str">
        <f aca="false">IFERROR(IF(N410="","",N410*INDEX('00 - Lists'!$M$2:$M$11,MATCH(L410,'00 - Lists'!$L$2:$L$11,0))/100000),"")</f>
        <v/>
      </c>
      <c r="Q410" s="31" t="str">
        <f aca="false">IFERROR(IF(M410="","",M410*INDEX('00 - Lists'!$N$2:$N$11,MATCH(L410,'00 - Lists'!$L$2:$L$11,0))),"")</f>
        <v/>
      </c>
      <c r="R410" s="31" t="str">
        <f aca="false">IFERROR(IF(N410="","",N410*INDEX('00 - Lists'!$N$2:$N$11,MATCH(L410,'00 - Lists'!$L$2:$L$11,0))),"")</f>
        <v/>
      </c>
      <c r="S410" s="32" t="str">
        <f aca="false">IF(O410="","",IF(O410&gt;=50,"Yes","No"))</f>
        <v/>
      </c>
      <c r="T410" s="32" t="str">
        <f aca="false">IF(Q410="","",IF(Q410&gt;=100000,"Yes","No"))</f>
        <v/>
      </c>
      <c r="U410" s="28"/>
      <c r="V410" s="28"/>
      <c r="W410" s="28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J410" s="34" t="str">
        <f aca="false">IF(OR($BD410&lt;&gt;"",$BF410&lt;&gt;"",$BH410&lt;&gt;""),"Yes","No")</f>
        <v>No</v>
      </c>
      <c r="BK410" s="35" t="str">
        <f aca="false">IFERROR(IF(BD410="","",BD410*INDEX('00 - Lists'!$M$2:$M$11,MATCH(L410,'00 - Lists'!$L$2:$L$11,0))/100000),"")</f>
        <v/>
      </c>
      <c r="BL410" s="35" t="str">
        <f aca="false">IFERROR(IF(BE410="","",BE410*INDEX('00 - Lists'!$M$2:$M$11,MATCH(L410,'00 - Lists'!$L$2:$L$11,0))/100000),"")</f>
        <v/>
      </c>
      <c r="BM410" s="35" t="str">
        <f aca="false">IFERROR(IF(BF410="","",BF410*INDEX('00 - Lists'!$M$2:$M$11,MATCH(L410,'00 - Lists'!$L$2:$L$11,0))/100000),"")</f>
        <v/>
      </c>
      <c r="BN410" s="35" t="str">
        <f aca="false">IFERROR(IF(BG410="","",BG410*INDEX('00 - Lists'!$M$2:$M$11,MATCH(L410,'00 - Lists'!$L$2:$L$11,0))/100000),"")</f>
        <v/>
      </c>
      <c r="BO410" s="35" t="str">
        <f aca="false">IFERROR(IF(BH410="","",BH410*INDEX('00 - Lists'!$M$2:$M$11,MATCH(L410,'00 - Lists'!$L$2:$L$11,0))/100000),"")</f>
        <v/>
      </c>
      <c r="BP410" s="35" t="str">
        <f aca="false">IFERROR(IF(BI410="","",BI410*INDEX('00 - Lists'!$M$2:$M$11,MATCH(L410,'00 - Lists'!$L$2:$L$11,0))/100000),"")</f>
        <v/>
      </c>
      <c r="BS410" s="36" t="str">
        <f aca="false">IF(O410="","",IF(O410&gt;=20,"Yes","No"))</f>
        <v/>
      </c>
      <c r="BT410" s="36" t="str">
        <f aca="false">IF(O410="","",IF(O410&gt;=30,"Yes","No"))</f>
        <v/>
      </c>
      <c r="BU410" s="36" t="str">
        <f aca="false">IF(O410="","",IF(O410&gt;=75,"Yes","No"))</f>
        <v/>
      </c>
      <c r="BV410" s="36" t="str">
        <f aca="false">IF(O410="","",IF(O410&gt;=100,"Yes","No"))</f>
        <v/>
      </c>
      <c r="BW410" s="36" t="str">
        <f aca="false">IF(O410="","",IF(O410&gt;=150,"Yes","No"))</f>
        <v/>
      </c>
      <c r="BX410" s="36" t="str">
        <f aca="false">IF(O410="","",IF(O410&gt;=200,"Yes","No"))</f>
        <v/>
      </c>
      <c r="BY410" s="36" t="str">
        <f aca="false">IF(Q410="","",IF(Q410&gt;=150000,"Yes","No"))</f>
        <v/>
      </c>
      <c r="BZ410" s="36" t="str">
        <f aca="false">IF(Q410="","",IF(Q410&gt;=200000,"Yes","No"))</f>
        <v/>
      </c>
      <c r="CA410" s="36" t="str">
        <f aca="false">IF(Q410="","",IF(Q410&gt;=250000,"Yes","No"))</f>
        <v/>
      </c>
      <c r="CB410" s="36" t="str">
        <f aca="false">IF(Q410="","",IF(Q410&gt;=300000,"Yes","No"))</f>
        <v/>
      </c>
      <c r="CC410" s="37"/>
      <c r="CD410" s="36" t="str">
        <f aca="true">IF(B410="","",IF(TODAY()-B410&lt;=7,"🟢 0-7d",IF(TODAY()-B410&lt;=30,"🟡 8-30d",IF(TODAY()-B410&lt;=60,"🟠 31-60d","🔴 60d+"))))</f>
        <v/>
      </c>
      <c r="CE410" s="36" t="str">
        <f aca="false">IF(G410="","",IF(G410&lt;&gt;"USA","N/A - Not USA Role",IF(J410="Yes",IF(OR(F410="Intern",F410="New Grad"),"🟡 Possible","🟢 Strong"),IF(J410="No","🔴 Difficult","⚪ Unknown"))))</f>
        <v/>
      </c>
      <c r="CF410" s="37"/>
      <c r="CG410" s="37"/>
      <c r="CH410" s="38"/>
      <c r="CI410" s="38"/>
      <c r="CJ410" s="38"/>
      <c r="CK410" s="38"/>
    </row>
    <row r="411" customFormat="false" ht="15" hidden="false" customHeight="true" outlineLevel="0" collapsed="false">
      <c r="A411" s="26" t="str">
        <f aca="false">IF($C411="","",ROW()-3)</f>
        <v/>
      </c>
      <c r="B411" s="27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9"/>
      <c r="N411" s="29"/>
      <c r="O411" s="30" t="str">
        <f aca="false">IFERROR(IF(M411="","",M411*INDEX('00 - Lists'!$M$2:$M$11,MATCH(L411,'00 - Lists'!$L$2:$L$11,0))/100000),"")</f>
        <v/>
      </c>
      <c r="P411" s="30" t="str">
        <f aca="false">IFERROR(IF(N411="","",N411*INDEX('00 - Lists'!$M$2:$M$11,MATCH(L411,'00 - Lists'!$L$2:$L$11,0))/100000),"")</f>
        <v/>
      </c>
      <c r="Q411" s="31" t="str">
        <f aca="false">IFERROR(IF(M411="","",M411*INDEX('00 - Lists'!$N$2:$N$11,MATCH(L411,'00 - Lists'!$L$2:$L$11,0))),"")</f>
        <v/>
      </c>
      <c r="R411" s="31" t="str">
        <f aca="false">IFERROR(IF(N411="","",N411*INDEX('00 - Lists'!$N$2:$N$11,MATCH(L411,'00 - Lists'!$L$2:$L$11,0))),"")</f>
        <v/>
      </c>
      <c r="S411" s="32" t="str">
        <f aca="false">IF(O411="","",IF(O411&gt;=50,"Yes","No"))</f>
        <v/>
      </c>
      <c r="T411" s="32" t="str">
        <f aca="false">IF(Q411="","",IF(Q411&gt;=100000,"Yes","No"))</f>
        <v/>
      </c>
      <c r="U411" s="28"/>
      <c r="V411" s="28"/>
      <c r="W411" s="28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J411" s="34" t="str">
        <f aca="false">IF(OR($BD411&lt;&gt;"",$BF411&lt;&gt;"",$BH411&lt;&gt;""),"Yes","No")</f>
        <v>No</v>
      </c>
      <c r="BK411" s="35" t="str">
        <f aca="false">IFERROR(IF(BD411="","",BD411*INDEX('00 - Lists'!$M$2:$M$11,MATCH(L411,'00 - Lists'!$L$2:$L$11,0))/100000),"")</f>
        <v/>
      </c>
      <c r="BL411" s="35" t="str">
        <f aca="false">IFERROR(IF(BE411="","",BE411*INDEX('00 - Lists'!$M$2:$M$11,MATCH(L411,'00 - Lists'!$L$2:$L$11,0))/100000),"")</f>
        <v/>
      </c>
      <c r="BM411" s="35" t="str">
        <f aca="false">IFERROR(IF(BF411="","",BF411*INDEX('00 - Lists'!$M$2:$M$11,MATCH(L411,'00 - Lists'!$L$2:$L$11,0))/100000),"")</f>
        <v/>
      </c>
      <c r="BN411" s="35" t="str">
        <f aca="false">IFERROR(IF(BG411="","",BG411*INDEX('00 - Lists'!$M$2:$M$11,MATCH(L411,'00 - Lists'!$L$2:$L$11,0))/100000),"")</f>
        <v/>
      </c>
      <c r="BO411" s="35" t="str">
        <f aca="false">IFERROR(IF(BH411="","",BH411*INDEX('00 - Lists'!$M$2:$M$11,MATCH(L411,'00 - Lists'!$L$2:$L$11,0))/100000),"")</f>
        <v/>
      </c>
      <c r="BP411" s="35" t="str">
        <f aca="false">IFERROR(IF(BI411="","",BI411*INDEX('00 - Lists'!$M$2:$M$11,MATCH(L411,'00 - Lists'!$L$2:$L$11,0))/100000),"")</f>
        <v/>
      </c>
      <c r="BS411" s="36" t="str">
        <f aca="false">IF(O411="","",IF(O411&gt;=20,"Yes","No"))</f>
        <v/>
      </c>
      <c r="BT411" s="36" t="str">
        <f aca="false">IF(O411="","",IF(O411&gt;=30,"Yes","No"))</f>
        <v/>
      </c>
      <c r="BU411" s="36" t="str">
        <f aca="false">IF(O411="","",IF(O411&gt;=75,"Yes","No"))</f>
        <v/>
      </c>
      <c r="BV411" s="36" t="str">
        <f aca="false">IF(O411="","",IF(O411&gt;=100,"Yes","No"))</f>
        <v/>
      </c>
      <c r="BW411" s="36" t="str">
        <f aca="false">IF(O411="","",IF(O411&gt;=150,"Yes","No"))</f>
        <v/>
      </c>
      <c r="BX411" s="36" t="str">
        <f aca="false">IF(O411="","",IF(O411&gt;=200,"Yes","No"))</f>
        <v/>
      </c>
      <c r="BY411" s="36" t="str">
        <f aca="false">IF(Q411="","",IF(Q411&gt;=150000,"Yes","No"))</f>
        <v/>
      </c>
      <c r="BZ411" s="36" t="str">
        <f aca="false">IF(Q411="","",IF(Q411&gt;=200000,"Yes","No"))</f>
        <v/>
      </c>
      <c r="CA411" s="36" t="str">
        <f aca="false">IF(Q411="","",IF(Q411&gt;=250000,"Yes","No"))</f>
        <v/>
      </c>
      <c r="CB411" s="36" t="str">
        <f aca="false">IF(Q411="","",IF(Q411&gt;=300000,"Yes","No"))</f>
        <v/>
      </c>
      <c r="CC411" s="37"/>
      <c r="CD411" s="36" t="str">
        <f aca="true">IF(B411="","",IF(TODAY()-B411&lt;=7,"🟢 0-7d",IF(TODAY()-B411&lt;=30,"🟡 8-30d",IF(TODAY()-B411&lt;=60,"🟠 31-60d","🔴 60d+"))))</f>
        <v/>
      </c>
      <c r="CE411" s="36" t="str">
        <f aca="false">IF(G411="","",IF(G411&lt;&gt;"USA","N/A - Not USA Role",IF(J411="Yes",IF(OR(F411="Intern",F411="New Grad"),"🟡 Possible","🟢 Strong"),IF(J411="No","🔴 Difficult","⚪ Unknown"))))</f>
        <v/>
      </c>
      <c r="CF411" s="37"/>
      <c r="CG411" s="37"/>
      <c r="CH411" s="38"/>
      <c r="CI411" s="38"/>
      <c r="CJ411" s="38"/>
      <c r="CK411" s="38"/>
    </row>
    <row r="412" customFormat="false" ht="15" hidden="false" customHeight="true" outlineLevel="0" collapsed="false">
      <c r="A412" s="26" t="str">
        <f aca="false">IF($C412="","",ROW()-3)</f>
        <v/>
      </c>
      <c r="B412" s="27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9"/>
      <c r="N412" s="29"/>
      <c r="O412" s="30" t="str">
        <f aca="false">IFERROR(IF(M412="","",M412*INDEX('00 - Lists'!$M$2:$M$11,MATCH(L412,'00 - Lists'!$L$2:$L$11,0))/100000),"")</f>
        <v/>
      </c>
      <c r="P412" s="30" t="str">
        <f aca="false">IFERROR(IF(N412="","",N412*INDEX('00 - Lists'!$M$2:$M$11,MATCH(L412,'00 - Lists'!$L$2:$L$11,0))/100000),"")</f>
        <v/>
      </c>
      <c r="Q412" s="31" t="str">
        <f aca="false">IFERROR(IF(M412="","",M412*INDEX('00 - Lists'!$N$2:$N$11,MATCH(L412,'00 - Lists'!$L$2:$L$11,0))),"")</f>
        <v/>
      </c>
      <c r="R412" s="31" t="str">
        <f aca="false">IFERROR(IF(N412="","",N412*INDEX('00 - Lists'!$N$2:$N$11,MATCH(L412,'00 - Lists'!$L$2:$L$11,0))),"")</f>
        <v/>
      </c>
      <c r="S412" s="32" t="str">
        <f aca="false">IF(O412="","",IF(O412&gt;=50,"Yes","No"))</f>
        <v/>
      </c>
      <c r="T412" s="32" t="str">
        <f aca="false">IF(Q412="","",IF(Q412&gt;=100000,"Yes","No"))</f>
        <v/>
      </c>
      <c r="U412" s="28"/>
      <c r="V412" s="28"/>
      <c r="W412" s="28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J412" s="34" t="str">
        <f aca="false">IF(OR($BD412&lt;&gt;"",$BF412&lt;&gt;"",$BH412&lt;&gt;""),"Yes","No")</f>
        <v>No</v>
      </c>
      <c r="BK412" s="35" t="str">
        <f aca="false">IFERROR(IF(BD412="","",BD412*INDEX('00 - Lists'!$M$2:$M$11,MATCH(L412,'00 - Lists'!$L$2:$L$11,0))/100000),"")</f>
        <v/>
      </c>
      <c r="BL412" s="35" t="str">
        <f aca="false">IFERROR(IF(BE412="","",BE412*INDEX('00 - Lists'!$M$2:$M$11,MATCH(L412,'00 - Lists'!$L$2:$L$11,0))/100000),"")</f>
        <v/>
      </c>
      <c r="BM412" s="35" t="str">
        <f aca="false">IFERROR(IF(BF412="","",BF412*INDEX('00 - Lists'!$M$2:$M$11,MATCH(L412,'00 - Lists'!$L$2:$L$11,0))/100000),"")</f>
        <v/>
      </c>
      <c r="BN412" s="35" t="str">
        <f aca="false">IFERROR(IF(BG412="","",BG412*INDEX('00 - Lists'!$M$2:$M$11,MATCH(L412,'00 - Lists'!$L$2:$L$11,0))/100000),"")</f>
        <v/>
      </c>
      <c r="BO412" s="35" t="str">
        <f aca="false">IFERROR(IF(BH412="","",BH412*INDEX('00 - Lists'!$M$2:$M$11,MATCH(L412,'00 - Lists'!$L$2:$L$11,0))/100000),"")</f>
        <v/>
      </c>
      <c r="BP412" s="35" t="str">
        <f aca="false">IFERROR(IF(BI412="","",BI412*INDEX('00 - Lists'!$M$2:$M$11,MATCH(L412,'00 - Lists'!$L$2:$L$11,0))/100000),"")</f>
        <v/>
      </c>
      <c r="BS412" s="36" t="str">
        <f aca="false">IF(O412="","",IF(O412&gt;=20,"Yes","No"))</f>
        <v/>
      </c>
      <c r="BT412" s="36" t="str">
        <f aca="false">IF(O412="","",IF(O412&gt;=30,"Yes","No"))</f>
        <v/>
      </c>
      <c r="BU412" s="36" t="str">
        <f aca="false">IF(O412="","",IF(O412&gt;=75,"Yes","No"))</f>
        <v/>
      </c>
      <c r="BV412" s="36" t="str">
        <f aca="false">IF(O412="","",IF(O412&gt;=100,"Yes","No"))</f>
        <v/>
      </c>
      <c r="BW412" s="36" t="str">
        <f aca="false">IF(O412="","",IF(O412&gt;=150,"Yes","No"))</f>
        <v/>
      </c>
      <c r="BX412" s="36" t="str">
        <f aca="false">IF(O412="","",IF(O412&gt;=200,"Yes","No"))</f>
        <v/>
      </c>
      <c r="BY412" s="36" t="str">
        <f aca="false">IF(Q412="","",IF(Q412&gt;=150000,"Yes","No"))</f>
        <v/>
      </c>
      <c r="BZ412" s="36" t="str">
        <f aca="false">IF(Q412="","",IF(Q412&gt;=200000,"Yes","No"))</f>
        <v/>
      </c>
      <c r="CA412" s="36" t="str">
        <f aca="false">IF(Q412="","",IF(Q412&gt;=250000,"Yes","No"))</f>
        <v/>
      </c>
      <c r="CB412" s="36" t="str">
        <f aca="false">IF(Q412="","",IF(Q412&gt;=300000,"Yes","No"))</f>
        <v/>
      </c>
      <c r="CC412" s="37"/>
      <c r="CD412" s="36" t="str">
        <f aca="true">IF(B412="","",IF(TODAY()-B412&lt;=7,"🟢 0-7d",IF(TODAY()-B412&lt;=30,"🟡 8-30d",IF(TODAY()-B412&lt;=60,"🟠 31-60d","🔴 60d+"))))</f>
        <v/>
      </c>
      <c r="CE412" s="36" t="str">
        <f aca="false">IF(G412="","",IF(G412&lt;&gt;"USA","N/A - Not USA Role",IF(J412="Yes",IF(OR(F412="Intern",F412="New Grad"),"🟡 Possible","🟢 Strong"),IF(J412="No","🔴 Difficult","⚪ Unknown"))))</f>
        <v/>
      </c>
      <c r="CF412" s="37"/>
      <c r="CG412" s="37"/>
      <c r="CH412" s="38"/>
      <c r="CI412" s="38"/>
      <c r="CJ412" s="38"/>
      <c r="CK412" s="38"/>
    </row>
    <row r="413" customFormat="false" ht="15" hidden="false" customHeight="true" outlineLevel="0" collapsed="false">
      <c r="A413" s="26" t="str">
        <f aca="false">IF($C413="","",ROW()-3)</f>
        <v/>
      </c>
      <c r="B413" s="27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9"/>
      <c r="N413" s="29"/>
      <c r="O413" s="30" t="str">
        <f aca="false">IFERROR(IF(M413="","",M413*INDEX('00 - Lists'!$M$2:$M$11,MATCH(L413,'00 - Lists'!$L$2:$L$11,0))/100000),"")</f>
        <v/>
      </c>
      <c r="P413" s="30" t="str">
        <f aca="false">IFERROR(IF(N413="","",N413*INDEX('00 - Lists'!$M$2:$M$11,MATCH(L413,'00 - Lists'!$L$2:$L$11,0))/100000),"")</f>
        <v/>
      </c>
      <c r="Q413" s="31" t="str">
        <f aca="false">IFERROR(IF(M413="","",M413*INDEX('00 - Lists'!$N$2:$N$11,MATCH(L413,'00 - Lists'!$L$2:$L$11,0))),"")</f>
        <v/>
      </c>
      <c r="R413" s="31" t="str">
        <f aca="false">IFERROR(IF(N413="","",N413*INDEX('00 - Lists'!$N$2:$N$11,MATCH(L413,'00 - Lists'!$L$2:$L$11,0))),"")</f>
        <v/>
      </c>
      <c r="S413" s="32" t="str">
        <f aca="false">IF(O413="","",IF(O413&gt;=50,"Yes","No"))</f>
        <v/>
      </c>
      <c r="T413" s="32" t="str">
        <f aca="false">IF(Q413="","",IF(Q413&gt;=100000,"Yes","No"))</f>
        <v/>
      </c>
      <c r="U413" s="28"/>
      <c r="V413" s="28"/>
      <c r="W413" s="28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J413" s="34" t="str">
        <f aca="false">IF(OR($BD413&lt;&gt;"",$BF413&lt;&gt;"",$BH413&lt;&gt;""),"Yes","No")</f>
        <v>No</v>
      </c>
      <c r="BK413" s="35" t="str">
        <f aca="false">IFERROR(IF(BD413="","",BD413*INDEX('00 - Lists'!$M$2:$M$11,MATCH(L413,'00 - Lists'!$L$2:$L$11,0))/100000),"")</f>
        <v/>
      </c>
      <c r="BL413" s="35" t="str">
        <f aca="false">IFERROR(IF(BE413="","",BE413*INDEX('00 - Lists'!$M$2:$M$11,MATCH(L413,'00 - Lists'!$L$2:$L$11,0))/100000),"")</f>
        <v/>
      </c>
      <c r="BM413" s="35" t="str">
        <f aca="false">IFERROR(IF(BF413="","",BF413*INDEX('00 - Lists'!$M$2:$M$11,MATCH(L413,'00 - Lists'!$L$2:$L$11,0))/100000),"")</f>
        <v/>
      </c>
      <c r="BN413" s="35" t="str">
        <f aca="false">IFERROR(IF(BG413="","",BG413*INDEX('00 - Lists'!$M$2:$M$11,MATCH(L413,'00 - Lists'!$L$2:$L$11,0))/100000),"")</f>
        <v/>
      </c>
      <c r="BO413" s="35" t="str">
        <f aca="false">IFERROR(IF(BH413="","",BH413*INDEX('00 - Lists'!$M$2:$M$11,MATCH(L413,'00 - Lists'!$L$2:$L$11,0))/100000),"")</f>
        <v/>
      </c>
      <c r="BP413" s="35" t="str">
        <f aca="false">IFERROR(IF(BI413="","",BI413*INDEX('00 - Lists'!$M$2:$M$11,MATCH(L413,'00 - Lists'!$L$2:$L$11,0))/100000),"")</f>
        <v/>
      </c>
      <c r="BS413" s="36" t="str">
        <f aca="false">IF(O413="","",IF(O413&gt;=20,"Yes","No"))</f>
        <v/>
      </c>
      <c r="BT413" s="36" t="str">
        <f aca="false">IF(O413="","",IF(O413&gt;=30,"Yes","No"))</f>
        <v/>
      </c>
      <c r="BU413" s="36" t="str">
        <f aca="false">IF(O413="","",IF(O413&gt;=75,"Yes","No"))</f>
        <v/>
      </c>
      <c r="BV413" s="36" t="str">
        <f aca="false">IF(O413="","",IF(O413&gt;=100,"Yes","No"))</f>
        <v/>
      </c>
      <c r="BW413" s="36" t="str">
        <f aca="false">IF(O413="","",IF(O413&gt;=150,"Yes","No"))</f>
        <v/>
      </c>
      <c r="BX413" s="36" t="str">
        <f aca="false">IF(O413="","",IF(O413&gt;=200,"Yes","No"))</f>
        <v/>
      </c>
      <c r="BY413" s="36" t="str">
        <f aca="false">IF(Q413="","",IF(Q413&gt;=150000,"Yes","No"))</f>
        <v/>
      </c>
      <c r="BZ413" s="36" t="str">
        <f aca="false">IF(Q413="","",IF(Q413&gt;=200000,"Yes","No"))</f>
        <v/>
      </c>
      <c r="CA413" s="36" t="str">
        <f aca="false">IF(Q413="","",IF(Q413&gt;=250000,"Yes","No"))</f>
        <v/>
      </c>
      <c r="CB413" s="36" t="str">
        <f aca="false">IF(Q413="","",IF(Q413&gt;=300000,"Yes","No"))</f>
        <v/>
      </c>
      <c r="CC413" s="37"/>
      <c r="CD413" s="36" t="str">
        <f aca="true">IF(B413="","",IF(TODAY()-B413&lt;=7,"🟢 0-7d",IF(TODAY()-B413&lt;=30,"🟡 8-30d",IF(TODAY()-B413&lt;=60,"🟠 31-60d","🔴 60d+"))))</f>
        <v/>
      </c>
      <c r="CE413" s="36" t="str">
        <f aca="false">IF(G413="","",IF(G413&lt;&gt;"USA","N/A - Not USA Role",IF(J413="Yes",IF(OR(F413="Intern",F413="New Grad"),"🟡 Possible","🟢 Strong"),IF(J413="No","🔴 Difficult","⚪ Unknown"))))</f>
        <v/>
      </c>
      <c r="CF413" s="37"/>
      <c r="CG413" s="37"/>
      <c r="CH413" s="38"/>
      <c r="CI413" s="38"/>
      <c r="CJ413" s="38"/>
      <c r="CK413" s="38"/>
    </row>
    <row r="414" customFormat="false" ht="15" hidden="false" customHeight="true" outlineLevel="0" collapsed="false">
      <c r="A414" s="26" t="str">
        <f aca="false">IF($C414="","",ROW()-3)</f>
        <v/>
      </c>
      <c r="B414" s="27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9"/>
      <c r="N414" s="29"/>
      <c r="O414" s="30" t="str">
        <f aca="false">IFERROR(IF(M414="","",M414*INDEX('00 - Lists'!$M$2:$M$11,MATCH(L414,'00 - Lists'!$L$2:$L$11,0))/100000),"")</f>
        <v/>
      </c>
      <c r="P414" s="30" t="str">
        <f aca="false">IFERROR(IF(N414="","",N414*INDEX('00 - Lists'!$M$2:$M$11,MATCH(L414,'00 - Lists'!$L$2:$L$11,0))/100000),"")</f>
        <v/>
      </c>
      <c r="Q414" s="31" t="str">
        <f aca="false">IFERROR(IF(M414="","",M414*INDEX('00 - Lists'!$N$2:$N$11,MATCH(L414,'00 - Lists'!$L$2:$L$11,0))),"")</f>
        <v/>
      </c>
      <c r="R414" s="31" t="str">
        <f aca="false">IFERROR(IF(N414="","",N414*INDEX('00 - Lists'!$N$2:$N$11,MATCH(L414,'00 - Lists'!$L$2:$L$11,0))),"")</f>
        <v/>
      </c>
      <c r="S414" s="32" t="str">
        <f aca="false">IF(O414="","",IF(O414&gt;=50,"Yes","No"))</f>
        <v/>
      </c>
      <c r="T414" s="32" t="str">
        <f aca="false">IF(Q414="","",IF(Q414&gt;=100000,"Yes","No"))</f>
        <v/>
      </c>
      <c r="U414" s="28"/>
      <c r="V414" s="28"/>
      <c r="W414" s="28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J414" s="34" t="str">
        <f aca="false">IF(OR($BD414&lt;&gt;"",$BF414&lt;&gt;"",$BH414&lt;&gt;""),"Yes","No")</f>
        <v>No</v>
      </c>
      <c r="BK414" s="35" t="str">
        <f aca="false">IFERROR(IF(BD414="","",BD414*INDEX('00 - Lists'!$M$2:$M$11,MATCH(L414,'00 - Lists'!$L$2:$L$11,0))/100000),"")</f>
        <v/>
      </c>
      <c r="BL414" s="35" t="str">
        <f aca="false">IFERROR(IF(BE414="","",BE414*INDEX('00 - Lists'!$M$2:$M$11,MATCH(L414,'00 - Lists'!$L$2:$L$11,0))/100000),"")</f>
        <v/>
      </c>
      <c r="BM414" s="35" t="str">
        <f aca="false">IFERROR(IF(BF414="","",BF414*INDEX('00 - Lists'!$M$2:$M$11,MATCH(L414,'00 - Lists'!$L$2:$L$11,0))/100000),"")</f>
        <v/>
      </c>
      <c r="BN414" s="35" t="str">
        <f aca="false">IFERROR(IF(BG414="","",BG414*INDEX('00 - Lists'!$M$2:$M$11,MATCH(L414,'00 - Lists'!$L$2:$L$11,0))/100000),"")</f>
        <v/>
      </c>
      <c r="BO414" s="35" t="str">
        <f aca="false">IFERROR(IF(BH414="","",BH414*INDEX('00 - Lists'!$M$2:$M$11,MATCH(L414,'00 - Lists'!$L$2:$L$11,0))/100000),"")</f>
        <v/>
      </c>
      <c r="BP414" s="35" t="str">
        <f aca="false">IFERROR(IF(BI414="","",BI414*INDEX('00 - Lists'!$M$2:$M$11,MATCH(L414,'00 - Lists'!$L$2:$L$11,0))/100000),"")</f>
        <v/>
      </c>
      <c r="BS414" s="36" t="str">
        <f aca="false">IF(O414="","",IF(O414&gt;=20,"Yes","No"))</f>
        <v/>
      </c>
      <c r="BT414" s="36" t="str">
        <f aca="false">IF(O414="","",IF(O414&gt;=30,"Yes","No"))</f>
        <v/>
      </c>
      <c r="BU414" s="36" t="str">
        <f aca="false">IF(O414="","",IF(O414&gt;=75,"Yes","No"))</f>
        <v/>
      </c>
      <c r="BV414" s="36" t="str">
        <f aca="false">IF(O414="","",IF(O414&gt;=100,"Yes","No"))</f>
        <v/>
      </c>
      <c r="BW414" s="36" t="str">
        <f aca="false">IF(O414="","",IF(O414&gt;=150,"Yes","No"))</f>
        <v/>
      </c>
      <c r="BX414" s="36" t="str">
        <f aca="false">IF(O414="","",IF(O414&gt;=200,"Yes","No"))</f>
        <v/>
      </c>
      <c r="BY414" s="36" t="str">
        <f aca="false">IF(Q414="","",IF(Q414&gt;=150000,"Yes","No"))</f>
        <v/>
      </c>
      <c r="BZ414" s="36" t="str">
        <f aca="false">IF(Q414="","",IF(Q414&gt;=200000,"Yes","No"))</f>
        <v/>
      </c>
      <c r="CA414" s="36" t="str">
        <f aca="false">IF(Q414="","",IF(Q414&gt;=250000,"Yes","No"))</f>
        <v/>
      </c>
      <c r="CB414" s="36" t="str">
        <f aca="false">IF(Q414="","",IF(Q414&gt;=300000,"Yes","No"))</f>
        <v/>
      </c>
      <c r="CC414" s="37"/>
      <c r="CD414" s="36" t="str">
        <f aca="true">IF(B414="","",IF(TODAY()-B414&lt;=7,"🟢 0-7d",IF(TODAY()-B414&lt;=30,"🟡 8-30d",IF(TODAY()-B414&lt;=60,"🟠 31-60d","🔴 60d+"))))</f>
        <v/>
      </c>
      <c r="CE414" s="36" t="str">
        <f aca="false">IF(G414="","",IF(G414&lt;&gt;"USA","N/A - Not USA Role",IF(J414="Yes",IF(OR(F414="Intern",F414="New Grad"),"🟡 Possible","🟢 Strong"),IF(J414="No","🔴 Difficult","⚪ Unknown"))))</f>
        <v/>
      </c>
      <c r="CF414" s="37"/>
      <c r="CG414" s="37"/>
      <c r="CH414" s="38"/>
      <c r="CI414" s="38"/>
      <c r="CJ414" s="38"/>
      <c r="CK414" s="38"/>
    </row>
    <row r="415" customFormat="false" ht="15" hidden="false" customHeight="true" outlineLevel="0" collapsed="false">
      <c r="A415" s="26" t="str">
        <f aca="false">IF($C415="","",ROW()-3)</f>
        <v/>
      </c>
      <c r="B415" s="27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9"/>
      <c r="N415" s="29"/>
      <c r="O415" s="30" t="str">
        <f aca="false">IFERROR(IF(M415="","",M415*INDEX('00 - Lists'!$M$2:$M$11,MATCH(L415,'00 - Lists'!$L$2:$L$11,0))/100000),"")</f>
        <v/>
      </c>
      <c r="P415" s="30" t="str">
        <f aca="false">IFERROR(IF(N415="","",N415*INDEX('00 - Lists'!$M$2:$M$11,MATCH(L415,'00 - Lists'!$L$2:$L$11,0))/100000),"")</f>
        <v/>
      </c>
      <c r="Q415" s="31" t="str">
        <f aca="false">IFERROR(IF(M415="","",M415*INDEX('00 - Lists'!$N$2:$N$11,MATCH(L415,'00 - Lists'!$L$2:$L$11,0))),"")</f>
        <v/>
      </c>
      <c r="R415" s="31" t="str">
        <f aca="false">IFERROR(IF(N415="","",N415*INDEX('00 - Lists'!$N$2:$N$11,MATCH(L415,'00 - Lists'!$L$2:$L$11,0))),"")</f>
        <v/>
      </c>
      <c r="S415" s="32" t="str">
        <f aca="false">IF(O415="","",IF(O415&gt;=50,"Yes","No"))</f>
        <v/>
      </c>
      <c r="T415" s="32" t="str">
        <f aca="false">IF(Q415="","",IF(Q415&gt;=100000,"Yes","No"))</f>
        <v/>
      </c>
      <c r="U415" s="28"/>
      <c r="V415" s="28"/>
      <c r="W415" s="28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J415" s="34" t="str">
        <f aca="false">IF(OR($BD415&lt;&gt;"",$BF415&lt;&gt;"",$BH415&lt;&gt;""),"Yes","No")</f>
        <v>No</v>
      </c>
      <c r="BK415" s="35" t="str">
        <f aca="false">IFERROR(IF(BD415="","",BD415*INDEX('00 - Lists'!$M$2:$M$11,MATCH(L415,'00 - Lists'!$L$2:$L$11,0))/100000),"")</f>
        <v/>
      </c>
      <c r="BL415" s="35" t="str">
        <f aca="false">IFERROR(IF(BE415="","",BE415*INDEX('00 - Lists'!$M$2:$M$11,MATCH(L415,'00 - Lists'!$L$2:$L$11,0))/100000),"")</f>
        <v/>
      </c>
      <c r="BM415" s="35" t="str">
        <f aca="false">IFERROR(IF(BF415="","",BF415*INDEX('00 - Lists'!$M$2:$M$11,MATCH(L415,'00 - Lists'!$L$2:$L$11,0))/100000),"")</f>
        <v/>
      </c>
      <c r="BN415" s="35" t="str">
        <f aca="false">IFERROR(IF(BG415="","",BG415*INDEX('00 - Lists'!$M$2:$M$11,MATCH(L415,'00 - Lists'!$L$2:$L$11,0))/100000),"")</f>
        <v/>
      </c>
      <c r="BO415" s="35" t="str">
        <f aca="false">IFERROR(IF(BH415="","",BH415*INDEX('00 - Lists'!$M$2:$M$11,MATCH(L415,'00 - Lists'!$L$2:$L$11,0))/100000),"")</f>
        <v/>
      </c>
      <c r="BP415" s="35" t="str">
        <f aca="false">IFERROR(IF(BI415="","",BI415*INDEX('00 - Lists'!$M$2:$M$11,MATCH(L415,'00 - Lists'!$L$2:$L$11,0))/100000),"")</f>
        <v/>
      </c>
      <c r="BS415" s="36" t="str">
        <f aca="false">IF(O415="","",IF(O415&gt;=20,"Yes","No"))</f>
        <v/>
      </c>
      <c r="BT415" s="36" t="str">
        <f aca="false">IF(O415="","",IF(O415&gt;=30,"Yes","No"))</f>
        <v/>
      </c>
      <c r="BU415" s="36" t="str">
        <f aca="false">IF(O415="","",IF(O415&gt;=75,"Yes","No"))</f>
        <v/>
      </c>
      <c r="BV415" s="36" t="str">
        <f aca="false">IF(O415="","",IF(O415&gt;=100,"Yes","No"))</f>
        <v/>
      </c>
      <c r="BW415" s="36" t="str">
        <f aca="false">IF(O415="","",IF(O415&gt;=150,"Yes","No"))</f>
        <v/>
      </c>
      <c r="BX415" s="36" t="str">
        <f aca="false">IF(O415="","",IF(O415&gt;=200,"Yes","No"))</f>
        <v/>
      </c>
      <c r="BY415" s="36" t="str">
        <f aca="false">IF(Q415="","",IF(Q415&gt;=150000,"Yes","No"))</f>
        <v/>
      </c>
      <c r="BZ415" s="36" t="str">
        <f aca="false">IF(Q415="","",IF(Q415&gt;=200000,"Yes","No"))</f>
        <v/>
      </c>
      <c r="CA415" s="36" t="str">
        <f aca="false">IF(Q415="","",IF(Q415&gt;=250000,"Yes","No"))</f>
        <v/>
      </c>
      <c r="CB415" s="36" t="str">
        <f aca="false">IF(Q415="","",IF(Q415&gt;=300000,"Yes","No"))</f>
        <v/>
      </c>
      <c r="CC415" s="37"/>
      <c r="CD415" s="36" t="str">
        <f aca="true">IF(B415="","",IF(TODAY()-B415&lt;=7,"🟢 0-7d",IF(TODAY()-B415&lt;=30,"🟡 8-30d",IF(TODAY()-B415&lt;=60,"🟠 31-60d","🔴 60d+"))))</f>
        <v/>
      </c>
      <c r="CE415" s="36" t="str">
        <f aca="false">IF(G415="","",IF(G415&lt;&gt;"USA","N/A - Not USA Role",IF(J415="Yes",IF(OR(F415="Intern",F415="New Grad"),"🟡 Possible","🟢 Strong"),IF(J415="No","🔴 Difficult","⚪ Unknown"))))</f>
        <v/>
      </c>
      <c r="CF415" s="37"/>
      <c r="CG415" s="37"/>
      <c r="CH415" s="38"/>
      <c r="CI415" s="38"/>
      <c r="CJ415" s="38"/>
      <c r="CK415" s="38"/>
    </row>
    <row r="416" customFormat="false" ht="15" hidden="false" customHeight="true" outlineLevel="0" collapsed="false">
      <c r="A416" s="26" t="str">
        <f aca="false">IF($C416="","",ROW()-3)</f>
        <v/>
      </c>
      <c r="B416" s="27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9"/>
      <c r="N416" s="29"/>
      <c r="O416" s="30" t="str">
        <f aca="false">IFERROR(IF(M416="","",M416*INDEX('00 - Lists'!$M$2:$M$11,MATCH(L416,'00 - Lists'!$L$2:$L$11,0))/100000),"")</f>
        <v/>
      </c>
      <c r="P416" s="30" t="str">
        <f aca="false">IFERROR(IF(N416="","",N416*INDEX('00 - Lists'!$M$2:$M$11,MATCH(L416,'00 - Lists'!$L$2:$L$11,0))/100000),"")</f>
        <v/>
      </c>
      <c r="Q416" s="31" t="str">
        <f aca="false">IFERROR(IF(M416="","",M416*INDEX('00 - Lists'!$N$2:$N$11,MATCH(L416,'00 - Lists'!$L$2:$L$11,0))),"")</f>
        <v/>
      </c>
      <c r="R416" s="31" t="str">
        <f aca="false">IFERROR(IF(N416="","",N416*INDEX('00 - Lists'!$N$2:$N$11,MATCH(L416,'00 - Lists'!$L$2:$L$11,0))),"")</f>
        <v/>
      </c>
      <c r="S416" s="32" t="str">
        <f aca="false">IF(O416="","",IF(O416&gt;=50,"Yes","No"))</f>
        <v/>
      </c>
      <c r="T416" s="32" t="str">
        <f aca="false">IF(Q416="","",IF(Q416&gt;=100000,"Yes","No"))</f>
        <v/>
      </c>
      <c r="U416" s="28"/>
      <c r="V416" s="28"/>
      <c r="W416" s="28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J416" s="34" t="str">
        <f aca="false">IF(OR($BD416&lt;&gt;"",$BF416&lt;&gt;"",$BH416&lt;&gt;""),"Yes","No")</f>
        <v>No</v>
      </c>
      <c r="BK416" s="35" t="str">
        <f aca="false">IFERROR(IF(BD416="","",BD416*INDEX('00 - Lists'!$M$2:$M$11,MATCH(L416,'00 - Lists'!$L$2:$L$11,0))/100000),"")</f>
        <v/>
      </c>
      <c r="BL416" s="35" t="str">
        <f aca="false">IFERROR(IF(BE416="","",BE416*INDEX('00 - Lists'!$M$2:$M$11,MATCH(L416,'00 - Lists'!$L$2:$L$11,0))/100000),"")</f>
        <v/>
      </c>
      <c r="BM416" s="35" t="str">
        <f aca="false">IFERROR(IF(BF416="","",BF416*INDEX('00 - Lists'!$M$2:$M$11,MATCH(L416,'00 - Lists'!$L$2:$L$11,0))/100000),"")</f>
        <v/>
      </c>
      <c r="BN416" s="35" t="str">
        <f aca="false">IFERROR(IF(BG416="","",BG416*INDEX('00 - Lists'!$M$2:$M$11,MATCH(L416,'00 - Lists'!$L$2:$L$11,0))/100000),"")</f>
        <v/>
      </c>
      <c r="BO416" s="35" t="str">
        <f aca="false">IFERROR(IF(BH416="","",BH416*INDEX('00 - Lists'!$M$2:$M$11,MATCH(L416,'00 - Lists'!$L$2:$L$11,0))/100000),"")</f>
        <v/>
      </c>
      <c r="BP416" s="35" t="str">
        <f aca="false">IFERROR(IF(BI416="","",BI416*INDEX('00 - Lists'!$M$2:$M$11,MATCH(L416,'00 - Lists'!$L$2:$L$11,0))/100000),"")</f>
        <v/>
      </c>
      <c r="BS416" s="36" t="str">
        <f aca="false">IF(O416="","",IF(O416&gt;=20,"Yes","No"))</f>
        <v/>
      </c>
      <c r="BT416" s="36" t="str">
        <f aca="false">IF(O416="","",IF(O416&gt;=30,"Yes","No"))</f>
        <v/>
      </c>
      <c r="BU416" s="36" t="str">
        <f aca="false">IF(O416="","",IF(O416&gt;=75,"Yes","No"))</f>
        <v/>
      </c>
      <c r="BV416" s="36" t="str">
        <f aca="false">IF(O416="","",IF(O416&gt;=100,"Yes","No"))</f>
        <v/>
      </c>
      <c r="BW416" s="36" t="str">
        <f aca="false">IF(O416="","",IF(O416&gt;=150,"Yes","No"))</f>
        <v/>
      </c>
      <c r="BX416" s="36" t="str">
        <f aca="false">IF(O416="","",IF(O416&gt;=200,"Yes","No"))</f>
        <v/>
      </c>
      <c r="BY416" s="36" t="str">
        <f aca="false">IF(Q416="","",IF(Q416&gt;=150000,"Yes","No"))</f>
        <v/>
      </c>
      <c r="BZ416" s="36" t="str">
        <f aca="false">IF(Q416="","",IF(Q416&gt;=200000,"Yes","No"))</f>
        <v/>
      </c>
      <c r="CA416" s="36" t="str">
        <f aca="false">IF(Q416="","",IF(Q416&gt;=250000,"Yes","No"))</f>
        <v/>
      </c>
      <c r="CB416" s="36" t="str">
        <f aca="false">IF(Q416="","",IF(Q416&gt;=300000,"Yes","No"))</f>
        <v/>
      </c>
      <c r="CC416" s="37"/>
      <c r="CD416" s="36" t="str">
        <f aca="true">IF(B416="","",IF(TODAY()-B416&lt;=7,"🟢 0-7d",IF(TODAY()-B416&lt;=30,"🟡 8-30d",IF(TODAY()-B416&lt;=60,"🟠 31-60d","🔴 60d+"))))</f>
        <v/>
      </c>
      <c r="CE416" s="36" t="str">
        <f aca="false">IF(G416="","",IF(G416&lt;&gt;"USA","N/A - Not USA Role",IF(J416="Yes",IF(OR(F416="Intern",F416="New Grad"),"🟡 Possible","🟢 Strong"),IF(J416="No","🔴 Difficult","⚪ Unknown"))))</f>
        <v/>
      </c>
      <c r="CF416" s="37"/>
      <c r="CG416" s="37"/>
      <c r="CH416" s="38"/>
      <c r="CI416" s="38"/>
      <c r="CJ416" s="38"/>
      <c r="CK416" s="38"/>
    </row>
    <row r="417" customFormat="false" ht="15" hidden="false" customHeight="true" outlineLevel="0" collapsed="false">
      <c r="A417" s="26" t="str">
        <f aca="false">IF($C417="","",ROW()-3)</f>
        <v/>
      </c>
      <c r="B417" s="27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9"/>
      <c r="N417" s="29"/>
      <c r="O417" s="30" t="str">
        <f aca="false">IFERROR(IF(M417="","",M417*INDEX('00 - Lists'!$M$2:$M$11,MATCH(L417,'00 - Lists'!$L$2:$L$11,0))/100000),"")</f>
        <v/>
      </c>
      <c r="P417" s="30" t="str">
        <f aca="false">IFERROR(IF(N417="","",N417*INDEX('00 - Lists'!$M$2:$M$11,MATCH(L417,'00 - Lists'!$L$2:$L$11,0))/100000),"")</f>
        <v/>
      </c>
      <c r="Q417" s="31" t="str">
        <f aca="false">IFERROR(IF(M417="","",M417*INDEX('00 - Lists'!$N$2:$N$11,MATCH(L417,'00 - Lists'!$L$2:$L$11,0))),"")</f>
        <v/>
      </c>
      <c r="R417" s="31" t="str">
        <f aca="false">IFERROR(IF(N417="","",N417*INDEX('00 - Lists'!$N$2:$N$11,MATCH(L417,'00 - Lists'!$L$2:$L$11,0))),"")</f>
        <v/>
      </c>
      <c r="S417" s="32" t="str">
        <f aca="false">IF(O417="","",IF(O417&gt;=50,"Yes","No"))</f>
        <v/>
      </c>
      <c r="T417" s="32" t="str">
        <f aca="false">IF(Q417="","",IF(Q417&gt;=100000,"Yes","No"))</f>
        <v/>
      </c>
      <c r="U417" s="28"/>
      <c r="V417" s="28"/>
      <c r="W417" s="28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J417" s="34" t="str">
        <f aca="false">IF(OR($BD417&lt;&gt;"",$BF417&lt;&gt;"",$BH417&lt;&gt;""),"Yes","No")</f>
        <v>No</v>
      </c>
      <c r="BK417" s="35" t="str">
        <f aca="false">IFERROR(IF(BD417="","",BD417*INDEX('00 - Lists'!$M$2:$M$11,MATCH(L417,'00 - Lists'!$L$2:$L$11,0))/100000),"")</f>
        <v/>
      </c>
      <c r="BL417" s="35" t="str">
        <f aca="false">IFERROR(IF(BE417="","",BE417*INDEX('00 - Lists'!$M$2:$M$11,MATCH(L417,'00 - Lists'!$L$2:$L$11,0))/100000),"")</f>
        <v/>
      </c>
      <c r="BM417" s="35" t="str">
        <f aca="false">IFERROR(IF(BF417="","",BF417*INDEX('00 - Lists'!$M$2:$M$11,MATCH(L417,'00 - Lists'!$L$2:$L$11,0))/100000),"")</f>
        <v/>
      </c>
      <c r="BN417" s="35" t="str">
        <f aca="false">IFERROR(IF(BG417="","",BG417*INDEX('00 - Lists'!$M$2:$M$11,MATCH(L417,'00 - Lists'!$L$2:$L$11,0))/100000),"")</f>
        <v/>
      </c>
      <c r="BO417" s="35" t="str">
        <f aca="false">IFERROR(IF(BH417="","",BH417*INDEX('00 - Lists'!$M$2:$M$11,MATCH(L417,'00 - Lists'!$L$2:$L$11,0))/100000),"")</f>
        <v/>
      </c>
      <c r="BP417" s="35" t="str">
        <f aca="false">IFERROR(IF(BI417="","",BI417*INDEX('00 - Lists'!$M$2:$M$11,MATCH(L417,'00 - Lists'!$L$2:$L$11,0))/100000),"")</f>
        <v/>
      </c>
      <c r="BS417" s="36" t="str">
        <f aca="false">IF(O417="","",IF(O417&gt;=20,"Yes","No"))</f>
        <v/>
      </c>
      <c r="BT417" s="36" t="str">
        <f aca="false">IF(O417="","",IF(O417&gt;=30,"Yes","No"))</f>
        <v/>
      </c>
      <c r="BU417" s="36" t="str">
        <f aca="false">IF(O417="","",IF(O417&gt;=75,"Yes","No"))</f>
        <v/>
      </c>
      <c r="BV417" s="36" t="str">
        <f aca="false">IF(O417="","",IF(O417&gt;=100,"Yes","No"))</f>
        <v/>
      </c>
      <c r="BW417" s="36" t="str">
        <f aca="false">IF(O417="","",IF(O417&gt;=150,"Yes","No"))</f>
        <v/>
      </c>
      <c r="BX417" s="36" t="str">
        <f aca="false">IF(O417="","",IF(O417&gt;=200,"Yes","No"))</f>
        <v/>
      </c>
      <c r="BY417" s="36" t="str">
        <f aca="false">IF(Q417="","",IF(Q417&gt;=150000,"Yes","No"))</f>
        <v/>
      </c>
      <c r="BZ417" s="36" t="str">
        <f aca="false">IF(Q417="","",IF(Q417&gt;=200000,"Yes","No"))</f>
        <v/>
      </c>
      <c r="CA417" s="36" t="str">
        <f aca="false">IF(Q417="","",IF(Q417&gt;=250000,"Yes","No"))</f>
        <v/>
      </c>
      <c r="CB417" s="36" t="str">
        <f aca="false">IF(Q417="","",IF(Q417&gt;=300000,"Yes","No"))</f>
        <v/>
      </c>
      <c r="CC417" s="37"/>
      <c r="CD417" s="36" t="str">
        <f aca="true">IF(B417="","",IF(TODAY()-B417&lt;=7,"🟢 0-7d",IF(TODAY()-B417&lt;=30,"🟡 8-30d",IF(TODAY()-B417&lt;=60,"🟠 31-60d","🔴 60d+"))))</f>
        <v/>
      </c>
      <c r="CE417" s="36" t="str">
        <f aca="false">IF(G417="","",IF(G417&lt;&gt;"USA","N/A - Not USA Role",IF(J417="Yes",IF(OR(F417="Intern",F417="New Grad"),"🟡 Possible","🟢 Strong"),IF(J417="No","🔴 Difficult","⚪ Unknown"))))</f>
        <v/>
      </c>
      <c r="CF417" s="37"/>
      <c r="CG417" s="37"/>
      <c r="CH417" s="38"/>
      <c r="CI417" s="38"/>
      <c r="CJ417" s="38"/>
      <c r="CK417" s="38"/>
    </row>
    <row r="418" customFormat="false" ht="15" hidden="false" customHeight="true" outlineLevel="0" collapsed="false">
      <c r="A418" s="26" t="str">
        <f aca="false">IF($C418="","",ROW()-3)</f>
        <v/>
      </c>
      <c r="B418" s="27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9"/>
      <c r="N418" s="29"/>
      <c r="O418" s="30" t="str">
        <f aca="false">IFERROR(IF(M418="","",M418*INDEX('00 - Lists'!$M$2:$M$11,MATCH(L418,'00 - Lists'!$L$2:$L$11,0))/100000),"")</f>
        <v/>
      </c>
      <c r="P418" s="30" t="str">
        <f aca="false">IFERROR(IF(N418="","",N418*INDEX('00 - Lists'!$M$2:$M$11,MATCH(L418,'00 - Lists'!$L$2:$L$11,0))/100000),"")</f>
        <v/>
      </c>
      <c r="Q418" s="31" t="str">
        <f aca="false">IFERROR(IF(M418="","",M418*INDEX('00 - Lists'!$N$2:$N$11,MATCH(L418,'00 - Lists'!$L$2:$L$11,0))),"")</f>
        <v/>
      </c>
      <c r="R418" s="31" t="str">
        <f aca="false">IFERROR(IF(N418="","",N418*INDEX('00 - Lists'!$N$2:$N$11,MATCH(L418,'00 - Lists'!$L$2:$L$11,0))),"")</f>
        <v/>
      </c>
      <c r="S418" s="32" t="str">
        <f aca="false">IF(O418="","",IF(O418&gt;=50,"Yes","No"))</f>
        <v/>
      </c>
      <c r="T418" s="32" t="str">
        <f aca="false">IF(Q418="","",IF(Q418&gt;=100000,"Yes","No"))</f>
        <v/>
      </c>
      <c r="U418" s="28"/>
      <c r="V418" s="28"/>
      <c r="W418" s="28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J418" s="34" t="str">
        <f aca="false">IF(OR($BD418&lt;&gt;"",$BF418&lt;&gt;"",$BH418&lt;&gt;""),"Yes","No")</f>
        <v>No</v>
      </c>
      <c r="BK418" s="35" t="str">
        <f aca="false">IFERROR(IF(BD418="","",BD418*INDEX('00 - Lists'!$M$2:$M$11,MATCH(L418,'00 - Lists'!$L$2:$L$11,0))/100000),"")</f>
        <v/>
      </c>
      <c r="BL418" s="35" t="str">
        <f aca="false">IFERROR(IF(BE418="","",BE418*INDEX('00 - Lists'!$M$2:$M$11,MATCH(L418,'00 - Lists'!$L$2:$L$11,0))/100000),"")</f>
        <v/>
      </c>
      <c r="BM418" s="35" t="str">
        <f aca="false">IFERROR(IF(BF418="","",BF418*INDEX('00 - Lists'!$M$2:$M$11,MATCH(L418,'00 - Lists'!$L$2:$L$11,0))/100000),"")</f>
        <v/>
      </c>
      <c r="BN418" s="35" t="str">
        <f aca="false">IFERROR(IF(BG418="","",BG418*INDEX('00 - Lists'!$M$2:$M$11,MATCH(L418,'00 - Lists'!$L$2:$L$11,0))/100000),"")</f>
        <v/>
      </c>
      <c r="BO418" s="35" t="str">
        <f aca="false">IFERROR(IF(BH418="","",BH418*INDEX('00 - Lists'!$M$2:$M$11,MATCH(L418,'00 - Lists'!$L$2:$L$11,0))/100000),"")</f>
        <v/>
      </c>
      <c r="BP418" s="35" t="str">
        <f aca="false">IFERROR(IF(BI418="","",BI418*INDEX('00 - Lists'!$M$2:$M$11,MATCH(L418,'00 - Lists'!$L$2:$L$11,0))/100000),"")</f>
        <v/>
      </c>
      <c r="BS418" s="36" t="str">
        <f aca="false">IF(O418="","",IF(O418&gt;=20,"Yes","No"))</f>
        <v/>
      </c>
      <c r="BT418" s="36" t="str">
        <f aca="false">IF(O418="","",IF(O418&gt;=30,"Yes","No"))</f>
        <v/>
      </c>
      <c r="BU418" s="36" t="str">
        <f aca="false">IF(O418="","",IF(O418&gt;=75,"Yes","No"))</f>
        <v/>
      </c>
      <c r="BV418" s="36" t="str">
        <f aca="false">IF(O418="","",IF(O418&gt;=100,"Yes","No"))</f>
        <v/>
      </c>
      <c r="BW418" s="36" t="str">
        <f aca="false">IF(O418="","",IF(O418&gt;=150,"Yes","No"))</f>
        <v/>
      </c>
      <c r="BX418" s="36" t="str">
        <f aca="false">IF(O418="","",IF(O418&gt;=200,"Yes","No"))</f>
        <v/>
      </c>
      <c r="BY418" s="36" t="str">
        <f aca="false">IF(Q418="","",IF(Q418&gt;=150000,"Yes","No"))</f>
        <v/>
      </c>
      <c r="BZ418" s="36" t="str">
        <f aca="false">IF(Q418="","",IF(Q418&gt;=200000,"Yes","No"))</f>
        <v/>
      </c>
      <c r="CA418" s="36" t="str">
        <f aca="false">IF(Q418="","",IF(Q418&gt;=250000,"Yes","No"))</f>
        <v/>
      </c>
      <c r="CB418" s="36" t="str">
        <f aca="false">IF(Q418="","",IF(Q418&gt;=300000,"Yes","No"))</f>
        <v/>
      </c>
      <c r="CC418" s="37"/>
      <c r="CD418" s="36" t="str">
        <f aca="true">IF(B418="","",IF(TODAY()-B418&lt;=7,"🟢 0-7d",IF(TODAY()-B418&lt;=30,"🟡 8-30d",IF(TODAY()-B418&lt;=60,"🟠 31-60d","🔴 60d+"))))</f>
        <v/>
      </c>
      <c r="CE418" s="36" t="str">
        <f aca="false">IF(G418="","",IF(G418&lt;&gt;"USA","N/A - Not USA Role",IF(J418="Yes",IF(OR(F418="Intern",F418="New Grad"),"🟡 Possible","🟢 Strong"),IF(J418="No","🔴 Difficult","⚪ Unknown"))))</f>
        <v/>
      </c>
      <c r="CF418" s="37"/>
      <c r="CG418" s="37"/>
      <c r="CH418" s="38"/>
      <c r="CI418" s="38"/>
      <c r="CJ418" s="38"/>
      <c r="CK418" s="38"/>
    </row>
    <row r="419" customFormat="false" ht="15" hidden="false" customHeight="true" outlineLevel="0" collapsed="false">
      <c r="A419" s="26" t="str">
        <f aca="false">IF($C419="","",ROW()-3)</f>
        <v/>
      </c>
      <c r="B419" s="27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9"/>
      <c r="N419" s="29"/>
      <c r="O419" s="30" t="str">
        <f aca="false">IFERROR(IF(M419="","",M419*INDEX('00 - Lists'!$M$2:$M$11,MATCH(L419,'00 - Lists'!$L$2:$L$11,0))/100000),"")</f>
        <v/>
      </c>
      <c r="P419" s="30" t="str">
        <f aca="false">IFERROR(IF(N419="","",N419*INDEX('00 - Lists'!$M$2:$M$11,MATCH(L419,'00 - Lists'!$L$2:$L$11,0))/100000),"")</f>
        <v/>
      </c>
      <c r="Q419" s="31" t="str">
        <f aca="false">IFERROR(IF(M419="","",M419*INDEX('00 - Lists'!$N$2:$N$11,MATCH(L419,'00 - Lists'!$L$2:$L$11,0))),"")</f>
        <v/>
      </c>
      <c r="R419" s="31" t="str">
        <f aca="false">IFERROR(IF(N419="","",N419*INDEX('00 - Lists'!$N$2:$N$11,MATCH(L419,'00 - Lists'!$L$2:$L$11,0))),"")</f>
        <v/>
      </c>
      <c r="S419" s="32" t="str">
        <f aca="false">IF(O419="","",IF(O419&gt;=50,"Yes","No"))</f>
        <v/>
      </c>
      <c r="T419" s="32" t="str">
        <f aca="false">IF(Q419="","",IF(Q419&gt;=100000,"Yes","No"))</f>
        <v/>
      </c>
      <c r="U419" s="28"/>
      <c r="V419" s="28"/>
      <c r="W419" s="28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J419" s="34" t="str">
        <f aca="false">IF(OR($BD419&lt;&gt;"",$BF419&lt;&gt;"",$BH419&lt;&gt;""),"Yes","No")</f>
        <v>No</v>
      </c>
      <c r="BK419" s="35" t="str">
        <f aca="false">IFERROR(IF(BD419="","",BD419*INDEX('00 - Lists'!$M$2:$M$11,MATCH(L419,'00 - Lists'!$L$2:$L$11,0))/100000),"")</f>
        <v/>
      </c>
      <c r="BL419" s="35" t="str">
        <f aca="false">IFERROR(IF(BE419="","",BE419*INDEX('00 - Lists'!$M$2:$M$11,MATCH(L419,'00 - Lists'!$L$2:$L$11,0))/100000),"")</f>
        <v/>
      </c>
      <c r="BM419" s="35" t="str">
        <f aca="false">IFERROR(IF(BF419="","",BF419*INDEX('00 - Lists'!$M$2:$M$11,MATCH(L419,'00 - Lists'!$L$2:$L$11,0))/100000),"")</f>
        <v/>
      </c>
      <c r="BN419" s="35" t="str">
        <f aca="false">IFERROR(IF(BG419="","",BG419*INDEX('00 - Lists'!$M$2:$M$11,MATCH(L419,'00 - Lists'!$L$2:$L$11,0))/100000),"")</f>
        <v/>
      </c>
      <c r="BO419" s="35" t="str">
        <f aca="false">IFERROR(IF(BH419="","",BH419*INDEX('00 - Lists'!$M$2:$M$11,MATCH(L419,'00 - Lists'!$L$2:$L$11,0))/100000),"")</f>
        <v/>
      </c>
      <c r="BP419" s="35" t="str">
        <f aca="false">IFERROR(IF(BI419="","",BI419*INDEX('00 - Lists'!$M$2:$M$11,MATCH(L419,'00 - Lists'!$L$2:$L$11,0))/100000),"")</f>
        <v/>
      </c>
      <c r="BS419" s="36" t="str">
        <f aca="false">IF(O419="","",IF(O419&gt;=20,"Yes","No"))</f>
        <v/>
      </c>
      <c r="BT419" s="36" t="str">
        <f aca="false">IF(O419="","",IF(O419&gt;=30,"Yes","No"))</f>
        <v/>
      </c>
      <c r="BU419" s="36" t="str">
        <f aca="false">IF(O419="","",IF(O419&gt;=75,"Yes","No"))</f>
        <v/>
      </c>
      <c r="BV419" s="36" t="str">
        <f aca="false">IF(O419="","",IF(O419&gt;=100,"Yes","No"))</f>
        <v/>
      </c>
      <c r="BW419" s="36" t="str">
        <f aca="false">IF(O419="","",IF(O419&gt;=150,"Yes","No"))</f>
        <v/>
      </c>
      <c r="BX419" s="36" t="str">
        <f aca="false">IF(O419="","",IF(O419&gt;=200,"Yes","No"))</f>
        <v/>
      </c>
      <c r="BY419" s="36" t="str">
        <f aca="false">IF(Q419="","",IF(Q419&gt;=150000,"Yes","No"))</f>
        <v/>
      </c>
      <c r="BZ419" s="36" t="str">
        <f aca="false">IF(Q419="","",IF(Q419&gt;=200000,"Yes","No"))</f>
        <v/>
      </c>
      <c r="CA419" s="36" t="str">
        <f aca="false">IF(Q419="","",IF(Q419&gt;=250000,"Yes","No"))</f>
        <v/>
      </c>
      <c r="CB419" s="36" t="str">
        <f aca="false">IF(Q419="","",IF(Q419&gt;=300000,"Yes","No"))</f>
        <v/>
      </c>
      <c r="CC419" s="37"/>
      <c r="CD419" s="36" t="str">
        <f aca="true">IF(B419="","",IF(TODAY()-B419&lt;=7,"🟢 0-7d",IF(TODAY()-B419&lt;=30,"🟡 8-30d",IF(TODAY()-B419&lt;=60,"🟠 31-60d","🔴 60d+"))))</f>
        <v/>
      </c>
      <c r="CE419" s="36" t="str">
        <f aca="false">IF(G419="","",IF(G419&lt;&gt;"USA","N/A - Not USA Role",IF(J419="Yes",IF(OR(F419="Intern",F419="New Grad"),"🟡 Possible","🟢 Strong"),IF(J419="No","🔴 Difficult","⚪ Unknown"))))</f>
        <v/>
      </c>
      <c r="CF419" s="37"/>
      <c r="CG419" s="37"/>
      <c r="CH419" s="38"/>
      <c r="CI419" s="38"/>
      <c r="CJ419" s="38"/>
      <c r="CK419" s="38"/>
    </row>
    <row r="420" customFormat="false" ht="15" hidden="false" customHeight="true" outlineLevel="0" collapsed="false">
      <c r="A420" s="26" t="str">
        <f aca="false">IF($C420="","",ROW()-3)</f>
        <v/>
      </c>
      <c r="B420" s="27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9"/>
      <c r="N420" s="29"/>
      <c r="O420" s="30" t="str">
        <f aca="false">IFERROR(IF(M420="","",M420*INDEX('00 - Lists'!$M$2:$M$11,MATCH(L420,'00 - Lists'!$L$2:$L$11,0))/100000),"")</f>
        <v/>
      </c>
      <c r="P420" s="30" t="str">
        <f aca="false">IFERROR(IF(N420="","",N420*INDEX('00 - Lists'!$M$2:$M$11,MATCH(L420,'00 - Lists'!$L$2:$L$11,0))/100000),"")</f>
        <v/>
      </c>
      <c r="Q420" s="31" t="str">
        <f aca="false">IFERROR(IF(M420="","",M420*INDEX('00 - Lists'!$N$2:$N$11,MATCH(L420,'00 - Lists'!$L$2:$L$11,0))),"")</f>
        <v/>
      </c>
      <c r="R420" s="31" t="str">
        <f aca="false">IFERROR(IF(N420="","",N420*INDEX('00 - Lists'!$N$2:$N$11,MATCH(L420,'00 - Lists'!$L$2:$L$11,0))),"")</f>
        <v/>
      </c>
      <c r="S420" s="32" t="str">
        <f aca="false">IF(O420="","",IF(O420&gt;=50,"Yes","No"))</f>
        <v/>
      </c>
      <c r="T420" s="32" t="str">
        <f aca="false">IF(Q420="","",IF(Q420&gt;=100000,"Yes","No"))</f>
        <v/>
      </c>
      <c r="U420" s="28"/>
      <c r="V420" s="28"/>
      <c r="W420" s="28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J420" s="34" t="str">
        <f aca="false">IF(OR($BD420&lt;&gt;"",$BF420&lt;&gt;"",$BH420&lt;&gt;""),"Yes","No")</f>
        <v>No</v>
      </c>
      <c r="BK420" s="35" t="str">
        <f aca="false">IFERROR(IF(BD420="","",BD420*INDEX('00 - Lists'!$M$2:$M$11,MATCH(L420,'00 - Lists'!$L$2:$L$11,0))/100000),"")</f>
        <v/>
      </c>
      <c r="BL420" s="35" t="str">
        <f aca="false">IFERROR(IF(BE420="","",BE420*INDEX('00 - Lists'!$M$2:$M$11,MATCH(L420,'00 - Lists'!$L$2:$L$11,0))/100000),"")</f>
        <v/>
      </c>
      <c r="BM420" s="35" t="str">
        <f aca="false">IFERROR(IF(BF420="","",BF420*INDEX('00 - Lists'!$M$2:$M$11,MATCH(L420,'00 - Lists'!$L$2:$L$11,0))/100000),"")</f>
        <v/>
      </c>
      <c r="BN420" s="35" t="str">
        <f aca="false">IFERROR(IF(BG420="","",BG420*INDEX('00 - Lists'!$M$2:$M$11,MATCH(L420,'00 - Lists'!$L$2:$L$11,0))/100000),"")</f>
        <v/>
      </c>
      <c r="BO420" s="35" t="str">
        <f aca="false">IFERROR(IF(BH420="","",BH420*INDEX('00 - Lists'!$M$2:$M$11,MATCH(L420,'00 - Lists'!$L$2:$L$11,0))/100000),"")</f>
        <v/>
      </c>
      <c r="BP420" s="35" t="str">
        <f aca="false">IFERROR(IF(BI420="","",BI420*INDEX('00 - Lists'!$M$2:$M$11,MATCH(L420,'00 - Lists'!$L$2:$L$11,0))/100000),"")</f>
        <v/>
      </c>
      <c r="BS420" s="36" t="str">
        <f aca="false">IF(O420="","",IF(O420&gt;=20,"Yes","No"))</f>
        <v/>
      </c>
      <c r="BT420" s="36" t="str">
        <f aca="false">IF(O420="","",IF(O420&gt;=30,"Yes","No"))</f>
        <v/>
      </c>
      <c r="BU420" s="36" t="str">
        <f aca="false">IF(O420="","",IF(O420&gt;=75,"Yes","No"))</f>
        <v/>
      </c>
      <c r="BV420" s="36" t="str">
        <f aca="false">IF(O420="","",IF(O420&gt;=100,"Yes","No"))</f>
        <v/>
      </c>
      <c r="BW420" s="36" t="str">
        <f aca="false">IF(O420="","",IF(O420&gt;=150,"Yes","No"))</f>
        <v/>
      </c>
      <c r="BX420" s="36" t="str">
        <f aca="false">IF(O420="","",IF(O420&gt;=200,"Yes","No"))</f>
        <v/>
      </c>
      <c r="BY420" s="36" t="str">
        <f aca="false">IF(Q420="","",IF(Q420&gt;=150000,"Yes","No"))</f>
        <v/>
      </c>
      <c r="BZ420" s="36" t="str">
        <f aca="false">IF(Q420="","",IF(Q420&gt;=200000,"Yes","No"))</f>
        <v/>
      </c>
      <c r="CA420" s="36" t="str">
        <f aca="false">IF(Q420="","",IF(Q420&gt;=250000,"Yes","No"))</f>
        <v/>
      </c>
      <c r="CB420" s="36" t="str">
        <f aca="false">IF(Q420="","",IF(Q420&gt;=300000,"Yes","No"))</f>
        <v/>
      </c>
      <c r="CC420" s="37"/>
      <c r="CD420" s="36" t="str">
        <f aca="true">IF(B420="","",IF(TODAY()-B420&lt;=7,"🟢 0-7d",IF(TODAY()-B420&lt;=30,"🟡 8-30d",IF(TODAY()-B420&lt;=60,"🟠 31-60d","🔴 60d+"))))</f>
        <v/>
      </c>
      <c r="CE420" s="36" t="str">
        <f aca="false">IF(G420="","",IF(G420&lt;&gt;"USA","N/A - Not USA Role",IF(J420="Yes",IF(OR(F420="Intern",F420="New Grad"),"🟡 Possible","🟢 Strong"),IF(J420="No","🔴 Difficult","⚪ Unknown"))))</f>
        <v/>
      </c>
      <c r="CF420" s="37"/>
      <c r="CG420" s="37"/>
      <c r="CH420" s="38"/>
      <c r="CI420" s="38"/>
      <c r="CJ420" s="38"/>
      <c r="CK420" s="38"/>
    </row>
    <row r="421" customFormat="false" ht="15" hidden="false" customHeight="true" outlineLevel="0" collapsed="false">
      <c r="A421" s="26" t="str">
        <f aca="false">IF($C421="","",ROW()-3)</f>
        <v/>
      </c>
      <c r="B421" s="27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9"/>
      <c r="N421" s="29"/>
      <c r="O421" s="30" t="str">
        <f aca="false">IFERROR(IF(M421="","",M421*INDEX('00 - Lists'!$M$2:$M$11,MATCH(L421,'00 - Lists'!$L$2:$L$11,0))/100000),"")</f>
        <v/>
      </c>
      <c r="P421" s="30" t="str">
        <f aca="false">IFERROR(IF(N421="","",N421*INDEX('00 - Lists'!$M$2:$M$11,MATCH(L421,'00 - Lists'!$L$2:$L$11,0))/100000),"")</f>
        <v/>
      </c>
      <c r="Q421" s="31" t="str">
        <f aca="false">IFERROR(IF(M421="","",M421*INDEX('00 - Lists'!$N$2:$N$11,MATCH(L421,'00 - Lists'!$L$2:$L$11,0))),"")</f>
        <v/>
      </c>
      <c r="R421" s="31" t="str">
        <f aca="false">IFERROR(IF(N421="","",N421*INDEX('00 - Lists'!$N$2:$N$11,MATCH(L421,'00 - Lists'!$L$2:$L$11,0))),"")</f>
        <v/>
      </c>
      <c r="S421" s="32" t="str">
        <f aca="false">IF(O421="","",IF(O421&gt;=50,"Yes","No"))</f>
        <v/>
      </c>
      <c r="T421" s="32" t="str">
        <f aca="false">IF(Q421="","",IF(Q421&gt;=100000,"Yes","No"))</f>
        <v/>
      </c>
      <c r="U421" s="28"/>
      <c r="V421" s="28"/>
      <c r="W421" s="28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J421" s="34" t="str">
        <f aca="false">IF(OR($BD421&lt;&gt;"",$BF421&lt;&gt;"",$BH421&lt;&gt;""),"Yes","No")</f>
        <v>No</v>
      </c>
      <c r="BK421" s="35" t="str">
        <f aca="false">IFERROR(IF(BD421="","",BD421*INDEX('00 - Lists'!$M$2:$M$11,MATCH(L421,'00 - Lists'!$L$2:$L$11,0))/100000),"")</f>
        <v/>
      </c>
      <c r="BL421" s="35" t="str">
        <f aca="false">IFERROR(IF(BE421="","",BE421*INDEX('00 - Lists'!$M$2:$M$11,MATCH(L421,'00 - Lists'!$L$2:$L$11,0))/100000),"")</f>
        <v/>
      </c>
      <c r="BM421" s="35" t="str">
        <f aca="false">IFERROR(IF(BF421="","",BF421*INDEX('00 - Lists'!$M$2:$M$11,MATCH(L421,'00 - Lists'!$L$2:$L$11,0))/100000),"")</f>
        <v/>
      </c>
      <c r="BN421" s="35" t="str">
        <f aca="false">IFERROR(IF(BG421="","",BG421*INDEX('00 - Lists'!$M$2:$M$11,MATCH(L421,'00 - Lists'!$L$2:$L$11,0))/100000),"")</f>
        <v/>
      </c>
      <c r="BO421" s="35" t="str">
        <f aca="false">IFERROR(IF(BH421="","",BH421*INDEX('00 - Lists'!$M$2:$M$11,MATCH(L421,'00 - Lists'!$L$2:$L$11,0))/100000),"")</f>
        <v/>
      </c>
      <c r="BP421" s="35" t="str">
        <f aca="false">IFERROR(IF(BI421="","",BI421*INDEX('00 - Lists'!$M$2:$M$11,MATCH(L421,'00 - Lists'!$L$2:$L$11,0))/100000),"")</f>
        <v/>
      </c>
      <c r="BS421" s="36" t="str">
        <f aca="false">IF(O421="","",IF(O421&gt;=20,"Yes","No"))</f>
        <v/>
      </c>
      <c r="BT421" s="36" t="str">
        <f aca="false">IF(O421="","",IF(O421&gt;=30,"Yes","No"))</f>
        <v/>
      </c>
      <c r="BU421" s="36" t="str">
        <f aca="false">IF(O421="","",IF(O421&gt;=75,"Yes","No"))</f>
        <v/>
      </c>
      <c r="BV421" s="36" t="str">
        <f aca="false">IF(O421="","",IF(O421&gt;=100,"Yes","No"))</f>
        <v/>
      </c>
      <c r="BW421" s="36" t="str">
        <f aca="false">IF(O421="","",IF(O421&gt;=150,"Yes","No"))</f>
        <v/>
      </c>
      <c r="BX421" s="36" t="str">
        <f aca="false">IF(O421="","",IF(O421&gt;=200,"Yes","No"))</f>
        <v/>
      </c>
      <c r="BY421" s="36" t="str">
        <f aca="false">IF(Q421="","",IF(Q421&gt;=150000,"Yes","No"))</f>
        <v/>
      </c>
      <c r="BZ421" s="36" t="str">
        <f aca="false">IF(Q421="","",IF(Q421&gt;=200000,"Yes","No"))</f>
        <v/>
      </c>
      <c r="CA421" s="36" t="str">
        <f aca="false">IF(Q421="","",IF(Q421&gt;=250000,"Yes","No"))</f>
        <v/>
      </c>
      <c r="CB421" s="36" t="str">
        <f aca="false">IF(Q421="","",IF(Q421&gt;=300000,"Yes","No"))</f>
        <v/>
      </c>
      <c r="CC421" s="37"/>
      <c r="CD421" s="36" t="str">
        <f aca="true">IF(B421="","",IF(TODAY()-B421&lt;=7,"🟢 0-7d",IF(TODAY()-B421&lt;=30,"🟡 8-30d",IF(TODAY()-B421&lt;=60,"🟠 31-60d","🔴 60d+"))))</f>
        <v/>
      </c>
      <c r="CE421" s="36" t="str">
        <f aca="false">IF(G421="","",IF(G421&lt;&gt;"USA","N/A - Not USA Role",IF(J421="Yes",IF(OR(F421="Intern",F421="New Grad"),"🟡 Possible","🟢 Strong"),IF(J421="No","🔴 Difficult","⚪ Unknown"))))</f>
        <v/>
      </c>
      <c r="CF421" s="37"/>
      <c r="CG421" s="37"/>
      <c r="CH421" s="38"/>
      <c r="CI421" s="38"/>
      <c r="CJ421" s="38"/>
      <c r="CK421" s="38"/>
    </row>
    <row r="422" customFormat="false" ht="15" hidden="false" customHeight="true" outlineLevel="0" collapsed="false">
      <c r="A422" s="26" t="str">
        <f aca="false">IF($C422="","",ROW()-3)</f>
        <v/>
      </c>
      <c r="B422" s="27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9"/>
      <c r="N422" s="29"/>
      <c r="O422" s="30" t="str">
        <f aca="false">IFERROR(IF(M422="","",M422*INDEX('00 - Lists'!$M$2:$M$11,MATCH(L422,'00 - Lists'!$L$2:$L$11,0))/100000),"")</f>
        <v/>
      </c>
      <c r="P422" s="30" t="str">
        <f aca="false">IFERROR(IF(N422="","",N422*INDEX('00 - Lists'!$M$2:$M$11,MATCH(L422,'00 - Lists'!$L$2:$L$11,0))/100000),"")</f>
        <v/>
      </c>
      <c r="Q422" s="31" t="str">
        <f aca="false">IFERROR(IF(M422="","",M422*INDEX('00 - Lists'!$N$2:$N$11,MATCH(L422,'00 - Lists'!$L$2:$L$11,0))),"")</f>
        <v/>
      </c>
      <c r="R422" s="31" t="str">
        <f aca="false">IFERROR(IF(N422="","",N422*INDEX('00 - Lists'!$N$2:$N$11,MATCH(L422,'00 - Lists'!$L$2:$L$11,0))),"")</f>
        <v/>
      </c>
      <c r="S422" s="32" t="str">
        <f aca="false">IF(O422="","",IF(O422&gt;=50,"Yes","No"))</f>
        <v/>
      </c>
      <c r="T422" s="32" t="str">
        <f aca="false">IF(Q422="","",IF(Q422&gt;=100000,"Yes","No"))</f>
        <v/>
      </c>
      <c r="U422" s="28"/>
      <c r="V422" s="28"/>
      <c r="W422" s="28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J422" s="34" t="str">
        <f aca="false">IF(OR($BD422&lt;&gt;"",$BF422&lt;&gt;"",$BH422&lt;&gt;""),"Yes","No")</f>
        <v>No</v>
      </c>
      <c r="BK422" s="35" t="str">
        <f aca="false">IFERROR(IF(BD422="","",BD422*INDEX('00 - Lists'!$M$2:$M$11,MATCH(L422,'00 - Lists'!$L$2:$L$11,0))/100000),"")</f>
        <v/>
      </c>
      <c r="BL422" s="35" t="str">
        <f aca="false">IFERROR(IF(BE422="","",BE422*INDEX('00 - Lists'!$M$2:$M$11,MATCH(L422,'00 - Lists'!$L$2:$L$11,0))/100000),"")</f>
        <v/>
      </c>
      <c r="BM422" s="35" t="str">
        <f aca="false">IFERROR(IF(BF422="","",BF422*INDEX('00 - Lists'!$M$2:$M$11,MATCH(L422,'00 - Lists'!$L$2:$L$11,0))/100000),"")</f>
        <v/>
      </c>
      <c r="BN422" s="35" t="str">
        <f aca="false">IFERROR(IF(BG422="","",BG422*INDEX('00 - Lists'!$M$2:$M$11,MATCH(L422,'00 - Lists'!$L$2:$L$11,0))/100000),"")</f>
        <v/>
      </c>
      <c r="BO422" s="35" t="str">
        <f aca="false">IFERROR(IF(BH422="","",BH422*INDEX('00 - Lists'!$M$2:$M$11,MATCH(L422,'00 - Lists'!$L$2:$L$11,0))/100000),"")</f>
        <v/>
      </c>
      <c r="BP422" s="35" t="str">
        <f aca="false">IFERROR(IF(BI422="","",BI422*INDEX('00 - Lists'!$M$2:$M$11,MATCH(L422,'00 - Lists'!$L$2:$L$11,0))/100000),"")</f>
        <v/>
      </c>
      <c r="BS422" s="36" t="str">
        <f aca="false">IF(O422="","",IF(O422&gt;=20,"Yes","No"))</f>
        <v/>
      </c>
      <c r="BT422" s="36" t="str">
        <f aca="false">IF(O422="","",IF(O422&gt;=30,"Yes","No"))</f>
        <v/>
      </c>
      <c r="BU422" s="36" t="str">
        <f aca="false">IF(O422="","",IF(O422&gt;=75,"Yes","No"))</f>
        <v/>
      </c>
      <c r="BV422" s="36" t="str">
        <f aca="false">IF(O422="","",IF(O422&gt;=100,"Yes","No"))</f>
        <v/>
      </c>
      <c r="BW422" s="36" t="str">
        <f aca="false">IF(O422="","",IF(O422&gt;=150,"Yes","No"))</f>
        <v/>
      </c>
      <c r="BX422" s="36" t="str">
        <f aca="false">IF(O422="","",IF(O422&gt;=200,"Yes","No"))</f>
        <v/>
      </c>
      <c r="BY422" s="36" t="str">
        <f aca="false">IF(Q422="","",IF(Q422&gt;=150000,"Yes","No"))</f>
        <v/>
      </c>
      <c r="BZ422" s="36" t="str">
        <f aca="false">IF(Q422="","",IF(Q422&gt;=200000,"Yes","No"))</f>
        <v/>
      </c>
      <c r="CA422" s="36" t="str">
        <f aca="false">IF(Q422="","",IF(Q422&gt;=250000,"Yes","No"))</f>
        <v/>
      </c>
      <c r="CB422" s="36" t="str">
        <f aca="false">IF(Q422="","",IF(Q422&gt;=300000,"Yes","No"))</f>
        <v/>
      </c>
      <c r="CC422" s="37"/>
      <c r="CD422" s="36" t="str">
        <f aca="true">IF(B422="","",IF(TODAY()-B422&lt;=7,"🟢 0-7d",IF(TODAY()-B422&lt;=30,"🟡 8-30d",IF(TODAY()-B422&lt;=60,"🟠 31-60d","🔴 60d+"))))</f>
        <v/>
      </c>
      <c r="CE422" s="36" t="str">
        <f aca="false">IF(G422="","",IF(G422&lt;&gt;"USA","N/A - Not USA Role",IF(J422="Yes",IF(OR(F422="Intern",F422="New Grad"),"🟡 Possible","🟢 Strong"),IF(J422="No","🔴 Difficult","⚪ Unknown"))))</f>
        <v/>
      </c>
      <c r="CF422" s="37"/>
      <c r="CG422" s="37"/>
      <c r="CH422" s="38"/>
      <c r="CI422" s="38"/>
      <c r="CJ422" s="38"/>
      <c r="CK422" s="38"/>
    </row>
    <row r="423" customFormat="false" ht="15" hidden="false" customHeight="true" outlineLevel="0" collapsed="false">
      <c r="A423" s="26" t="str">
        <f aca="false">IF($C423="","",ROW()-3)</f>
        <v/>
      </c>
      <c r="B423" s="27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9"/>
      <c r="N423" s="29"/>
      <c r="O423" s="30" t="str">
        <f aca="false">IFERROR(IF(M423="","",M423*INDEX('00 - Lists'!$M$2:$M$11,MATCH(L423,'00 - Lists'!$L$2:$L$11,0))/100000),"")</f>
        <v/>
      </c>
      <c r="P423" s="30" t="str">
        <f aca="false">IFERROR(IF(N423="","",N423*INDEX('00 - Lists'!$M$2:$M$11,MATCH(L423,'00 - Lists'!$L$2:$L$11,0))/100000),"")</f>
        <v/>
      </c>
      <c r="Q423" s="31" t="str">
        <f aca="false">IFERROR(IF(M423="","",M423*INDEX('00 - Lists'!$N$2:$N$11,MATCH(L423,'00 - Lists'!$L$2:$L$11,0))),"")</f>
        <v/>
      </c>
      <c r="R423" s="31" t="str">
        <f aca="false">IFERROR(IF(N423="","",N423*INDEX('00 - Lists'!$N$2:$N$11,MATCH(L423,'00 - Lists'!$L$2:$L$11,0))),"")</f>
        <v/>
      </c>
      <c r="S423" s="32" t="str">
        <f aca="false">IF(O423="","",IF(O423&gt;=50,"Yes","No"))</f>
        <v/>
      </c>
      <c r="T423" s="32" t="str">
        <f aca="false">IF(Q423="","",IF(Q423&gt;=100000,"Yes","No"))</f>
        <v/>
      </c>
      <c r="U423" s="28"/>
      <c r="V423" s="28"/>
      <c r="W423" s="28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J423" s="34" t="str">
        <f aca="false">IF(OR($BD423&lt;&gt;"",$BF423&lt;&gt;"",$BH423&lt;&gt;""),"Yes","No")</f>
        <v>No</v>
      </c>
      <c r="BK423" s="35" t="str">
        <f aca="false">IFERROR(IF(BD423="","",BD423*INDEX('00 - Lists'!$M$2:$M$11,MATCH(L423,'00 - Lists'!$L$2:$L$11,0))/100000),"")</f>
        <v/>
      </c>
      <c r="BL423" s="35" t="str">
        <f aca="false">IFERROR(IF(BE423="","",BE423*INDEX('00 - Lists'!$M$2:$M$11,MATCH(L423,'00 - Lists'!$L$2:$L$11,0))/100000),"")</f>
        <v/>
      </c>
      <c r="BM423" s="35" t="str">
        <f aca="false">IFERROR(IF(BF423="","",BF423*INDEX('00 - Lists'!$M$2:$M$11,MATCH(L423,'00 - Lists'!$L$2:$L$11,0))/100000),"")</f>
        <v/>
      </c>
      <c r="BN423" s="35" t="str">
        <f aca="false">IFERROR(IF(BG423="","",BG423*INDEX('00 - Lists'!$M$2:$M$11,MATCH(L423,'00 - Lists'!$L$2:$L$11,0))/100000),"")</f>
        <v/>
      </c>
      <c r="BO423" s="35" t="str">
        <f aca="false">IFERROR(IF(BH423="","",BH423*INDEX('00 - Lists'!$M$2:$M$11,MATCH(L423,'00 - Lists'!$L$2:$L$11,0))/100000),"")</f>
        <v/>
      </c>
      <c r="BP423" s="35" t="str">
        <f aca="false">IFERROR(IF(BI423="","",BI423*INDEX('00 - Lists'!$M$2:$M$11,MATCH(L423,'00 - Lists'!$L$2:$L$11,0))/100000),"")</f>
        <v/>
      </c>
      <c r="BS423" s="36" t="str">
        <f aca="false">IF(O423="","",IF(O423&gt;=20,"Yes","No"))</f>
        <v/>
      </c>
      <c r="BT423" s="36" t="str">
        <f aca="false">IF(O423="","",IF(O423&gt;=30,"Yes","No"))</f>
        <v/>
      </c>
      <c r="BU423" s="36" t="str">
        <f aca="false">IF(O423="","",IF(O423&gt;=75,"Yes","No"))</f>
        <v/>
      </c>
      <c r="BV423" s="36" t="str">
        <f aca="false">IF(O423="","",IF(O423&gt;=100,"Yes","No"))</f>
        <v/>
      </c>
      <c r="BW423" s="36" t="str">
        <f aca="false">IF(O423="","",IF(O423&gt;=150,"Yes","No"))</f>
        <v/>
      </c>
      <c r="BX423" s="36" t="str">
        <f aca="false">IF(O423="","",IF(O423&gt;=200,"Yes","No"))</f>
        <v/>
      </c>
      <c r="BY423" s="36" t="str">
        <f aca="false">IF(Q423="","",IF(Q423&gt;=150000,"Yes","No"))</f>
        <v/>
      </c>
      <c r="BZ423" s="36" t="str">
        <f aca="false">IF(Q423="","",IF(Q423&gt;=200000,"Yes","No"))</f>
        <v/>
      </c>
      <c r="CA423" s="36" t="str">
        <f aca="false">IF(Q423="","",IF(Q423&gt;=250000,"Yes","No"))</f>
        <v/>
      </c>
      <c r="CB423" s="36" t="str">
        <f aca="false">IF(Q423="","",IF(Q423&gt;=300000,"Yes","No"))</f>
        <v/>
      </c>
      <c r="CC423" s="37"/>
      <c r="CD423" s="36" t="str">
        <f aca="true">IF(B423="","",IF(TODAY()-B423&lt;=7,"🟢 0-7d",IF(TODAY()-B423&lt;=30,"🟡 8-30d",IF(TODAY()-B423&lt;=60,"🟠 31-60d","🔴 60d+"))))</f>
        <v/>
      </c>
      <c r="CE423" s="36" t="str">
        <f aca="false">IF(G423="","",IF(G423&lt;&gt;"USA","N/A - Not USA Role",IF(J423="Yes",IF(OR(F423="Intern",F423="New Grad"),"🟡 Possible","🟢 Strong"),IF(J423="No","🔴 Difficult","⚪ Unknown"))))</f>
        <v/>
      </c>
      <c r="CF423" s="37"/>
      <c r="CG423" s="37"/>
      <c r="CH423" s="38"/>
      <c r="CI423" s="38"/>
      <c r="CJ423" s="38"/>
      <c r="CK423" s="38"/>
    </row>
    <row r="424" customFormat="false" ht="15" hidden="false" customHeight="true" outlineLevel="0" collapsed="false">
      <c r="A424" s="26" t="str">
        <f aca="false">IF($C424="","",ROW()-3)</f>
        <v/>
      </c>
      <c r="B424" s="27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9"/>
      <c r="N424" s="29"/>
      <c r="O424" s="30" t="str">
        <f aca="false">IFERROR(IF(M424="","",M424*INDEX('00 - Lists'!$M$2:$M$11,MATCH(L424,'00 - Lists'!$L$2:$L$11,0))/100000),"")</f>
        <v/>
      </c>
      <c r="P424" s="30" t="str">
        <f aca="false">IFERROR(IF(N424="","",N424*INDEX('00 - Lists'!$M$2:$M$11,MATCH(L424,'00 - Lists'!$L$2:$L$11,0))/100000),"")</f>
        <v/>
      </c>
      <c r="Q424" s="31" t="str">
        <f aca="false">IFERROR(IF(M424="","",M424*INDEX('00 - Lists'!$N$2:$N$11,MATCH(L424,'00 - Lists'!$L$2:$L$11,0))),"")</f>
        <v/>
      </c>
      <c r="R424" s="31" t="str">
        <f aca="false">IFERROR(IF(N424="","",N424*INDEX('00 - Lists'!$N$2:$N$11,MATCH(L424,'00 - Lists'!$L$2:$L$11,0))),"")</f>
        <v/>
      </c>
      <c r="S424" s="32" t="str">
        <f aca="false">IF(O424="","",IF(O424&gt;=50,"Yes","No"))</f>
        <v/>
      </c>
      <c r="T424" s="32" t="str">
        <f aca="false">IF(Q424="","",IF(Q424&gt;=100000,"Yes","No"))</f>
        <v/>
      </c>
      <c r="U424" s="28"/>
      <c r="V424" s="28"/>
      <c r="W424" s="28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J424" s="34" t="str">
        <f aca="false">IF(OR($BD424&lt;&gt;"",$BF424&lt;&gt;"",$BH424&lt;&gt;""),"Yes","No")</f>
        <v>No</v>
      </c>
      <c r="BK424" s="35" t="str">
        <f aca="false">IFERROR(IF(BD424="","",BD424*INDEX('00 - Lists'!$M$2:$M$11,MATCH(L424,'00 - Lists'!$L$2:$L$11,0))/100000),"")</f>
        <v/>
      </c>
      <c r="BL424" s="35" t="str">
        <f aca="false">IFERROR(IF(BE424="","",BE424*INDEX('00 - Lists'!$M$2:$M$11,MATCH(L424,'00 - Lists'!$L$2:$L$11,0))/100000),"")</f>
        <v/>
      </c>
      <c r="BM424" s="35" t="str">
        <f aca="false">IFERROR(IF(BF424="","",BF424*INDEX('00 - Lists'!$M$2:$M$11,MATCH(L424,'00 - Lists'!$L$2:$L$11,0))/100000),"")</f>
        <v/>
      </c>
      <c r="BN424" s="35" t="str">
        <f aca="false">IFERROR(IF(BG424="","",BG424*INDEX('00 - Lists'!$M$2:$M$11,MATCH(L424,'00 - Lists'!$L$2:$L$11,0))/100000),"")</f>
        <v/>
      </c>
      <c r="BO424" s="35" t="str">
        <f aca="false">IFERROR(IF(BH424="","",BH424*INDEX('00 - Lists'!$M$2:$M$11,MATCH(L424,'00 - Lists'!$L$2:$L$11,0))/100000),"")</f>
        <v/>
      </c>
      <c r="BP424" s="35" t="str">
        <f aca="false">IFERROR(IF(BI424="","",BI424*INDEX('00 - Lists'!$M$2:$M$11,MATCH(L424,'00 - Lists'!$L$2:$L$11,0))/100000),"")</f>
        <v/>
      </c>
      <c r="BS424" s="36" t="str">
        <f aca="false">IF(O424="","",IF(O424&gt;=20,"Yes","No"))</f>
        <v/>
      </c>
      <c r="BT424" s="36" t="str">
        <f aca="false">IF(O424="","",IF(O424&gt;=30,"Yes","No"))</f>
        <v/>
      </c>
      <c r="BU424" s="36" t="str">
        <f aca="false">IF(O424="","",IF(O424&gt;=75,"Yes","No"))</f>
        <v/>
      </c>
      <c r="BV424" s="36" t="str">
        <f aca="false">IF(O424="","",IF(O424&gt;=100,"Yes","No"))</f>
        <v/>
      </c>
      <c r="BW424" s="36" t="str">
        <f aca="false">IF(O424="","",IF(O424&gt;=150,"Yes","No"))</f>
        <v/>
      </c>
      <c r="BX424" s="36" t="str">
        <f aca="false">IF(O424="","",IF(O424&gt;=200,"Yes","No"))</f>
        <v/>
      </c>
      <c r="BY424" s="36" t="str">
        <f aca="false">IF(Q424="","",IF(Q424&gt;=150000,"Yes","No"))</f>
        <v/>
      </c>
      <c r="BZ424" s="36" t="str">
        <f aca="false">IF(Q424="","",IF(Q424&gt;=200000,"Yes","No"))</f>
        <v/>
      </c>
      <c r="CA424" s="36" t="str">
        <f aca="false">IF(Q424="","",IF(Q424&gt;=250000,"Yes","No"))</f>
        <v/>
      </c>
      <c r="CB424" s="36" t="str">
        <f aca="false">IF(Q424="","",IF(Q424&gt;=300000,"Yes","No"))</f>
        <v/>
      </c>
      <c r="CC424" s="37"/>
      <c r="CD424" s="36" t="str">
        <f aca="true">IF(B424="","",IF(TODAY()-B424&lt;=7,"🟢 0-7d",IF(TODAY()-B424&lt;=30,"🟡 8-30d",IF(TODAY()-B424&lt;=60,"🟠 31-60d","🔴 60d+"))))</f>
        <v/>
      </c>
      <c r="CE424" s="36" t="str">
        <f aca="false">IF(G424="","",IF(G424&lt;&gt;"USA","N/A - Not USA Role",IF(J424="Yes",IF(OR(F424="Intern",F424="New Grad"),"🟡 Possible","🟢 Strong"),IF(J424="No","🔴 Difficult","⚪ Unknown"))))</f>
        <v/>
      </c>
      <c r="CF424" s="37"/>
      <c r="CG424" s="37"/>
      <c r="CH424" s="38"/>
      <c r="CI424" s="38"/>
      <c r="CJ424" s="38"/>
      <c r="CK424" s="38"/>
    </row>
    <row r="425" customFormat="false" ht="15" hidden="false" customHeight="true" outlineLevel="0" collapsed="false">
      <c r="A425" s="26" t="str">
        <f aca="false">IF($C425="","",ROW()-3)</f>
        <v/>
      </c>
      <c r="B425" s="27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9"/>
      <c r="N425" s="29"/>
      <c r="O425" s="30" t="str">
        <f aca="false">IFERROR(IF(M425="","",M425*INDEX('00 - Lists'!$M$2:$M$11,MATCH(L425,'00 - Lists'!$L$2:$L$11,0))/100000),"")</f>
        <v/>
      </c>
      <c r="P425" s="30" t="str">
        <f aca="false">IFERROR(IF(N425="","",N425*INDEX('00 - Lists'!$M$2:$M$11,MATCH(L425,'00 - Lists'!$L$2:$L$11,0))/100000),"")</f>
        <v/>
      </c>
      <c r="Q425" s="31" t="str">
        <f aca="false">IFERROR(IF(M425="","",M425*INDEX('00 - Lists'!$N$2:$N$11,MATCH(L425,'00 - Lists'!$L$2:$L$11,0))),"")</f>
        <v/>
      </c>
      <c r="R425" s="31" t="str">
        <f aca="false">IFERROR(IF(N425="","",N425*INDEX('00 - Lists'!$N$2:$N$11,MATCH(L425,'00 - Lists'!$L$2:$L$11,0))),"")</f>
        <v/>
      </c>
      <c r="S425" s="32" t="str">
        <f aca="false">IF(O425="","",IF(O425&gt;=50,"Yes","No"))</f>
        <v/>
      </c>
      <c r="T425" s="32" t="str">
        <f aca="false">IF(Q425="","",IF(Q425&gt;=100000,"Yes","No"))</f>
        <v/>
      </c>
      <c r="U425" s="28"/>
      <c r="V425" s="28"/>
      <c r="W425" s="28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J425" s="34" t="str">
        <f aca="false">IF(OR($BD425&lt;&gt;"",$BF425&lt;&gt;"",$BH425&lt;&gt;""),"Yes","No")</f>
        <v>No</v>
      </c>
      <c r="BK425" s="35" t="str">
        <f aca="false">IFERROR(IF(BD425="","",BD425*INDEX('00 - Lists'!$M$2:$M$11,MATCH(L425,'00 - Lists'!$L$2:$L$11,0))/100000),"")</f>
        <v/>
      </c>
      <c r="BL425" s="35" t="str">
        <f aca="false">IFERROR(IF(BE425="","",BE425*INDEX('00 - Lists'!$M$2:$M$11,MATCH(L425,'00 - Lists'!$L$2:$L$11,0))/100000),"")</f>
        <v/>
      </c>
      <c r="BM425" s="35" t="str">
        <f aca="false">IFERROR(IF(BF425="","",BF425*INDEX('00 - Lists'!$M$2:$M$11,MATCH(L425,'00 - Lists'!$L$2:$L$11,0))/100000),"")</f>
        <v/>
      </c>
      <c r="BN425" s="35" t="str">
        <f aca="false">IFERROR(IF(BG425="","",BG425*INDEX('00 - Lists'!$M$2:$M$11,MATCH(L425,'00 - Lists'!$L$2:$L$11,0))/100000),"")</f>
        <v/>
      </c>
      <c r="BO425" s="35" t="str">
        <f aca="false">IFERROR(IF(BH425="","",BH425*INDEX('00 - Lists'!$M$2:$M$11,MATCH(L425,'00 - Lists'!$L$2:$L$11,0))/100000),"")</f>
        <v/>
      </c>
      <c r="BP425" s="35" t="str">
        <f aca="false">IFERROR(IF(BI425="","",BI425*INDEX('00 - Lists'!$M$2:$M$11,MATCH(L425,'00 - Lists'!$L$2:$L$11,0))/100000),"")</f>
        <v/>
      </c>
      <c r="BS425" s="36" t="str">
        <f aca="false">IF(O425="","",IF(O425&gt;=20,"Yes","No"))</f>
        <v/>
      </c>
      <c r="BT425" s="36" t="str">
        <f aca="false">IF(O425="","",IF(O425&gt;=30,"Yes","No"))</f>
        <v/>
      </c>
      <c r="BU425" s="36" t="str">
        <f aca="false">IF(O425="","",IF(O425&gt;=75,"Yes","No"))</f>
        <v/>
      </c>
      <c r="BV425" s="36" t="str">
        <f aca="false">IF(O425="","",IF(O425&gt;=100,"Yes","No"))</f>
        <v/>
      </c>
      <c r="BW425" s="36" t="str">
        <f aca="false">IF(O425="","",IF(O425&gt;=150,"Yes","No"))</f>
        <v/>
      </c>
      <c r="BX425" s="36" t="str">
        <f aca="false">IF(O425="","",IF(O425&gt;=200,"Yes","No"))</f>
        <v/>
      </c>
      <c r="BY425" s="36" t="str">
        <f aca="false">IF(Q425="","",IF(Q425&gt;=150000,"Yes","No"))</f>
        <v/>
      </c>
      <c r="BZ425" s="36" t="str">
        <f aca="false">IF(Q425="","",IF(Q425&gt;=200000,"Yes","No"))</f>
        <v/>
      </c>
      <c r="CA425" s="36" t="str">
        <f aca="false">IF(Q425="","",IF(Q425&gt;=250000,"Yes","No"))</f>
        <v/>
      </c>
      <c r="CB425" s="36" t="str">
        <f aca="false">IF(Q425="","",IF(Q425&gt;=300000,"Yes","No"))</f>
        <v/>
      </c>
      <c r="CC425" s="37"/>
      <c r="CD425" s="36" t="str">
        <f aca="true">IF(B425="","",IF(TODAY()-B425&lt;=7,"🟢 0-7d",IF(TODAY()-B425&lt;=30,"🟡 8-30d",IF(TODAY()-B425&lt;=60,"🟠 31-60d","🔴 60d+"))))</f>
        <v/>
      </c>
      <c r="CE425" s="36" t="str">
        <f aca="false">IF(G425="","",IF(G425&lt;&gt;"USA","N/A - Not USA Role",IF(J425="Yes",IF(OR(F425="Intern",F425="New Grad"),"🟡 Possible","🟢 Strong"),IF(J425="No","🔴 Difficult","⚪ Unknown"))))</f>
        <v/>
      </c>
      <c r="CF425" s="37"/>
      <c r="CG425" s="37"/>
      <c r="CH425" s="38"/>
      <c r="CI425" s="38"/>
      <c r="CJ425" s="38"/>
      <c r="CK425" s="38"/>
    </row>
    <row r="426" customFormat="false" ht="15" hidden="false" customHeight="true" outlineLevel="0" collapsed="false">
      <c r="A426" s="26" t="str">
        <f aca="false">IF($C426="","",ROW()-3)</f>
        <v/>
      </c>
      <c r="B426" s="27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9"/>
      <c r="N426" s="29"/>
      <c r="O426" s="30" t="str">
        <f aca="false">IFERROR(IF(M426="","",M426*INDEX('00 - Lists'!$M$2:$M$11,MATCH(L426,'00 - Lists'!$L$2:$L$11,0))/100000),"")</f>
        <v/>
      </c>
      <c r="P426" s="30" t="str">
        <f aca="false">IFERROR(IF(N426="","",N426*INDEX('00 - Lists'!$M$2:$M$11,MATCH(L426,'00 - Lists'!$L$2:$L$11,0))/100000),"")</f>
        <v/>
      </c>
      <c r="Q426" s="31" t="str">
        <f aca="false">IFERROR(IF(M426="","",M426*INDEX('00 - Lists'!$N$2:$N$11,MATCH(L426,'00 - Lists'!$L$2:$L$11,0))),"")</f>
        <v/>
      </c>
      <c r="R426" s="31" t="str">
        <f aca="false">IFERROR(IF(N426="","",N426*INDEX('00 - Lists'!$N$2:$N$11,MATCH(L426,'00 - Lists'!$L$2:$L$11,0))),"")</f>
        <v/>
      </c>
      <c r="S426" s="32" t="str">
        <f aca="false">IF(O426="","",IF(O426&gt;=50,"Yes","No"))</f>
        <v/>
      </c>
      <c r="T426" s="32" t="str">
        <f aca="false">IF(Q426="","",IF(Q426&gt;=100000,"Yes","No"))</f>
        <v/>
      </c>
      <c r="U426" s="28"/>
      <c r="V426" s="28"/>
      <c r="W426" s="28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J426" s="34" t="str">
        <f aca="false">IF(OR($BD426&lt;&gt;"",$BF426&lt;&gt;"",$BH426&lt;&gt;""),"Yes","No")</f>
        <v>No</v>
      </c>
      <c r="BK426" s="35" t="str">
        <f aca="false">IFERROR(IF(BD426="","",BD426*INDEX('00 - Lists'!$M$2:$M$11,MATCH(L426,'00 - Lists'!$L$2:$L$11,0))/100000),"")</f>
        <v/>
      </c>
      <c r="BL426" s="35" t="str">
        <f aca="false">IFERROR(IF(BE426="","",BE426*INDEX('00 - Lists'!$M$2:$M$11,MATCH(L426,'00 - Lists'!$L$2:$L$11,0))/100000),"")</f>
        <v/>
      </c>
      <c r="BM426" s="35" t="str">
        <f aca="false">IFERROR(IF(BF426="","",BF426*INDEX('00 - Lists'!$M$2:$M$11,MATCH(L426,'00 - Lists'!$L$2:$L$11,0))/100000),"")</f>
        <v/>
      </c>
      <c r="BN426" s="35" t="str">
        <f aca="false">IFERROR(IF(BG426="","",BG426*INDEX('00 - Lists'!$M$2:$M$11,MATCH(L426,'00 - Lists'!$L$2:$L$11,0))/100000),"")</f>
        <v/>
      </c>
      <c r="BO426" s="35" t="str">
        <f aca="false">IFERROR(IF(BH426="","",BH426*INDEX('00 - Lists'!$M$2:$M$11,MATCH(L426,'00 - Lists'!$L$2:$L$11,0))/100000),"")</f>
        <v/>
      </c>
      <c r="BP426" s="35" t="str">
        <f aca="false">IFERROR(IF(BI426="","",BI426*INDEX('00 - Lists'!$M$2:$M$11,MATCH(L426,'00 - Lists'!$L$2:$L$11,0))/100000),"")</f>
        <v/>
      </c>
      <c r="BS426" s="36" t="str">
        <f aca="false">IF(O426="","",IF(O426&gt;=20,"Yes","No"))</f>
        <v/>
      </c>
      <c r="BT426" s="36" t="str">
        <f aca="false">IF(O426="","",IF(O426&gt;=30,"Yes","No"))</f>
        <v/>
      </c>
      <c r="BU426" s="36" t="str">
        <f aca="false">IF(O426="","",IF(O426&gt;=75,"Yes","No"))</f>
        <v/>
      </c>
      <c r="BV426" s="36" t="str">
        <f aca="false">IF(O426="","",IF(O426&gt;=100,"Yes","No"))</f>
        <v/>
      </c>
      <c r="BW426" s="36" t="str">
        <f aca="false">IF(O426="","",IF(O426&gt;=150,"Yes","No"))</f>
        <v/>
      </c>
      <c r="BX426" s="36" t="str">
        <f aca="false">IF(O426="","",IF(O426&gt;=200,"Yes","No"))</f>
        <v/>
      </c>
      <c r="BY426" s="36" t="str">
        <f aca="false">IF(Q426="","",IF(Q426&gt;=150000,"Yes","No"))</f>
        <v/>
      </c>
      <c r="BZ426" s="36" t="str">
        <f aca="false">IF(Q426="","",IF(Q426&gt;=200000,"Yes","No"))</f>
        <v/>
      </c>
      <c r="CA426" s="36" t="str">
        <f aca="false">IF(Q426="","",IF(Q426&gt;=250000,"Yes","No"))</f>
        <v/>
      </c>
      <c r="CB426" s="36" t="str">
        <f aca="false">IF(Q426="","",IF(Q426&gt;=300000,"Yes","No"))</f>
        <v/>
      </c>
      <c r="CC426" s="37"/>
      <c r="CD426" s="36" t="str">
        <f aca="true">IF(B426="","",IF(TODAY()-B426&lt;=7,"🟢 0-7d",IF(TODAY()-B426&lt;=30,"🟡 8-30d",IF(TODAY()-B426&lt;=60,"🟠 31-60d","🔴 60d+"))))</f>
        <v/>
      </c>
      <c r="CE426" s="36" t="str">
        <f aca="false">IF(G426="","",IF(G426&lt;&gt;"USA","N/A - Not USA Role",IF(J426="Yes",IF(OR(F426="Intern",F426="New Grad"),"🟡 Possible","🟢 Strong"),IF(J426="No","🔴 Difficult","⚪ Unknown"))))</f>
        <v/>
      </c>
      <c r="CF426" s="37"/>
      <c r="CG426" s="37"/>
      <c r="CH426" s="38"/>
      <c r="CI426" s="38"/>
      <c r="CJ426" s="38"/>
      <c r="CK426" s="38"/>
    </row>
    <row r="427" customFormat="false" ht="15" hidden="false" customHeight="true" outlineLevel="0" collapsed="false">
      <c r="A427" s="26" t="str">
        <f aca="false">IF($C427="","",ROW()-3)</f>
        <v/>
      </c>
      <c r="B427" s="27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9"/>
      <c r="N427" s="29"/>
      <c r="O427" s="30" t="str">
        <f aca="false">IFERROR(IF(M427="","",M427*INDEX('00 - Lists'!$M$2:$M$11,MATCH(L427,'00 - Lists'!$L$2:$L$11,0))/100000),"")</f>
        <v/>
      </c>
      <c r="P427" s="30" t="str">
        <f aca="false">IFERROR(IF(N427="","",N427*INDEX('00 - Lists'!$M$2:$M$11,MATCH(L427,'00 - Lists'!$L$2:$L$11,0))/100000),"")</f>
        <v/>
      </c>
      <c r="Q427" s="31" t="str">
        <f aca="false">IFERROR(IF(M427="","",M427*INDEX('00 - Lists'!$N$2:$N$11,MATCH(L427,'00 - Lists'!$L$2:$L$11,0))),"")</f>
        <v/>
      </c>
      <c r="R427" s="31" t="str">
        <f aca="false">IFERROR(IF(N427="","",N427*INDEX('00 - Lists'!$N$2:$N$11,MATCH(L427,'00 - Lists'!$L$2:$L$11,0))),"")</f>
        <v/>
      </c>
      <c r="S427" s="32" t="str">
        <f aca="false">IF(O427="","",IF(O427&gt;=50,"Yes","No"))</f>
        <v/>
      </c>
      <c r="T427" s="32" t="str">
        <f aca="false">IF(Q427="","",IF(Q427&gt;=100000,"Yes","No"))</f>
        <v/>
      </c>
      <c r="U427" s="28"/>
      <c r="V427" s="28"/>
      <c r="W427" s="28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J427" s="34" t="str">
        <f aca="false">IF(OR($BD427&lt;&gt;"",$BF427&lt;&gt;"",$BH427&lt;&gt;""),"Yes","No")</f>
        <v>No</v>
      </c>
      <c r="BK427" s="35" t="str">
        <f aca="false">IFERROR(IF(BD427="","",BD427*INDEX('00 - Lists'!$M$2:$M$11,MATCH(L427,'00 - Lists'!$L$2:$L$11,0))/100000),"")</f>
        <v/>
      </c>
      <c r="BL427" s="35" t="str">
        <f aca="false">IFERROR(IF(BE427="","",BE427*INDEX('00 - Lists'!$M$2:$M$11,MATCH(L427,'00 - Lists'!$L$2:$L$11,0))/100000),"")</f>
        <v/>
      </c>
      <c r="BM427" s="35" t="str">
        <f aca="false">IFERROR(IF(BF427="","",BF427*INDEX('00 - Lists'!$M$2:$M$11,MATCH(L427,'00 - Lists'!$L$2:$L$11,0))/100000),"")</f>
        <v/>
      </c>
      <c r="BN427" s="35" t="str">
        <f aca="false">IFERROR(IF(BG427="","",BG427*INDEX('00 - Lists'!$M$2:$M$11,MATCH(L427,'00 - Lists'!$L$2:$L$11,0))/100000),"")</f>
        <v/>
      </c>
      <c r="BO427" s="35" t="str">
        <f aca="false">IFERROR(IF(BH427="","",BH427*INDEX('00 - Lists'!$M$2:$M$11,MATCH(L427,'00 - Lists'!$L$2:$L$11,0))/100000),"")</f>
        <v/>
      </c>
      <c r="BP427" s="35" t="str">
        <f aca="false">IFERROR(IF(BI427="","",BI427*INDEX('00 - Lists'!$M$2:$M$11,MATCH(L427,'00 - Lists'!$L$2:$L$11,0))/100000),"")</f>
        <v/>
      </c>
      <c r="BS427" s="36" t="str">
        <f aca="false">IF(O427="","",IF(O427&gt;=20,"Yes","No"))</f>
        <v/>
      </c>
      <c r="BT427" s="36" t="str">
        <f aca="false">IF(O427="","",IF(O427&gt;=30,"Yes","No"))</f>
        <v/>
      </c>
      <c r="BU427" s="36" t="str">
        <f aca="false">IF(O427="","",IF(O427&gt;=75,"Yes","No"))</f>
        <v/>
      </c>
      <c r="BV427" s="36" t="str">
        <f aca="false">IF(O427="","",IF(O427&gt;=100,"Yes","No"))</f>
        <v/>
      </c>
      <c r="BW427" s="36" t="str">
        <f aca="false">IF(O427="","",IF(O427&gt;=150,"Yes","No"))</f>
        <v/>
      </c>
      <c r="BX427" s="36" t="str">
        <f aca="false">IF(O427="","",IF(O427&gt;=200,"Yes","No"))</f>
        <v/>
      </c>
      <c r="BY427" s="36" t="str">
        <f aca="false">IF(Q427="","",IF(Q427&gt;=150000,"Yes","No"))</f>
        <v/>
      </c>
      <c r="BZ427" s="36" t="str">
        <f aca="false">IF(Q427="","",IF(Q427&gt;=200000,"Yes","No"))</f>
        <v/>
      </c>
      <c r="CA427" s="36" t="str">
        <f aca="false">IF(Q427="","",IF(Q427&gt;=250000,"Yes","No"))</f>
        <v/>
      </c>
      <c r="CB427" s="36" t="str">
        <f aca="false">IF(Q427="","",IF(Q427&gt;=300000,"Yes","No"))</f>
        <v/>
      </c>
      <c r="CC427" s="37"/>
      <c r="CD427" s="36" t="str">
        <f aca="true">IF(B427="","",IF(TODAY()-B427&lt;=7,"🟢 0-7d",IF(TODAY()-B427&lt;=30,"🟡 8-30d",IF(TODAY()-B427&lt;=60,"🟠 31-60d","🔴 60d+"))))</f>
        <v/>
      </c>
      <c r="CE427" s="36" t="str">
        <f aca="false">IF(G427="","",IF(G427&lt;&gt;"USA","N/A - Not USA Role",IF(J427="Yes",IF(OR(F427="Intern",F427="New Grad"),"🟡 Possible","🟢 Strong"),IF(J427="No","🔴 Difficult","⚪ Unknown"))))</f>
        <v/>
      </c>
      <c r="CF427" s="37"/>
      <c r="CG427" s="37"/>
      <c r="CH427" s="38"/>
      <c r="CI427" s="38"/>
      <c r="CJ427" s="38"/>
      <c r="CK427" s="38"/>
    </row>
    <row r="428" customFormat="false" ht="15" hidden="false" customHeight="true" outlineLevel="0" collapsed="false">
      <c r="A428" s="26" t="str">
        <f aca="false">IF($C428="","",ROW()-3)</f>
        <v/>
      </c>
      <c r="B428" s="27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9"/>
      <c r="N428" s="29"/>
      <c r="O428" s="30" t="str">
        <f aca="false">IFERROR(IF(M428="","",M428*INDEX('00 - Lists'!$M$2:$M$11,MATCH(L428,'00 - Lists'!$L$2:$L$11,0))/100000),"")</f>
        <v/>
      </c>
      <c r="P428" s="30" t="str">
        <f aca="false">IFERROR(IF(N428="","",N428*INDEX('00 - Lists'!$M$2:$M$11,MATCH(L428,'00 - Lists'!$L$2:$L$11,0))/100000),"")</f>
        <v/>
      </c>
      <c r="Q428" s="31" t="str">
        <f aca="false">IFERROR(IF(M428="","",M428*INDEX('00 - Lists'!$N$2:$N$11,MATCH(L428,'00 - Lists'!$L$2:$L$11,0))),"")</f>
        <v/>
      </c>
      <c r="R428" s="31" t="str">
        <f aca="false">IFERROR(IF(N428="","",N428*INDEX('00 - Lists'!$N$2:$N$11,MATCH(L428,'00 - Lists'!$L$2:$L$11,0))),"")</f>
        <v/>
      </c>
      <c r="S428" s="32" t="str">
        <f aca="false">IF(O428="","",IF(O428&gt;=50,"Yes","No"))</f>
        <v/>
      </c>
      <c r="T428" s="32" t="str">
        <f aca="false">IF(Q428="","",IF(Q428&gt;=100000,"Yes","No"))</f>
        <v/>
      </c>
      <c r="U428" s="28"/>
      <c r="V428" s="28"/>
      <c r="W428" s="28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J428" s="34" t="str">
        <f aca="false">IF(OR($BD428&lt;&gt;"",$BF428&lt;&gt;"",$BH428&lt;&gt;""),"Yes","No")</f>
        <v>No</v>
      </c>
      <c r="BK428" s="35" t="str">
        <f aca="false">IFERROR(IF(BD428="","",BD428*INDEX('00 - Lists'!$M$2:$M$11,MATCH(L428,'00 - Lists'!$L$2:$L$11,0))/100000),"")</f>
        <v/>
      </c>
      <c r="BL428" s="35" t="str">
        <f aca="false">IFERROR(IF(BE428="","",BE428*INDEX('00 - Lists'!$M$2:$M$11,MATCH(L428,'00 - Lists'!$L$2:$L$11,0))/100000),"")</f>
        <v/>
      </c>
      <c r="BM428" s="35" t="str">
        <f aca="false">IFERROR(IF(BF428="","",BF428*INDEX('00 - Lists'!$M$2:$M$11,MATCH(L428,'00 - Lists'!$L$2:$L$11,0))/100000),"")</f>
        <v/>
      </c>
      <c r="BN428" s="35" t="str">
        <f aca="false">IFERROR(IF(BG428="","",BG428*INDEX('00 - Lists'!$M$2:$M$11,MATCH(L428,'00 - Lists'!$L$2:$L$11,0))/100000),"")</f>
        <v/>
      </c>
      <c r="BO428" s="35" t="str">
        <f aca="false">IFERROR(IF(BH428="","",BH428*INDEX('00 - Lists'!$M$2:$M$11,MATCH(L428,'00 - Lists'!$L$2:$L$11,0))/100000),"")</f>
        <v/>
      </c>
      <c r="BP428" s="35" t="str">
        <f aca="false">IFERROR(IF(BI428="","",BI428*INDEX('00 - Lists'!$M$2:$M$11,MATCH(L428,'00 - Lists'!$L$2:$L$11,0))/100000),"")</f>
        <v/>
      </c>
      <c r="BS428" s="36" t="str">
        <f aca="false">IF(O428="","",IF(O428&gt;=20,"Yes","No"))</f>
        <v/>
      </c>
      <c r="BT428" s="36" t="str">
        <f aca="false">IF(O428="","",IF(O428&gt;=30,"Yes","No"))</f>
        <v/>
      </c>
      <c r="BU428" s="36" t="str">
        <f aca="false">IF(O428="","",IF(O428&gt;=75,"Yes","No"))</f>
        <v/>
      </c>
      <c r="BV428" s="36" t="str">
        <f aca="false">IF(O428="","",IF(O428&gt;=100,"Yes","No"))</f>
        <v/>
      </c>
      <c r="BW428" s="36" t="str">
        <f aca="false">IF(O428="","",IF(O428&gt;=150,"Yes","No"))</f>
        <v/>
      </c>
      <c r="BX428" s="36" t="str">
        <f aca="false">IF(O428="","",IF(O428&gt;=200,"Yes","No"))</f>
        <v/>
      </c>
      <c r="BY428" s="36" t="str">
        <f aca="false">IF(Q428="","",IF(Q428&gt;=150000,"Yes","No"))</f>
        <v/>
      </c>
      <c r="BZ428" s="36" t="str">
        <f aca="false">IF(Q428="","",IF(Q428&gt;=200000,"Yes","No"))</f>
        <v/>
      </c>
      <c r="CA428" s="36" t="str">
        <f aca="false">IF(Q428="","",IF(Q428&gt;=250000,"Yes","No"))</f>
        <v/>
      </c>
      <c r="CB428" s="36" t="str">
        <f aca="false">IF(Q428="","",IF(Q428&gt;=300000,"Yes","No"))</f>
        <v/>
      </c>
      <c r="CC428" s="37"/>
      <c r="CD428" s="36" t="str">
        <f aca="true">IF(B428="","",IF(TODAY()-B428&lt;=7,"🟢 0-7d",IF(TODAY()-B428&lt;=30,"🟡 8-30d",IF(TODAY()-B428&lt;=60,"🟠 31-60d","🔴 60d+"))))</f>
        <v/>
      </c>
      <c r="CE428" s="36" t="str">
        <f aca="false">IF(G428="","",IF(G428&lt;&gt;"USA","N/A - Not USA Role",IF(J428="Yes",IF(OR(F428="Intern",F428="New Grad"),"🟡 Possible","🟢 Strong"),IF(J428="No","🔴 Difficult","⚪ Unknown"))))</f>
        <v/>
      </c>
      <c r="CF428" s="37"/>
      <c r="CG428" s="37"/>
      <c r="CH428" s="38"/>
      <c r="CI428" s="38"/>
      <c r="CJ428" s="38"/>
      <c r="CK428" s="38"/>
    </row>
    <row r="429" customFormat="false" ht="15" hidden="false" customHeight="true" outlineLevel="0" collapsed="false">
      <c r="A429" s="26" t="str">
        <f aca="false">IF($C429="","",ROW()-3)</f>
        <v/>
      </c>
      <c r="B429" s="27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9"/>
      <c r="N429" s="29"/>
      <c r="O429" s="30" t="str">
        <f aca="false">IFERROR(IF(M429="","",M429*INDEX('00 - Lists'!$M$2:$M$11,MATCH(L429,'00 - Lists'!$L$2:$L$11,0))/100000),"")</f>
        <v/>
      </c>
      <c r="P429" s="30" t="str">
        <f aca="false">IFERROR(IF(N429="","",N429*INDEX('00 - Lists'!$M$2:$M$11,MATCH(L429,'00 - Lists'!$L$2:$L$11,0))/100000),"")</f>
        <v/>
      </c>
      <c r="Q429" s="31" t="str">
        <f aca="false">IFERROR(IF(M429="","",M429*INDEX('00 - Lists'!$N$2:$N$11,MATCH(L429,'00 - Lists'!$L$2:$L$11,0))),"")</f>
        <v/>
      </c>
      <c r="R429" s="31" t="str">
        <f aca="false">IFERROR(IF(N429="","",N429*INDEX('00 - Lists'!$N$2:$N$11,MATCH(L429,'00 - Lists'!$L$2:$L$11,0))),"")</f>
        <v/>
      </c>
      <c r="S429" s="32" t="str">
        <f aca="false">IF(O429="","",IF(O429&gt;=50,"Yes","No"))</f>
        <v/>
      </c>
      <c r="T429" s="32" t="str">
        <f aca="false">IF(Q429="","",IF(Q429&gt;=100000,"Yes","No"))</f>
        <v/>
      </c>
      <c r="U429" s="28"/>
      <c r="V429" s="28"/>
      <c r="W429" s="28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J429" s="34" t="str">
        <f aca="false">IF(OR($BD429&lt;&gt;"",$BF429&lt;&gt;"",$BH429&lt;&gt;""),"Yes","No")</f>
        <v>No</v>
      </c>
      <c r="BK429" s="35" t="str">
        <f aca="false">IFERROR(IF(BD429="","",BD429*INDEX('00 - Lists'!$M$2:$M$11,MATCH(L429,'00 - Lists'!$L$2:$L$11,0))/100000),"")</f>
        <v/>
      </c>
      <c r="BL429" s="35" t="str">
        <f aca="false">IFERROR(IF(BE429="","",BE429*INDEX('00 - Lists'!$M$2:$M$11,MATCH(L429,'00 - Lists'!$L$2:$L$11,0))/100000),"")</f>
        <v/>
      </c>
      <c r="BM429" s="35" t="str">
        <f aca="false">IFERROR(IF(BF429="","",BF429*INDEX('00 - Lists'!$M$2:$M$11,MATCH(L429,'00 - Lists'!$L$2:$L$11,0))/100000),"")</f>
        <v/>
      </c>
      <c r="BN429" s="35" t="str">
        <f aca="false">IFERROR(IF(BG429="","",BG429*INDEX('00 - Lists'!$M$2:$M$11,MATCH(L429,'00 - Lists'!$L$2:$L$11,0))/100000),"")</f>
        <v/>
      </c>
      <c r="BO429" s="35" t="str">
        <f aca="false">IFERROR(IF(BH429="","",BH429*INDEX('00 - Lists'!$M$2:$M$11,MATCH(L429,'00 - Lists'!$L$2:$L$11,0))/100000),"")</f>
        <v/>
      </c>
      <c r="BP429" s="35" t="str">
        <f aca="false">IFERROR(IF(BI429="","",BI429*INDEX('00 - Lists'!$M$2:$M$11,MATCH(L429,'00 - Lists'!$L$2:$L$11,0))/100000),"")</f>
        <v/>
      </c>
      <c r="BS429" s="36" t="str">
        <f aca="false">IF(O429="","",IF(O429&gt;=20,"Yes","No"))</f>
        <v/>
      </c>
      <c r="BT429" s="36" t="str">
        <f aca="false">IF(O429="","",IF(O429&gt;=30,"Yes","No"))</f>
        <v/>
      </c>
      <c r="BU429" s="36" t="str">
        <f aca="false">IF(O429="","",IF(O429&gt;=75,"Yes","No"))</f>
        <v/>
      </c>
      <c r="BV429" s="36" t="str">
        <f aca="false">IF(O429="","",IF(O429&gt;=100,"Yes","No"))</f>
        <v/>
      </c>
      <c r="BW429" s="36" t="str">
        <f aca="false">IF(O429="","",IF(O429&gt;=150,"Yes","No"))</f>
        <v/>
      </c>
      <c r="BX429" s="36" t="str">
        <f aca="false">IF(O429="","",IF(O429&gt;=200,"Yes","No"))</f>
        <v/>
      </c>
      <c r="BY429" s="36" t="str">
        <f aca="false">IF(Q429="","",IF(Q429&gt;=150000,"Yes","No"))</f>
        <v/>
      </c>
      <c r="BZ429" s="36" t="str">
        <f aca="false">IF(Q429="","",IF(Q429&gt;=200000,"Yes","No"))</f>
        <v/>
      </c>
      <c r="CA429" s="36" t="str">
        <f aca="false">IF(Q429="","",IF(Q429&gt;=250000,"Yes","No"))</f>
        <v/>
      </c>
      <c r="CB429" s="36" t="str">
        <f aca="false">IF(Q429="","",IF(Q429&gt;=300000,"Yes","No"))</f>
        <v/>
      </c>
      <c r="CC429" s="37"/>
      <c r="CD429" s="36" t="str">
        <f aca="true">IF(B429="","",IF(TODAY()-B429&lt;=7,"🟢 0-7d",IF(TODAY()-B429&lt;=30,"🟡 8-30d",IF(TODAY()-B429&lt;=60,"🟠 31-60d","🔴 60d+"))))</f>
        <v/>
      </c>
      <c r="CE429" s="36" t="str">
        <f aca="false">IF(G429="","",IF(G429&lt;&gt;"USA","N/A - Not USA Role",IF(J429="Yes",IF(OR(F429="Intern",F429="New Grad"),"🟡 Possible","🟢 Strong"),IF(J429="No","🔴 Difficult","⚪ Unknown"))))</f>
        <v/>
      </c>
      <c r="CF429" s="37"/>
      <c r="CG429" s="37"/>
      <c r="CH429" s="38"/>
      <c r="CI429" s="38"/>
      <c r="CJ429" s="38"/>
      <c r="CK429" s="38"/>
    </row>
    <row r="430" customFormat="false" ht="15" hidden="false" customHeight="true" outlineLevel="0" collapsed="false">
      <c r="A430" s="26" t="str">
        <f aca="false">IF($C430="","",ROW()-3)</f>
        <v/>
      </c>
      <c r="B430" s="27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9"/>
      <c r="N430" s="29"/>
      <c r="O430" s="30" t="str">
        <f aca="false">IFERROR(IF(M430="","",M430*INDEX('00 - Lists'!$M$2:$M$11,MATCH(L430,'00 - Lists'!$L$2:$L$11,0))/100000),"")</f>
        <v/>
      </c>
      <c r="P430" s="30" t="str">
        <f aca="false">IFERROR(IF(N430="","",N430*INDEX('00 - Lists'!$M$2:$M$11,MATCH(L430,'00 - Lists'!$L$2:$L$11,0))/100000),"")</f>
        <v/>
      </c>
      <c r="Q430" s="31" t="str">
        <f aca="false">IFERROR(IF(M430="","",M430*INDEX('00 - Lists'!$N$2:$N$11,MATCH(L430,'00 - Lists'!$L$2:$L$11,0))),"")</f>
        <v/>
      </c>
      <c r="R430" s="31" t="str">
        <f aca="false">IFERROR(IF(N430="","",N430*INDEX('00 - Lists'!$N$2:$N$11,MATCH(L430,'00 - Lists'!$L$2:$L$11,0))),"")</f>
        <v/>
      </c>
      <c r="S430" s="32" t="str">
        <f aca="false">IF(O430="","",IF(O430&gt;=50,"Yes","No"))</f>
        <v/>
      </c>
      <c r="T430" s="32" t="str">
        <f aca="false">IF(Q430="","",IF(Q430&gt;=100000,"Yes","No"))</f>
        <v/>
      </c>
      <c r="U430" s="28"/>
      <c r="V430" s="28"/>
      <c r="W430" s="28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J430" s="34" t="str">
        <f aca="false">IF(OR($BD430&lt;&gt;"",$BF430&lt;&gt;"",$BH430&lt;&gt;""),"Yes","No")</f>
        <v>No</v>
      </c>
      <c r="BK430" s="35" t="str">
        <f aca="false">IFERROR(IF(BD430="","",BD430*INDEX('00 - Lists'!$M$2:$M$11,MATCH(L430,'00 - Lists'!$L$2:$L$11,0))/100000),"")</f>
        <v/>
      </c>
      <c r="BL430" s="35" t="str">
        <f aca="false">IFERROR(IF(BE430="","",BE430*INDEX('00 - Lists'!$M$2:$M$11,MATCH(L430,'00 - Lists'!$L$2:$L$11,0))/100000),"")</f>
        <v/>
      </c>
      <c r="BM430" s="35" t="str">
        <f aca="false">IFERROR(IF(BF430="","",BF430*INDEX('00 - Lists'!$M$2:$M$11,MATCH(L430,'00 - Lists'!$L$2:$L$11,0))/100000),"")</f>
        <v/>
      </c>
      <c r="BN430" s="35" t="str">
        <f aca="false">IFERROR(IF(BG430="","",BG430*INDEX('00 - Lists'!$M$2:$M$11,MATCH(L430,'00 - Lists'!$L$2:$L$11,0))/100000),"")</f>
        <v/>
      </c>
      <c r="BO430" s="35" t="str">
        <f aca="false">IFERROR(IF(BH430="","",BH430*INDEX('00 - Lists'!$M$2:$M$11,MATCH(L430,'00 - Lists'!$L$2:$L$11,0))/100000),"")</f>
        <v/>
      </c>
      <c r="BP430" s="35" t="str">
        <f aca="false">IFERROR(IF(BI430="","",BI430*INDEX('00 - Lists'!$M$2:$M$11,MATCH(L430,'00 - Lists'!$L$2:$L$11,0))/100000),"")</f>
        <v/>
      </c>
      <c r="BS430" s="36" t="str">
        <f aca="false">IF(O430="","",IF(O430&gt;=20,"Yes","No"))</f>
        <v/>
      </c>
      <c r="BT430" s="36" t="str">
        <f aca="false">IF(O430="","",IF(O430&gt;=30,"Yes","No"))</f>
        <v/>
      </c>
      <c r="BU430" s="36" t="str">
        <f aca="false">IF(O430="","",IF(O430&gt;=75,"Yes","No"))</f>
        <v/>
      </c>
      <c r="BV430" s="36" t="str">
        <f aca="false">IF(O430="","",IF(O430&gt;=100,"Yes","No"))</f>
        <v/>
      </c>
      <c r="BW430" s="36" t="str">
        <f aca="false">IF(O430="","",IF(O430&gt;=150,"Yes","No"))</f>
        <v/>
      </c>
      <c r="BX430" s="36" t="str">
        <f aca="false">IF(O430="","",IF(O430&gt;=200,"Yes","No"))</f>
        <v/>
      </c>
      <c r="BY430" s="36" t="str">
        <f aca="false">IF(Q430="","",IF(Q430&gt;=150000,"Yes","No"))</f>
        <v/>
      </c>
      <c r="BZ430" s="36" t="str">
        <f aca="false">IF(Q430="","",IF(Q430&gt;=200000,"Yes","No"))</f>
        <v/>
      </c>
      <c r="CA430" s="36" t="str">
        <f aca="false">IF(Q430="","",IF(Q430&gt;=250000,"Yes","No"))</f>
        <v/>
      </c>
      <c r="CB430" s="36" t="str">
        <f aca="false">IF(Q430="","",IF(Q430&gt;=300000,"Yes","No"))</f>
        <v/>
      </c>
      <c r="CC430" s="37"/>
      <c r="CD430" s="36" t="str">
        <f aca="true">IF(B430="","",IF(TODAY()-B430&lt;=7,"🟢 0-7d",IF(TODAY()-B430&lt;=30,"🟡 8-30d",IF(TODAY()-B430&lt;=60,"🟠 31-60d","🔴 60d+"))))</f>
        <v/>
      </c>
      <c r="CE430" s="36" t="str">
        <f aca="false">IF(G430="","",IF(G430&lt;&gt;"USA","N/A - Not USA Role",IF(J430="Yes",IF(OR(F430="Intern",F430="New Grad"),"🟡 Possible","🟢 Strong"),IF(J430="No","🔴 Difficult","⚪ Unknown"))))</f>
        <v/>
      </c>
      <c r="CF430" s="37"/>
      <c r="CG430" s="37"/>
      <c r="CH430" s="38"/>
      <c r="CI430" s="38"/>
      <c r="CJ430" s="38"/>
      <c r="CK430" s="38"/>
    </row>
    <row r="431" customFormat="false" ht="15" hidden="false" customHeight="true" outlineLevel="0" collapsed="false">
      <c r="A431" s="26" t="str">
        <f aca="false">IF($C431="","",ROW()-3)</f>
        <v/>
      </c>
      <c r="B431" s="27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9"/>
      <c r="N431" s="29"/>
      <c r="O431" s="30" t="str">
        <f aca="false">IFERROR(IF(M431="","",M431*INDEX('00 - Lists'!$M$2:$M$11,MATCH(L431,'00 - Lists'!$L$2:$L$11,0))/100000),"")</f>
        <v/>
      </c>
      <c r="P431" s="30" t="str">
        <f aca="false">IFERROR(IF(N431="","",N431*INDEX('00 - Lists'!$M$2:$M$11,MATCH(L431,'00 - Lists'!$L$2:$L$11,0))/100000),"")</f>
        <v/>
      </c>
      <c r="Q431" s="31" t="str">
        <f aca="false">IFERROR(IF(M431="","",M431*INDEX('00 - Lists'!$N$2:$N$11,MATCH(L431,'00 - Lists'!$L$2:$L$11,0))),"")</f>
        <v/>
      </c>
      <c r="R431" s="31" t="str">
        <f aca="false">IFERROR(IF(N431="","",N431*INDEX('00 - Lists'!$N$2:$N$11,MATCH(L431,'00 - Lists'!$L$2:$L$11,0))),"")</f>
        <v/>
      </c>
      <c r="S431" s="32" t="str">
        <f aca="false">IF(O431="","",IF(O431&gt;=50,"Yes","No"))</f>
        <v/>
      </c>
      <c r="T431" s="32" t="str">
        <f aca="false">IF(Q431="","",IF(Q431&gt;=100000,"Yes","No"))</f>
        <v/>
      </c>
      <c r="U431" s="28"/>
      <c r="V431" s="28"/>
      <c r="W431" s="28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J431" s="34" t="str">
        <f aca="false">IF(OR($BD431&lt;&gt;"",$BF431&lt;&gt;"",$BH431&lt;&gt;""),"Yes","No")</f>
        <v>No</v>
      </c>
      <c r="BK431" s="35" t="str">
        <f aca="false">IFERROR(IF(BD431="","",BD431*INDEX('00 - Lists'!$M$2:$M$11,MATCH(L431,'00 - Lists'!$L$2:$L$11,0))/100000),"")</f>
        <v/>
      </c>
      <c r="BL431" s="35" t="str">
        <f aca="false">IFERROR(IF(BE431="","",BE431*INDEX('00 - Lists'!$M$2:$M$11,MATCH(L431,'00 - Lists'!$L$2:$L$11,0))/100000),"")</f>
        <v/>
      </c>
      <c r="BM431" s="35" t="str">
        <f aca="false">IFERROR(IF(BF431="","",BF431*INDEX('00 - Lists'!$M$2:$M$11,MATCH(L431,'00 - Lists'!$L$2:$L$11,0))/100000),"")</f>
        <v/>
      </c>
      <c r="BN431" s="35" t="str">
        <f aca="false">IFERROR(IF(BG431="","",BG431*INDEX('00 - Lists'!$M$2:$M$11,MATCH(L431,'00 - Lists'!$L$2:$L$11,0))/100000),"")</f>
        <v/>
      </c>
      <c r="BO431" s="35" t="str">
        <f aca="false">IFERROR(IF(BH431="","",BH431*INDEX('00 - Lists'!$M$2:$M$11,MATCH(L431,'00 - Lists'!$L$2:$L$11,0))/100000),"")</f>
        <v/>
      </c>
      <c r="BP431" s="35" t="str">
        <f aca="false">IFERROR(IF(BI431="","",BI431*INDEX('00 - Lists'!$M$2:$M$11,MATCH(L431,'00 - Lists'!$L$2:$L$11,0))/100000),"")</f>
        <v/>
      </c>
      <c r="BS431" s="36" t="str">
        <f aca="false">IF(O431="","",IF(O431&gt;=20,"Yes","No"))</f>
        <v/>
      </c>
      <c r="BT431" s="36" t="str">
        <f aca="false">IF(O431="","",IF(O431&gt;=30,"Yes","No"))</f>
        <v/>
      </c>
      <c r="BU431" s="36" t="str">
        <f aca="false">IF(O431="","",IF(O431&gt;=75,"Yes","No"))</f>
        <v/>
      </c>
      <c r="BV431" s="36" t="str">
        <f aca="false">IF(O431="","",IF(O431&gt;=100,"Yes","No"))</f>
        <v/>
      </c>
      <c r="BW431" s="36" t="str">
        <f aca="false">IF(O431="","",IF(O431&gt;=150,"Yes","No"))</f>
        <v/>
      </c>
      <c r="BX431" s="36" t="str">
        <f aca="false">IF(O431="","",IF(O431&gt;=200,"Yes","No"))</f>
        <v/>
      </c>
      <c r="BY431" s="36" t="str">
        <f aca="false">IF(Q431="","",IF(Q431&gt;=150000,"Yes","No"))</f>
        <v/>
      </c>
      <c r="BZ431" s="36" t="str">
        <f aca="false">IF(Q431="","",IF(Q431&gt;=200000,"Yes","No"))</f>
        <v/>
      </c>
      <c r="CA431" s="36" t="str">
        <f aca="false">IF(Q431="","",IF(Q431&gt;=250000,"Yes","No"))</f>
        <v/>
      </c>
      <c r="CB431" s="36" t="str">
        <f aca="false">IF(Q431="","",IF(Q431&gt;=300000,"Yes","No"))</f>
        <v/>
      </c>
      <c r="CC431" s="37"/>
      <c r="CD431" s="36" t="str">
        <f aca="true">IF(B431="","",IF(TODAY()-B431&lt;=7,"🟢 0-7d",IF(TODAY()-B431&lt;=30,"🟡 8-30d",IF(TODAY()-B431&lt;=60,"🟠 31-60d","🔴 60d+"))))</f>
        <v/>
      </c>
      <c r="CE431" s="36" t="str">
        <f aca="false">IF(G431="","",IF(G431&lt;&gt;"USA","N/A - Not USA Role",IF(J431="Yes",IF(OR(F431="Intern",F431="New Grad"),"🟡 Possible","🟢 Strong"),IF(J431="No","🔴 Difficult","⚪ Unknown"))))</f>
        <v/>
      </c>
      <c r="CF431" s="37"/>
      <c r="CG431" s="37"/>
      <c r="CH431" s="38"/>
      <c r="CI431" s="38"/>
      <c r="CJ431" s="38"/>
      <c r="CK431" s="38"/>
    </row>
    <row r="432" customFormat="false" ht="15" hidden="false" customHeight="true" outlineLevel="0" collapsed="false">
      <c r="A432" s="26" t="str">
        <f aca="false">IF($C432="","",ROW()-3)</f>
        <v/>
      </c>
      <c r="B432" s="27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9"/>
      <c r="N432" s="29"/>
      <c r="O432" s="30" t="str">
        <f aca="false">IFERROR(IF(M432="","",M432*INDEX('00 - Lists'!$M$2:$M$11,MATCH(L432,'00 - Lists'!$L$2:$L$11,0))/100000),"")</f>
        <v/>
      </c>
      <c r="P432" s="30" t="str">
        <f aca="false">IFERROR(IF(N432="","",N432*INDEX('00 - Lists'!$M$2:$M$11,MATCH(L432,'00 - Lists'!$L$2:$L$11,0))/100000),"")</f>
        <v/>
      </c>
      <c r="Q432" s="31" t="str">
        <f aca="false">IFERROR(IF(M432="","",M432*INDEX('00 - Lists'!$N$2:$N$11,MATCH(L432,'00 - Lists'!$L$2:$L$11,0))),"")</f>
        <v/>
      </c>
      <c r="R432" s="31" t="str">
        <f aca="false">IFERROR(IF(N432="","",N432*INDEX('00 - Lists'!$N$2:$N$11,MATCH(L432,'00 - Lists'!$L$2:$L$11,0))),"")</f>
        <v/>
      </c>
      <c r="S432" s="32" t="str">
        <f aca="false">IF(O432="","",IF(O432&gt;=50,"Yes","No"))</f>
        <v/>
      </c>
      <c r="T432" s="32" t="str">
        <f aca="false">IF(Q432="","",IF(Q432&gt;=100000,"Yes","No"))</f>
        <v/>
      </c>
      <c r="U432" s="28"/>
      <c r="V432" s="28"/>
      <c r="W432" s="28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J432" s="34" t="str">
        <f aca="false">IF(OR($BD432&lt;&gt;"",$BF432&lt;&gt;"",$BH432&lt;&gt;""),"Yes","No")</f>
        <v>No</v>
      </c>
      <c r="BK432" s="35" t="str">
        <f aca="false">IFERROR(IF(BD432="","",BD432*INDEX('00 - Lists'!$M$2:$M$11,MATCH(L432,'00 - Lists'!$L$2:$L$11,0))/100000),"")</f>
        <v/>
      </c>
      <c r="BL432" s="35" t="str">
        <f aca="false">IFERROR(IF(BE432="","",BE432*INDEX('00 - Lists'!$M$2:$M$11,MATCH(L432,'00 - Lists'!$L$2:$L$11,0))/100000),"")</f>
        <v/>
      </c>
      <c r="BM432" s="35" t="str">
        <f aca="false">IFERROR(IF(BF432="","",BF432*INDEX('00 - Lists'!$M$2:$M$11,MATCH(L432,'00 - Lists'!$L$2:$L$11,0))/100000),"")</f>
        <v/>
      </c>
      <c r="BN432" s="35" t="str">
        <f aca="false">IFERROR(IF(BG432="","",BG432*INDEX('00 - Lists'!$M$2:$M$11,MATCH(L432,'00 - Lists'!$L$2:$L$11,0))/100000),"")</f>
        <v/>
      </c>
      <c r="BO432" s="35" t="str">
        <f aca="false">IFERROR(IF(BH432="","",BH432*INDEX('00 - Lists'!$M$2:$M$11,MATCH(L432,'00 - Lists'!$L$2:$L$11,0))/100000),"")</f>
        <v/>
      </c>
      <c r="BP432" s="35" t="str">
        <f aca="false">IFERROR(IF(BI432="","",BI432*INDEX('00 - Lists'!$M$2:$M$11,MATCH(L432,'00 - Lists'!$L$2:$L$11,0))/100000),"")</f>
        <v/>
      </c>
      <c r="BS432" s="36" t="str">
        <f aca="false">IF(O432="","",IF(O432&gt;=20,"Yes","No"))</f>
        <v/>
      </c>
      <c r="BT432" s="36" t="str">
        <f aca="false">IF(O432="","",IF(O432&gt;=30,"Yes","No"))</f>
        <v/>
      </c>
      <c r="BU432" s="36" t="str">
        <f aca="false">IF(O432="","",IF(O432&gt;=75,"Yes","No"))</f>
        <v/>
      </c>
      <c r="BV432" s="36" t="str">
        <f aca="false">IF(O432="","",IF(O432&gt;=100,"Yes","No"))</f>
        <v/>
      </c>
      <c r="BW432" s="36" t="str">
        <f aca="false">IF(O432="","",IF(O432&gt;=150,"Yes","No"))</f>
        <v/>
      </c>
      <c r="BX432" s="36" t="str">
        <f aca="false">IF(O432="","",IF(O432&gt;=200,"Yes","No"))</f>
        <v/>
      </c>
      <c r="BY432" s="36" t="str">
        <f aca="false">IF(Q432="","",IF(Q432&gt;=150000,"Yes","No"))</f>
        <v/>
      </c>
      <c r="BZ432" s="36" t="str">
        <f aca="false">IF(Q432="","",IF(Q432&gt;=200000,"Yes","No"))</f>
        <v/>
      </c>
      <c r="CA432" s="36" t="str">
        <f aca="false">IF(Q432="","",IF(Q432&gt;=250000,"Yes","No"))</f>
        <v/>
      </c>
      <c r="CB432" s="36" t="str">
        <f aca="false">IF(Q432="","",IF(Q432&gt;=300000,"Yes","No"))</f>
        <v/>
      </c>
      <c r="CC432" s="37"/>
      <c r="CD432" s="36" t="str">
        <f aca="true">IF(B432="","",IF(TODAY()-B432&lt;=7,"🟢 0-7d",IF(TODAY()-B432&lt;=30,"🟡 8-30d",IF(TODAY()-B432&lt;=60,"🟠 31-60d","🔴 60d+"))))</f>
        <v/>
      </c>
      <c r="CE432" s="36" t="str">
        <f aca="false">IF(G432="","",IF(G432&lt;&gt;"USA","N/A - Not USA Role",IF(J432="Yes",IF(OR(F432="Intern",F432="New Grad"),"🟡 Possible","🟢 Strong"),IF(J432="No","🔴 Difficult","⚪ Unknown"))))</f>
        <v/>
      </c>
      <c r="CF432" s="37"/>
      <c r="CG432" s="37"/>
      <c r="CH432" s="38"/>
      <c r="CI432" s="38"/>
      <c r="CJ432" s="38"/>
      <c r="CK432" s="38"/>
    </row>
    <row r="433" customFormat="false" ht="15" hidden="false" customHeight="true" outlineLevel="0" collapsed="false">
      <c r="A433" s="26" t="str">
        <f aca="false">IF($C433="","",ROW()-3)</f>
        <v/>
      </c>
      <c r="B433" s="27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9"/>
      <c r="N433" s="29"/>
      <c r="O433" s="30" t="str">
        <f aca="false">IFERROR(IF(M433="","",M433*INDEX('00 - Lists'!$M$2:$M$11,MATCH(L433,'00 - Lists'!$L$2:$L$11,0))/100000),"")</f>
        <v/>
      </c>
      <c r="P433" s="30" t="str">
        <f aca="false">IFERROR(IF(N433="","",N433*INDEX('00 - Lists'!$M$2:$M$11,MATCH(L433,'00 - Lists'!$L$2:$L$11,0))/100000),"")</f>
        <v/>
      </c>
      <c r="Q433" s="31" t="str">
        <f aca="false">IFERROR(IF(M433="","",M433*INDEX('00 - Lists'!$N$2:$N$11,MATCH(L433,'00 - Lists'!$L$2:$L$11,0))),"")</f>
        <v/>
      </c>
      <c r="R433" s="31" t="str">
        <f aca="false">IFERROR(IF(N433="","",N433*INDEX('00 - Lists'!$N$2:$N$11,MATCH(L433,'00 - Lists'!$L$2:$L$11,0))),"")</f>
        <v/>
      </c>
      <c r="S433" s="32" t="str">
        <f aca="false">IF(O433="","",IF(O433&gt;=50,"Yes","No"))</f>
        <v/>
      </c>
      <c r="T433" s="32" t="str">
        <f aca="false">IF(Q433="","",IF(Q433&gt;=100000,"Yes","No"))</f>
        <v/>
      </c>
      <c r="U433" s="28"/>
      <c r="V433" s="28"/>
      <c r="W433" s="28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J433" s="34" t="str">
        <f aca="false">IF(OR($BD433&lt;&gt;"",$BF433&lt;&gt;"",$BH433&lt;&gt;""),"Yes","No")</f>
        <v>No</v>
      </c>
      <c r="BK433" s="35" t="str">
        <f aca="false">IFERROR(IF(BD433="","",BD433*INDEX('00 - Lists'!$M$2:$M$11,MATCH(L433,'00 - Lists'!$L$2:$L$11,0))/100000),"")</f>
        <v/>
      </c>
      <c r="BL433" s="35" t="str">
        <f aca="false">IFERROR(IF(BE433="","",BE433*INDEX('00 - Lists'!$M$2:$M$11,MATCH(L433,'00 - Lists'!$L$2:$L$11,0))/100000),"")</f>
        <v/>
      </c>
      <c r="BM433" s="35" t="str">
        <f aca="false">IFERROR(IF(BF433="","",BF433*INDEX('00 - Lists'!$M$2:$M$11,MATCH(L433,'00 - Lists'!$L$2:$L$11,0))/100000),"")</f>
        <v/>
      </c>
      <c r="BN433" s="35" t="str">
        <f aca="false">IFERROR(IF(BG433="","",BG433*INDEX('00 - Lists'!$M$2:$M$11,MATCH(L433,'00 - Lists'!$L$2:$L$11,0))/100000),"")</f>
        <v/>
      </c>
      <c r="BO433" s="35" t="str">
        <f aca="false">IFERROR(IF(BH433="","",BH433*INDEX('00 - Lists'!$M$2:$M$11,MATCH(L433,'00 - Lists'!$L$2:$L$11,0))/100000),"")</f>
        <v/>
      </c>
      <c r="BP433" s="35" t="str">
        <f aca="false">IFERROR(IF(BI433="","",BI433*INDEX('00 - Lists'!$M$2:$M$11,MATCH(L433,'00 - Lists'!$L$2:$L$11,0))/100000),"")</f>
        <v/>
      </c>
      <c r="BS433" s="36" t="str">
        <f aca="false">IF(O433="","",IF(O433&gt;=20,"Yes","No"))</f>
        <v/>
      </c>
      <c r="BT433" s="36" t="str">
        <f aca="false">IF(O433="","",IF(O433&gt;=30,"Yes","No"))</f>
        <v/>
      </c>
      <c r="BU433" s="36" t="str">
        <f aca="false">IF(O433="","",IF(O433&gt;=75,"Yes","No"))</f>
        <v/>
      </c>
      <c r="BV433" s="36" t="str">
        <f aca="false">IF(O433="","",IF(O433&gt;=100,"Yes","No"))</f>
        <v/>
      </c>
      <c r="BW433" s="36" t="str">
        <f aca="false">IF(O433="","",IF(O433&gt;=150,"Yes","No"))</f>
        <v/>
      </c>
      <c r="BX433" s="36" t="str">
        <f aca="false">IF(O433="","",IF(O433&gt;=200,"Yes","No"))</f>
        <v/>
      </c>
      <c r="BY433" s="36" t="str">
        <f aca="false">IF(Q433="","",IF(Q433&gt;=150000,"Yes","No"))</f>
        <v/>
      </c>
      <c r="BZ433" s="36" t="str">
        <f aca="false">IF(Q433="","",IF(Q433&gt;=200000,"Yes","No"))</f>
        <v/>
      </c>
      <c r="CA433" s="36" t="str">
        <f aca="false">IF(Q433="","",IF(Q433&gt;=250000,"Yes","No"))</f>
        <v/>
      </c>
      <c r="CB433" s="36" t="str">
        <f aca="false">IF(Q433="","",IF(Q433&gt;=300000,"Yes","No"))</f>
        <v/>
      </c>
      <c r="CC433" s="37"/>
      <c r="CD433" s="36" t="str">
        <f aca="true">IF(B433="","",IF(TODAY()-B433&lt;=7,"🟢 0-7d",IF(TODAY()-B433&lt;=30,"🟡 8-30d",IF(TODAY()-B433&lt;=60,"🟠 31-60d","🔴 60d+"))))</f>
        <v/>
      </c>
      <c r="CE433" s="36" t="str">
        <f aca="false">IF(G433="","",IF(G433&lt;&gt;"USA","N/A - Not USA Role",IF(J433="Yes",IF(OR(F433="Intern",F433="New Grad"),"🟡 Possible","🟢 Strong"),IF(J433="No","🔴 Difficult","⚪ Unknown"))))</f>
        <v/>
      </c>
      <c r="CF433" s="37"/>
      <c r="CG433" s="37"/>
      <c r="CH433" s="38"/>
      <c r="CI433" s="38"/>
      <c r="CJ433" s="38"/>
      <c r="CK433" s="38"/>
    </row>
    <row r="434" customFormat="false" ht="15" hidden="false" customHeight="true" outlineLevel="0" collapsed="false">
      <c r="A434" s="26" t="str">
        <f aca="false">IF($C434="","",ROW()-3)</f>
        <v/>
      </c>
      <c r="B434" s="27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9"/>
      <c r="N434" s="29"/>
      <c r="O434" s="30" t="str">
        <f aca="false">IFERROR(IF(M434="","",M434*INDEX('00 - Lists'!$M$2:$M$11,MATCH(L434,'00 - Lists'!$L$2:$L$11,0))/100000),"")</f>
        <v/>
      </c>
      <c r="P434" s="30" t="str">
        <f aca="false">IFERROR(IF(N434="","",N434*INDEX('00 - Lists'!$M$2:$M$11,MATCH(L434,'00 - Lists'!$L$2:$L$11,0))/100000),"")</f>
        <v/>
      </c>
      <c r="Q434" s="31" t="str">
        <f aca="false">IFERROR(IF(M434="","",M434*INDEX('00 - Lists'!$N$2:$N$11,MATCH(L434,'00 - Lists'!$L$2:$L$11,0))),"")</f>
        <v/>
      </c>
      <c r="R434" s="31" t="str">
        <f aca="false">IFERROR(IF(N434="","",N434*INDEX('00 - Lists'!$N$2:$N$11,MATCH(L434,'00 - Lists'!$L$2:$L$11,0))),"")</f>
        <v/>
      </c>
      <c r="S434" s="32" t="str">
        <f aca="false">IF(O434="","",IF(O434&gt;=50,"Yes","No"))</f>
        <v/>
      </c>
      <c r="T434" s="32" t="str">
        <f aca="false">IF(Q434="","",IF(Q434&gt;=100000,"Yes","No"))</f>
        <v/>
      </c>
      <c r="U434" s="28"/>
      <c r="V434" s="28"/>
      <c r="W434" s="28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J434" s="34" t="str">
        <f aca="false">IF(OR($BD434&lt;&gt;"",$BF434&lt;&gt;"",$BH434&lt;&gt;""),"Yes","No")</f>
        <v>No</v>
      </c>
      <c r="BK434" s="35" t="str">
        <f aca="false">IFERROR(IF(BD434="","",BD434*INDEX('00 - Lists'!$M$2:$M$11,MATCH(L434,'00 - Lists'!$L$2:$L$11,0))/100000),"")</f>
        <v/>
      </c>
      <c r="BL434" s="35" t="str">
        <f aca="false">IFERROR(IF(BE434="","",BE434*INDEX('00 - Lists'!$M$2:$M$11,MATCH(L434,'00 - Lists'!$L$2:$L$11,0))/100000),"")</f>
        <v/>
      </c>
      <c r="BM434" s="35" t="str">
        <f aca="false">IFERROR(IF(BF434="","",BF434*INDEX('00 - Lists'!$M$2:$M$11,MATCH(L434,'00 - Lists'!$L$2:$L$11,0))/100000),"")</f>
        <v/>
      </c>
      <c r="BN434" s="35" t="str">
        <f aca="false">IFERROR(IF(BG434="","",BG434*INDEX('00 - Lists'!$M$2:$M$11,MATCH(L434,'00 - Lists'!$L$2:$L$11,0))/100000),"")</f>
        <v/>
      </c>
      <c r="BO434" s="35" t="str">
        <f aca="false">IFERROR(IF(BH434="","",BH434*INDEX('00 - Lists'!$M$2:$M$11,MATCH(L434,'00 - Lists'!$L$2:$L$11,0))/100000),"")</f>
        <v/>
      </c>
      <c r="BP434" s="35" t="str">
        <f aca="false">IFERROR(IF(BI434="","",BI434*INDEX('00 - Lists'!$M$2:$M$11,MATCH(L434,'00 - Lists'!$L$2:$L$11,0))/100000),"")</f>
        <v/>
      </c>
      <c r="BS434" s="36" t="str">
        <f aca="false">IF(O434="","",IF(O434&gt;=20,"Yes","No"))</f>
        <v/>
      </c>
      <c r="BT434" s="36" t="str">
        <f aca="false">IF(O434="","",IF(O434&gt;=30,"Yes","No"))</f>
        <v/>
      </c>
      <c r="BU434" s="36" t="str">
        <f aca="false">IF(O434="","",IF(O434&gt;=75,"Yes","No"))</f>
        <v/>
      </c>
      <c r="BV434" s="36" t="str">
        <f aca="false">IF(O434="","",IF(O434&gt;=100,"Yes","No"))</f>
        <v/>
      </c>
      <c r="BW434" s="36" t="str">
        <f aca="false">IF(O434="","",IF(O434&gt;=150,"Yes","No"))</f>
        <v/>
      </c>
      <c r="BX434" s="36" t="str">
        <f aca="false">IF(O434="","",IF(O434&gt;=200,"Yes","No"))</f>
        <v/>
      </c>
      <c r="BY434" s="36" t="str">
        <f aca="false">IF(Q434="","",IF(Q434&gt;=150000,"Yes","No"))</f>
        <v/>
      </c>
      <c r="BZ434" s="36" t="str">
        <f aca="false">IF(Q434="","",IF(Q434&gt;=200000,"Yes","No"))</f>
        <v/>
      </c>
      <c r="CA434" s="36" t="str">
        <f aca="false">IF(Q434="","",IF(Q434&gt;=250000,"Yes","No"))</f>
        <v/>
      </c>
      <c r="CB434" s="36" t="str">
        <f aca="false">IF(Q434="","",IF(Q434&gt;=300000,"Yes","No"))</f>
        <v/>
      </c>
      <c r="CC434" s="37"/>
      <c r="CD434" s="36" t="str">
        <f aca="true">IF(B434="","",IF(TODAY()-B434&lt;=7,"🟢 0-7d",IF(TODAY()-B434&lt;=30,"🟡 8-30d",IF(TODAY()-B434&lt;=60,"🟠 31-60d","🔴 60d+"))))</f>
        <v/>
      </c>
      <c r="CE434" s="36" t="str">
        <f aca="false">IF(G434="","",IF(G434&lt;&gt;"USA","N/A - Not USA Role",IF(J434="Yes",IF(OR(F434="Intern",F434="New Grad"),"🟡 Possible","🟢 Strong"),IF(J434="No","🔴 Difficult","⚪ Unknown"))))</f>
        <v/>
      </c>
      <c r="CF434" s="37"/>
      <c r="CG434" s="37"/>
      <c r="CH434" s="38"/>
      <c r="CI434" s="38"/>
      <c r="CJ434" s="38"/>
      <c r="CK434" s="38"/>
    </row>
    <row r="435" customFormat="false" ht="15" hidden="false" customHeight="true" outlineLevel="0" collapsed="false">
      <c r="A435" s="26" t="str">
        <f aca="false">IF($C435="","",ROW()-3)</f>
        <v/>
      </c>
      <c r="B435" s="27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9"/>
      <c r="N435" s="29"/>
      <c r="O435" s="30" t="str">
        <f aca="false">IFERROR(IF(M435="","",M435*INDEX('00 - Lists'!$M$2:$M$11,MATCH(L435,'00 - Lists'!$L$2:$L$11,0))/100000),"")</f>
        <v/>
      </c>
      <c r="P435" s="30" t="str">
        <f aca="false">IFERROR(IF(N435="","",N435*INDEX('00 - Lists'!$M$2:$M$11,MATCH(L435,'00 - Lists'!$L$2:$L$11,0))/100000),"")</f>
        <v/>
      </c>
      <c r="Q435" s="31" t="str">
        <f aca="false">IFERROR(IF(M435="","",M435*INDEX('00 - Lists'!$N$2:$N$11,MATCH(L435,'00 - Lists'!$L$2:$L$11,0))),"")</f>
        <v/>
      </c>
      <c r="R435" s="31" t="str">
        <f aca="false">IFERROR(IF(N435="","",N435*INDEX('00 - Lists'!$N$2:$N$11,MATCH(L435,'00 - Lists'!$L$2:$L$11,0))),"")</f>
        <v/>
      </c>
      <c r="S435" s="32" t="str">
        <f aca="false">IF(O435="","",IF(O435&gt;=50,"Yes","No"))</f>
        <v/>
      </c>
      <c r="T435" s="32" t="str">
        <f aca="false">IF(Q435="","",IF(Q435&gt;=100000,"Yes","No"))</f>
        <v/>
      </c>
      <c r="U435" s="28"/>
      <c r="V435" s="28"/>
      <c r="W435" s="28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J435" s="34" t="str">
        <f aca="false">IF(OR($BD435&lt;&gt;"",$BF435&lt;&gt;"",$BH435&lt;&gt;""),"Yes","No")</f>
        <v>No</v>
      </c>
      <c r="BK435" s="35" t="str">
        <f aca="false">IFERROR(IF(BD435="","",BD435*INDEX('00 - Lists'!$M$2:$M$11,MATCH(L435,'00 - Lists'!$L$2:$L$11,0))/100000),"")</f>
        <v/>
      </c>
      <c r="BL435" s="35" t="str">
        <f aca="false">IFERROR(IF(BE435="","",BE435*INDEX('00 - Lists'!$M$2:$M$11,MATCH(L435,'00 - Lists'!$L$2:$L$11,0))/100000),"")</f>
        <v/>
      </c>
      <c r="BM435" s="35" t="str">
        <f aca="false">IFERROR(IF(BF435="","",BF435*INDEX('00 - Lists'!$M$2:$M$11,MATCH(L435,'00 - Lists'!$L$2:$L$11,0))/100000),"")</f>
        <v/>
      </c>
      <c r="BN435" s="35" t="str">
        <f aca="false">IFERROR(IF(BG435="","",BG435*INDEX('00 - Lists'!$M$2:$M$11,MATCH(L435,'00 - Lists'!$L$2:$L$11,0))/100000),"")</f>
        <v/>
      </c>
      <c r="BO435" s="35" t="str">
        <f aca="false">IFERROR(IF(BH435="","",BH435*INDEX('00 - Lists'!$M$2:$M$11,MATCH(L435,'00 - Lists'!$L$2:$L$11,0))/100000),"")</f>
        <v/>
      </c>
      <c r="BP435" s="35" t="str">
        <f aca="false">IFERROR(IF(BI435="","",BI435*INDEX('00 - Lists'!$M$2:$M$11,MATCH(L435,'00 - Lists'!$L$2:$L$11,0))/100000),"")</f>
        <v/>
      </c>
      <c r="BS435" s="36" t="str">
        <f aca="false">IF(O435="","",IF(O435&gt;=20,"Yes","No"))</f>
        <v/>
      </c>
      <c r="BT435" s="36" t="str">
        <f aca="false">IF(O435="","",IF(O435&gt;=30,"Yes","No"))</f>
        <v/>
      </c>
      <c r="BU435" s="36" t="str">
        <f aca="false">IF(O435="","",IF(O435&gt;=75,"Yes","No"))</f>
        <v/>
      </c>
      <c r="BV435" s="36" t="str">
        <f aca="false">IF(O435="","",IF(O435&gt;=100,"Yes","No"))</f>
        <v/>
      </c>
      <c r="BW435" s="36" t="str">
        <f aca="false">IF(O435="","",IF(O435&gt;=150,"Yes","No"))</f>
        <v/>
      </c>
      <c r="BX435" s="36" t="str">
        <f aca="false">IF(O435="","",IF(O435&gt;=200,"Yes","No"))</f>
        <v/>
      </c>
      <c r="BY435" s="36" t="str">
        <f aca="false">IF(Q435="","",IF(Q435&gt;=150000,"Yes","No"))</f>
        <v/>
      </c>
      <c r="BZ435" s="36" t="str">
        <f aca="false">IF(Q435="","",IF(Q435&gt;=200000,"Yes","No"))</f>
        <v/>
      </c>
      <c r="CA435" s="36" t="str">
        <f aca="false">IF(Q435="","",IF(Q435&gt;=250000,"Yes","No"))</f>
        <v/>
      </c>
      <c r="CB435" s="36" t="str">
        <f aca="false">IF(Q435="","",IF(Q435&gt;=300000,"Yes","No"))</f>
        <v/>
      </c>
      <c r="CC435" s="37"/>
      <c r="CD435" s="36" t="str">
        <f aca="true">IF(B435="","",IF(TODAY()-B435&lt;=7,"🟢 0-7d",IF(TODAY()-B435&lt;=30,"🟡 8-30d",IF(TODAY()-B435&lt;=60,"🟠 31-60d","🔴 60d+"))))</f>
        <v/>
      </c>
      <c r="CE435" s="36" t="str">
        <f aca="false">IF(G435="","",IF(G435&lt;&gt;"USA","N/A - Not USA Role",IF(J435="Yes",IF(OR(F435="Intern",F435="New Grad"),"🟡 Possible","🟢 Strong"),IF(J435="No","🔴 Difficult","⚪ Unknown"))))</f>
        <v/>
      </c>
      <c r="CF435" s="37"/>
      <c r="CG435" s="37"/>
      <c r="CH435" s="38"/>
      <c r="CI435" s="38"/>
      <c r="CJ435" s="38"/>
      <c r="CK435" s="38"/>
    </row>
    <row r="436" customFormat="false" ht="15" hidden="false" customHeight="true" outlineLevel="0" collapsed="false">
      <c r="A436" s="26" t="str">
        <f aca="false">IF($C436="","",ROW()-3)</f>
        <v/>
      </c>
      <c r="B436" s="27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9"/>
      <c r="N436" s="29"/>
      <c r="O436" s="30" t="str">
        <f aca="false">IFERROR(IF(M436="","",M436*INDEX('00 - Lists'!$M$2:$M$11,MATCH(L436,'00 - Lists'!$L$2:$L$11,0))/100000),"")</f>
        <v/>
      </c>
      <c r="P436" s="30" t="str">
        <f aca="false">IFERROR(IF(N436="","",N436*INDEX('00 - Lists'!$M$2:$M$11,MATCH(L436,'00 - Lists'!$L$2:$L$11,0))/100000),"")</f>
        <v/>
      </c>
      <c r="Q436" s="31" t="str">
        <f aca="false">IFERROR(IF(M436="","",M436*INDEX('00 - Lists'!$N$2:$N$11,MATCH(L436,'00 - Lists'!$L$2:$L$11,0))),"")</f>
        <v/>
      </c>
      <c r="R436" s="31" t="str">
        <f aca="false">IFERROR(IF(N436="","",N436*INDEX('00 - Lists'!$N$2:$N$11,MATCH(L436,'00 - Lists'!$L$2:$L$11,0))),"")</f>
        <v/>
      </c>
      <c r="S436" s="32" t="str">
        <f aca="false">IF(O436="","",IF(O436&gt;=50,"Yes","No"))</f>
        <v/>
      </c>
      <c r="T436" s="32" t="str">
        <f aca="false">IF(Q436="","",IF(Q436&gt;=100000,"Yes","No"))</f>
        <v/>
      </c>
      <c r="U436" s="28"/>
      <c r="V436" s="28"/>
      <c r="W436" s="28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J436" s="34" t="str">
        <f aca="false">IF(OR($BD436&lt;&gt;"",$BF436&lt;&gt;"",$BH436&lt;&gt;""),"Yes","No")</f>
        <v>No</v>
      </c>
      <c r="BK436" s="35" t="str">
        <f aca="false">IFERROR(IF(BD436="","",BD436*INDEX('00 - Lists'!$M$2:$M$11,MATCH(L436,'00 - Lists'!$L$2:$L$11,0))/100000),"")</f>
        <v/>
      </c>
      <c r="BL436" s="35" t="str">
        <f aca="false">IFERROR(IF(BE436="","",BE436*INDEX('00 - Lists'!$M$2:$M$11,MATCH(L436,'00 - Lists'!$L$2:$L$11,0))/100000),"")</f>
        <v/>
      </c>
      <c r="BM436" s="35" t="str">
        <f aca="false">IFERROR(IF(BF436="","",BF436*INDEX('00 - Lists'!$M$2:$M$11,MATCH(L436,'00 - Lists'!$L$2:$L$11,0))/100000),"")</f>
        <v/>
      </c>
      <c r="BN436" s="35" t="str">
        <f aca="false">IFERROR(IF(BG436="","",BG436*INDEX('00 - Lists'!$M$2:$M$11,MATCH(L436,'00 - Lists'!$L$2:$L$11,0))/100000),"")</f>
        <v/>
      </c>
      <c r="BO436" s="35" t="str">
        <f aca="false">IFERROR(IF(BH436="","",BH436*INDEX('00 - Lists'!$M$2:$M$11,MATCH(L436,'00 - Lists'!$L$2:$L$11,0))/100000),"")</f>
        <v/>
      </c>
      <c r="BP436" s="35" t="str">
        <f aca="false">IFERROR(IF(BI436="","",BI436*INDEX('00 - Lists'!$M$2:$M$11,MATCH(L436,'00 - Lists'!$L$2:$L$11,0))/100000),"")</f>
        <v/>
      </c>
      <c r="BS436" s="36" t="str">
        <f aca="false">IF(O436="","",IF(O436&gt;=20,"Yes","No"))</f>
        <v/>
      </c>
      <c r="BT436" s="36" t="str">
        <f aca="false">IF(O436="","",IF(O436&gt;=30,"Yes","No"))</f>
        <v/>
      </c>
      <c r="BU436" s="36" t="str">
        <f aca="false">IF(O436="","",IF(O436&gt;=75,"Yes","No"))</f>
        <v/>
      </c>
      <c r="BV436" s="36" t="str">
        <f aca="false">IF(O436="","",IF(O436&gt;=100,"Yes","No"))</f>
        <v/>
      </c>
      <c r="BW436" s="36" t="str">
        <f aca="false">IF(O436="","",IF(O436&gt;=150,"Yes","No"))</f>
        <v/>
      </c>
      <c r="BX436" s="36" t="str">
        <f aca="false">IF(O436="","",IF(O436&gt;=200,"Yes","No"))</f>
        <v/>
      </c>
      <c r="BY436" s="36" t="str">
        <f aca="false">IF(Q436="","",IF(Q436&gt;=150000,"Yes","No"))</f>
        <v/>
      </c>
      <c r="BZ436" s="36" t="str">
        <f aca="false">IF(Q436="","",IF(Q436&gt;=200000,"Yes","No"))</f>
        <v/>
      </c>
      <c r="CA436" s="36" t="str">
        <f aca="false">IF(Q436="","",IF(Q436&gt;=250000,"Yes","No"))</f>
        <v/>
      </c>
      <c r="CB436" s="36" t="str">
        <f aca="false">IF(Q436="","",IF(Q436&gt;=300000,"Yes","No"))</f>
        <v/>
      </c>
      <c r="CC436" s="37"/>
      <c r="CD436" s="36" t="str">
        <f aca="true">IF(B436="","",IF(TODAY()-B436&lt;=7,"🟢 0-7d",IF(TODAY()-B436&lt;=30,"🟡 8-30d",IF(TODAY()-B436&lt;=60,"🟠 31-60d","🔴 60d+"))))</f>
        <v/>
      </c>
      <c r="CE436" s="36" t="str">
        <f aca="false">IF(G436="","",IF(G436&lt;&gt;"USA","N/A - Not USA Role",IF(J436="Yes",IF(OR(F436="Intern",F436="New Grad"),"🟡 Possible","🟢 Strong"),IF(J436="No","🔴 Difficult","⚪ Unknown"))))</f>
        <v/>
      </c>
      <c r="CF436" s="37"/>
      <c r="CG436" s="37"/>
      <c r="CH436" s="38"/>
      <c r="CI436" s="38"/>
      <c r="CJ436" s="38"/>
      <c r="CK436" s="38"/>
    </row>
    <row r="437" customFormat="false" ht="15" hidden="false" customHeight="true" outlineLevel="0" collapsed="false">
      <c r="A437" s="26" t="str">
        <f aca="false">IF($C437="","",ROW()-3)</f>
        <v/>
      </c>
      <c r="B437" s="27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9"/>
      <c r="N437" s="29"/>
      <c r="O437" s="30" t="str">
        <f aca="false">IFERROR(IF(M437="","",M437*INDEX('00 - Lists'!$M$2:$M$11,MATCH(L437,'00 - Lists'!$L$2:$L$11,0))/100000),"")</f>
        <v/>
      </c>
      <c r="P437" s="30" t="str">
        <f aca="false">IFERROR(IF(N437="","",N437*INDEX('00 - Lists'!$M$2:$M$11,MATCH(L437,'00 - Lists'!$L$2:$L$11,0))/100000),"")</f>
        <v/>
      </c>
      <c r="Q437" s="31" t="str">
        <f aca="false">IFERROR(IF(M437="","",M437*INDEX('00 - Lists'!$N$2:$N$11,MATCH(L437,'00 - Lists'!$L$2:$L$11,0))),"")</f>
        <v/>
      </c>
      <c r="R437" s="31" t="str">
        <f aca="false">IFERROR(IF(N437="","",N437*INDEX('00 - Lists'!$N$2:$N$11,MATCH(L437,'00 - Lists'!$L$2:$L$11,0))),"")</f>
        <v/>
      </c>
      <c r="S437" s="32" t="str">
        <f aca="false">IF(O437="","",IF(O437&gt;=50,"Yes","No"))</f>
        <v/>
      </c>
      <c r="T437" s="32" t="str">
        <f aca="false">IF(Q437="","",IF(Q437&gt;=100000,"Yes","No"))</f>
        <v/>
      </c>
      <c r="U437" s="28"/>
      <c r="V437" s="28"/>
      <c r="W437" s="28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J437" s="34" t="str">
        <f aca="false">IF(OR($BD437&lt;&gt;"",$BF437&lt;&gt;"",$BH437&lt;&gt;""),"Yes","No")</f>
        <v>No</v>
      </c>
      <c r="BK437" s="35" t="str">
        <f aca="false">IFERROR(IF(BD437="","",BD437*INDEX('00 - Lists'!$M$2:$M$11,MATCH(L437,'00 - Lists'!$L$2:$L$11,0))/100000),"")</f>
        <v/>
      </c>
      <c r="BL437" s="35" t="str">
        <f aca="false">IFERROR(IF(BE437="","",BE437*INDEX('00 - Lists'!$M$2:$M$11,MATCH(L437,'00 - Lists'!$L$2:$L$11,0))/100000),"")</f>
        <v/>
      </c>
      <c r="BM437" s="35" t="str">
        <f aca="false">IFERROR(IF(BF437="","",BF437*INDEX('00 - Lists'!$M$2:$M$11,MATCH(L437,'00 - Lists'!$L$2:$L$11,0))/100000),"")</f>
        <v/>
      </c>
      <c r="BN437" s="35" t="str">
        <f aca="false">IFERROR(IF(BG437="","",BG437*INDEX('00 - Lists'!$M$2:$M$11,MATCH(L437,'00 - Lists'!$L$2:$L$11,0))/100000),"")</f>
        <v/>
      </c>
      <c r="BO437" s="35" t="str">
        <f aca="false">IFERROR(IF(BH437="","",BH437*INDEX('00 - Lists'!$M$2:$M$11,MATCH(L437,'00 - Lists'!$L$2:$L$11,0))/100000),"")</f>
        <v/>
      </c>
      <c r="BP437" s="35" t="str">
        <f aca="false">IFERROR(IF(BI437="","",BI437*INDEX('00 - Lists'!$M$2:$M$11,MATCH(L437,'00 - Lists'!$L$2:$L$11,0))/100000),"")</f>
        <v/>
      </c>
      <c r="BS437" s="36" t="str">
        <f aca="false">IF(O437="","",IF(O437&gt;=20,"Yes","No"))</f>
        <v/>
      </c>
      <c r="BT437" s="36" t="str">
        <f aca="false">IF(O437="","",IF(O437&gt;=30,"Yes","No"))</f>
        <v/>
      </c>
      <c r="BU437" s="36" t="str">
        <f aca="false">IF(O437="","",IF(O437&gt;=75,"Yes","No"))</f>
        <v/>
      </c>
      <c r="BV437" s="36" t="str">
        <f aca="false">IF(O437="","",IF(O437&gt;=100,"Yes","No"))</f>
        <v/>
      </c>
      <c r="BW437" s="36" t="str">
        <f aca="false">IF(O437="","",IF(O437&gt;=150,"Yes","No"))</f>
        <v/>
      </c>
      <c r="BX437" s="36" t="str">
        <f aca="false">IF(O437="","",IF(O437&gt;=200,"Yes","No"))</f>
        <v/>
      </c>
      <c r="BY437" s="36" t="str">
        <f aca="false">IF(Q437="","",IF(Q437&gt;=150000,"Yes","No"))</f>
        <v/>
      </c>
      <c r="BZ437" s="36" t="str">
        <f aca="false">IF(Q437="","",IF(Q437&gt;=200000,"Yes","No"))</f>
        <v/>
      </c>
      <c r="CA437" s="36" t="str">
        <f aca="false">IF(Q437="","",IF(Q437&gt;=250000,"Yes","No"))</f>
        <v/>
      </c>
      <c r="CB437" s="36" t="str">
        <f aca="false">IF(Q437="","",IF(Q437&gt;=300000,"Yes","No"))</f>
        <v/>
      </c>
      <c r="CC437" s="37"/>
      <c r="CD437" s="36" t="str">
        <f aca="true">IF(B437="","",IF(TODAY()-B437&lt;=7,"🟢 0-7d",IF(TODAY()-B437&lt;=30,"🟡 8-30d",IF(TODAY()-B437&lt;=60,"🟠 31-60d","🔴 60d+"))))</f>
        <v/>
      </c>
      <c r="CE437" s="36" t="str">
        <f aca="false">IF(G437="","",IF(G437&lt;&gt;"USA","N/A - Not USA Role",IF(J437="Yes",IF(OR(F437="Intern",F437="New Grad"),"🟡 Possible","🟢 Strong"),IF(J437="No","🔴 Difficult","⚪ Unknown"))))</f>
        <v/>
      </c>
      <c r="CF437" s="37"/>
      <c r="CG437" s="37"/>
      <c r="CH437" s="38"/>
      <c r="CI437" s="38"/>
      <c r="CJ437" s="38"/>
      <c r="CK437" s="38"/>
    </row>
    <row r="438" customFormat="false" ht="15" hidden="false" customHeight="true" outlineLevel="0" collapsed="false">
      <c r="A438" s="26" t="str">
        <f aca="false">IF($C438="","",ROW()-3)</f>
        <v/>
      </c>
      <c r="B438" s="27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9"/>
      <c r="N438" s="29"/>
      <c r="O438" s="30" t="str">
        <f aca="false">IFERROR(IF(M438="","",M438*INDEX('00 - Lists'!$M$2:$M$11,MATCH(L438,'00 - Lists'!$L$2:$L$11,0))/100000),"")</f>
        <v/>
      </c>
      <c r="P438" s="30" t="str">
        <f aca="false">IFERROR(IF(N438="","",N438*INDEX('00 - Lists'!$M$2:$M$11,MATCH(L438,'00 - Lists'!$L$2:$L$11,0))/100000),"")</f>
        <v/>
      </c>
      <c r="Q438" s="31" t="str">
        <f aca="false">IFERROR(IF(M438="","",M438*INDEX('00 - Lists'!$N$2:$N$11,MATCH(L438,'00 - Lists'!$L$2:$L$11,0))),"")</f>
        <v/>
      </c>
      <c r="R438" s="31" t="str">
        <f aca="false">IFERROR(IF(N438="","",N438*INDEX('00 - Lists'!$N$2:$N$11,MATCH(L438,'00 - Lists'!$L$2:$L$11,0))),"")</f>
        <v/>
      </c>
      <c r="S438" s="32" t="str">
        <f aca="false">IF(O438="","",IF(O438&gt;=50,"Yes","No"))</f>
        <v/>
      </c>
      <c r="T438" s="32" t="str">
        <f aca="false">IF(Q438="","",IF(Q438&gt;=100000,"Yes","No"))</f>
        <v/>
      </c>
      <c r="U438" s="28"/>
      <c r="V438" s="28"/>
      <c r="W438" s="28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J438" s="34" t="str">
        <f aca="false">IF(OR($BD438&lt;&gt;"",$BF438&lt;&gt;"",$BH438&lt;&gt;""),"Yes","No")</f>
        <v>No</v>
      </c>
      <c r="BK438" s="35" t="str">
        <f aca="false">IFERROR(IF(BD438="","",BD438*INDEX('00 - Lists'!$M$2:$M$11,MATCH(L438,'00 - Lists'!$L$2:$L$11,0))/100000),"")</f>
        <v/>
      </c>
      <c r="BL438" s="35" t="str">
        <f aca="false">IFERROR(IF(BE438="","",BE438*INDEX('00 - Lists'!$M$2:$M$11,MATCH(L438,'00 - Lists'!$L$2:$L$11,0))/100000),"")</f>
        <v/>
      </c>
      <c r="BM438" s="35" t="str">
        <f aca="false">IFERROR(IF(BF438="","",BF438*INDEX('00 - Lists'!$M$2:$M$11,MATCH(L438,'00 - Lists'!$L$2:$L$11,0))/100000),"")</f>
        <v/>
      </c>
      <c r="BN438" s="35" t="str">
        <f aca="false">IFERROR(IF(BG438="","",BG438*INDEX('00 - Lists'!$M$2:$M$11,MATCH(L438,'00 - Lists'!$L$2:$L$11,0))/100000),"")</f>
        <v/>
      </c>
      <c r="BO438" s="35" t="str">
        <f aca="false">IFERROR(IF(BH438="","",BH438*INDEX('00 - Lists'!$M$2:$M$11,MATCH(L438,'00 - Lists'!$L$2:$L$11,0))/100000),"")</f>
        <v/>
      </c>
      <c r="BP438" s="35" t="str">
        <f aca="false">IFERROR(IF(BI438="","",BI438*INDEX('00 - Lists'!$M$2:$M$11,MATCH(L438,'00 - Lists'!$L$2:$L$11,0))/100000),"")</f>
        <v/>
      </c>
      <c r="BS438" s="36" t="str">
        <f aca="false">IF(O438="","",IF(O438&gt;=20,"Yes","No"))</f>
        <v/>
      </c>
      <c r="BT438" s="36" t="str">
        <f aca="false">IF(O438="","",IF(O438&gt;=30,"Yes","No"))</f>
        <v/>
      </c>
      <c r="BU438" s="36" t="str">
        <f aca="false">IF(O438="","",IF(O438&gt;=75,"Yes","No"))</f>
        <v/>
      </c>
      <c r="BV438" s="36" t="str">
        <f aca="false">IF(O438="","",IF(O438&gt;=100,"Yes","No"))</f>
        <v/>
      </c>
      <c r="BW438" s="36" t="str">
        <f aca="false">IF(O438="","",IF(O438&gt;=150,"Yes","No"))</f>
        <v/>
      </c>
      <c r="BX438" s="36" t="str">
        <f aca="false">IF(O438="","",IF(O438&gt;=200,"Yes","No"))</f>
        <v/>
      </c>
      <c r="BY438" s="36" t="str">
        <f aca="false">IF(Q438="","",IF(Q438&gt;=150000,"Yes","No"))</f>
        <v/>
      </c>
      <c r="BZ438" s="36" t="str">
        <f aca="false">IF(Q438="","",IF(Q438&gt;=200000,"Yes","No"))</f>
        <v/>
      </c>
      <c r="CA438" s="36" t="str">
        <f aca="false">IF(Q438="","",IF(Q438&gt;=250000,"Yes","No"))</f>
        <v/>
      </c>
      <c r="CB438" s="36" t="str">
        <f aca="false">IF(Q438="","",IF(Q438&gt;=300000,"Yes","No"))</f>
        <v/>
      </c>
      <c r="CC438" s="37"/>
      <c r="CD438" s="36" t="str">
        <f aca="true">IF(B438="","",IF(TODAY()-B438&lt;=7,"🟢 0-7d",IF(TODAY()-B438&lt;=30,"🟡 8-30d",IF(TODAY()-B438&lt;=60,"🟠 31-60d","🔴 60d+"))))</f>
        <v/>
      </c>
      <c r="CE438" s="36" t="str">
        <f aca="false">IF(G438="","",IF(G438&lt;&gt;"USA","N/A - Not USA Role",IF(J438="Yes",IF(OR(F438="Intern",F438="New Grad"),"🟡 Possible","🟢 Strong"),IF(J438="No","🔴 Difficult","⚪ Unknown"))))</f>
        <v/>
      </c>
      <c r="CF438" s="37"/>
      <c r="CG438" s="37"/>
      <c r="CH438" s="38"/>
      <c r="CI438" s="38"/>
      <c r="CJ438" s="38"/>
      <c r="CK438" s="38"/>
    </row>
    <row r="439" customFormat="false" ht="15" hidden="false" customHeight="true" outlineLevel="0" collapsed="false">
      <c r="A439" s="26" t="str">
        <f aca="false">IF($C439="","",ROW()-3)</f>
        <v/>
      </c>
      <c r="B439" s="27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9"/>
      <c r="N439" s="29"/>
      <c r="O439" s="30" t="str">
        <f aca="false">IFERROR(IF(M439="","",M439*INDEX('00 - Lists'!$M$2:$M$11,MATCH(L439,'00 - Lists'!$L$2:$L$11,0))/100000),"")</f>
        <v/>
      </c>
      <c r="P439" s="30" t="str">
        <f aca="false">IFERROR(IF(N439="","",N439*INDEX('00 - Lists'!$M$2:$M$11,MATCH(L439,'00 - Lists'!$L$2:$L$11,0))/100000),"")</f>
        <v/>
      </c>
      <c r="Q439" s="31" t="str">
        <f aca="false">IFERROR(IF(M439="","",M439*INDEX('00 - Lists'!$N$2:$N$11,MATCH(L439,'00 - Lists'!$L$2:$L$11,0))),"")</f>
        <v/>
      </c>
      <c r="R439" s="31" t="str">
        <f aca="false">IFERROR(IF(N439="","",N439*INDEX('00 - Lists'!$N$2:$N$11,MATCH(L439,'00 - Lists'!$L$2:$L$11,0))),"")</f>
        <v/>
      </c>
      <c r="S439" s="32" t="str">
        <f aca="false">IF(O439="","",IF(O439&gt;=50,"Yes","No"))</f>
        <v/>
      </c>
      <c r="T439" s="32" t="str">
        <f aca="false">IF(Q439="","",IF(Q439&gt;=100000,"Yes","No"))</f>
        <v/>
      </c>
      <c r="U439" s="28"/>
      <c r="V439" s="28"/>
      <c r="W439" s="28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J439" s="34" t="str">
        <f aca="false">IF(OR($BD439&lt;&gt;"",$BF439&lt;&gt;"",$BH439&lt;&gt;""),"Yes","No")</f>
        <v>No</v>
      </c>
      <c r="BK439" s="35" t="str">
        <f aca="false">IFERROR(IF(BD439="","",BD439*INDEX('00 - Lists'!$M$2:$M$11,MATCH(L439,'00 - Lists'!$L$2:$L$11,0))/100000),"")</f>
        <v/>
      </c>
      <c r="BL439" s="35" t="str">
        <f aca="false">IFERROR(IF(BE439="","",BE439*INDEX('00 - Lists'!$M$2:$M$11,MATCH(L439,'00 - Lists'!$L$2:$L$11,0))/100000),"")</f>
        <v/>
      </c>
      <c r="BM439" s="35" t="str">
        <f aca="false">IFERROR(IF(BF439="","",BF439*INDEX('00 - Lists'!$M$2:$M$11,MATCH(L439,'00 - Lists'!$L$2:$L$11,0))/100000),"")</f>
        <v/>
      </c>
      <c r="BN439" s="35" t="str">
        <f aca="false">IFERROR(IF(BG439="","",BG439*INDEX('00 - Lists'!$M$2:$M$11,MATCH(L439,'00 - Lists'!$L$2:$L$11,0))/100000),"")</f>
        <v/>
      </c>
      <c r="BO439" s="35" t="str">
        <f aca="false">IFERROR(IF(BH439="","",BH439*INDEX('00 - Lists'!$M$2:$M$11,MATCH(L439,'00 - Lists'!$L$2:$L$11,0))/100000),"")</f>
        <v/>
      </c>
      <c r="BP439" s="35" t="str">
        <f aca="false">IFERROR(IF(BI439="","",BI439*INDEX('00 - Lists'!$M$2:$M$11,MATCH(L439,'00 - Lists'!$L$2:$L$11,0))/100000),"")</f>
        <v/>
      </c>
      <c r="BS439" s="36" t="str">
        <f aca="false">IF(O439="","",IF(O439&gt;=20,"Yes","No"))</f>
        <v/>
      </c>
      <c r="BT439" s="36" t="str">
        <f aca="false">IF(O439="","",IF(O439&gt;=30,"Yes","No"))</f>
        <v/>
      </c>
      <c r="BU439" s="36" t="str">
        <f aca="false">IF(O439="","",IF(O439&gt;=75,"Yes","No"))</f>
        <v/>
      </c>
      <c r="BV439" s="36" t="str">
        <f aca="false">IF(O439="","",IF(O439&gt;=100,"Yes","No"))</f>
        <v/>
      </c>
      <c r="BW439" s="36" t="str">
        <f aca="false">IF(O439="","",IF(O439&gt;=150,"Yes","No"))</f>
        <v/>
      </c>
      <c r="BX439" s="36" t="str">
        <f aca="false">IF(O439="","",IF(O439&gt;=200,"Yes","No"))</f>
        <v/>
      </c>
      <c r="BY439" s="36" t="str">
        <f aca="false">IF(Q439="","",IF(Q439&gt;=150000,"Yes","No"))</f>
        <v/>
      </c>
      <c r="BZ439" s="36" t="str">
        <f aca="false">IF(Q439="","",IF(Q439&gt;=200000,"Yes","No"))</f>
        <v/>
      </c>
      <c r="CA439" s="36" t="str">
        <f aca="false">IF(Q439="","",IF(Q439&gt;=250000,"Yes","No"))</f>
        <v/>
      </c>
      <c r="CB439" s="36" t="str">
        <f aca="false">IF(Q439="","",IF(Q439&gt;=300000,"Yes","No"))</f>
        <v/>
      </c>
      <c r="CC439" s="37"/>
      <c r="CD439" s="36" t="str">
        <f aca="true">IF(B439="","",IF(TODAY()-B439&lt;=7,"🟢 0-7d",IF(TODAY()-B439&lt;=30,"🟡 8-30d",IF(TODAY()-B439&lt;=60,"🟠 31-60d","🔴 60d+"))))</f>
        <v/>
      </c>
      <c r="CE439" s="36" t="str">
        <f aca="false">IF(G439="","",IF(G439&lt;&gt;"USA","N/A - Not USA Role",IF(J439="Yes",IF(OR(F439="Intern",F439="New Grad"),"🟡 Possible","🟢 Strong"),IF(J439="No","🔴 Difficult","⚪ Unknown"))))</f>
        <v/>
      </c>
      <c r="CF439" s="37"/>
      <c r="CG439" s="37"/>
      <c r="CH439" s="38"/>
      <c r="CI439" s="38"/>
      <c r="CJ439" s="38"/>
      <c r="CK439" s="38"/>
    </row>
    <row r="440" customFormat="false" ht="15" hidden="false" customHeight="true" outlineLevel="0" collapsed="false">
      <c r="A440" s="26" t="str">
        <f aca="false">IF($C440="","",ROW()-3)</f>
        <v/>
      </c>
      <c r="B440" s="27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9"/>
      <c r="N440" s="29"/>
      <c r="O440" s="30" t="str">
        <f aca="false">IFERROR(IF(M440="","",M440*INDEX('00 - Lists'!$M$2:$M$11,MATCH(L440,'00 - Lists'!$L$2:$L$11,0))/100000),"")</f>
        <v/>
      </c>
      <c r="P440" s="30" t="str">
        <f aca="false">IFERROR(IF(N440="","",N440*INDEX('00 - Lists'!$M$2:$M$11,MATCH(L440,'00 - Lists'!$L$2:$L$11,0))/100000),"")</f>
        <v/>
      </c>
      <c r="Q440" s="31" t="str">
        <f aca="false">IFERROR(IF(M440="","",M440*INDEX('00 - Lists'!$N$2:$N$11,MATCH(L440,'00 - Lists'!$L$2:$L$11,0))),"")</f>
        <v/>
      </c>
      <c r="R440" s="31" t="str">
        <f aca="false">IFERROR(IF(N440="","",N440*INDEX('00 - Lists'!$N$2:$N$11,MATCH(L440,'00 - Lists'!$L$2:$L$11,0))),"")</f>
        <v/>
      </c>
      <c r="S440" s="32" t="str">
        <f aca="false">IF(O440="","",IF(O440&gt;=50,"Yes","No"))</f>
        <v/>
      </c>
      <c r="T440" s="32" t="str">
        <f aca="false">IF(Q440="","",IF(Q440&gt;=100000,"Yes","No"))</f>
        <v/>
      </c>
      <c r="U440" s="28"/>
      <c r="V440" s="28"/>
      <c r="W440" s="28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J440" s="34" t="str">
        <f aca="false">IF(OR($BD440&lt;&gt;"",$BF440&lt;&gt;"",$BH440&lt;&gt;""),"Yes","No")</f>
        <v>No</v>
      </c>
      <c r="BK440" s="35" t="str">
        <f aca="false">IFERROR(IF(BD440="","",BD440*INDEX('00 - Lists'!$M$2:$M$11,MATCH(L440,'00 - Lists'!$L$2:$L$11,0))/100000),"")</f>
        <v/>
      </c>
      <c r="BL440" s="35" t="str">
        <f aca="false">IFERROR(IF(BE440="","",BE440*INDEX('00 - Lists'!$M$2:$M$11,MATCH(L440,'00 - Lists'!$L$2:$L$11,0))/100000),"")</f>
        <v/>
      </c>
      <c r="BM440" s="35" t="str">
        <f aca="false">IFERROR(IF(BF440="","",BF440*INDEX('00 - Lists'!$M$2:$M$11,MATCH(L440,'00 - Lists'!$L$2:$L$11,0))/100000),"")</f>
        <v/>
      </c>
      <c r="BN440" s="35" t="str">
        <f aca="false">IFERROR(IF(BG440="","",BG440*INDEX('00 - Lists'!$M$2:$M$11,MATCH(L440,'00 - Lists'!$L$2:$L$11,0))/100000),"")</f>
        <v/>
      </c>
      <c r="BO440" s="35" t="str">
        <f aca="false">IFERROR(IF(BH440="","",BH440*INDEX('00 - Lists'!$M$2:$M$11,MATCH(L440,'00 - Lists'!$L$2:$L$11,0))/100000),"")</f>
        <v/>
      </c>
      <c r="BP440" s="35" t="str">
        <f aca="false">IFERROR(IF(BI440="","",BI440*INDEX('00 - Lists'!$M$2:$M$11,MATCH(L440,'00 - Lists'!$L$2:$L$11,0))/100000),"")</f>
        <v/>
      </c>
      <c r="BS440" s="36" t="str">
        <f aca="false">IF(O440="","",IF(O440&gt;=20,"Yes","No"))</f>
        <v/>
      </c>
      <c r="BT440" s="36" t="str">
        <f aca="false">IF(O440="","",IF(O440&gt;=30,"Yes","No"))</f>
        <v/>
      </c>
      <c r="BU440" s="36" t="str">
        <f aca="false">IF(O440="","",IF(O440&gt;=75,"Yes","No"))</f>
        <v/>
      </c>
      <c r="BV440" s="36" t="str">
        <f aca="false">IF(O440="","",IF(O440&gt;=100,"Yes","No"))</f>
        <v/>
      </c>
      <c r="BW440" s="36" t="str">
        <f aca="false">IF(O440="","",IF(O440&gt;=150,"Yes","No"))</f>
        <v/>
      </c>
      <c r="BX440" s="36" t="str">
        <f aca="false">IF(O440="","",IF(O440&gt;=200,"Yes","No"))</f>
        <v/>
      </c>
      <c r="BY440" s="36" t="str">
        <f aca="false">IF(Q440="","",IF(Q440&gt;=150000,"Yes","No"))</f>
        <v/>
      </c>
      <c r="BZ440" s="36" t="str">
        <f aca="false">IF(Q440="","",IF(Q440&gt;=200000,"Yes","No"))</f>
        <v/>
      </c>
      <c r="CA440" s="36" t="str">
        <f aca="false">IF(Q440="","",IF(Q440&gt;=250000,"Yes","No"))</f>
        <v/>
      </c>
      <c r="CB440" s="36" t="str">
        <f aca="false">IF(Q440="","",IF(Q440&gt;=300000,"Yes","No"))</f>
        <v/>
      </c>
      <c r="CC440" s="37"/>
      <c r="CD440" s="36" t="str">
        <f aca="true">IF(B440="","",IF(TODAY()-B440&lt;=7,"🟢 0-7d",IF(TODAY()-B440&lt;=30,"🟡 8-30d",IF(TODAY()-B440&lt;=60,"🟠 31-60d","🔴 60d+"))))</f>
        <v/>
      </c>
      <c r="CE440" s="36" t="str">
        <f aca="false">IF(G440="","",IF(G440&lt;&gt;"USA","N/A - Not USA Role",IF(J440="Yes",IF(OR(F440="Intern",F440="New Grad"),"🟡 Possible","🟢 Strong"),IF(J440="No","🔴 Difficult","⚪ Unknown"))))</f>
        <v/>
      </c>
      <c r="CF440" s="37"/>
      <c r="CG440" s="37"/>
      <c r="CH440" s="38"/>
      <c r="CI440" s="38"/>
      <c r="CJ440" s="38"/>
      <c r="CK440" s="38"/>
    </row>
    <row r="441" customFormat="false" ht="15" hidden="false" customHeight="true" outlineLevel="0" collapsed="false">
      <c r="A441" s="26" t="str">
        <f aca="false">IF($C441="","",ROW()-3)</f>
        <v/>
      </c>
      <c r="B441" s="27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9"/>
      <c r="N441" s="29"/>
      <c r="O441" s="30" t="str">
        <f aca="false">IFERROR(IF(M441="","",M441*INDEX('00 - Lists'!$M$2:$M$11,MATCH(L441,'00 - Lists'!$L$2:$L$11,0))/100000),"")</f>
        <v/>
      </c>
      <c r="P441" s="30" t="str">
        <f aca="false">IFERROR(IF(N441="","",N441*INDEX('00 - Lists'!$M$2:$M$11,MATCH(L441,'00 - Lists'!$L$2:$L$11,0))/100000),"")</f>
        <v/>
      </c>
      <c r="Q441" s="31" t="str">
        <f aca="false">IFERROR(IF(M441="","",M441*INDEX('00 - Lists'!$N$2:$N$11,MATCH(L441,'00 - Lists'!$L$2:$L$11,0))),"")</f>
        <v/>
      </c>
      <c r="R441" s="31" t="str">
        <f aca="false">IFERROR(IF(N441="","",N441*INDEX('00 - Lists'!$N$2:$N$11,MATCH(L441,'00 - Lists'!$L$2:$L$11,0))),"")</f>
        <v/>
      </c>
      <c r="S441" s="32" t="str">
        <f aca="false">IF(O441="","",IF(O441&gt;=50,"Yes","No"))</f>
        <v/>
      </c>
      <c r="T441" s="32" t="str">
        <f aca="false">IF(Q441="","",IF(Q441&gt;=100000,"Yes","No"))</f>
        <v/>
      </c>
      <c r="U441" s="28"/>
      <c r="V441" s="28"/>
      <c r="W441" s="28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J441" s="34" t="str">
        <f aca="false">IF(OR($BD441&lt;&gt;"",$BF441&lt;&gt;"",$BH441&lt;&gt;""),"Yes","No")</f>
        <v>No</v>
      </c>
      <c r="BK441" s="35" t="str">
        <f aca="false">IFERROR(IF(BD441="","",BD441*INDEX('00 - Lists'!$M$2:$M$11,MATCH(L441,'00 - Lists'!$L$2:$L$11,0))/100000),"")</f>
        <v/>
      </c>
      <c r="BL441" s="35" t="str">
        <f aca="false">IFERROR(IF(BE441="","",BE441*INDEX('00 - Lists'!$M$2:$M$11,MATCH(L441,'00 - Lists'!$L$2:$L$11,0))/100000),"")</f>
        <v/>
      </c>
      <c r="BM441" s="35" t="str">
        <f aca="false">IFERROR(IF(BF441="","",BF441*INDEX('00 - Lists'!$M$2:$M$11,MATCH(L441,'00 - Lists'!$L$2:$L$11,0))/100000),"")</f>
        <v/>
      </c>
      <c r="BN441" s="35" t="str">
        <f aca="false">IFERROR(IF(BG441="","",BG441*INDEX('00 - Lists'!$M$2:$M$11,MATCH(L441,'00 - Lists'!$L$2:$L$11,0))/100000),"")</f>
        <v/>
      </c>
      <c r="BO441" s="35" t="str">
        <f aca="false">IFERROR(IF(BH441="","",BH441*INDEX('00 - Lists'!$M$2:$M$11,MATCH(L441,'00 - Lists'!$L$2:$L$11,0))/100000),"")</f>
        <v/>
      </c>
      <c r="BP441" s="35" t="str">
        <f aca="false">IFERROR(IF(BI441="","",BI441*INDEX('00 - Lists'!$M$2:$M$11,MATCH(L441,'00 - Lists'!$L$2:$L$11,0))/100000),"")</f>
        <v/>
      </c>
      <c r="BS441" s="36" t="str">
        <f aca="false">IF(O441="","",IF(O441&gt;=20,"Yes","No"))</f>
        <v/>
      </c>
      <c r="BT441" s="36" t="str">
        <f aca="false">IF(O441="","",IF(O441&gt;=30,"Yes","No"))</f>
        <v/>
      </c>
      <c r="BU441" s="36" t="str">
        <f aca="false">IF(O441="","",IF(O441&gt;=75,"Yes","No"))</f>
        <v/>
      </c>
      <c r="BV441" s="36" t="str">
        <f aca="false">IF(O441="","",IF(O441&gt;=100,"Yes","No"))</f>
        <v/>
      </c>
      <c r="BW441" s="36" t="str">
        <f aca="false">IF(O441="","",IF(O441&gt;=150,"Yes","No"))</f>
        <v/>
      </c>
      <c r="BX441" s="36" t="str">
        <f aca="false">IF(O441="","",IF(O441&gt;=200,"Yes","No"))</f>
        <v/>
      </c>
      <c r="BY441" s="36" t="str">
        <f aca="false">IF(Q441="","",IF(Q441&gt;=150000,"Yes","No"))</f>
        <v/>
      </c>
      <c r="BZ441" s="36" t="str">
        <f aca="false">IF(Q441="","",IF(Q441&gt;=200000,"Yes","No"))</f>
        <v/>
      </c>
      <c r="CA441" s="36" t="str">
        <f aca="false">IF(Q441="","",IF(Q441&gt;=250000,"Yes","No"))</f>
        <v/>
      </c>
      <c r="CB441" s="36" t="str">
        <f aca="false">IF(Q441="","",IF(Q441&gt;=300000,"Yes","No"))</f>
        <v/>
      </c>
      <c r="CC441" s="37"/>
      <c r="CD441" s="36" t="str">
        <f aca="true">IF(B441="","",IF(TODAY()-B441&lt;=7,"🟢 0-7d",IF(TODAY()-B441&lt;=30,"🟡 8-30d",IF(TODAY()-B441&lt;=60,"🟠 31-60d","🔴 60d+"))))</f>
        <v/>
      </c>
      <c r="CE441" s="36" t="str">
        <f aca="false">IF(G441="","",IF(G441&lt;&gt;"USA","N/A - Not USA Role",IF(J441="Yes",IF(OR(F441="Intern",F441="New Grad"),"🟡 Possible","🟢 Strong"),IF(J441="No","🔴 Difficult","⚪ Unknown"))))</f>
        <v/>
      </c>
      <c r="CF441" s="37"/>
      <c r="CG441" s="37"/>
      <c r="CH441" s="38"/>
      <c r="CI441" s="38"/>
      <c r="CJ441" s="38"/>
      <c r="CK441" s="38"/>
    </row>
    <row r="442" customFormat="false" ht="15" hidden="false" customHeight="true" outlineLevel="0" collapsed="false">
      <c r="A442" s="26" t="str">
        <f aca="false">IF($C442="","",ROW()-3)</f>
        <v/>
      </c>
      <c r="B442" s="27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9"/>
      <c r="N442" s="29"/>
      <c r="O442" s="30" t="str">
        <f aca="false">IFERROR(IF(M442="","",M442*INDEX('00 - Lists'!$M$2:$M$11,MATCH(L442,'00 - Lists'!$L$2:$L$11,0))/100000),"")</f>
        <v/>
      </c>
      <c r="P442" s="30" t="str">
        <f aca="false">IFERROR(IF(N442="","",N442*INDEX('00 - Lists'!$M$2:$M$11,MATCH(L442,'00 - Lists'!$L$2:$L$11,0))/100000),"")</f>
        <v/>
      </c>
      <c r="Q442" s="31" t="str">
        <f aca="false">IFERROR(IF(M442="","",M442*INDEX('00 - Lists'!$N$2:$N$11,MATCH(L442,'00 - Lists'!$L$2:$L$11,0))),"")</f>
        <v/>
      </c>
      <c r="R442" s="31" t="str">
        <f aca="false">IFERROR(IF(N442="","",N442*INDEX('00 - Lists'!$N$2:$N$11,MATCH(L442,'00 - Lists'!$L$2:$L$11,0))),"")</f>
        <v/>
      </c>
      <c r="S442" s="32" t="str">
        <f aca="false">IF(O442="","",IF(O442&gt;=50,"Yes","No"))</f>
        <v/>
      </c>
      <c r="T442" s="32" t="str">
        <f aca="false">IF(Q442="","",IF(Q442&gt;=100000,"Yes","No"))</f>
        <v/>
      </c>
      <c r="U442" s="28"/>
      <c r="V442" s="28"/>
      <c r="W442" s="28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J442" s="34" t="str">
        <f aca="false">IF(OR($BD442&lt;&gt;"",$BF442&lt;&gt;"",$BH442&lt;&gt;""),"Yes","No")</f>
        <v>No</v>
      </c>
      <c r="BK442" s="35" t="str">
        <f aca="false">IFERROR(IF(BD442="","",BD442*INDEX('00 - Lists'!$M$2:$M$11,MATCH(L442,'00 - Lists'!$L$2:$L$11,0))/100000),"")</f>
        <v/>
      </c>
      <c r="BL442" s="35" t="str">
        <f aca="false">IFERROR(IF(BE442="","",BE442*INDEX('00 - Lists'!$M$2:$M$11,MATCH(L442,'00 - Lists'!$L$2:$L$11,0))/100000),"")</f>
        <v/>
      </c>
      <c r="BM442" s="35" t="str">
        <f aca="false">IFERROR(IF(BF442="","",BF442*INDEX('00 - Lists'!$M$2:$M$11,MATCH(L442,'00 - Lists'!$L$2:$L$11,0))/100000),"")</f>
        <v/>
      </c>
      <c r="BN442" s="35" t="str">
        <f aca="false">IFERROR(IF(BG442="","",BG442*INDEX('00 - Lists'!$M$2:$M$11,MATCH(L442,'00 - Lists'!$L$2:$L$11,0))/100000),"")</f>
        <v/>
      </c>
      <c r="BO442" s="35" t="str">
        <f aca="false">IFERROR(IF(BH442="","",BH442*INDEX('00 - Lists'!$M$2:$M$11,MATCH(L442,'00 - Lists'!$L$2:$L$11,0))/100000),"")</f>
        <v/>
      </c>
      <c r="BP442" s="35" t="str">
        <f aca="false">IFERROR(IF(BI442="","",BI442*INDEX('00 - Lists'!$M$2:$M$11,MATCH(L442,'00 - Lists'!$L$2:$L$11,0))/100000),"")</f>
        <v/>
      </c>
      <c r="BS442" s="36" t="str">
        <f aca="false">IF(O442="","",IF(O442&gt;=20,"Yes","No"))</f>
        <v/>
      </c>
      <c r="BT442" s="36" t="str">
        <f aca="false">IF(O442="","",IF(O442&gt;=30,"Yes","No"))</f>
        <v/>
      </c>
      <c r="BU442" s="36" t="str">
        <f aca="false">IF(O442="","",IF(O442&gt;=75,"Yes","No"))</f>
        <v/>
      </c>
      <c r="BV442" s="36" t="str">
        <f aca="false">IF(O442="","",IF(O442&gt;=100,"Yes","No"))</f>
        <v/>
      </c>
      <c r="BW442" s="36" t="str">
        <f aca="false">IF(O442="","",IF(O442&gt;=150,"Yes","No"))</f>
        <v/>
      </c>
      <c r="BX442" s="36" t="str">
        <f aca="false">IF(O442="","",IF(O442&gt;=200,"Yes","No"))</f>
        <v/>
      </c>
      <c r="BY442" s="36" t="str">
        <f aca="false">IF(Q442="","",IF(Q442&gt;=150000,"Yes","No"))</f>
        <v/>
      </c>
      <c r="BZ442" s="36" t="str">
        <f aca="false">IF(Q442="","",IF(Q442&gt;=200000,"Yes","No"))</f>
        <v/>
      </c>
      <c r="CA442" s="36" t="str">
        <f aca="false">IF(Q442="","",IF(Q442&gt;=250000,"Yes","No"))</f>
        <v/>
      </c>
      <c r="CB442" s="36" t="str">
        <f aca="false">IF(Q442="","",IF(Q442&gt;=300000,"Yes","No"))</f>
        <v/>
      </c>
      <c r="CC442" s="37"/>
      <c r="CD442" s="36" t="str">
        <f aca="true">IF(B442="","",IF(TODAY()-B442&lt;=7,"🟢 0-7d",IF(TODAY()-B442&lt;=30,"🟡 8-30d",IF(TODAY()-B442&lt;=60,"🟠 31-60d","🔴 60d+"))))</f>
        <v/>
      </c>
      <c r="CE442" s="36" t="str">
        <f aca="false">IF(G442="","",IF(G442&lt;&gt;"USA","N/A - Not USA Role",IF(J442="Yes",IF(OR(F442="Intern",F442="New Grad"),"🟡 Possible","🟢 Strong"),IF(J442="No","🔴 Difficult","⚪ Unknown"))))</f>
        <v/>
      </c>
      <c r="CF442" s="37"/>
      <c r="CG442" s="37"/>
      <c r="CH442" s="38"/>
      <c r="CI442" s="38"/>
      <c r="CJ442" s="38"/>
      <c r="CK442" s="38"/>
    </row>
    <row r="443" customFormat="false" ht="15" hidden="false" customHeight="true" outlineLevel="0" collapsed="false">
      <c r="A443" s="26" t="str">
        <f aca="false">IF($C443="","",ROW()-3)</f>
        <v/>
      </c>
      <c r="B443" s="27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9"/>
      <c r="N443" s="29"/>
      <c r="O443" s="30" t="str">
        <f aca="false">IFERROR(IF(M443="","",M443*INDEX('00 - Lists'!$M$2:$M$11,MATCH(L443,'00 - Lists'!$L$2:$L$11,0))/100000),"")</f>
        <v/>
      </c>
      <c r="P443" s="30" t="str">
        <f aca="false">IFERROR(IF(N443="","",N443*INDEX('00 - Lists'!$M$2:$M$11,MATCH(L443,'00 - Lists'!$L$2:$L$11,0))/100000),"")</f>
        <v/>
      </c>
      <c r="Q443" s="31" t="str">
        <f aca="false">IFERROR(IF(M443="","",M443*INDEX('00 - Lists'!$N$2:$N$11,MATCH(L443,'00 - Lists'!$L$2:$L$11,0))),"")</f>
        <v/>
      </c>
      <c r="R443" s="31" t="str">
        <f aca="false">IFERROR(IF(N443="","",N443*INDEX('00 - Lists'!$N$2:$N$11,MATCH(L443,'00 - Lists'!$L$2:$L$11,0))),"")</f>
        <v/>
      </c>
      <c r="S443" s="32" t="str">
        <f aca="false">IF(O443="","",IF(O443&gt;=50,"Yes","No"))</f>
        <v/>
      </c>
      <c r="T443" s="32" t="str">
        <f aca="false">IF(Q443="","",IF(Q443&gt;=100000,"Yes","No"))</f>
        <v/>
      </c>
      <c r="U443" s="28"/>
      <c r="V443" s="28"/>
      <c r="W443" s="28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J443" s="34" t="str">
        <f aca="false">IF(OR($BD443&lt;&gt;"",$BF443&lt;&gt;"",$BH443&lt;&gt;""),"Yes","No")</f>
        <v>No</v>
      </c>
      <c r="BK443" s="35" t="str">
        <f aca="false">IFERROR(IF(BD443="","",BD443*INDEX('00 - Lists'!$M$2:$M$11,MATCH(L443,'00 - Lists'!$L$2:$L$11,0))/100000),"")</f>
        <v/>
      </c>
      <c r="BL443" s="35" t="str">
        <f aca="false">IFERROR(IF(BE443="","",BE443*INDEX('00 - Lists'!$M$2:$M$11,MATCH(L443,'00 - Lists'!$L$2:$L$11,0))/100000),"")</f>
        <v/>
      </c>
      <c r="BM443" s="35" t="str">
        <f aca="false">IFERROR(IF(BF443="","",BF443*INDEX('00 - Lists'!$M$2:$M$11,MATCH(L443,'00 - Lists'!$L$2:$L$11,0))/100000),"")</f>
        <v/>
      </c>
      <c r="BN443" s="35" t="str">
        <f aca="false">IFERROR(IF(BG443="","",BG443*INDEX('00 - Lists'!$M$2:$M$11,MATCH(L443,'00 - Lists'!$L$2:$L$11,0))/100000),"")</f>
        <v/>
      </c>
      <c r="BO443" s="35" t="str">
        <f aca="false">IFERROR(IF(BH443="","",BH443*INDEX('00 - Lists'!$M$2:$M$11,MATCH(L443,'00 - Lists'!$L$2:$L$11,0))/100000),"")</f>
        <v/>
      </c>
      <c r="BP443" s="35" t="str">
        <f aca="false">IFERROR(IF(BI443="","",BI443*INDEX('00 - Lists'!$M$2:$M$11,MATCH(L443,'00 - Lists'!$L$2:$L$11,0))/100000),"")</f>
        <v/>
      </c>
      <c r="BS443" s="36" t="str">
        <f aca="false">IF(O443="","",IF(O443&gt;=20,"Yes","No"))</f>
        <v/>
      </c>
      <c r="BT443" s="36" t="str">
        <f aca="false">IF(O443="","",IF(O443&gt;=30,"Yes","No"))</f>
        <v/>
      </c>
      <c r="BU443" s="36" t="str">
        <f aca="false">IF(O443="","",IF(O443&gt;=75,"Yes","No"))</f>
        <v/>
      </c>
      <c r="BV443" s="36" t="str">
        <f aca="false">IF(O443="","",IF(O443&gt;=100,"Yes","No"))</f>
        <v/>
      </c>
      <c r="BW443" s="36" t="str">
        <f aca="false">IF(O443="","",IF(O443&gt;=150,"Yes","No"))</f>
        <v/>
      </c>
      <c r="BX443" s="36" t="str">
        <f aca="false">IF(O443="","",IF(O443&gt;=200,"Yes","No"))</f>
        <v/>
      </c>
      <c r="BY443" s="36" t="str">
        <f aca="false">IF(Q443="","",IF(Q443&gt;=150000,"Yes","No"))</f>
        <v/>
      </c>
      <c r="BZ443" s="36" t="str">
        <f aca="false">IF(Q443="","",IF(Q443&gt;=200000,"Yes","No"))</f>
        <v/>
      </c>
      <c r="CA443" s="36" t="str">
        <f aca="false">IF(Q443="","",IF(Q443&gt;=250000,"Yes","No"))</f>
        <v/>
      </c>
      <c r="CB443" s="36" t="str">
        <f aca="false">IF(Q443="","",IF(Q443&gt;=300000,"Yes","No"))</f>
        <v/>
      </c>
      <c r="CC443" s="37"/>
      <c r="CD443" s="36" t="str">
        <f aca="true">IF(B443="","",IF(TODAY()-B443&lt;=7,"🟢 0-7d",IF(TODAY()-B443&lt;=30,"🟡 8-30d",IF(TODAY()-B443&lt;=60,"🟠 31-60d","🔴 60d+"))))</f>
        <v/>
      </c>
      <c r="CE443" s="36" t="str">
        <f aca="false">IF(G443="","",IF(G443&lt;&gt;"USA","N/A - Not USA Role",IF(J443="Yes",IF(OR(F443="Intern",F443="New Grad"),"🟡 Possible","🟢 Strong"),IF(J443="No","🔴 Difficult","⚪ Unknown"))))</f>
        <v/>
      </c>
      <c r="CF443" s="37"/>
      <c r="CG443" s="37"/>
      <c r="CH443" s="38"/>
      <c r="CI443" s="38"/>
      <c r="CJ443" s="38"/>
      <c r="CK443" s="38"/>
    </row>
    <row r="444" customFormat="false" ht="15" hidden="false" customHeight="true" outlineLevel="0" collapsed="false">
      <c r="A444" s="26" t="str">
        <f aca="false">IF($C444="","",ROW()-3)</f>
        <v/>
      </c>
      <c r="B444" s="27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9"/>
      <c r="N444" s="29"/>
      <c r="O444" s="30" t="str">
        <f aca="false">IFERROR(IF(M444="","",M444*INDEX('00 - Lists'!$M$2:$M$11,MATCH(L444,'00 - Lists'!$L$2:$L$11,0))/100000),"")</f>
        <v/>
      </c>
      <c r="P444" s="30" t="str">
        <f aca="false">IFERROR(IF(N444="","",N444*INDEX('00 - Lists'!$M$2:$M$11,MATCH(L444,'00 - Lists'!$L$2:$L$11,0))/100000),"")</f>
        <v/>
      </c>
      <c r="Q444" s="31" t="str">
        <f aca="false">IFERROR(IF(M444="","",M444*INDEX('00 - Lists'!$N$2:$N$11,MATCH(L444,'00 - Lists'!$L$2:$L$11,0))),"")</f>
        <v/>
      </c>
      <c r="R444" s="31" t="str">
        <f aca="false">IFERROR(IF(N444="","",N444*INDEX('00 - Lists'!$N$2:$N$11,MATCH(L444,'00 - Lists'!$L$2:$L$11,0))),"")</f>
        <v/>
      </c>
      <c r="S444" s="32" t="str">
        <f aca="false">IF(O444="","",IF(O444&gt;=50,"Yes","No"))</f>
        <v/>
      </c>
      <c r="T444" s="32" t="str">
        <f aca="false">IF(Q444="","",IF(Q444&gt;=100000,"Yes","No"))</f>
        <v/>
      </c>
      <c r="U444" s="28"/>
      <c r="V444" s="28"/>
      <c r="W444" s="28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J444" s="34" t="str">
        <f aca="false">IF(OR($BD444&lt;&gt;"",$BF444&lt;&gt;"",$BH444&lt;&gt;""),"Yes","No")</f>
        <v>No</v>
      </c>
      <c r="BK444" s="35" t="str">
        <f aca="false">IFERROR(IF(BD444="","",BD444*INDEX('00 - Lists'!$M$2:$M$11,MATCH(L444,'00 - Lists'!$L$2:$L$11,0))/100000),"")</f>
        <v/>
      </c>
      <c r="BL444" s="35" t="str">
        <f aca="false">IFERROR(IF(BE444="","",BE444*INDEX('00 - Lists'!$M$2:$M$11,MATCH(L444,'00 - Lists'!$L$2:$L$11,0))/100000),"")</f>
        <v/>
      </c>
      <c r="BM444" s="35" t="str">
        <f aca="false">IFERROR(IF(BF444="","",BF444*INDEX('00 - Lists'!$M$2:$M$11,MATCH(L444,'00 - Lists'!$L$2:$L$11,0))/100000),"")</f>
        <v/>
      </c>
      <c r="BN444" s="35" t="str">
        <f aca="false">IFERROR(IF(BG444="","",BG444*INDEX('00 - Lists'!$M$2:$M$11,MATCH(L444,'00 - Lists'!$L$2:$L$11,0))/100000),"")</f>
        <v/>
      </c>
      <c r="BO444" s="35" t="str">
        <f aca="false">IFERROR(IF(BH444="","",BH444*INDEX('00 - Lists'!$M$2:$M$11,MATCH(L444,'00 - Lists'!$L$2:$L$11,0))/100000),"")</f>
        <v/>
      </c>
      <c r="BP444" s="35" t="str">
        <f aca="false">IFERROR(IF(BI444="","",BI444*INDEX('00 - Lists'!$M$2:$M$11,MATCH(L444,'00 - Lists'!$L$2:$L$11,0))/100000),"")</f>
        <v/>
      </c>
      <c r="BS444" s="36" t="str">
        <f aca="false">IF(O444="","",IF(O444&gt;=20,"Yes","No"))</f>
        <v/>
      </c>
      <c r="BT444" s="36" t="str">
        <f aca="false">IF(O444="","",IF(O444&gt;=30,"Yes","No"))</f>
        <v/>
      </c>
      <c r="BU444" s="36" t="str">
        <f aca="false">IF(O444="","",IF(O444&gt;=75,"Yes","No"))</f>
        <v/>
      </c>
      <c r="BV444" s="36" t="str">
        <f aca="false">IF(O444="","",IF(O444&gt;=100,"Yes","No"))</f>
        <v/>
      </c>
      <c r="BW444" s="36" t="str">
        <f aca="false">IF(O444="","",IF(O444&gt;=150,"Yes","No"))</f>
        <v/>
      </c>
      <c r="BX444" s="36" t="str">
        <f aca="false">IF(O444="","",IF(O444&gt;=200,"Yes","No"))</f>
        <v/>
      </c>
      <c r="BY444" s="36" t="str">
        <f aca="false">IF(Q444="","",IF(Q444&gt;=150000,"Yes","No"))</f>
        <v/>
      </c>
      <c r="BZ444" s="36" t="str">
        <f aca="false">IF(Q444="","",IF(Q444&gt;=200000,"Yes","No"))</f>
        <v/>
      </c>
      <c r="CA444" s="36" t="str">
        <f aca="false">IF(Q444="","",IF(Q444&gt;=250000,"Yes","No"))</f>
        <v/>
      </c>
      <c r="CB444" s="36" t="str">
        <f aca="false">IF(Q444="","",IF(Q444&gt;=300000,"Yes","No"))</f>
        <v/>
      </c>
      <c r="CC444" s="37"/>
      <c r="CD444" s="36" t="str">
        <f aca="true">IF(B444="","",IF(TODAY()-B444&lt;=7,"🟢 0-7d",IF(TODAY()-B444&lt;=30,"🟡 8-30d",IF(TODAY()-B444&lt;=60,"🟠 31-60d","🔴 60d+"))))</f>
        <v/>
      </c>
      <c r="CE444" s="36" t="str">
        <f aca="false">IF(G444="","",IF(G444&lt;&gt;"USA","N/A - Not USA Role",IF(J444="Yes",IF(OR(F444="Intern",F444="New Grad"),"🟡 Possible","🟢 Strong"),IF(J444="No","🔴 Difficult","⚪ Unknown"))))</f>
        <v/>
      </c>
      <c r="CF444" s="37"/>
      <c r="CG444" s="37"/>
      <c r="CH444" s="38"/>
      <c r="CI444" s="38"/>
      <c r="CJ444" s="38"/>
      <c r="CK444" s="38"/>
    </row>
    <row r="445" customFormat="false" ht="15" hidden="false" customHeight="true" outlineLevel="0" collapsed="false">
      <c r="A445" s="26" t="str">
        <f aca="false">IF($C445="","",ROW()-3)</f>
        <v/>
      </c>
      <c r="B445" s="27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9"/>
      <c r="N445" s="29"/>
      <c r="O445" s="30" t="str">
        <f aca="false">IFERROR(IF(M445="","",M445*INDEX('00 - Lists'!$M$2:$M$11,MATCH(L445,'00 - Lists'!$L$2:$L$11,0))/100000),"")</f>
        <v/>
      </c>
      <c r="P445" s="30" t="str">
        <f aca="false">IFERROR(IF(N445="","",N445*INDEX('00 - Lists'!$M$2:$M$11,MATCH(L445,'00 - Lists'!$L$2:$L$11,0))/100000),"")</f>
        <v/>
      </c>
      <c r="Q445" s="31" t="str">
        <f aca="false">IFERROR(IF(M445="","",M445*INDEX('00 - Lists'!$N$2:$N$11,MATCH(L445,'00 - Lists'!$L$2:$L$11,0))),"")</f>
        <v/>
      </c>
      <c r="R445" s="31" t="str">
        <f aca="false">IFERROR(IF(N445="","",N445*INDEX('00 - Lists'!$N$2:$N$11,MATCH(L445,'00 - Lists'!$L$2:$L$11,0))),"")</f>
        <v/>
      </c>
      <c r="S445" s="32" t="str">
        <f aca="false">IF(O445="","",IF(O445&gt;=50,"Yes","No"))</f>
        <v/>
      </c>
      <c r="T445" s="32" t="str">
        <f aca="false">IF(Q445="","",IF(Q445&gt;=100000,"Yes","No"))</f>
        <v/>
      </c>
      <c r="U445" s="28"/>
      <c r="V445" s="28"/>
      <c r="W445" s="28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J445" s="34" t="str">
        <f aca="false">IF(OR($BD445&lt;&gt;"",$BF445&lt;&gt;"",$BH445&lt;&gt;""),"Yes","No")</f>
        <v>No</v>
      </c>
      <c r="BK445" s="35" t="str">
        <f aca="false">IFERROR(IF(BD445="","",BD445*INDEX('00 - Lists'!$M$2:$M$11,MATCH(L445,'00 - Lists'!$L$2:$L$11,0))/100000),"")</f>
        <v/>
      </c>
      <c r="BL445" s="35" t="str">
        <f aca="false">IFERROR(IF(BE445="","",BE445*INDEX('00 - Lists'!$M$2:$M$11,MATCH(L445,'00 - Lists'!$L$2:$L$11,0))/100000),"")</f>
        <v/>
      </c>
      <c r="BM445" s="35" t="str">
        <f aca="false">IFERROR(IF(BF445="","",BF445*INDEX('00 - Lists'!$M$2:$M$11,MATCH(L445,'00 - Lists'!$L$2:$L$11,0))/100000),"")</f>
        <v/>
      </c>
      <c r="BN445" s="35" t="str">
        <f aca="false">IFERROR(IF(BG445="","",BG445*INDEX('00 - Lists'!$M$2:$M$11,MATCH(L445,'00 - Lists'!$L$2:$L$11,0))/100000),"")</f>
        <v/>
      </c>
      <c r="BO445" s="35" t="str">
        <f aca="false">IFERROR(IF(BH445="","",BH445*INDEX('00 - Lists'!$M$2:$M$11,MATCH(L445,'00 - Lists'!$L$2:$L$11,0))/100000),"")</f>
        <v/>
      </c>
      <c r="BP445" s="35" t="str">
        <f aca="false">IFERROR(IF(BI445="","",BI445*INDEX('00 - Lists'!$M$2:$M$11,MATCH(L445,'00 - Lists'!$L$2:$L$11,0))/100000),"")</f>
        <v/>
      </c>
      <c r="BS445" s="36" t="str">
        <f aca="false">IF(O445="","",IF(O445&gt;=20,"Yes","No"))</f>
        <v/>
      </c>
      <c r="BT445" s="36" t="str">
        <f aca="false">IF(O445="","",IF(O445&gt;=30,"Yes","No"))</f>
        <v/>
      </c>
      <c r="BU445" s="36" t="str">
        <f aca="false">IF(O445="","",IF(O445&gt;=75,"Yes","No"))</f>
        <v/>
      </c>
      <c r="BV445" s="36" t="str">
        <f aca="false">IF(O445="","",IF(O445&gt;=100,"Yes","No"))</f>
        <v/>
      </c>
      <c r="BW445" s="36" t="str">
        <f aca="false">IF(O445="","",IF(O445&gt;=150,"Yes","No"))</f>
        <v/>
      </c>
      <c r="BX445" s="36" t="str">
        <f aca="false">IF(O445="","",IF(O445&gt;=200,"Yes","No"))</f>
        <v/>
      </c>
      <c r="BY445" s="36" t="str">
        <f aca="false">IF(Q445="","",IF(Q445&gt;=150000,"Yes","No"))</f>
        <v/>
      </c>
      <c r="BZ445" s="36" t="str">
        <f aca="false">IF(Q445="","",IF(Q445&gt;=200000,"Yes","No"))</f>
        <v/>
      </c>
      <c r="CA445" s="36" t="str">
        <f aca="false">IF(Q445="","",IF(Q445&gt;=250000,"Yes","No"))</f>
        <v/>
      </c>
      <c r="CB445" s="36" t="str">
        <f aca="false">IF(Q445="","",IF(Q445&gt;=300000,"Yes","No"))</f>
        <v/>
      </c>
      <c r="CC445" s="37"/>
      <c r="CD445" s="36" t="str">
        <f aca="true">IF(B445="","",IF(TODAY()-B445&lt;=7,"🟢 0-7d",IF(TODAY()-B445&lt;=30,"🟡 8-30d",IF(TODAY()-B445&lt;=60,"🟠 31-60d","🔴 60d+"))))</f>
        <v/>
      </c>
      <c r="CE445" s="36" t="str">
        <f aca="false">IF(G445="","",IF(G445&lt;&gt;"USA","N/A - Not USA Role",IF(J445="Yes",IF(OR(F445="Intern",F445="New Grad"),"🟡 Possible","🟢 Strong"),IF(J445="No","🔴 Difficult","⚪ Unknown"))))</f>
        <v/>
      </c>
      <c r="CF445" s="37"/>
      <c r="CG445" s="37"/>
      <c r="CH445" s="38"/>
      <c r="CI445" s="38"/>
      <c r="CJ445" s="38"/>
      <c r="CK445" s="38"/>
    </row>
    <row r="446" customFormat="false" ht="15" hidden="false" customHeight="true" outlineLevel="0" collapsed="false">
      <c r="A446" s="26" t="str">
        <f aca="false">IF($C446="","",ROW()-3)</f>
        <v/>
      </c>
      <c r="B446" s="27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9"/>
      <c r="N446" s="29"/>
      <c r="O446" s="30" t="str">
        <f aca="false">IFERROR(IF(M446="","",M446*INDEX('00 - Lists'!$M$2:$M$11,MATCH(L446,'00 - Lists'!$L$2:$L$11,0))/100000),"")</f>
        <v/>
      </c>
      <c r="P446" s="30" t="str">
        <f aca="false">IFERROR(IF(N446="","",N446*INDEX('00 - Lists'!$M$2:$M$11,MATCH(L446,'00 - Lists'!$L$2:$L$11,0))/100000),"")</f>
        <v/>
      </c>
      <c r="Q446" s="31" t="str">
        <f aca="false">IFERROR(IF(M446="","",M446*INDEX('00 - Lists'!$N$2:$N$11,MATCH(L446,'00 - Lists'!$L$2:$L$11,0))),"")</f>
        <v/>
      </c>
      <c r="R446" s="31" t="str">
        <f aca="false">IFERROR(IF(N446="","",N446*INDEX('00 - Lists'!$N$2:$N$11,MATCH(L446,'00 - Lists'!$L$2:$L$11,0))),"")</f>
        <v/>
      </c>
      <c r="S446" s="32" t="str">
        <f aca="false">IF(O446="","",IF(O446&gt;=50,"Yes","No"))</f>
        <v/>
      </c>
      <c r="T446" s="32" t="str">
        <f aca="false">IF(Q446="","",IF(Q446&gt;=100000,"Yes","No"))</f>
        <v/>
      </c>
      <c r="U446" s="28"/>
      <c r="V446" s="28"/>
      <c r="W446" s="28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J446" s="34" t="str">
        <f aca="false">IF(OR($BD446&lt;&gt;"",$BF446&lt;&gt;"",$BH446&lt;&gt;""),"Yes","No")</f>
        <v>No</v>
      </c>
      <c r="BK446" s="35" t="str">
        <f aca="false">IFERROR(IF(BD446="","",BD446*INDEX('00 - Lists'!$M$2:$M$11,MATCH(L446,'00 - Lists'!$L$2:$L$11,0))/100000),"")</f>
        <v/>
      </c>
      <c r="BL446" s="35" t="str">
        <f aca="false">IFERROR(IF(BE446="","",BE446*INDEX('00 - Lists'!$M$2:$M$11,MATCH(L446,'00 - Lists'!$L$2:$L$11,0))/100000),"")</f>
        <v/>
      </c>
      <c r="BM446" s="35" t="str">
        <f aca="false">IFERROR(IF(BF446="","",BF446*INDEX('00 - Lists'!$M$2:$M$11,MATCH(L446,'00 - Lists'!$L$2:$L$11,0))/100000),"")</f>
        <v/>
      </c>
      <c r="BN446" s="35" t="str">
        <f aca="false">IFERROR(IF(BG446="","",BG446*INDEX('00 - Lists'!$M$2:$M$11,MATCH(L446,'00 - Lists'!$L$2:$L$11,0))/100000),"")</f>
        <v/>
      </c>
      <c r="BO446" s="35" t="str">
        <f aca="false">IFERROR(IF(BH446="","",BH446*INDEX('00 - Lists'!$M$2:$M$11,MATCH(L446,'00 - Lists'!$L$2:$L$11,0))/100000),"")</f>
        <v/>
      </c>
      <c r="BP446" s="35" t="str">
        <f aca="false">IFERROR(IF(BI446="","",BI446*INDEX('00 - Lists'!$M$2:$M$11,MATCH(L446,'00 - Lists'!$L$2:$L$11,0))/100000),"")</f>
        <v/>
      </c>
      <c r="BS446" s="36" t="str">
        <f aca="false">IF(O446="","",IF(O446&gt;=20,"Yes","No"))</f>
        <v/>
      </c>
      <c r="BT446" s="36" t="str">
        <f aca="false">IF(O446="","",IF(O446&gt;=30,"Yes","No"))</f>
        <v/>
      </c>
      <c r="BU446" s="36" t="str">
        <f aca="false">IF(O446="","",IF(O446&gt;=75,"Yes","No"))</f>
        <v/>
      </c>
      <c r="BV446" s="36" t="str">
        <f aca="false">IF(O446="","",IF(O446&gt;=100,"Yes","No"))</f>
        <v/>
      </c>
      <c r="BW446" s="36" t="str">
        <f aca="false">IF(O446="","",IF(O446&gt;=150,"Yes","No"))</f>
        <v/>
      </c>
      <c r="BX446" s="36" t="str">
        <f aca="false">IF(O446="","",IF(O446&gt;=200,"Yes","No"))</f>
        <v/>
      </c>
      <c r="BY446" s="36" t="str">
        <f aca="false">IF(Q446="","",IF(Q446&gt;=150000,"Yes","No"))</f>
        <v/>
      </c>
      <c r="BZ446" s="36" t="str">
        <f aca="false">IF(Q446="","",IF(Q446&gt;=200000,"Yes","No"))</f>
        <v/>
      </c>
      <c r="CA446" s="36" t="str">
        <f aca="false">IF(Q446="","",IF(Q446&gt;=250000,"Yes","No"))</f>
        <v/>
      </c>
      <c r="CB446" s="36" t="str">
        <f aca="false">IF(Q446="","",IF(Q446&gt;=300000,"Yes","No"))</f>
        <v/>
      </c>
      <c r="CC446" s="37"/>
      <c r="CD446" s="36" t="str">
        <f aca="true">IF(B446="","",IF(TODAY()-B446&lt;=7,"🟢 0-7d",IF(TODAY()-B446&lt;=30,"🟡 8-30d",IF(TODAY()-B446&lt;=60,"🟠 31-60d","🔴 60d+"))))</f>
        <v/>
      </c>
      <c r="CE446" s="36" t="str">
        <f aca="false">IF(G446="","",IF(G446&lt;&gt;"USA","N/A - Not USA Role",IF(J446="Yes",IF(OR(F446="Intern",F446="New Grad"),"🟡 Possible","🟢 Strong"),IF(J446="No","🔴 Difficult","⚪ Unknown"))))</f>
        <v/>
      </c>
      <c r="CF446" s="37"/>
      <c r="CG446" s="37"/>
      <c r="CH446" s="38"/>
      <c r="CI446" s="38"/>
      <c r="CJ446" s="38"/>
      <c r="CK446" s="38"/>
    </row>
    <row r="447" customFormat="false" ht="15" hidden="false" customHeight="true" outlineLevel="0" collapsed="false">
      <c r="A447" s="26" t="str">
        <f aca="false">IF($C447="","",ROW()-3)</f>
        <v/>
      </c>
      <c r="B447" s="27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9"/>
      <c r="N447" s="29"/>
      <c r="O447" s="30" t="str">
        <f aca="false">IFERROR(IF(M447="","",M447*INDEX('00 - Lists'!$M$2:$M$11,MATCH(L447,'00 - Lists'!$L$2:$L$11,0))/100000),"")</f>
        <v/>
      </c>
      <c r="P447" s="30" t="str">
        <f aca="false">IFERROR(IF(N447="","",N447*INDEX('00 - Lists'!$M$2:$M$11,MATCH(L447,'00 - Lists'!$L$2:$L$11,0))/100000),"")</f>
        <v/>
      </c>
      <c r="Q447" s="31" t="str">
        <f aca="false">IFERROR(IF(M447="","",M447*INDEX('00 - Lists'!$N$2:$N$11,MATCH(L447,'00 - Lists'!$L$2:$L$11,0))),"")</f>
        <v/>
      </c>
      <c r="R447" s="31" t="str">
        <f aca="false">IFERROR(IF(N447="","",N447*INDEX('00 - Lists'!$N$2:$N$11,MATCH(L447,'00 - Lists'!$L$2:$L$11,0))),"")</f>
        <v/>
      </c>
      <c r="S447" s="32" t="str">
        <f aca="false">IF(O447="","",IF(O447&gt;=50,"Yes","No"))</f>
        <v/>
      </c>
      <c r="T447" s="32" t="str">
        <f aca="false">IF(Q447="","",IF(Q447&gt;=100000,"Yes","No"))</f>
        <v/>
      </c>
      <c r="U447" s="28"/>
      <c r="V447" s="28"/>
      <c r="W447" s="28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J447" s="34" t="str">
        <f aca="false">IF(OR($BD447&lt;&gt;"",$BF447&lt;&gt;"",$BH447&lt;&gt;""),"Yes","No")</f>
        <v>No</v>
      </c>
      <c r="BK447" s="35" t="str">
        <f aca="false">IFERROR(IF(BD447="","",BD447*INDEX('00 - Lists'!$M$2:$M$11,MATCH(L447,'00 - Lists'!$L$2:$L$11,0))/100000),"")</f>
        <v/>
      </c>
      <c r="BL447" s="35" t="str">
        <f aca="false">IFERROR(IF(BE447="","",BE447*INDEX('00 - Lists'!$M$2:$M$11,MATCH(L447,'00 - Lists'!$L$2:$L$11,0))/100000),"")</f>
        <v/>
      </c>
      <c r="BM447" s="35" t="str">
        <f aca="false">IFERROR(IF(BF447="","",BF447*INDEX('00 - Lists'!$M$2:$M$11,MATCH(L447,'00 - Lists'!$L$2:$L$11,0))/100000),"")</f>
        <v/>
      </c>
      <c r="BN447" s="35" t="str">
        <f aca="false">IFERROR(IF(BG447="","",BG447*INDEX('00 - Lists'!$M$2:$M$11,MATCH(L447,'00 - Lists'!$L$2:$L$11,0))/100000),"")</f>
        <v/>
      </c>
      <c r="BO447" s="35" t="str">
        <f aca="false">IFERROR(IF(BH447="","",BH447*INDEX('00 - Lists'!$M$2:$M$11,MATCH(L447,'00 - Lists'!$L$2:$L$11,0))/100000),"")</f>
        <v/>
      </c>
      <c r="BP447" s="35" t="str">
        <f aca="false">IFERROR(IF(BI447="","",BI447*INDEX('00 - Lists'!$M$2:$M$11,MATCH(L447,'00 - Lists'!$L$2:$L$11,0))/100000),"")</f>
        <v/>
      </c>
      <c r="BS447" s="36" t="str">
        <f aca="false">IF(O447="","",IF(O447&gt;=20,"Yes","No"))</f>
        <v/>
      </c>
      <c r="BT447" s="36" t="str">
        <f aca="false">IF(O447="","",IF(O447&gt;=30,"Yes","No"))</f>
        <v/>
      </c>
      <c r="BU447" s="36" t="str">
        <f aca="false">IF(O447="","",IF(O447&gt;=75,"Yes","No"))</f>
        <v/>
      </c>
      <c r="BV447" s="36" t="str">
        <f aca="false">IF(O447="","",IF(O447&gt;=100,"Yes","No"))</f>
        <v/>
      </c>
      <c r="BW447" s="36" t="str">
        <f aca="false">IF(O447="","",IF(O447&gt;=150,"Yes","No"))</f>
        <v/>
      </c>
      <c r="BX447" s="36" t="str">
        <f aca="false">IF(O447="","",IF(O447&gt;=200,"Yes","No"))</f>
        <v/>
      </c>
      <c r="BY447" s="36" t="str">
        <f aca="false">IF(Q447="","",IF(Q447&gt;=150000,"Yes","No"))</f>
        <v/>
      </c>
      <c r="BZ447" s="36" t="str">
        <f aca="false">IF(Q447="","",IF(Q447&gt;=200000,"Yes","No"))</f>
        <v/>
      </c>
      <c r="CA447" s="36" t="str">
        <f aca="false">IF(Q447="","",IF(Q447&gt;=250000,"Yes","No"))</f>
        <v/>
      </c>
      <c r="CB447" s="36" t="str">
        <f aca="false">IF(Q447="","",IF(Q447&gt;=300000,"Yes","No"))</f>
        <v/>
      </c>
      <c r="CC447" s="37"/>
      <c r="CD447" s="36" t="str">
        <f aca="true">IF(B447="","",IF(TODAY()-B447&lt;=7,"🟢 0-7d",IF(TODAY()-B447&lt;=30,"🟡 8-30d",IF(TODAY()-B447&lt;=60,"🟠 31-60d","🔴 60d+"))))</f>
        <v/>
      </c>
      <c r="CE447" s="36" t="str">
        <f aca="false">IF(G447="","",IF(G447&lt;&gt;"USA","N/A - Not USA Role",IF(J447="Yes",IF(OR(F447="Intern",F447="New Grad"),"🟡 Possible","🟢 Strong"),IF(J447="No","🔴 Difficult","⚪ Unknown"))))</f>
        <v/>
      </c>
      <c r="CF447" s="37"/>
      <c r="CG447" s="37"/>
      <c r="CH447" s="38"/>
      <c r="CI447" s="38"/>
      <c r="CJ447" s="38"/>
      <c r="CK447" s="38"/>
    </row>
    <row r="448" customFormat="false" ht="15" hidden="false" customHeight="true" outlineLevel="0" collapsed="false">
      <c r="A448" s="26" t="str">
        <f aca="false">IF($C448="","",ROW()-3)</f>
        <v/>
      </c>
      <c r="B448" s="27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9"/>
      <c r="N448" s="29"/>
      <c r="O448" s="30" t="str">
        <f aca="false">IFERROR(IF(M448="","",M448*INDEX('00 - Lists'!$M$2:$M$11,MATCH(L448,'00 - Lists'!$L$2:$L$11,0))/100000),"")</f>
        <v/>
      </c>
      <c r="P448" s="30" t="str">
        <f aca="false">IFERROR(IF(N448="","",N448*INDEX('00 - Lists'!$M$2:$M$11,MATCH(L448,'00 - Lists'!$L$2:$L$11,0))/100000),"")</f>
        <v/>
      </c>
      <c r="Q448" s="31" t="str">
        <f aca="false">IFERROR(IF(M448="","",M448*INDEX('00 - Lists'!$N$2:$N$11,MATCH(L448,'00 - Lists'!$L$2:$L$11,0))),"")</f>
        <v/>
      </c>
      <c r="R448" s="31" t="str">
        <f aca="false">IFERROR(IF(N448="","",N448*INDEX('00 - Lists'!$N$2:$N$11,MATCH(L448,'00 - Lists'!$L$2:$L$11,0))),"")</f>
        <v/>
      </c>
      <c r="S448" s="32" t="str">
        <f aca="false">IF(O448="","",IF(O448&gt;=50,"Yes","No"))</f>
        <v/>
      </c>
      <c r="T448" s="32" t="str">
        <f aca="false">IF(Q448="","",IF(Q448&gt;=100000,"Yes","No"))</f>
        <v/>
      </c>
      <c r="U448" s="28"/>
      <c r="V448" s="28"/>
      <c r="W448" s="28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J448" s="34" t="str">
        <f aca="false">IF(OR($BD448&lt;&gt;"",$BF448&lt;&gt;"",$BH448&lt;&gt;""),"Yes","No")</f>
        <v>No</v>
      </c>
      <c r="BK448" s="35" t="str">
        <f aca="false">IFERROR(IF(BD448="","",BD448*INDEX('00 - Lists'!$M$2:$M$11,MATCH(L448,'00 - Lists'!$L$2:$L$11,0))/100000),"")</f>
        <v/>
      </c>
      <c r="BL448" s="35" t="str">
        <f aca="false">IFERROR(IF(BE448="","",BE448*INDEX('00 - Lists'!$M$2:$M$11,MATCH(L448,'00 - Lists'!$L$2:$L$11,0))/100000),"")</f>
        <v/>
      </c>
      <c r="BM448" s="35" t="str">
        <f aca="false">IFERROR(IF(BF448="","",BF448*INDEX('00 - Lists'!$M$2:$M$11,MATCH(L448,'00 - Lists'!$L$2:$L$11,0))/100000),"")</f>
        <v/>
      </c>
      <c r="BN448" s="35" t="str">
        <f aca="false">IFERROR(IF(BG448="","",BG448*INDEX('00 - Lists'!$M$2:$M$11,MATCH(L448,'00 - Lists'!$L$2:$L$11,0))/100000),"")</f>
        <v/>
      </c>
      <c r="BO448" s="35" t="str">
        <f aca="false">IFERROR(IF(BH448="","",BH448*INDEX('00 - Lists'!$M$2:$M$11,MATCH(L448,'00 - Lists'!$L$2:$L$11,0))/100000),"")</f>
        <v/>
      </c>
      <c r="BP448" s="35" t="str">
        <f aca="false">IFERROR(IF(BI448="","",BI448*INDEX('00 - Lists'!$M$2:$M$11,MATCH(L448,'00 - Lists'!$L$2:$L$11,0))/100000),"")</f>
        <v/>
      </c>
      <c r="BS448" s="36" t="str">
        <f aca="false">IF(O448="","",IF(O448&gt;=20,"Yes","No"))</f>
        <v/>
      </c>
      <c r="BT448" s="36" t="str">
        <f aca="false">IF(O448="","",IF(O448&gt;=30,"Yes","No"))</f>
        <v/>
      </c>
      <c r="BU448" s="36" t="str">
        <f aca="false">IF(O448="","",IF(O448&gt;=75,"Yes","No"))</f>
        <v/>
      </c>
      <c r="BV448" s="36" t="str">
        <f aca="false">IF(O448="","",IF(O448&gt;=100,"Yes","No"))</f>
        <v/>
      </c>
      <c r="BW448" s="36" t="str">
        <f aca="false">IF(O448="","",IF(O448&gt;=150,"Yes","No"))</f>
        <v/>
      </c>
      <c r="BX448" s="36" t="str">
        <f aca="false">IF(O448="","",IF(O448&gt;=200,"Yes","No"))</f>
        <v/>
      </c>
      <c r="BY448" s="36" t="str">
        <f aca="false">IF(Q448="","",IF(Q448&gt;=150000,"Yes","No"))</f>
        <v/>
      </c>
      <c r="BZ448" s="36" t="str">
        <f aca="false">IF(Q448="","",IF(Q448&gt;=200000,"Yes","No"))</f>
        <v/>
      </c>
      <c r="CA448" s="36" t="str">
        <f aca="false">IF(Q448="","",IF(Q448&gt;=250000,"Yes","No"))</f>
        <v/>
      </c>
      <c r="CB448" s="36" t="str">
        <f aca="false">IF(Q448="","",IF(Q448&gt;=300000,"Yes","No"))</f>
        <v/>
      </c>
      <c r="CC448" s="37"/>
      <c r="CD448" s="36" t="str">
        <f aca="true">IF(B448="","",IF(TODAY()-B448&lt;=7,"🟢 0-7d",IF(TODAY()-B448&lt;=30,"🟡 8-30d",IF(TODAY()-B448&lt;=60,"🟠 31-60d","🔴 60d+"))))</f>
        <v/>
      </c>
      <c r="CE448" s="36" t="str">
        <f aca="false">IF(G448="","",IF(G448&lt;&gt;"USA","N/A - Not USA Role",IF(J448="Yes",IF(OR(F448="Intern",F448="New Grad"),"🟡 Possible","🟢 Strong"),IF(J448="No","🔴 Difficult","⚪ Unknown"))))</f>
        <v/>
      </c>
      <c r="CF448" s="37"/>
      <c r="CG448" s="37"/>
      <c r="CH448" s="38"/>
      <c r="CI448" s="38"/>
      <c r="CJ448" s="38"/>
      <c r="CK448" s="38"/>
    </row>
    <row r="449" customFormat="false" ht="15" hidden="false" customHeight="true" outlineLevel="0" collapsed="false">
      <c r="A449" s="26" t="str">
        <f aca="false">IF($C449="","",ROW()-3)</f>
        <v/>
      </c>
      <c r="B449" s="27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9"/>
      <c r="N449" s="29"/>
      <c r="O449" s="30" t="str">
        <f aca="false">IFERROR(IF(M449="","",M449*INDEX('00 - Lists'!$M$2:$M$11,MATCH(L449,'00 - Lists'!$L$2:$L$11,0))/100000),"")</f>
        <v/>
      </c>
      <c r="P449" s="30" t="str">
        <f aca="false">IFERROR(IF(N449="","",N449*INDEX('00 - Lists'!$M$2:$M$11,MATCH(L449,'00 - Lists'!$L$2:$L$11,0))/100000),"")</f>
        <v/>
      </c>
      <c r="Q449" s="31" t="str">
        <f aca="false">IFERROR(IF(M449="","",M449*INDEX('00 - Lists'!$N$2:$N$11,MATCH(L449,'00 - Lists'!$L$2:$L$11,0))),"")</f>
        <v/>
      </c>
      <c r="R449" s="31" t="str">
        <f aca="false">IFERROR(IF(N449="","",N449*INDEX('00 - Lists'!$N$2:$N$11,MATCH(L449,'00 - Lists'!$L$2:$L$11,0))),"")</f>
        <v/>
      </c>
      <c r="S449" s="32" t="str">
        <f aca="false">IF(O449="","",IF(O449&gt;=50,"Yes","No"))</f>
        <v/>
      </c>
      <c r="T449" s="32" t="str">
        <f aca="false">IF(Q449="","",IF(Q449&gt;=100000,"Yes","No"))</f>
        <v/>
      </c>
      <c r="U449" s="28"/>
      <c r="V449" s="28"/>
      <c r="W449" s="28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J449" s="34" t="str">
        <f aca="false">IF(OR($BD449&lt;&gt;"",$BF449&lt;&gt;"",$BH449&lt;&gt;""),"Yes","No")</f>
        <v>No</v>
      </c>
      <c r="BK449" s="35" t="str">
        <f aca="false">IFERROR(IF(BD449="","",BD449*INDEX('00 - Lists'!$M$2:$M$11,MATCH(L449,'00 - Lists'!$L$2:$L$11,0))/100000),"")</f>
        <v/>
      </c>
      <c r="BL449" s="35" t="str">
        <f aca="false">IFERROR(IF(BE449="","",BE449*INDEX('00 - Lists'!$M$2:$M$11,MATCH(L449,'00 - Lists'!$L$2:$L$11,0))/100000),"")</f>
        <v/>
      </c>
      <c r="BM449" s="35" t="str">
        <f aca="false">IFERROR(IF(BF449="","",BF449*INDEX('00 - Lists'!$M$2:$M$11,MATCH(L449,'00 - Lists'!$L$2:$L$11,0))/100000),"")</f>
        <v/>
      </c>
      <c r="BN449" s="35" t="str">
        <f aca="false">IFERROR(IF(BG449="","",BG449*INDEX('00 - Lists'!$M$2:$M$11,MATCH(L449,'00 - Lists'!$L$2:$L$11,0))/100000),"")</f>
        <v/>
      </c>
      <c r="BO449" s="35" t="str">
        <f aca="false">IFERROR(IF(BH449="","",BH449*INDEX('00 - Lists'!$M$2:$M$11,MATCH(L449,'00 - Lists'!$L$2:$L$11,0))/100000),"")</f>
        <v/>
      </c>
      <c r="BP449" s="35" t="str">
        <f aca="false">IFERROR(IF(BI449="","",BI449*INDEX('00 - Lists'!$M$2:$M$11,MATCH(L449,'00 - Lists'!$L$2:$L$11,0))/100000),"")</f>
        <v/>
      </c>
      <c r="BS449" s="36" t="str">
        <f aca="false">IF(O449="","",IF(O449&gt;=20,"Yes","No"))</f>
        <v/>
      </c>
      <c r="BT449" s="36" t="str">
        <f aca="false">IF(O449="","",IF(O449&gt;=30,"Yes","No"))</f>
        <v/>
      </c>
      <c r="BU449" s="36" t="str">
        <f aca="false">IF(O449="","",IF(O449&gt;=75,"Yes","No"))</f>
        <v/>
      </c>
      <c r="BV449" s="36" t="str">
        <f aca="false">IF(O449="","",IF(O449&gt;=100,"Yes","No"))</f>
        <v/>
      </c>
      <c r="BW449" s="36" t="str">
        <f aca="false">IF(O449="","",IF(O449&gt;=150,"Yes","No"))</f>
        <v/>
      </c>
      <c r="BX449" s="36" t="str">
        <f aca="false">IF(O449="","",IF(O449&gt;=200,"Yes","No"))</f>
        <v/>
      </c>
      <c r="BY449" s="36" t="str">
        <f aca="false">IF(Q449="","",IF(Q449&gt;=150000,"Yes","No"))</f>
        <v/>
      </c>
      <c r="BZ449" s="36" t="str">
        <f aca="false">IF(Q449="","",IF(Q449&gt;=200000,"Yes","No"))</f>
        <v/>
      </c>
      <c r="CA449" s="36" t="str">
        <f aca="false">IF(Q449="","",IF(Q449&gt;=250000,"Yes","No"))</f>
        <v/>
      </c>
      <c r="CB449" s="36" t="str">
        <f aca="false">IF(Q449="","",IF(Q449&gt;=300000,"Yes","No"))</f>
        <v/>
      </c>
      <c r="CC449" s="37"/>
      <c r="CD449" s="36" t="str">
        <f aca="true">IF(B449="","",IF(TODAY()-B449&lt;=7,"🟢 0-7d",IF(TODAY()-B449&lt;=30,"🟡 8-30d",IF(TODAY()-B449&lt;=60,"🟠 31-60d","🔴 60d+"))))</f>
        <v/>
      </c>
      <c r="CE449" s="36" t="str">
        <f aca="false">IF(G449="","",IF(G449&lt;&gt;"USA","N/A - Not USA Role",IF(J449="Yes",IF(OR(F449="Intern",F449="New Grad"),"🟡 Possible","🟢 Strong"),IF(J449="No","🔴 Difficult","⚪ Unknown"))))</f>
        <v/>
      </c>
      <c r="CF449" s="37"/>
      <c r="CG449" s="37"/>
      <c r="CH449" s="38"/>
      <c r="CI449" s="38"/>
      <c r="CJ449" s="38"/>
      <c r="CK449" s="38"/>
    </row>
    <row r="450" customFormat="false" ht="15" hidden="false" customHeight="true" outlineLevel="0" collapsed="false">
      <c r="A450" s="26" t="str">
        <f aca="false">IF($C450="","",ROW()-3)</f>
        <v/>
      </c>
      <c r="B450" s="27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9"/>
      <c r="N450" s="29"/>
      <c r="O450" s="30" t="str">
        <f aca="false">IFERROR(IF(M450="","",M450*INDEX('00 - Lists'!$M$2:$M$11,MATCH(L450,'00 - Lists'!$L$2:$L$11,0))/100000),"")</f>
        <v/>
      </c>
      <c r="P450" s="30" t="str">
        <f aca="false">IFERROR(IF(N450="","",N450*INDEX('00 - Lists'!$M$2:$M$11,MATCH(L450,'00 - Lists'!$L$2:$L$11,0))/100000),"")</f>
        <v/>
      </c>
      <c r="Q450" s="31" t="str">
        <f aca="false">IFERROR(IF(M450="","",M450*INDEX('00 - Lists'!$N$2:$N$11,MATCH(L450,'00 - Lists'!$L$2:$L$11,0))),"")</f>
        <v/>
      </c>
      <c r="R450" s="31" t="str">
        <f aca="false">IFERROR(IF(N450="","",N450*INDEX('00 - Lists'!$N$2:$N$11,MATCH(L450,'00 - Lists'!$L$2:$L$11,0))),"")</f>
        <v/>
      </c>
      <c r="S450" s="32" t="str">
        <f aca="false">IF(O450="","",IF(O450&gt;=50,"Yes","No"))</f>
        <v/>
      </c>
      <c r="T450" s="32" t="str">
        <f aca="false">IF(Q450="","",IF(Q450&gt;=100000,"Yes","No"))</f>
        <v/>
      </c>
      <c r="U450" s="28"/>
      <c r="V450" s="28"/>
      <c r="W450" s="28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J450" s="34" t="str">
        <f aca="false">IF(OR($BD450&lt;&gt;"",$BF450&lt;&gt;"",$BH450&lt;&gt;""),"Yes","No")</f>
        <v>No</v>
      </c>
      <c r="BK450" s="35" t="str">
        <f aca="false">IFERROR(IF(BD450="","",BD450*INDEX('00 - Lists'!$M$2:$M$11,MATCH(L450,'00 - Lists'!$L$2:$L$11,0))/100000),"")</f>
        <v/>
      </c>
      <c r="BL450" s="35" t="str">
        <f aca="false">IFERROR(IF(BE450="","",BE450*INDEX('00 - Lists'!$M$2:$M$11,MATCH(L450,'00 - Lists'!$L$2:$L$11,0))/100000),"")</f>
        <v/>
      </c>
      <c r="BM450" s="35" t="str">
        <f aca="false">IFERROR(IF(BF450="","",BF450*INDEX('00 - Lists'!$M$2:$M$11,MATCH(L450,'00 - Lists'!$L$2:$L$11,0))/100000),"")</f>
        <v/>
      </c>
      <c r="BN450" s="35" t="str">
        <f aca="false">IFERROR(IF(BG450="","",BG450*INDEX('00 - Lists'!$M$2:$M$11,MATCH(L450,'00 - Lists'!$L$2:$L$11,0))/100000),"")</f>
        <v/>
      </c>
      <c r="BO450" s="35" t="str">
        <f aca="false">IFERROR(IF(BH450="","",BH450*INDEX('00 - Lists'!$M$2:$M$11,MATCH(L450,'00 - Lists'!$L$2:$L$11,0))/100000),"")</f>
        <v/>
      </c>
      <c r="BP450" s="35" t="str">
        <f aca="false">IFERROR(IF(BI450="","",BI450*INDEX('00 - Lists'!$M$2:$M$11,MATCH(L450,'00 - Lists'!$L$2:$L$11,0))/100000),"")</f>
        <v/>
      </c>
      <c r="BS450" s="36" t="str">
        <f aca="false">IF(O450="","",IF(O450&gt;=20,"Yes","No"))</f>
        <v/>
      </c>
      <c r="BT450" s="36" t="str">
        <f aca="false">IF(O450="","",IF(O450&gt;=30,"Yes","No"))</f>
        <v/>
      </c>
      <c r="BU450" s="36" t="str">
        <f aca="false">IF(O450="","",IF(O450&gt;=75,"Yes","No"))</f>
        <v/>
      </c>
      <c r="BV450" s="36" t="str">
        <f aca="false">IF(O450="","",IF(O450&gt;=100,"Yes","No"))</f>
        <v/>
      </c>
      <c r="BW450" s="36" t="str">
        <f aca="false">IF(O450="","",IF(O450&gt;=150,"Yes","No"))</f>
        <v/>
      </c>
      <c r="BX450" s="36" t="str">
        <f aca="false">IF(O450="","",IF(O450&gt;=200,"Yes","No"))</f>
        <v/>
      </c>
      <c r="BY450" s="36" t="str">
        <f aca="false">IF(Q450="","",IF(Q450&gt;=150000,"Yes","No"))</f>
        <v/>
      </c>
      <c r="BZ450" s="36" t="str">
        <f aca="false">IF(Q450="","",IF(Q450&gt;=200000,"Yes","No"))</f>
        <v/>
      </c>
      <c r="CA450" s="36" t="str">
        <f aca="false">IF(Q450="","",IF(Q450&gt;=250000,"Yes","No"))</f>
        <v/>
      </c>
      <c r="CB450" s="36" t="str">
        <f aca="false">IF(Q450="","",IF(Q450&gt;=300000,"Yes","No"))</f>
        <v/>
      </c>
      <c r="CC450" s="37"/>
      <c r="CD450" s="36" t="str">
        <f aca="true">IF(B450="","",IF(TODAY()-B450&lt;=7,"🟢 0-7d",IF(TODAY()-B450&lt;=30,"🟡 8-30d",IF(TODAY()-B450&lt;=60,"🟠 31-60d","🔴 60d+"))))</f>
        <v/>
      </c>
      <c r="CE450" s="36" t="str">
        <f aca="false">IF(G450="","",IF(G450&lt;&gt;"USA","N/A - Not USA Role",IF(J450="Yes",IF(OR(F450="Intern",F450="New Grad"),"🟡 Possible","🟢 Strong"),IF(J450="No","🔴 Difficult","⚪ Unknown"))))</f>
        <v/>
      </c>
      <c r="CF450" s="37"/>
      <c r="CG450" s="37"/>
      <c r="CH450" s="38"/>
      <c r="CI450" s="38"/>
      <c r="CJ450" s="38"/>
      <c r="CK450" s="38"/>
    </row>
    <row r="451" customFormat="false" ht="15" hidden="false" customHeight="true" outlineLevel="0" collapsed="false">
      <c r="A451" s="26" t="str">
        <f aca="false">IF($C451="","",ROW()-3)</f>
        <v/>
      </c>
      <c r="B451" s="27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9"/>
      <c r="N451" s="29"/>
      <c r="O451" s="30" t="str">
        <f aca="false">IFERROR(IF(M451="","",M451*INDEX('00 - Lists'!$M$2:$M$11,MATCH(L451,'00 - Lists'!$L$2:$L$11,0))/100000),"")</f>
        <v/>
      </c>
      <c r="P451" s="30" t="str">
        <f aca="false">IFERROR(IF(N451="","",N451*INDEX('00 - Lists'!$M$2:$M$11,MATCH(L451,'00 - Lists'!$L$2:$L$11,0))/100000),"")</f>
        <v/>
      </c>
      <c r="Q451" s="31" t="str">
        <f aca="false">IFERROR(IF(M451="","",M451*INDEX('00 - Lists'!$N$2:$N$11,MATCH(L451,'00 - Lists'!$L$2:$L$11,0))),"")</f>
        <v/>
      </c>
      <c r="R451" s="31" t="str">
        <f aca="false">IFERROR(IF(N451="","",N451*INDEX('00 - Lists'!$N$2:$N$11,MATCH(L451,'00 - Lists'!$L$2:$L$11,0))),"")</f>
        <v/>
      </c>
      <c r="S451" s="32" t="str">
        <f aca="false">IF(O451="","",IF(O451&gt;=50,"Yes","No"))</f>
        <v/>
      </c>
      <c r="T451" s="32" t="str">
        <f aca="false">IF(Q451="","",IF(Q451&gt;=100000,"Yes","No"))</f>
        <v/>
      </c>
      <c r="U451" s="28"/>
      <c r="V451" s="28"/>
      <c r="W451" s="28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J451" s="34" t="str">
        <f aca="false">IF(OR($BD451&lt;&gt;"",$BF451&lt;&gt;"",$BH451&lt;&gt;""),"Yes","No")</f>
        <v>No</v>
      </c>
      <c r="BK451" s="35" t="str">
        <f aca="false">IFERROR(IF(BD451="","",BD451*INDEX('00 - Lists'!$M$2:$M$11,MATCH(L451,'00 - Lists'!$L$2:$L$11,0))/100000),"")</f>
        <v/>
      </c>
      <c r="BL451" s="35" t="str">
        <f aca="false">IFERROR(IF(BE451="","",BE451*INDEX('00 - Lists'!$M$2:$M$11,MATCH(L451,'00 - Lists'!$L$2:$L$11,0))/100000),"")</f>
        <v/>
      </c>
      <c r="BM451" s="35" t="str">
        <f aca="false">IFERROR(IF(BF451="","",BF451*INDEX('00 - Lists'!$M$2:$M$11,MATCH(L451,'00 - Lists'!$L$2:$L$11,0))/100000),"")</f>
        <v/>
      </c>
      <c r="BN451" s="35" t="str">
        <f aca="false">IFERROR(IF(BG451="","",BG451*INDEX('00 - Lists'!$M$2:$M$11,MATCH(L451,'00 - Lists'!$L$2:$L$11,0))/100000),"")</f>
        <v/>
      </c>
      <c r="BO451" s="35" t="str">
        <f aca="false">IFERROR(IF(BH451="","",BH451*INDEX('00 - Lists'!$M$2:$M$11,MATCH(L451,'00 - Lists'!$L$2:$L$11,0))/100000),"")</f>
        <v/>
      </c>
      <c r="BP451" s="35" t="str">
        <f aca="false">IFERROR(IF(BI451="","",BI451*INDEX('00 - Lists'!$M$2:$M$11,MATCH(L451,'00 - Lists'!$L$2:$L$11,0))/100000),"")</f>
        <v/>
      </c>
      <c r="BS451" s="36" t="str">
        <f aca="false">IF(O451="","",IF(O451&gt;=20,"Yes","No"))</f>
        <v/>
      </c>
      <c r="BT451" s="36" t="str">
        <f aca="false">IF(O451="","",IF(O451&gt;=30,"Yes","No"))</f>
        <v/>
      </c>
      <c r="BU451" s="36" t="str">
        <f aca="false">IF(O451="","",IF(O451&gt;=75,"Yes","No"))</f>
        <v/>
      </c>
      <c r="BV451" s="36" t="str">
        <f aca="false">IF(O451="","",IF(O451&gt;=100,"Yes","No"))</f>
        <v/>
      </c>
      <c r="BW451" s="36" t="str">
        <f aca="false">IF(O451="","",IF(O451&gt;=150,"Yes","No"))</f>
        <v/>
      </c>
      <c r="BX451" s="36" t="str">
        <f aca="false">IF(O451="","",IF(O451&gt;=200,"Yes","No"))</f>
        <v/>
      </c>
      <c r="BY451" s="36" t="str">
        <f aca="false">IF(Q451="","",IF(Q451&gt;=150000,"Yes","No"))</f>
        <v/>
      </c>
      <c r="BZ451" s="36" t="str">
        <f aca="false">IF(Q451="","",IF(Q451&gt;=200000,"Yes","No"))</f>
        <v/>
      </c>
      <c r="CA451" s="36" t="str">
        <f aca="false">IF(Q451="","",IF(Q451&gt;=250000,"Yes","No"))</f>
        <v/>
      </c>
      <c r="CB451" s="36" t="str">
        <f aca="false">IF(Q451="","",IF(Q451&gt;=300000,"Yes","No"))</f>
        <v/>
      </c>
      <c r="CC451" s="37"/>
      <c r="CD451" s="36" t="str">
        <f aca="true">IF(B451="","",IF(TODAY()-B451&lt;=7,"🟢 0-7d",IF(TODAY()-B451&lt;=30,"🟡 8-30d",IF(TODAY()-B451&lt;=60,"🟠 31-60d","🔴 60d+"))))</f>
        <v/>
      </c>
      <c r="CE451" s="36" t="str">
        <f aca="false">IF(G451="","",IF(G451&lt;&gt;"USA","N/A - Not USA Role",IF(J451="Yes",IF(OR(F451="Intern",F451="New Grad"),"🟡 Possible","🟢 Strong"),IF(J451="No","🔴 Difficult","⚪ Unknown"))))</f>
        <v/>
      </c>
      <c r="CF451" s="37"/>
      <c r="CG451" s="37"/>
      <c r="CH451" s="38"/>
      <c r="CI451" s="38"/>
      <c r="CJ451" s="38"/>
      <c r="CK451" s="38"/>
    </row>
    <row r="452" customFormat="false" ht="15" hidden="false" customHeight="true" outlineLevel="0" collapsed="false">
      <c r="A452" s="26" t="str">
        <f aca="false">IF($C452="","",ROW()-3)</f>
        <v/>
      </c>
      <c r="B452" s="27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9"/>
      <c r="N452" s="29"/>
      <c r="O452" s="30" t="str">
        <f aca="false">IFERROR(IF(M452="","",M452*INDEX('00 - Lists'!$M$2:$M$11,MATCH(L452,'00 - Lists'!$L$2:$L$11,0))/100000),"")</f>
        <v/>
      </c>
      <c r="P452" s="30" t="str">
        <f aca="false">IFERROR(IF(N452="","",N452*INDEX('00 - Lists'!$M$2:$M$11,MATCH(L452,'00 - Lists'!$L$2:$L$11,0))/100000),"")</f>
        <v/>
      </c>
      <c r="Q452" s="31" t="str">
        <f aca="false">IFERROR(IF(M452="","",M452*INDEX('00 - Lists'!$N$2:$N$11,MATCH(L452,'00 - Lists'!$L$2:$L$11,0))),"")</f>
        <v/>
      </c>
      <c r="R452" s="31" t="str">
        <f aca="false">IFERROR(IF(N452="","",N452*INDEX('00 - Lists'!$N$2:$N$11,MATCH(L452,'00 - Lists'!$L$2:$L$11,0))),"")</f>
        <v/>
      </c>
      <c r="S452" s="32" t="str">
        <f aca="false">IF(O452="","",IF(O452&gt;=50,"Yes","No"))</f>
        <v/>
      </c>
      <c r="T452" s="32" t="str">
        <f aca="false">IF(Q452="","",IF(Q452&gt;=100000,"Yes","No"))</f>
        <v/>
      </c>
      <c r="U452" s="28"/>
      <c r="V452" s="28"/>
      <c r="W452" s="28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J452" s="34" t="str">
        <f aca="false">IF(OR($BD452&lt;&gt;"",$BF452&lt;&gt;"",$BH452&lt;&gt;""),"Yes","No")</f>
        <v>No</v>
      </c>
      <c r="BK452" s="35" t="str">
        <f aca="false">IFERROR(IF(BD452="","",BD452*INDEX('00 - Lists'!$M$2:$M$11,MATCH(L452,'00 - Lists'!$L$2:$L$11,0))/100000),"")</f>
        <v/>
      </c>
      <c r="BL452" s="35" t="str">
        <f aca="false">IFERROR(IF(BE452="","",BE452*INDEX('00 - Lists'!$M$2:$M$11,MATCH(L452,'00 - Lists'!$L$2:$L$11,0))/100000),"")</f>
        <v/>
      </c>
      <c r="BM452" s="35" t="str">
        <f aca="false">IFERROR(IF(BF452="","",BF452*INDEX('00 - Lists'!$M$2:$M$11,MATCH(L452,'00 - Lists'!$L$2:$L$11,0))/100000),"")</f>
        <v/>
      </c>
      <c r="BN452" s="35" t="str">
        <f aca="false">IFERROR(IF(BG452="","",BG452*INDEX('00 - Lists'!$M$2:$M$11,MATCH(L452,'00 - Lists'!$L$2:$L$11,0))/100000),"")</f>
        <v/>
      </c>
      <c r="BO452" s="35" t="str">
        <f aca="false">IFERROR(IF(BH452="","",BH452*INDEX('00 - Lists'!$M$2:$M$11,MATCH(L452,'00 - Lists'!$L$2:$L$11,0))/100000),"")</f>
        <v/>
      </c>
      <c r="BP452" s="35" t="str">
        <f aca="false">IFERROR(IF(BI452="","",BI452*INDEX('00 - Lists'!$M$2:$M$11,MATCH(L452,'00 - Lists'!$L$2:$L$11,0))/100000),"")</f>
        <v/>
      </c>
      <c r="BS452" s="36" t="str">
        <f aca="false">IF(O452="","",IF(O452&gt;=20,"Yes","No"))</f>
        <v/>
      </c>
      <c r="BT452" s="36" t="str">
        <f aca="false">IF(O452="","",IF(O452&gt;=30,"Yes","No"))</f>
        <v/>
      </c>
      <c r="BU452" s="36" t="str">
        <f aca="false">IF(O452="","",IF(O452&gt;=75,"Yes","No"))</f>
        <v/>
      </c>
      <c r="BV452" s="36" t="str">
        <f aca="false">IF(O452="","",IF(O452&gt;=100,"Yes","No"))</f>
        <v/>
      </c>
      <c r="BW452" s="36" t="str">
        <f aca="false">IF(O452="","",IF(O452&gt;=150,"Yes","No"))</f>
        <v/>
      </c>
      <c r="BX452" s="36" t="str">
        <f aca="false">IF(O452="","",IF(O452&gt;=200,"Yes","No"))</f>
        <v/>
      </c>
      <c r="BY452" s="36" t="str">
        <f aca="false">IF(Q452="","",IF(Q452&gt;=150000,"Yes","No"))</f>
        <v/>
      </c>
      <c r="BZ452" s="36" t="str">
        <f aca="false">IF(Q452="","",IF(Q452&gt;=200000,"Yes","No"))</f>
        <v/>
      </c>
      <c r="CA452" s="36" t="str">
        <f aca="false">IF(Q452="","",IF(Q452&gt;=250000,"Yes","No"))</f>
        <v/>
      </c>
      <c r="CB452" s="36" t="str">
        <f aca="false">IF(Q452="","",IF(Q452&gt;=300000,"Yes","No"))</f>
        <v/>
      </c>
      <c r="CC452" s="37"/>
      <c r="CD452" s="36" t="str">
        <f aca="true">IF(B452="","",IF(TODAY()-B452&lt;=7,"🟢 0-7d",IF(TODAY()-B452&lt;=30,"🟡 8-30d",IF(TODAY()-B452&lt;=60,"🟠 31-60d","🔴 60d+"))))</f>
        <v/>
      </c>
      <c r="CE452" s="36" t="str">
        <f aca="false">IF(G452="","",IF(G452&lt;&gt;"USA","N/A - Not USA Role",IF(J452="Yes",IF(OR(F452="Intern",F452="New Grad"),"🟡 Possible","🟢 Strong"),IF(J452="No","🔴 Difficult","⚪ Unknown"))))</f>
        <v/>
      </c>
      <c r="CF452" s="37"/>
      <c r="CG452" s="37"/>
      <c r="CH452" s="38"/>
      <c r="CI452" s="38"/>
      <c r="CJ452" s="38"/>
      <c r="CK452" s="38"/>
    </row>
    <row r="453" customFormat="false" ht="15" hidden="false" customHeight="true" outlineLevel="0" collapsed="false">
      <c r="A453" s="26" t="str">
        <f aca="false">IF($C453="","",ROW()-3)</f>
        <v/>
      </c>
      <c r="B453" s="27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9"/>
      <c r="N453" s="29"/>
      <c r="O453" s="30" t="str">
        <f aca="false">IFERROR(IF(M453="","",M453*INDEX('00 - Lists'!$M$2:$M$11,MATCH(L453,'00 - Lists'!$L$2:$L$11,0))/100000),"")</f>
        <v/>
      </c>
      <c r="P453" s="30" t="str">
        <f aca="false">IFERROR(IF(N453="","",N453*INDEX('00 - Lists'!$M$2:$M$11,MATCH(L453,'00 - Lists'!$L$2:$L$11,0))/100000),"")</f>
        <v/>
      </c>
      <c r="Q453" s="31" t="str">
        <f aca="false">IFERROR(IF(M453="","",M453*INDEX('00 - Lists'!$N$2:$N$11,MATCH(L453,'00 - Lists'!$L$2:$L$11,0))),"")</f>
        <v/>
      </c>
      <c r="R453" s="31" t="str">
        <f aca="false">IFERROR(IF(N453="","",N453*INDEX('00 - Lists'!$N$2:$N$11,MATCH(L453,'00 - Lists'!$L$2:$L$11,0))),"")</f>
        <v/>
      </c>
      <c r="S453" s="32" t="str">
        <f aca="false">IF(O453="","",IF(O453&gt;=50,"Yes","No"))</f>
        <v/>
      </c>
      <c r="T453" s="32" t="str">
        <f aca="false">IF(Q453="","",IF(Q453&gt;=100000,"Yes","No"))</f>
        <v/>
      </c>
      <c r="U453" s="28"/>
      <c r="V453" s="28"/>
      <c r="W453" s="28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J453" s="34" t="str">
        <f aca="false">IF(OR($BD453&lt;&gt;"",$BF453&lt;&gt;"",$BH453&lt;&gt;""),"Yes","No")</f>
        <v>No</v>
      </c>
      <c r="BK453" s="35" t="str">
        <f aca="false">IFERROR(IF(BD453="","",BD453*INDEX('00 - Lists'!$M$2:$M$11,MATCH(L453,'00 - Lists'!$L$2:$L$11,0))/100000),"")</f>
        <v/>
      </c>
      <c r="BL453" s="35" t="str">
        <f aca="false">IFERROR(IF(BE453="","",BE453*INDEX('00 - Lists'!$M$2:$M$11,MATCH(L453,'00 - Lists'!$L$2:$L$11,0))/100000),"")</f>
        <v/>
      </c>
      <c r="BM453" s="35" t="str">
        <f aca="false">IFERROR(IF(BF453="","",BF453*INDEX('00 - Lists'!$M$2:$M$11,MATCH(L453,'00 - Lists'!$L$2:$L$11,0))/100000),"")</f>
        <v/>
      </c>
      <c r="BN453" s="35" t="str">
        <f aca="false">IFERROR(IF(BG453="","",BG453*INDEX('00 - Lists'!$M$2:$M$11,MATCH(L453,'00 - Lists'!$L$2:$L$11,0))/100000),"")</f>
        <v/>
      </c>
      <c r="BO453" s="35" t="str">
        <f aca="false">IFERROR(IF(BH453="","",BH453*INDEX('00 - Lists'!$M$2:$M$11,MATCH(L453,'00 - Lists'!$L$2:$L$11,0))/100000),"")</f>
        <v/>
      </c>
      <c r="BP453" s="35" t="str">
        <f aca="false">IFERROR(IF(BI453="","",BI453*INDEX('00 - Lists'!$M$2:$M$11,MATCH(L453,'00 - Lists'!$L$2:$L$11,0))/100000),"")</f>
        <v/>
      </c>
      <c r="BS453" s="36" t="str">
        <f aca="false">IF(O453="","",IF(O453&gt;=20,"Yes","No"))</f>
        <v/>
      </c>
      <c r="BT453" s="36" t="str">
        <f aca="false">IF(O453="","",IF(O453&gt;=30,"Yes","No"))</f>
        <v/>
      </c>
      <c r="BU453" s="36" t="str">
        <f aca="false">IF(O453="","",IF(O453&gt;=75,"Yes","No"))</f>
        <v/>
      </c>
      <c r="BV453" s="36" t="str">
        <f aca="false">IF(O453="","",IF(O453&gt;=100,"Yes","No"))</f>
        <v/>
      </c>
      <c r="BW453" s="36" t="str">
        <f aca="false">IF(O453="","",IF(O453&gt;=150,"Yes","No"))</f>
        <v/>
      </c>
      <c r="BX453" s="36" t="str">
        <f aca="false">IF(O453="","",IF(O453&gt;=200,"Yes","No"))</f>
        <v/>
      </c>
      <c r="BY453" s="36" t="str">
        <f aca="false">IF(Q453="","",IF(Q453&gt;=150000,"Yes","No"))</f>
        <v/>
      </c>
      <c r="BZ453" s="36" t="str">
        <f aca="false">IF(Q453="","",IF(Q453&gt;=200000,"Yes","No"))</f>
        <v/>
      </c>
      <c r="CA453" s="36" t="str">
        <f aca="false">IF(Q453="","",IF(Q453&gt;=250000,"Yes","No"))</f>
        <v/>
      </c>
      <c r="CB453" s="36" t="str">
        <f aca="false">IF(Q453="","",IF(Q453&gt;=300000,"Yes","No"))</f>
        <v/>
      </c>
      <c r="CC453" s="37"/>
      <c r="CD453" s="36" t="str">
        <f aca="true">IF(B453="","",IF(TODAY()-B453&lt;=7,"🟢 0-7d",IF(TODAY()-B453&lt;=30,"🟡 8-30d",IF(TODAY()-B453&lt;=60,"🟠 31-60d","🔴 60d+"))))</f>
        <v/>
      </c>
      <c r="CE453" s="36" t="str">
        <f aca="false">IF(G453="","",IF(G453&lt;&gt;"USA","N/A - Not USA Role",IF(J453="Yes",IF(OR(F453="Intern",F453="New Grad"),"🟡 Possible","🟢 Strong"),IF(J453="No","🔴 Difficult","⚪ Unknown"))))</f>
        <v/>
      </c>
      <c r="CF453" s="37"/>
      <c r="CG453" s="37"/>
      <c r="CH453" s="38"/>
      <c r="CI453" s="38"/>
      <c r="CJ453" s="38"/>
      <c r="CK453" s="38"/>
    </row>
    <row r="454" customFormat="false" ht="15" hidden="false" customHeight="true" outlineLevel="0" collapsed="false">
      <c r="A454" s="26" t="str">
        <f aca="false">IF($C454="","",ROW()-3)</f>
        <v/>
      </c>
      <c r="B454" s="27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9"/>
      <c r="N454" s="29"/>
      <c r="O454" s="30" t="str">
        <f aca="false">IFERROR(IF(M454="","",M454*INDEX('00 - Lists'!$M$2:$M$11,MATCH(L454,'00 - Lists'!$L$2:$L$11,0))/100000),"")</f>
        <v/>
      </c>
      <c r="P454" s="30" t="str">
        <f aca="false">IFERROR(IF(N454="","",N454*INDEX('00 - Lists'!$M$2:$M$11,MATCH(L454,'00 - Lists'!$L$2:$L$11,0))/100000),"")</f>
        <v/>
      </c>
      <c r="Q454" s="31" t="str">
        <f aca="false">IFERROR(IF(M454="","",M454*INDEX('00 - Lists'!$N$2:$N$11,MATCH(L454,'00 - Lists'!$L$2:$L$11,0))),"")</f>
        <v/>
      </c>
      <c r="R454" s="31" t="str">
        <f aca="false">IFERROR(IF(N454="","",N454*INDEX('00 - Lists'!$N$2:$N$11,MATCH(L454,'00 - Lists'!$L$2:$L$11,0))),"")</f>
        <v/>
      </c>
      <c r="S454" s="32" t="str">
        <f aca="false">IF(O454="","",IF(O454&gt;=50,"Yes","No"))</f>
        <v/>
      </c>
      <c r="T454" s="32" t="str">
        <f aca="false">IF(Q454="","",IF(Q454&gt;=100000,"Yes","No"))</f>
        <v/>
      </c>
      <c r="U454" s="28"/>
      <c r="V454" s="28"/>
      <c r="W454" s="28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J454" s="34" t="str">
        <f aca="false">IF(OR($BD454&lt;&gt;"",$BF454&lt;&gt;"",$BH454&lt;&gt;""),"Yes","No")</f>
        <v>No</v>
      </c>
      <c r="BK454" s="35" t="str">
        <f aca="false">IFERROR(IF(BD454="","",BD454*INDEX('00 - Lists'!$M$2:$M$11,MATCH(L454,'00 - Lists'!$L$2:$L$11,0))/100000),"")</f>
        <v/>
      </c>
      <c r="BL454" s="35" t="str">
        <f aca="false">IFERROR(IF(BE454="","",BE454*INDEX('00 - Lists'!$M$2:$M$11,MATCH(L454,'00 - Lists'!$L$2:$L$11,0))/100000),"")</f>
        <v/>
      </c>
      <c r="BM454" s="35" t="str">
        <f aca="false">IFERROR(IF(BF454="","",BF454*INDEX('00 - Lists'!$M$2:$M$11,MATCH(L454,'00 - Lists'!$L$2:$L$11,0))/100000),"")</f>
        <v/>
      </c>
      <c r="BN454" s="35" t="str">
        <f aca="false">IFERROR(IF(BG454="","",BG454*INDEX('00 - Lists'!$M$2:$M$11,MATCH(L454,'00 - Lists'!$L$2:$L$11,0))/100000),"")</f>
        <v/>
      </c>
      <c r="BO454" s="35" t="str">
        <f aca="false">IFERROR(IF(BH454="","",BH454*INDEX('00 - Lists'!$M$2:$M$11,MATCH(L454,'00 - Lists'!$L$2:$L$11,0))/100000),"")</f>
        <v/>
      </c>
      <c r="BP454" s="35" t="str">
        <f aca="false">IFERROR(IF(BI454="","",BI454*INDEX('00 - Lists'!$M$2:$M$11,MATCH(L454,'00 - Lists'!$L$2:$L$11,0))/100000),"")</f>
        <v/>
      </c>
      <c r="BS454" s="36" t="str">
        <f aca="false">IF(O454="","",IF(O454&gt;=20,"Yes","No"))</f>
        <v/>
      </c>
      <c r="BT454" s="36" t="str">
        <f aca="false">IF(O454="","",IF(O454&gt;=30,"Yes","No"))</f>
        <v/>
      </c>
      <c r="BU454" s="36" t="str">
        <f aca="false">IF(O454="","",IF(O454&gt;=75,"Yes","No"))</f>
        <v/>
      </c>
      <c r="BV454" s="36" t="str">
        <f aca="false">IF(O454="","",IF(O454&gt;=100,"Yes","No"))</f>
        <v/>
      </c>
      <c r="BW454" s="36" t="str">
        <f aca="false">IF(O454="","",IF(O454&gt;=150,"Yes","No"))</f>
        <v/>
      </c>
      <c r="BX454" s="36" t="str">
        <f aca="false">IF(O454="","",IF(O454&gt;=200,"Yes","No"))</f>
        <v/>
      </c>
      <c r="BY454" s="36" t="str">
        <f aca="false">IF(Q454="","",IF(Q454&gt;=150000,"Yes","No"))</f>
        <v/>
      </c>
      <c r="BZ454" s="36" t="str">
        <f aca="false">IF(Q454="","",IF(Q454&gt;=200000,"Yes","No"))</f>
        <v/>
      </c>
      <c r="CA454" s="36" t="str">
        <f aca="false">IF(Q454="","",IF(Q454&gt;=250000,"Yes","No"))</f>
        <v/>
      </c>
      <c r="CB454" s="36" t="str">
        <f aca="false">IF(Q454="","",IF(Q454&gt;=300000,"Yes","No"))</f>
        <v/>
      </c>
      <c r="CC454" s="37"/>
      <c r="CD454" s="36" t="str">
        <f aca="true">IF(B454="","",IF(TODAY()-B454&lt;=7,"🟢 0-7d",IF(TODAY()-B454&lt;=30,"🟡 8-30d",IF(TODAY()-B454&lt;=60,"🟠 31-60d","🔴 60d+"))))</f>
        <v/>
      </c>
      <c r="CE454" s="36" t="str">
        <f aca="false">IF(G454="","",IF(G454&lt;&gt;"USA","N/A - Not USA Role",IF(J454="Yes",IF(OR(F454="Intern",F454="New Grad"),"🟡 Possible","🟢 Strong"),IF(J454="No","🔴 Difficult","⚪ Unknown"))))</f>
        <v/>
      </c>
      <c r="CF454" s="37"/>
      <c r="CG454" s="37"/>
      <c r="CH454" s="38"/>
      <c r="CI454" s="38"/>
      <c r="CJ454" s="38"/>
      <c r="CK454" s="38"/>
    </row>
    <row r="455" customFormat="false" ht="15" hidden="false" customHeight="true" outlineLevel="0" collapsed="false">
      <c r="A455" s="26" t="str">
        <f aca="false">IF($C455="","",ROW()-3)</f>
        <v/>
      </c>
      <c r="B455" s="27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9"/>
      <c r="N455" s="29"/>
      <c r="O455" s="30" t="str">
        <f aca="false">IFERROR(IF(M455="","",M455*INDEX('00 - Lists'!$M$2:$M$11,MATCH(L455,'00 - Lists'!$L$2:$L$11,0))/100000),"")</f>
        <v/>
      </c>
      <c r="P455" s="30" t="str">
        <f aca="false">IFERROR(IF(N455="","",N455*INDEX('00 - Lists'!$M$2:$M$11,MATCH(L455,'00 - Lists'!$L$2:$L$11,0))/100000),"")</f>
        <v/>
      </c>
      <c r="Q455" s="31" t="str">
        <f aca="false">IFERROR(IF(M455="","",M455*INDEX('00 - Lists'!$N$2:$N$11,MATCH(L455,'00 - Lists'!$L$2:$L$11,0))),"")</f>
        <v/>
      </c>
      <c r="R455" s="31" t="str">
        <f aca="false">IFERROR(IF(N455="","",N455*INDEX('00 - Lists'!$N$2:$N$11,MATCH(L455,'00 - Lists'!$L$2:$L$11,0))),"")</f>
        <v/>
      </c>
      <c r="S455" s="32" t="str">
        <f aca="false">IF(O455="","",IF(O455&gt;=50,"Yes","No"))</f>
        <v/>
      </c>
      <c r="T455" s="32" t="str">
        <f aca="false">IF(Q455="","",IF(Q455&gt;=100000,"Yes","No"))</f>
        <v/>
      </c>
      <c r="U455" s="28"/>
      <c r="V455" s="28"/>
      <c r="W455" s="28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J455" s="34" t="str">
        <f aca="false">IF(OR($BD455&lt;&gt;"",$BF455&lt;&gt;"",$BH455&lt;&gt;""),"Yes","No")</f>
        <v>No</v>
      </c>
      <c r="BK455" s="35" t="str">
        <f aca="false">IFERROR(IF(BD455="","",BD455*INDEX('00 - Lists'!$M$2:$M$11,MATCH(L455,'00 - Lists'!$L$2:$L$11,0))/100000),"")</f>
        <v/>
      </c>
      <c r="BL455" s="35" t="str">
        <f aca="false">IFERROR(IF(BE455="","",BE455*INDEX('00 - Lists'!$M$2:$M$11,MATCH(L455,'00 - Lists'!$L$2:$L$11,0))/100000),"")</f>
        <v/>
      </c>
      <c r="BM455" s="35" t="str">
        <f aca="false">IFERROR(IF(BF455="","",BF455*INDEX('00 - Lists'!$M$2:$M$11,MATCH(L455,'00 - Lists'!$L$2:$L$11,0))/100000),"")</f>
        <v/>
      </c>
      <c r="BN455" s="35" t="str">
        <f aca="false">IFERROR(IF(BG455="","",BG455*INDEX('00 - Lists'!$M$2:$M$11,MATCH(L455,'00 - Lists'!$L$2:$L$11,0))/100000),"")</f>
        <v/>
      </c>
      <c r="BO455" s="35" t="str">
        <f aca="false">IFERROR(IF(BH455="","",BH455*INDEX('00 - Lists'!$M$2:$M$11,MATCH(L455,'00 - Lists'!$L$2:$L$11,0))/100000),"")</f>
        <v/>
      </c>
      <c r="BP455" s="35" t="str">
        <f aca="false">IFERROR(IF(BI455="","",BI455*INDEX('00 - Lists'!$M$2:$M$11,MATCH(L455,'00 - Lists'!$L$2:$L$11,0))/100000),"")</f>
        <v/>
      </c>
      <c r="BS455" s="36" t="str">
        <f aca="false">IF(O455="","",IF(O455&gt;=20,"Yes","No"))</f>
        <v/>
      </c>
      <c r="BT455" s="36" t="str">
        <f aca="false">IF(O455="","",IF(O455&gt;=30,"Yes","No"))</f>
        <v/>
      </c>
      <c r="BU455" s="36" t="str">
        <f aca="false">IF(O455="","",IF(O455&gt;=75,"Yes","No"))</f>
        <v/>
      </c>
      <c r="BV455" s="36" t="str">
        <f aca="false">IF(O455="","",IF(O455&gt;=100,"Yes","No"))</f>
        <v/>
      </c>
      <c r="BW455" s="36" t="str">
        <f aca="false">IF(O455="","",IF(O455&gt;=150,"Yes","No"))</f>
        <v/>
      </c>
      <c r="BX455" s="36" t="str">
        <f aca="false">IF(O455="","",IF(O455&gt;=200,"Yes","No"))</f>
        <v/>
      </c>
      <c r="BY455" s="36" t="str">
        <f aca="false">IF(Q455="","",IF(Q455&gt;=150000,"Yes","No"))</f>
        <v/>
      </c>
      <c r="BZ455" s="36" t="str">
        <f aca="false">IF(Q455="","",IF(Q455&gt;=200000,"Yes","No"))</f>
        <v/>
      </c>
      <c r="CA455" s="36" t="str">
        <f aca="false">IF(Q455="","",IF(Q455&gt;=250000,"Yes","No"))</f>
        <v/>
      </c>
      <c r="CB455" s="36" t="str">
        <f aca="false">IF(Q455="","",IF(Q455&gt;=300000,"Yes","No"))</f>
        <v/>
      </c>
      <c r="CC455" s="37"/>
      <c r="CD455" s="36" t="str">
        <f aca="true">IF(B455="","",IF(TODAY()-B455&lt;=7,"🟢 0-7d",IF(TODAY()-B455&lt;=30,"🟡 8-30d",IF(TODAY()-B455&lt;=60,"🟠 31-60d","🔴 60d+"))))</f>
        <v/>
      </c>
      <c r="CE455" s="36" t="str">
        <f aca="false">IF(G455="","",IF(G455&lt;&gt;"USA","N/A - Not USA Role",IF(J455="Yes",IF(OR(F455="Intern",F455="New Grad"),"🟡 Possible","🟢 Strong"),IF(J455="No","🔴 Difficult","⚪ Unknown"))))</f>
        <v/>
      </c>
      <c r="CF455" s="37"/>
      <c r="CG455" s="37"/>
      <c r="CH455" s="38"/>
      <c r="CI455" s="38"/>
      <c r="CJ455" s="38"/>
      <c r="CK455" s="38"/>
    </row>
    <row r="456" customFormat="false" ht="15" hidden="false" customHeight="true" outlineLevel="0" collapsed="false">
      <c r="A456" s="26" t="str">
        <f aca="false">IF($C456="","",ROW()-3)</f>
        <v/>
      </c>
      <c r="B456" s="27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9"/>
      <c r="N456" s="29"/>
      <c r="O456" s="30" t="str">
        <f aca="false">IFERROR(IF(M456="","",M456*INDEX('00 - Lists'!$M$2:$M$11,MATCH(L456,'00 - Lists'!$L$2:$L$11,0))/100000),"")</f>
        <v/>
      </c>
      <c r="P456" s="30" t="str">
        <f aca="false">IFERROR(IF(N456="","",N456*INDEX('00 - Lists'!$M$2:$M$11,MATCH(L456,'00 - Lists'!$L$2:$L$11,0))/100000),"")</f>
        <v/>
      </c>
      <c r="Q456" s="31" t="str">
        <f aca="false">IFERROR(IF(M456="","",M456*INDEX('00 - Lists'!$N$2:$N$11,MATCH(L456,'00 - Lists'!$L$2:$L$11,0))),"")</f>
        <v/>
      </c>
      <c r="R456" s="31" t="str">
        <f aca="false">IFERROR(IF(N456="","",N456*INDEX('00 - Lists'!$N$2:$N$11,MATCH(L456,'00 - Lists'!$L$2:$L$11,0))),"")</f>
        <v/>
      </c>
      <c r="S456" s="32" t="str">
        <f aca="false">IF(O456="","",IF(O456&gt;=50,"Yes","No"))</f>
        <v/>
      </c>
      <c r="T456" s="32" t="str">
        <f aca="false">IF(Q456="","",IF(Q456&gt;=100000,"Yes","No"))</f>
        <v/>
      </c>
      <c r="U456" s="28"/>
      <c r="V456" s="28"/>
      <c r="W456" s="28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J456" s="34" t="str">
        <f aca="false">IF(OR($BD456&lt;&gt;"",$BF456&lt;&gt;"",$BH456&lt;&gt;""),"Yes","No")</f>
        <v>No</v>
      </c>
      <c r="BK456" s="35" t="str">
        <f aca="false">IFERROR(IF(BD456="","",BD456*INDEX('00 - Lists'!$M$2:$M$11,MATCH(L456,'00 - Lists'!$L$2:$L$11,0))/100000),"")</f>
        <v/>
      </c>
      <c r="BL456" s="35" t="str">
        <f aca="false">IFERROR(IF(BE456="","",BE456*INDEX('00 - Lists'!$M$2:$M$11,MATCH(L456,'00 - Lists'!$L$2:$L$11,0))/100000),"")</f>
        <v/>
      </c>
      <c r="BM456" s="35" t="str">
        <f aca="false">IFERROR(IF(BF456="","",BF456*INDEX('00 - Lists'!$M$2:$M$11,MATCH(L456,'00 - Lists'!$L$2:$L$11,0))/100000),"")</f>
        <v/>
      </c>
      <c r="BN456" s="35" t="str">
        <f aca="false">IFERROR(IF(BG456="","",BG456*INDEX('00 - Lists'!$M$2:$M$11,MATCH(L456,'00 - Lists'!$L$2:$L$11,0))/100000),"")</f>
        <v/>
      </c>
      <c r="BO456" s="35" t="str">
        <f aca="false">IFERROR(IF(BH456="","",BH456*INDEX('00 - Lists'!$M$2:$M$11,MATCH(L456,'00 - Lists'!$L$2:$L$11,0))/100000),"")</f>
        <v/>
      </c>
      <c r="BP456" s="35" t="str">
        <f aca="false">IFERROR(IF(BI456="","",BI456*INDEX('00 - Lists'!$M$2:$M$11,MATCH(L456,'00 - Lists'!$L$2:$L$11,0))/100000),"")</f>
        <v/>
      </c>
      <c r="BS456" s="36" t="str">
        <f aca="false">IF(O456="","",IF(O456&gt;=20,"Yes","No"))</f>
        <v/>
      </c>
      <c r="BT456" s="36" t="str">
        <f aca="false">IF(O456="","",IF(O456&gt;=30,"Yes","No"))</f>
        <v/>
      </c>
      <c r="BU456" s="36" t="str">
        <f aca="false">IF(O456="","",IF(O456&gt;=75,"Yes","No"))</f>
        <v/>
      </c>
      <c r="BV456" s="36" t="str">
        <f aca="false">IF(O456="","",IF(O456&gt;=100,"Yes","No"))</f>
        <v/>
      </c>
      <c r="BW456" s="36" t="str">
        <f aca="false">IF(O456="","",IF(O456&gt;=150,"Yes","No"))</f>
        <v/>
      </c>
      <c r="BX456" s="36" t="str">
        <f aca="false">IF(O456="","",IF(O456&gt;=200,"Yes","No"))</f>
        <v/>
      </c>
      <c r="BY456" s="36" t="str">
        <f aca="false">IF(Q456="","",IF(Q456&gt;=150000,"Yes","No"))</f>
        <v/>
      </c>
      <c r="BZ456" s="36" t="str">
        <f aca="false">IF(Q456="","",IF(Q456&gt;=200000,"Yes","No"))</f>
        <v/>
      </c>
      <c r="CA456" s="36" t="str">
        <f aca="false">IF(Q456="","",IF(Q456&gt;=250000,"Yes","No"))</f>
        <v/>
      </c>
      <c r="CB456" s="36" t="str">
        <f aca="false">IF(Q456="","",IF(Q456&gt;=300000,"Yes","No"))</f>
        <v/>
      </c>
      <c r="CC456" s="37"/>
      <c r="CD456" s="36" t="str">
        <f aca="true">IF(B456="","",IF(TODAY()-B456&lt;=7,"🟢 0-7d",IF(TODAY()-B456&lt;=30,"🟡 8-30d",IF(TODAY()-B456&lt;=60,"🟠 31-60d","🔴 60d+"))))</f>
        <v/>
      </c>
      <c r="CE456" s="36" t="str">
        <f aca="false">IF(G456="","",IF(G456&lt;&gt;"USA","N/A - Not USA Role",IF(J456="Yes",IF(OR(F456="Intern",F456="New Grad"),"🟡 Possible","🟢 Strong"),IF(J456="No","🔴 Difficult","⚪ Unknown"))))</f>
        <v/>
      </c>
      <c r="CF456" s="37"/>
      <c r="CG456" s="37"/>
      <c r="CH456" s="38"/>
      <c r="CI456" s="38"/>
      <c r="CJ456" s="38"/>
      <c r="CK456" s="38"/>
    </row>
    <row r="457" customFormat="false" ht="15" hidden="false" customHeight="true" outlineLevel="0" collapsed="false">
      <c r="A457" s="26" t="str">
        <f aca="false">IF($C457="","",ROW()-3)</f>
        <v/>
      </c>
      <c r="B457" s="27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9"/>
      <c r="N457" s="29"/>
      <c r="O457" s="30" t="str">
        <f aca="false">IFERROR(IF(M457="","",M457*INDEX('00 - Lists'!$M$2:$M$11,MATCH(L457,'00 - Lists'!$L$2:$L$11,0))/100000),"")</f>
        <v/>
      </c>
      <c r="P457" s="30" t="str">
        <f aca="false">IFERROR(IF(N457="","",N457*INDEX('00 - Lists'!$M$2:$M$11,MATCH(L457,'00 - Lists'!$L$2:$L$11,0))/100000),"")</f>
        <v/>
      </c>
      <c r="Q457" s="31" t="str">
        <f aca="false">IFERROR(IF(M457="","",M457*INDEX('00 - Lists'!$N$2:$N$11,MATCH(L457,'00 - Lists'!$L$2:$L$11,0))),"")</f>
        <v/>
      </c>
      <c r="R457" s="31" t="str">
        <f aca="false">IFERROR(IF(N457="","",N457*INDEX('00 - Lists'!$N$2:$N$11,MATCH(L457,'00 - Lists'!$L$2:$L$11,0))),"")</f>
        <v/>
      </c>
      <c r="S457" s="32" t="str">
        <f aca="false">IF(O457="","",IF(O457&gt;=50,"Yes","No"))</f>
        <v/>
      </c>
      <c r="T457" s="32" t="str">
        <f aca="false">IF(Q457="","",IF(Q457&gt;=100000,"Yes","No"))</f>
        <v/>
      </c>
      <c r="U457" s="28"/>
      <c r="V457" s="28"/>
      <c r="W457" s="28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J457" s="34" t="str">
        <f aca="false">IF(OR($BD457&lt;&gt;"",$BF457&lt;&gt;"",$BH457&lt;&gt;""),"Yes","No")</f>
        <v>No</v>
      </c>
      <c r="BK457" s="35" t="str">
        <f aca="false">IFERROR(IF(BD457="","",BD457*INDEX('00 - Lists'!$M$2:$M$11,MATCH(L457,'00 - Lists'!$L$2:$L$11,0))/100000),"")</f>
        <v/>
      </c>
      <c r="BL457" s="35" t="str">
        <f aca="false">IFERROR(IF(BE457="","",BE457*INDEX('00 - Lists'!$M$2:$M$11,MATCH(L457,'00 - Lists'!$L$2:$L$11,0))/100000),"")</f>
        <v/>
      </c>
      <c r="BM457" s="35" t="str">
        <f aca="false">IFERROR(IF(BF457="","",BF457*INDEX('00 - Lists'!$M$2:$M$11,MATCH(L457,'00 - Lists'!$L$2:$L$11,0))/100000),"")</f>
        <v/>
      </c>
      <c r="BN457" s="35" t="str">
        <f aca="false">IFERROR(IF(BG457="","",BG457*INDEX('00 - Lists'!$M$2:$M$11,MATCH(L457,'00 - Lists'!$L$2:$L$11,0))/100000),"")</f>
        <v/>
      </c>
      <c r="BO457" s="35" t="str">
        <f aca="false">IFERROR(IF(BH457="","",BH457*INDEX('00 - Lists'!$M$2:$M$11,MATCH(L457,'00 - Lists'!$L$2:$L$11,0))/100000),"")</f>
        <v/>
      </c>
      <c r="BP457" s="35" t="str">
        <f aca="false">IFERROR(IF(BI457="","",BI457*INDEX('00 - Lists'!$M$2:$M$11,MATCH(L457,'00 - Lists'!$L$2:$L$11,0))/100000),"")</f>
        <v/>
      </c>
      <c r="BS457" s="36" t="str">
        <f aca="false">IF(O457="","",IF(O457&gt;=20,"Yes","No"))</f>
        <v/>
      </c>
      <c r="BT457" s="36" t="str">
        <f aca="false">IF(O457="","",IF(O457&gt;=30,"Yes","No"))</f>
        <v/>
      </c>
      <c r="BU457" s="36" t="str">
        <f aca="false">IF(O457="","",IF(O457&gt;=75,"Yes","No"))</f>
        <v/>
      </c>
      <c r="BV457" s="36" t="str">
        <f aca="false">IF(O457="","",IF(O457&gt;=100,"Yes","No"))</f>
        <v/>
      </c>
      <c r="BW457" s="36" t="str">
        <f aca="false">IF(O457="","",IF(O457&gt;=150,"Yes","No"))</f>
        <v/>
      </c>
      <c r="BX457" s="36" t="str">
        <f aca="false">IF(O457="","",IF(O457&gt;=200,"Yes","No"))</f>
        <v/>
      </c>
      <c r="BY457" s="36" t="str">
        <f aca="false">IF(Q457="","",IF(Q457&gt;=150000,"Yes","No"))</f>
        <v/>
      </c>
      <c r="BZ457" s="36" t="str">
        <f aca="false">IF(Q457="","",IF(Q457&gt;=200000,"Yes","No"))</f>
        <v/>
      </c>
      <c r="CA457" s="36" t="str">
        <f aca="false">IF(Q457="","",IF(Q457&gt;=250000,"Yes","No"))</f>
        <v/>
      </c>
      <c r="CB457" s="36" t="str">
        <f aca="false">IF(Q457="","",IF(Q457&gt;=300000,"Yes","No"))</f>
        <v/>
      </c>
      <c r="CC457" s="37"/>
      <c r="CD457" s="36" t="str">
        <f aca="true">IF(B457="","",IF(TODAY()-B457&lt;=7,"🟢 0-7d",IF(TODAY()-B457&lt;=30,"🟡 8-30d",IF(TODAY()-B457&lt;=60,"🟠 31-60d","🔴 60d+"))))</f>
        <v/>
      </c>
      <c r="CE457" s="36" t="str">
        <f aca="false">IF(G457="","",IF(G457&lt;&gt;"USA","N/A - Not USA Role",IF(J457="Yes",IF(OR(F457="Intern",F457="New Grad"),"🟡 Possible","🟢 Strong"),IF(J457="No","🔴 Difficult","⚪ Unknown"))))</f>
        <v/>
      </c>
      <c r="CF457" s="37"/>
      <c r="CG457" s="37"/>
      <c r="CH457" s="38"/>
      <c r="CI457" s="38"/>
      <c r="CJ457" s="38"/>
      <c r="CK457" s="38"/>
    </row>
    <row r="458" customFormat="false" ht="15" hidden="false" customHeight="true" outlineLevel="0" collapsed="false">
      <c r="A458" s="26" t="str">
        <f aca="false">IF($C458="","",ROW()-3)</f>
        <v/>
      </c>
      <c r="B458" s="27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9"/>
      <c r="N458" s="29"/>
      <c r="O458" s="30" t="str">
        <f aca="false">IFERROR(IF(M458="","",M458*INDEX('00 - Lists'!$M$2:$M$11,MATCH(L458,'00 - Lists'!$L$2:$L$11,0))/100000),"")</f>
        <v/>
      </c>
      <c r="P458" s="30" t="str">
        <f aca="false">IFERROR(IF(N458="","",N458*INDEX('00 - Lists'!$M$2:$M$11,MATCH(L458,'00 - Lists'!$L$2:$L$11,0))/100000),"")</f>
        <v/>
      </c>
      <c r="Q458" s="31" t="str">
        <f aca="false">IFERROR(IF(M458="","",M458*INDEX('00 - Lists'!$N$2:$N$11,MATCH(L458,'00 - Lists'!$L$2:$L$11,0))),"")</f>
        <v/>
      </c>
      <c r="R458" s="31" t="str">
        <f aca="false">IFERROR(IF(N458="","",N458*INDEX('00 - Lists'!$N$2:$N$11,MATCH(L458,'00 - Lists'!$L$2:$L$11,0))),"")</f>
        <v/>
      </c>
      <c r="S458" s="32" t="str">
        <f aca="false">IF(O458="","",IF(O458&gt;=50,"Yes","No"))</f>
        <v/>
      </c>
      <c r="T458" s="32" t="str">
        <f aca="false">IF(Q458="","",IF(Q458&gt;=100000,"Yes","No"))</f>
        <v/>
      </c>
      <c r="U458" s="28"/>
      <c r="V458" s="28"/>
      <c r="W458" s="28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J458" s="34" t="str">
        <f aca="false">IF(OR($BD458&lt;&gt;"",$BF458&lt;&gt;"",$BH458&lt;&gt;""),"Yes","No")</f>
        <v>No</v>
      </c>
      <c r="BK458" s="35" t="str">
        <f aca="false">IFERROR(IF(BD458="","",BD458*INDEX('00 - Lists'!$M$2:$M$11,MATCH(L458,'00 - Lists'!$L$2:$L$11,0))/100000),"")</f>
        <v/>
      </c>
      <c r="BL458" s="35" t="str">
        <f aca="false">IFERROR(IF(BE458="","",BE458*INDEX('00 - Lists'!$M$2:$M$11,MATCH(L458,'00 - Lists'!$L$2:$L$11,0))/100000),"")</f>
        <v/>
      </c>
      <c r="BM458" s="35" t="str">
        <f aca="false">IFERROR(IF(BF458="","",BF458*INDEX('00 - Lists'!$M$2:$M$11,MATCH(L458,'00 - Lists'!$L$2:$L$11,0))/100000),"")</f>
        <v/>
      </c>
      <c r="BN458" s="35" t="str">
        <f aca="false">IFERROR(IF(BG458="","",BG458*INDEX('00 - Lists'!$M$2:$M$11,MATCH(L458,'00 - Lists'!$L$2:$L$11,0))/100000),"")</f>
        <v/>
      </c>
      <c r="BO458" s="35" t="str">
        <f aca="false">IFERROR(IF(BH458="","",BH458*INDEX('00 - Lists'!$M$2:$M$11,MATCH(L458,'00 - Lists'!$L$2:$L$11,0))/100000),"")</f>
        <v/>
      </c>
      <c r="BP458" s="35" t="str">
        <f aca="false">IFERROR(IF(BI458="","",BI458*INDEX('00 - Lists'!$M$2:$M$11,MATCH(L458,'00 - Lists'!$L$2:$L$11,0))/100000),"")</f>
        <v/>
      </c>
      <c r="BS458" s="36" t="str">
        <f aca="false">IF(O458="","",IF(O458&gt;=20,"Yes","No"))</f>
        <v/>
      </c>
      <c r="BT458" s="36" t="str">
        <f aca="false">IF(O458="","",IF(O458&gt;=30,"Yes","No"))</f>
        <v/>
      </c>
      <c r="BU458" s="36" t="str">
        <f aca="false">IF(O458="","",IF(O458&gt;=75,"Yes","No"))</f>
        <v/>
      </c>
      <c r="BV458" s="36" t="str">
        <f aca="false">IF(O458="","",IF(O458&gt;=100,"Yes","No"))</f>
        <v/>
      </c>
      <c r="BW458" s="36" t="str">
        <f aca="false">IF(O458="","",IF(O458&gt;=150,"Yes","No"))</f>
        <v/>
      </c>
      <c r="BX458" s="36" t="str">
        <f aca="false">IF(O458="","",IF(O458&gt;=200,"Yes","No"))</f>
        <v/>
      </c>
      <c r="BY458" s="36" t="str">
        <f aca="false">IF(Q458="","",IF(Q458&gt;=150000,"Yes","No"))</f>
        <v/>
      </c>
      <c r="BZ458" s="36" t="str">
        <f aca="false">IF(Q458="","",IF(Q458&gt;=200000,"Yes","No"))</f>
        <v/>
      </c>
      <c r="CA458" s="36" t="str">
        <f aca="false">IF(Q458="","",IF(Q458&gt;=250000,"Yes","No"))</f>
        <v/>
      </c>
      <c r="CB458" s="36" t="str">
        <f aca="false">IF(Q458="","",IF(Q458&gt;=300000,"Yes","No"))</f>
        <v/>
      </c>
      <c r="CC458" s="37"/>
      <c r="CD458" s="36" t="str">
        <f aca="true">IF(B458="","",IF(TODAY()-B458&lt;=7,"🟢 0-7d",IF(TODAY()-B458&lt;=30,"🟡 8-30d",IF(TODAY()-B458&lt;=60,"🟠 31-60d","🔴 60d+"))))</f>
        <v/>
      </c>
      <c r="CE458" s="36" t="str">
        <f aca="false">IF(G458="","",IF(G458&lt;&gt;"USA","N/A - Not USA Role",IF(J458="Yes",IF(OR(F458="Intern",F458="New Grad"),"🟡 Possible","🟢 Strong"),IF(J458="No","🔴 Difficult","⚪ Unknown"))))</f>
        <v/>
      </c>
      <c r="CF458" s="37"/>
      <c r="CG458" s="37"/>
      <c r="CH458" s="38"/>
      <c r="CI458" s="38"/>
      <c r="CJ458" s="38"/>
      <c r="CK458" s="38"/>
    </row>
    <row r="459" customFormat="false" ht="15" hidden="false" customHeight="true" outlineLevel="0" collapsed="false">
      <c r="A459" s="26" t="str">
        <f aca="false">IF($C459="","",ROW()-3)</f>
        <v/>
      </c>
      <c r="B459" s="27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9"/>
      <c r="N459" s="29"/>
      <c r="O459" s="30" t="str">
        <f aca="false">IFERROR(IF(M459="","",M459*INDEX('00 - Lists'!$M$2:$M$11,MATCH(L459,'00 - Lists'!$L$2:$L$11,0))/100000),"")</f>
        <v/>
      </c>
      <c r="P459" s="30" t="str">
        <f aca="false">IFERROR(IF(N459="","",N459*INDEX('00 - Lists'!$M$2:$M$11,MATCH(L459,'00 - Lists'!$L$2:$L$11,0))/100000),"")</f>
        <v/>
      </c>
      <c r="Q459" s="31" t="str">
        <f aca="false">IFERROR(IF(M459="","",M459*INDEX('00 - Lists'!$N$2:$N$11,MATCH(L459,'00 - Lists'!$L$2:$L$11,0))),"")</f>
        <v/>
      </c>
      <c r="R459" s="31" t="str">
        <f aca="false">IFERROR(IF(N459="","",N459*INDEX('00 - Lists'!$N$2:$N$11,MATCH(L459,'00 - Lists'!$L$2:$L$11,0))),"")</f>
        <v/>
      </c>
      <c r="S459" s="32" t="str">
        <f aca="false">IF(O459="","",IF(O459&gt;=50,"Yes","No"))</f>
        <v/>
      </c>
      <c r="T459" s="32" t="str">
        <f aca="false">IF(Q459="","",IF(Q459&gt;=100000,"Yes","No"))</f>
        <v/>
      </c>
      <c r="U459" s="28"/>
      <c r="V459" s="28"/>
      <c r="W459" s="28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J459" s="34" t="str">
        <f aca="false">IF(OR($BD459&lt;&gt;"",$BF459&lt;&gt;"",$BH459&lt;&gt;""),"Yes","No")</f>
        <v>No</v>
      </c>
      <c r="BK459" s="35" t="str">
        <f aca="false">IFERROR(IF(BD459="","",BD459*INDEX('00 - Lists'!$M$2:$M$11,MATCH(L459,'00 - Lists'!$L$2:$L$11,0))/100000),"")</f>
        <v/>
      </c>
      <c r="BL459" s="35" t="str">
        <f aca="false">IFERROR(IF(BE459="","",BE459*INDEX('00 - Lists'!$M$2:$M$11,MATCH(L459,'00 - Lists'!$L$2:$L$11,0))/100000),"")</f>
        <v/>
      </c>
      <c r="BM459" s="35" t="str">
        <f aca="false">IFERROR(IF(BF459="","",BF459*INDEX('00 - Lists'!$M$2:$M$11,MATCH(L459,'00 - Lists'!$L$2:$L$11,0))/100000),"")</f>
        <v/>
      </c>
      <c r="BN459" s="35" t="str">
        <f aca="false">IFERROR(IF(BG459="","",BG459*INDEX('00 - Lists'!$M$2:$M$11,MATCH(L459,'00 - Lists'!$L$2:$L$11,0))/100000),"")</f>
        <v/>
      </c>
      <c r="BO459" s="35" t="str">
        <f aca="false">IFERROR(IF(BH459="","",BH459*INDEX('00 - Lists'!$M$2:$M$11,MATCH(L459,'00 - Lists'!$L$2:$L$11,0))/100000),"")</f>
        <v/>
      </c>
      <c r="BP459" s="35" t="str">
        <f aca="false">IFERROR(IF(BI459="","",BI459*INDEX('00 - Lists'!$M$2:$M$11,MATCH(L459,'00 - Lists'!$L$2:$L$11,0))/100000),"")</f>
        <v/>
      </c>
      <c r="BS459" s="36" t="str">
        <f aca="false">IF(O459="","",IF(O459&gt;=20,"Yes","No"))</f>
        <v/>
      </c>
      <c r="BT459" s="36" t="str">
        <f aca="false">IF(O459="","",IF(O459&gt;=30,"Yes","No"))</f>
        <v/>
      </c>
      <c r="BU459" s="36" t="str">
        <f aca="false">IF(O459="","",IF(O459&gt;=75,"Yes","No"))</f>
        <v/>
      </c>
      <c r="BV459" s="36" t="str">
        <f aca="false">IF(O459="","",IF(O459&gt;=100,"Yes","No"))</f>
        <v/>
      </c>
      <c r="BW459" s="36" t="str">
        <f aca="false">IF(O459="","",IF(O459&gt;=150,"Yes","No"))</f>
        <v/>
      </c>
      <c r="BX459" s="36" t="str">
        <f aca="false">IF(O459="","",IF(O459&gt;=200,"Yes","No"))</f>
        <v/>
      </c>
      <c r="BY459" s="36" t="str">
        <f aca="false">IF(Q459="","",IF(Q459&gt;=150000,"Yes","No"))</f>
        <v/>
      </c>
      <c r="BZ459" s="36" t="str">
        <f aca="false">IF(Q459="","",IF(Q459&gt;=200000,"Yes","No"))</f>
        <v/>
      </c>
      <c r="CA459" s="36" t="str">
        <f aca="false">IF(Q459="","",IF(Q459&gt;=250000,"Yes","No"))</f>
        <v/>
      </c>
      <c r="CB459" s="36" t="str">
        <f aca="false">IF(Q459="","",IF(Q459&gt;=300000,"Yes","No"))</f>
        <v/>
      </c>
      <c r="CC459" s="37"/>
      <c r="CD459" s="36" t="str">
        <f aca="true">IF(B459="","",IF(TODAY()-B459&lt;=7,"🟢 0-7d",IF(TODAY()-B459&lt;=30,"🟡 8-30d",IF(TODAY()-B459&lt;=60,"🟠 31-60d","🔴 60d+"))))</f>
        <v/>
      </c>
      <c r="CE459" s="36" t="str">
        <f aca="false">IF(G459="","",IF(G459&lt;&gt;"USA","N/A - Not USA Role",IF(J459="Yes",IF(OR(F459="Intern",F459="New Grad"),"🟡 Possible","🟢 Strong"),IF(J459="No","🔴 Difficult","⚪ Unknown"))))</f>
        <v/>
      </c>
      <c r="CF459" s="37"/>
      <c r="CG459" s="37"/>
      <c r="CH459" s="38"/>
      <c r="CI459" s="38"/>
      <c r="CJ459" s="38"/>
      <c r="CK459" s="38"/>
    </row>
    <row r="460" customFormat="false" ht="15" hidden="false" customHeight="true" outlineLevel="0" collapsed="false">
      <c r="A460" s="26" t="str">
        <f aca="false">IF($C460="","",ROW()-3)</f>
        <v/>
      </c>
      <c r="B460" s="27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9"/>
      <c r="N460" s="29"/>
      <c r="O460" s="30" t="str">
        <f aca="false">IFERROR(IF(M460="","",M460*INDEX('00 - Lists'!$M$2:$M$11,MATCH(L460,'00 - Lists'!$L$2:$L$11,0))/100000),"")</f>
        <v/>
      </c>
      <c r="P460" s="30" t="str">
        <f aca="false">IFERROR(IF(N460="","",N460*INDEX('00 - Lists'!$M$2:$M$11,MATCH(L460,'00 - Lists'!$L$2:$L$11,0))/100000),"")</f>
        <v/>
      </c>
      <c r="Q460" s="31" t="str">
        <f aca="false">IFERROR(IF(M460="","",M460*INDEX('00 - Lists'!$N$2:$N$11,MATCH(L460,'00 - Lists'!$L$2:$L$11,0))),"")</f>
        <v/>
      </c>
      <c r="R460" s="31" t="str">
        <f aca="false">IFERROR(IF(N460="","",N460*INDEX('00 - Lists'!$N$2:$N$11,MATCH(L460,'00 - Lists'!$L$2:$L$11,0))),"")</f>
        <v/>
      </c>
      <c r="S460" s="32" t="str">
        <f aca="false">IF(O460="","",IF(O460&gt;=50,"Yes","No"))</f>
        <v/>
      </c>
      <c r="T460" s="32" t="str">
        <f aca="false">IF(Q460="","",IF(Q460&gt;=100000,"Yes","No"))</f>
        <v/>
      </c>
      <c r="U460" s="28"/>
      <c r="V460" s="28"/>
      <c r="W460" s="28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J460" s="34" t="str">
        <f aca="false">IF(OR($BD460&lt;&gt;"",$BF460&lt;&gt;"",$BH460&lt;&gt;""),"Yes","No")</f>
        <v>No</v>
      </c>
      <c r="BK460" s="35" t="str">
        <f aca="false">IFERROR(IF(BD460="","",BD460*INDEX('00 - Lists'!$M$2:$M$11,MATCH(L460,'00 - Lists'!$L$2:$L$11,0))/100000),"")</f>
        <v/>
      </c>
      <c r="BL460" s="35" t="str">
        <f aca="false">IFERROR(IF(BE460="","",BE460*INDEX('00 - Lists'!$M$2:$M$11,MATCH(L460,'00 - Lists'!$L$2:$L$11,0))/100000),"")</f>
        <v/>
      </c>
      <c r="BM460" s="35" t="str">
        <f aca="false">IFERROR(IF(BF460="","",BF460*INDEX('00 - Lists'!$M$2:$M$11,MATCH(L460,'00 - Lists'!$L$2:$L$11,0))/100000),"")</f>
        <v/>
      </c>
      <c r="BN460" s="35" t="str">
        <f aca="false">IFERROR(IF(BG460="","",BG460*INDEX('00 - Lists'!$M$2:$M$11,MATCH(L460,'00 - Lists'!$L$2:$L$11,0))/100000),"")</f>
        <v/>
      </c>
      <c r="BO460" s="35" t="str">
        <f aca="false">IFERROR(IF(BH460="","",BH460*INDEX('00 - Lists'!$M$2:$M$11,MATCH(L460,'00 - Lists'!$L$2:$L$11,0))/100000),"")</f>
        <v/>
      </c>
      <c r="BP460" s="35" t="str">
        <f aca="false">IFERROR(IF(BI460="","",BI460*INDEX('00 - Lists'!$M$2:$M$11,MATCH(L460,'00 - Lists'!$L$2:$L$11,0))/100000),"")</f>
        <v/>
      </c>
      <c r="BS460" s="36" t="str">
        <f aca="false">IF(O460="","",IF(O460&gt;=20,"Yes","No"))</f>
        <v/>
      </c>
      <c r="BT460" s="36" t="str">
        <f aca="false">IF(O460="","",IF(O460&gt;=30,"Yes","No"))</f>
        <v/>
      </c>
      <c r="BU460" s="36" t="str">
        <f aca="false">IF(O460="","",IF(O460&gt;=75,"Yes","No"))</f>
        <v/>
      </c>
      <c r="BV460" s="36" t="str">
        <f aca="false">IF(O460="","",IF(O460&gt;=100,"Yes","No"))</f>
        <v/>
      </c>
      <c r="BW460" s="36" t="str">
        <f aca="false">IF(O460="","",IF(O460&gt;=150,"Yes","No"))</f>
        <v/>
      </c>
      <c r="BX460" s="36" t="str">
        <f aca="false">IF(O460="","",IF(O460&gt;=200,"Yes","No"))</f>
        <v/>
      </c>
      <c r="BY460" s="36" t="str">
        <f aca="false">IF(Q460="","",IF(Q460&gt;=150000,"Yes","No"))</f>
        <v/>
      </c>
      <c r="BZ460" s="36" t="str">
        <f aca="false">IF(Q460="","",IF(Q460&gt;=200000,"Yes","No"))</f>
        <v/>
      </c>
      <c r="CA460" s="36" t="str">
        <f aca="false">IF(Q460="","",IF(Q460&gt;=250000,"Yes","No"))</f>
        <v/>
      </c>
      <c r="CB460" s="36" t="str">
        <f aca="false">IF(Q460="","",IF(Q460&gt;=300000,"Yes","No"))</f>
        <v/>
      </c>
      <c r="CC460" s="37"/>
      <c r="CD460" s="36" t="str">
        <f aca="true">IF(B460="","",IF(TODAY()-B460&lt;=7,"🟢 0-7d",IF(TODAY()-B460&lt;=30,"🟡 8-30d",IF(TODAY()-B460&lt;=60,"🟠 31-60d","🔴 60d+"))))</f>
        <v/>
      </c>
      <c r="CE460" s="36" t="str">
        <f aca="false">IF(G460="","",IF(G460&lt;&gt;"USA","N/A - Not USA Role",IF(J460="Yes",IF(OR(F460="Intern",F460="New Grad"),"🟡 Possible","🟢 Strong"),IF(J460="No","🔴 Difficult","⚪ Unknown"))))</f>
        <v/>
      </c>
      <c r="CF460" s="37"/>
      <c r="CG460" s="37"/>
      <c r="CH460" s="38"/>
      <c r="CI460" s="38"/>
      <c r="CJ460" s="38"/>
      <c r="CK460" s="38"/>
    </row>
    <row r="461" customFormat="false" ht="15" hidden="false" customHeight="true" outlineLevel="0" collapsed="false">
      <c r="A461" s="26" t="str">
        <f aca="false">IF($C461="","",ROW()-3)</f>
        <v/>
      </c>
      <c r="B461" s="27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9"/>
      <c r="N461" s="29"/>
      <c r="O461" s="30" t="str">
        <f aca="false">IFERROR(IF(M461="","",M461*INDEX('00 - Lists'!$M$2:$M$11,MATCH(L461,'00 - Lists'!$L$2:$L$11,0))/100000),"")</f>
        <v/>
      </c>
      <c r="P461" s="30" t="str">
        <f aca="false">IFERROR(IF(N461="","",N461*INDEX('00 - Lists'!$M$2:$M$11,MATCH(L461,'00 - Lists'!$L$2:$L$11,0))/100000),"")</f>
        <v/>
      </c>
      <c r="Q461" s="31" t="str">
        <f aca="false">IFERROR(IF(M461="","",M461*INDEX('00 - Lists'!$N$2:$N$11,MATCH(L461,'00 - Lists'!$L$2:$L$11,0))),"")</f>
        <v/>
      </c>
      <c r="R461" s="31" t="str">
        <f aca="false">IFERROR(IF(N461="","",N461*INDEX('00 - Lists'!$N$2:$N$11,MATCH(L461,'00 - Lists'!$L$2:$L$11,0))),"")</f>
        <v/>
      </c>
      <c r="S461" s="32" t="str">
        <f aca="false">IF(O461="","",IF(O461&gt;=50,"Yes","No"))</f>
        <v/>
      </c>
      <c r="T461" s="32" t="str">
        <f aca="false">IF(Q461="","",IF(Q461&gt;=100000,"Yes","No"))</f>
        <v/>
      </c>
      <c r="U461" s="28"/>
      <c r="V461" s="28"/>
      <c r="W461" s="28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J461" s="34" t="str">
        <f aca="false">IF(OR($BD461&lt;&gt;"",$BF461&lt;&gt;"",$BH461&lt;&gt;""),"Yes","No")</f>
        <v>No</v>
      </c>
      <c r="BK461" s="35" t="str">
        <f aca="false">IFERROR(IF(BD461="","",BD461*INDEX('00 - Lists'!$M$2:$M$11,MATCH(L461,'00 - Lists'!$L$2:$L$11,0))/100000),"")</f>
        <v/>
      </c>
      <c r="BL461" s="35" t="str">
        <f aca="false">IFERROR(IF(BE461="","",BE461*INDEX('00 - Lists'!$M$2:$M$11,MATCH(L461,'00 - Lists'!$L$2:$L$11,0))/100000),"")</f>
        <v/>
      </c>
      <c r="BM461" s="35" t="str">
        <f aca="false">IFERROR(IF(BF461="","",BF461*INDEX('00 - Lists'!$M$2:$M$11,MATCH(L461,'00 - Lists'!$L$2:$L$11,0))/100000),"")</f>
        <v/>
      </c>
      <c r="BN461" s="35" t="str">
        <f aca="false">IFERROR(IF(BG461="","",BG461*INDEX('00 - Lists'!$M$2:$M$11,MATCH(L461,'00 - Lists'!$L$2:$L$11,0))/100000),"")</f>
        <v/>
      </c>
      <c r="BO461" s="35" t="str">
        <f aca="false">IFERROR(IF(BH461="","",BH461*INDEX('00 - Lists'!$M$2:$M$11,MATCH(L461,'00 - Lists'!$L$2:$L$11,0))/100000),"")</f>
        <v/>
      </c>
      <c r="BP461" s="35" t="str">
        <f aca="false">IFERROR(IF(BI461="","",BI461*INDEX('00 - Lists'!$M$2:$M$11,MATCH(L461,'00 - Lists'!$L$2:$L$11,0))/100000),"")</f>
        <v/>
      </c>
      <c r="BS461" s="36" t="str">
        <f aca="false">IF(O461="","",IF(O461&gt;=20,"Yes","No"))</f>
        <v/>
      </c>
      <c r="BT461" s="36" t="str">
        <f aca="false">IF(O461="","",IF(O461&gt;=30,"Yes","No"))</f>
        <v/>
      </c>
      <c r="BU461" s="36" t="str">
        <f aca="false">IF(O461="","",IF(O461&gt;=75,"Yes","No"))</f>
        <v/>
      </c>
      <c r="BV461" s="36" t="str">
        <f aca="false">IF(O461="","",IF(O461&gt;=100,"Yes","No"))</f>
        <v/>
      </c>
      <c r="BW461" s="36" t="str">
        <f aca="false">IF(O461="","",IF(O461&gt;=150,"Yes","No"))</f>
        <v/>
      </c>
      <c r="BX461" s="36" t="str">
        <f aca="false">IF(O461="","",IF(O461&gt;=200,"Yes","No"))</f>
        <v/>
      </c>
      <c r="BY461" s="36" t="str">
        <f aca="false">IF(Q461="","",IF(Q461&gt;=150000,"Yes","No"))</f>
        <v/>
      </c>
      <c r="BZ461" s="36" t="str">
        <f aca="false">IF(Q461="","",IF(Q461&gt;=200000,"Yes","No"))</f>
        <v/>
      </c>
      <c r="CA461" s="36" t="str">
        <f aca="false">IF(Q461="","",IF(Q461&gt;=250000,"Yes","No"))</f>
        <v/>
      </c>
      <c r="CB461" s="36" t="str">
        <f aca="false">IF(Q461="","",IF(Q461&gt;=300000,"Yes","No"))</f>
        <v/>
      </c>
      <c r="CC461" s="37"/>
      <c r="CD461" s="36" t="str">
        <f aca="true">IF(B461="","",IF(TODAY()-B461&lt;=7,"🟢 0-7d",IF(TODAY()-B461&lt;=30,"🟡 8-30d",IF(TODAY()-B461&lt;=60,"🟠 31-60d","🔴 60d+"))))</f>
        <v/>
      </c>
      <c r="CE461" s="36" t="str">
        <f aca="false">IF(G461="","",IF(G461&lt;&gt;"USA","N/A - Not USA Role",IF(J461="Yes",IF(OR(F461="Intern",F461="New Grad"),"🟡 Possible","🟢 Strong"),IF(J461="No","🔴 Difficult","⚪ Unknown"))))</f>
        <v/>
      </c>
      <c r="CF461" s="37"/>
      <c r="CG461" s="37"/>
      <c r="CH461" s="38"/>
      <c r="CI461" s="38"/>
      <c r="CJ461" s="38"/>
      <c r="CK461" s="38"/>
    </row>
    <row r="462" customFormat="false" ht="15" hidden="false" customHeight="true" outlineLevel="0" collapsed="false">
      <c r="A462" s="26" t="str">
        <f aca="false">IF($C462="","",ROW()-3)</f>
        <v/>
      </c>
      <c r="B462" s="27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9"/>
      <c r="N462" s="29"/>
      <c r="O462" s="30" t="str">
        <f aca="false">IFERROR(IF(M462="","",M462*INDEX('00 - Lists'!$M$2:$M$11,MATCH(L462,'00 - Lists'!$L$2:$L$11,0))/100000),"")</f>
        <v/>
      </c>
      <c r="P462" s="30" t="str">
        <f aca="false">IFERROR(IF(N462="","",N462*INDEX('00 - Lists'!$M$2:$M$11,MATCH(L462,'00 - Lists'!$L$2:$L$11,0))/100000),"")</f>
        <v/>
      </c>
      <c r="Q462" s="31" t="str">
        <f aca="false">IFERROR(IF(M462="","",M462*INDEX('00 - Lists'!$N$2:$N$11,MATCH(L462,'00 - Lists'!$L$2:$L$11,0))),"")</f>
        <v/>
      </c>
      <c r="R462" s="31" t="str">
        <f aca="false">IFERROR(IF(N462="","",N462*INDEX('00 - Lists'!$N$2:$N$11,MATCH(L462,'00 - Lists'!$L$2:$L$11,0))),"")</f>
        <v/>
      </c>
      <c r="S462" s="32" t="str">
        <f aca="false">IF(O462="","",IF(O462&gt;=50,"Yes","No"))</f>
        <v/>
      </c>
      <c r="T462" s="32" t="str">
        <f aca="false">IF(Q462="","",IF(Q462&gt;=100000,"Yes","No"))</f>
        <v/>
      </c>
      <c r="U462" s="28"/>
      <c r="V462" s="28"/>
      <c r="W462" s="28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J462" s="34" t="str">
        <f aca="false">IF(OR($BD462&lt;&gt;"",$BF462&lt;&gt;"",$BH462&lt;&gt;""),"Yes","No")</f>
        <v>No</v>
      </c>
      <c r="BK462" s="35" t="str">
        <f aca="false">IFERROR(IF(BD462="","",BD462*INDEX('00 - Lists'!$M$2:$M$11,MATCH(L462,'00 - Lists'!$L$2:$L$11,0))/100000),"")</f>
        <v/>
      </c>
      <c r="BL462" s="35" t="str">
        <f aca="false">IFERROR(IF(BE462="","",BE462*INDEX('00 - Lists'!$M$2:$M$11,MATCH(L462,'00 - Lists'!$L$2:$L$11,0))/100000),"")</f>
        <v/>
      </c>
      <c r="BM462" s="35" t="str">
        <f aca="false">IFERROR(IF(BF462="","",BF462*INDEX('00 - Lists'!$M$2:$M$11,MATCH(L462,'00 - Lists'!$L$2:$L$11,0))/100000),"")</f>
        <v/>
      </c>
      <c r="BN462" s="35" t="str">
        <f aca="false">IFERROR(IF(BG462="","",BG462*INDEX('00 - Lists'!$M$2:$M$11,MATCH(L462,'00 - Lists'!$L$2:$L$11,0))/100000),"")</f>
        <v/>
      </c>
      <c r="BO462" s="35" t="str">
        <f aca="false">IFERROR(IF(BH462="","",BH462*INDEX('00 - Lists'!$M$2:$M$11,MATCH(L462,'00 - Lists'!$L$2:$L$11,0))/100000),"")</f>
        <v/>
      </c>
      <c r="BP462" s="35" t="str">
        <f aca="false">IFERROR(IF(BI462="","",BI462*INDEX('00 - Lists'!$M$2:$M$11,MATCH(L462,'00 - Lists'!$L$2:$L$11,0))/100000),"")</f>
        <v/>
      </c>
      <c r="BS462" s="36" t="str">
        <f aca="false">IF(O462="","",IF(O462&gt;=20,"Yes","No"))</f>
        <v/>
      </c>
      <c r="BT462" s="36" t="str">
        <f aca="false">IF(O462="","",IF(O462&gt;=30,"Yes","No"))</f>
        <v/>
      </c>
      <c r="BU462" s="36" t="str">
        <f aca="false">IF(O462="","",IF(O462&gt;=75,"Yes","No"))</f>
        <v/>
      </c>
      <c r="BV462" s="36" t="str">
        <f aca="false">IF(O462="","",IF(O462&gt;=100,"Yes","No"))</f>
        <v/>
      </c>
      <c r="BW462" s="36" t="str">
        <f aca="false">IF(O462="","",IF(O462&gt;=150,"Yes","No"))</f>
        <v/>
      </c>
      <c r="BX462" s="36" t="str">
        <f aca="false">IF(O462="","",IF(O462&gt;=200,"Yes","No"))</f>
        <v/>
      </c>
      <c r="BY462" s="36" t="str">
        <f aca="false">IF(Q462="","",IF(Q462&gt;=150000,"Yes","No"))</f>
        <v/>
      </c>
      <c r="BZ462" s="36" t="str">
        <f aca="false">IF(Q462="","",IF(Q462&gt;=200000,"Yes","No"))</f>
        <v/>
      </c>
      <c r="CA462" s="36" t="str">
        <f aca="false">IF(Q462="","",IF(Q462&gt;=250000,"Yes","No"))</f>
        <v/>
      </c>
      <c r="CB462" s="36" t="str">
        <f aca="false">IF(Q462="","",IF(Q462&gt;=300000,"Yes","No"))</f>
        <v/>
      </c>
      <c r="CC462" s="37"/>
      <c r="CD462" s="36" t="str">
        <f aca="true">IF(B462="","",IF(TODAY()-B462&lt;=7,"🟢 0-7d",IF(TODAY()-B462&lt;=30,"🟡 8-30d",IF(TODAY()-B462&lt;=60,"🟠 31-60d","🔴 60d+"))))</f>
        <v/>
      </c>
      <c r="CE462" s="36" t="str">
        <f aca="false">IF(G462="","",IF(G462&lt;&gt;"USA","N/A - Not USA Role",IF(J462="Yes",IF(OR(F462="Intern",F462="New Grad"),"🟡 Possible","🟢 Strong"),IF(J462="No","🔴 Difficult","⚪ Unknown"))))</f>
        <v/>
      </c>
      <c r="CF462" s="37"/>
      <c r="CG462" s="37"/>
      <c r="CH462" s="38"/>
      <c r="CI462" s="38"/>
      <c r="CJ462" s="38"/>
      <c r="CK462" s="38"/>
    </row>
    <row r="463" customFormat="false" ht="15" hidden="false" customHeight="true" outlineLevel="0" collapsed="false">
      <c r="A463" s="26" t="str">
        <f aca="false">IF($C463="","",ROW()-3)</f>
        <v/>
      </c>
      <c r="B463" s="27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9"/>
      <c r="N463" s="29"/>
      <c r="O463" s="30" t="str">
        <f aca="false">IFERROR(IF(M463="","",M463*INDEX('00 - Lists'!$M$2:$M$11,MATCH(L463,'00 - Lists'!$L$2:$L$11,0))/100000),"")</f>
        <v/>
      </c>
      <c r="P463" s="30" t="str">
        <f aca="false">IFERROR(IF(N463="","",N463*INDEX('00 - Lists'!$M$2:$M$11,MATCH(L463,'00 - Lists'!$L$2:$L$11,0))/100000),"")</f>
        <v/>
      </c>
      <c r="Q463" s="31" t="str">
        <f aca="false">IFERROR(IF(M463="","",M463*INDEX('00 - Lists'!$N$2:$N$11,MATCH(L463,'00 - Lists'!$L$2:$L$11,0))),"")</f>
        <v/>
      </c>
      <c r="R463" s="31" t="str">
        <f aca="false">IFERROR(IF(N463="","",N463*INDEX('00 - Lists'!$N$2:$N$11,MATCH(L463,'00 - Lists'!$L$2:$L$11,0))),"")</f>
        <v/>
      </c>
      <c r="S463" s="32" t="str">
        <f aca="false">IF(O463="","",IF(O463&gt;=50,"Yes","No"))</f>
        <v/>
      </c>
      <c r="T463" s="32" t="str">
        <f aca="false">IF(Q463="","",IF(Q463&gt;=100000,"Yes","No"))</f>
        <v/>
      </c>
      <c r="U463" s="28"/>
      <c r="V463" s="28"/>
      <c r="W463" s="28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J463" s="34" t="str">
        <f aca="false">IF(OR($BD463&lt;&gt;"",$BF463&lt;&gt;"",$BH463&lt;&gt;""),"Yes","No")</f>
        <v>No</v>
      </c>
      <c r="BK463" s="35" t="str">
        <f aca="false">IFERROR(IF(BD463="","",BD463*INDEX('00 - Lists'!$M$2:$M$11,MATCH(L463,'00 - Lists'!$L$2:$L$11,0))/100000),"")</f>
        <v/>
      </c>
      <c r="BL463" s="35" t="str">
        <f aca="false">IFERROR(IF(BE463="","",BE463*INDEX('00 - Lists'!$M$2:$M$11,MATCH(L463,'00 - Lists'!$L$2:$L$11,0))/100000),"")</f>
        <v/>
      </c>
      <c r="BM463" s="35" t="str">
        <f aca="false">IFERROR(IF(BF463="","",BF463*INDEX('00 - Lists'!$M$2:$M$11,MATCH(L463,'00 - Lists'!$L$2:$L$11,0))/100000),"")</f>
        <v/>
      </c>
      <c r="BN463" s="35" t="str">
        <f aca="false">IFERROR(IF(BG463="","",BG463*INDEX('00 - Lists'!$M$2:$M$11,MATCH(L463,'00 - Lists'!$L$2:$L$11,0))/100000),"")</f>
        <v/>
      </c>
      <c r="BO463" s="35" t="str">
        <f aca="false">IFERROR(IF(BH463="","",BH463*INDEX('00 - Lists'!$M$2:$M$11,MATCH(L463,'00 - Lists'!$L$2:$L$11,0))/100000),"")</f>
        <v/>
      </c>
      <c r="BP463" s="35" t="str">
        <f aca="false">IFERROR(IF(BI463="","",BI463*INDEX('00 - Lists'!$M$2:$M$11,MATCH(L463,'00 - Lists'!$L$2:$L$11,0))/100000),"")</f>
        <v/>
      </c>
      <c r="BS463" s="36" t="str">
        <f aca="false">IF(O463="","",IF(O463&gt;=20,"Yes","No"))</f>
        <v/>
      </c>
      <c r="BT463" s="36" t="str">
        <f aca="false">IF(O463="","",IF(O463&gt;=30,"Yes","No"))</f>
        <v/>
      </c>
      <c r="BU463" s="36" t="str">
        <f aca="false">IF(O463="","",IF(O463&gt;=75,"Yes","No"))</f>
        <v/>
      </c>
      <c r="BV463" s="36" t="str">
        <f aca="false">IF(O463="","",IF(O463&gt;=100,"Yes","No"))</f>
        <v/>
      </c>
      <c r="BW463" s="36" t="str">
        <f aca="false">IF(O463="","",IF(O463&gt;=150,"Yes","No"))</f>
        <v/>
      </c>
      <c r="BX463" s="36" t="str">
        <f aca="false">IF(O463="","",IF(O463&gt;=200,"Yes","No"))</f>
        <v/>
      </c>
      <c r="BY463" s="36" t="str">
        <f aca="false">IF(Q463="","",IF(Q463&gt;=150000,"Yes","No"))</f>
        <v/>
      </c>
      <c r="BZ463" s="36" t="str">
        <f aca="false">IF(Q463="","",IF(Q463&gt;=200000,"Yes","No"))</f>
        <v/>
      </c>
      <c r="CA463" s="36" t="str">
        <f aca="false">IF(Q463="","",IF(Q463&gt;=250000,"Yes","No"))</f>
        <v/>
      </c>
      <c r="CB463" s="36" t="str">
        <f aca="false">IF(Q463="","",IF(Q463&gt;=300000,"Yes","No"))</f>
        <v/>
      </c>
      <c r="CC463" s="37"/>
      <c r="CD463" s="36" t="str">
        <f aca="true">IF(B463="","",IF(TODAY()-B463&lt;=7,"🟢 0-7d",IF(TODAY()-B463&lt;=30,"🟡 8-30d",IF(TODAY()-B463&lt;=60,"🟠 31-60d","🔴 60d+"))))</f>
        <v/>
      </c>
      <c r="CE463" s="36" t="str">
        <f aca="false">IF(G463="","",IF(G463&lt;&gt;"USA","N/A - Not USA Role",IF(J463="Yes",IF(OR(F463="Intern",F463="New Grad"),"🟡 Possible","🟢 Strong"),IF(J463="No","🔴 Difficult","⚪ Unknown"))))</f>
        <v/>
      </c>
      <c r="CF463" s="37"/>
      <c r="CG463" s="37"/>
      <c r="CH463" s="38"/>
      <c r="CI463" s="38"/>
      <c r="CJ463" s="38"/>
      <c r="CK463" s="38"/>
    </row>
    <row r="464" customFormat="false" ht="15" hidden="false" customHeight="true" outlineLevel="0" collapsed="false">
      <c r="A464" s="26" t="str">
        <f aca="false">IF($C464="","",ROW()-3)</f>
        <v/>
      </c>
      <c r="B464" s="27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9"/>
      <c r="N464" s="29"/>
      <c r="O464" s="30" t="str">
        <f aca="false">IFERROR(IF(M464="","",M464*INDEX('00 - Lists'!$M$2:$M$11,MATCH(L464,'00 - Lists'!$L$2:$L$11,0))/100000),"")</f>
        <v/>
      </c>
      <c r="P464" s="30" t="str">
        <f aca="false">IFERROR(IF(N464="","",N464*INDEX('00 - Lists'!$M$2:$M$11,MATCH(L464,'00 - Lists'!$L$2:$L$11,0))/100000),"")</f>
        <v/>
      </c>
      <c r="Q464" s="31" t="str">
        <f aca="false">IFERROR(IF(M464="","",M464*INDEX('00 - Lists'!$N$2:$N$11,MATCH(L464,'00 - Lists'!$L$2:$L$11,0))),"")</f>
        <v/>
      </c>
      <c r="R464" s="31" t="str">
        <f aca="false">IFERROR(IF(N464="","",N464*INDEX('00 - Lists'!$N$2:$N$11,MATCH(L464,'00 - Lists'!$L$2:$L$11,0))),"")</f>
        <v/>
      </c>
      <c r="S464" s="32" t="str">
        <f aca="false">IF(O464="","",IF(O464&gt;=50,"Yes","No"))</f>
        <v/>
      </c>
      <c r="T464" s="32" t="str">
        <f aca="false">IF(Q464="","",IF(Q464&gt;=100000,"Yes","No"))</f>
        <v/>
      </c>
      <c r="U464" s="28"/>
      <c r="V464" s="28"/>
      <c r="W464" s="28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J464" s="34" t="str">
        <f aca="false">IF(OR($BD464&lt;&gt;"",$BF464&lt;&gt;"",$BH464&lt;&gt;""),"Yes","No")</f>
        <v>No</v>
      </c>
      <c r="BK464" s="35" t="str">
        <f aca="false">IFERROR(IF(BD464="","",BD464*INDEX('00 - Lists'!$M$2:$M$11,MATCH(L464,'00 - Lists'!$L$2:$L$11,0))/100000),"")</f>
        <v/>
      </c>
      <c r="BL464" s="35" t="str">
        <f aca="false">IFERROR(IF(BE464="","",BE464*INDEX('00 - Lists'!$M$2:$M$11,MATCH(L464,'00 - Lists'!$L$2:$L$11,0))/100000),"")</f>
        <v/>
      </c>
      <c r="BM464" s="35" t="str">
        <f aca="false">IFERROR(IF(BF464="","",BF464*INDEX('00 - Lists'!$M$2:$M$11,MATCH(L464,'00 - Lists'!$L$2:$L$11,0))/100000),"")</f>
        <v/>
      </c>
      <c r="BN464" s="35" t="str">
        <f aca="false">IFERROR(IF(BG464="","",BG464*INDEX('00 - Lists'!$M$2:$M$11,MATCH(L464,'00 - Lists'!$L$2:$L$11,0))/100000),"")</f>
        <v/>
      </c>
      <c r="BO464" s="35" t="str">
        <f aca="false">IFERROR(IF(BH464="","",BH464*INDEX('00 - Lists'!$M$2:$M$11,MATCH(L464,'00 - Lists'!$L$2:$L$11,0))/100000),"")</f>
        <v/>
      </c>
      <c r="BP464" s="35" t="str">
        <f aca="false">IFERROR(IF(BI464="","",BI464*INDEX('00 - Lists'!$M$2:$M$11,MATCH(L464,'00 - Lists'!$L$2:$L$11,0))/100000),"")</f>
        <v/>
      </c>
      <c r="BS464" s="36" t="str">
        <f aca="false">IF(O464="","",IF(O464&gt;=20,"Yes","No"))</f>
        <v/>
      </c>
      <c r="BT464" s="36" t="str">
        <f aca="false">IF(O464="","",IF(O464&gt;=30,"Yes","No"))</f>
        <v/>
      </c>
      <c r="BU464" s="36" t="str">
        <f aca="false">IF(O464="","",IF(O464&gt;=75,"Yes","No"))</f>
        <v/>
      </c>
      <c r="BV464" s="36" t="str">
        <f aca="false">IF(O464="","",IF(O464&gt;=100,"Yes","No"))</f>
        <v/>
      </c>
      <c r="BW464" s="36" t="str">
        <f aca="false">IF(O464="","",IF(O464&gt;=150,"Yes","No"))</f>
        <v/>
      </c>
      <c r="BX464" s="36" t="str">
        <f aca="false">IF(O464="","",IF(O464&gt;=200,"Yes","No"))</f>
        <v/>
      </c>
      <c r="BY464" s="36" t="str">
        <f aca="false">IF(Q464="","",IF(Q464&gt;=150000,"Yes","No"))</f>
        <v/>
      </c>
      <c r="BZ464" s="36" t="str">
        <f aca="false">IF(Q464="","",IF(Q464&gt;=200000,"Yes","No"))</f>
        <v/>
      </c>
      <c r="CA464" s="36" t="str">
        <f aca="false">IF(Q464="","",IF(Q464&gt;=250000,"Yes","No"))</f>
        <v/>
      </c>
      <c r="CB464" s="36" t="str">
        <f aca="false">IF(Q464="","",IF(Q464&gt;=300000,"Yes","No"))</f>
        <v/>
      </c>
      <c r="CC464" s="37"/>
      <c r="CD464" s="36" t="str">
        <f aca="true">IF(B464="","",IF(TODAY()-B464&lt;=7,"🟢 0-7d",IF(TODAY()-B464&lt;=30,"🟡 8-30d",IF(TODAY()-B464&lt;=60,"🟠 31-60d","🔴 60d+"))))</f>
        <v/>
      </c>
      <c r="CE464" s="36" t="str">
        <f aca="false">IF(G464="","",IF(G464&lt;&gt;"USA","N/A - Not USA Role",IF(J464="Yes",IF(OR(F464="Intern",F464="New Grad"),"🟡 Possible","🟢 Strong"),IF(J464="No","🔴 Difficult","⚪ Unknown"))))</f>
        <v/>
      </c>
      <c r="CF464" s="37"/>
      <c r="CG464" s="37"/>
      <c r="CH464" s="38"/>
      <c r="CI464" s="38"/>
      <c r="CJ464" s="38"/>
      <c r="CK464" s="38"/>
    </row>
    <row r="465" customFormat="false" ht="15" hidden="false" customHeight="true" outlineLevel="0" collapsed="false">
      <c r="A465" s="26" t="str">
        <f aca="false">IF($C465="","",ROW()-3)</f>
        <v/>
      </c>
      <c r="B465" s="27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9"/>
      <c r="N465" s="29"/>
      <c r="O465" s="30" t="str">
        <f aca="false">IFERROR(IF(M465="","",M465*INDEX('00 - Lists'!$M$2:$M$11,MATCH(L465,'00 - Lists'!$L$2:$L$11,0))/100000),"")</f>
        <v/>
      </c>
      <c r="P465" s="30" t="str">
        <f aca="false">IFERROR(IF(N465="","",N465*INDEX('00 - Lists'!$M$2:$M$11,MATCH(L465,'00 - Lists'!$L$2:$L$11,0))/100000),"")</f>
        <v/>
      </c>
      <c r="Q465" s="31" t="str">
        <f aca="false">IFERROR(IF(M465="","",M465*INDEX('00 - Lists'!$N$2:$N$11,MATCH(L465,'00 - Lists'!$L$2:$L$11,0))),"")</f>
        <v/>
      </c>
      <c r="R465" s="31" t="str">
        <f aca="false">IFERROR(IF(N465="","",N465*INDEX('00 - Lists'!$N$2:$N$11,MATCH(L465,'00 - Lists'!$L$2:$L$11,0))),"")</f>
        <v/>
      </c>
      <c r="S465" s="32" t="str">
        <f aca="false">IF(O465="","",IF(O465&gt;=50,"Yes","No"))</f>
        <v/>
      </c>
      <c r="T465" s="32" t="str">
        <f aca="false">IF(Q465="","",IF(Q465&gt;=100000,"Yes","No"))</f>
        <v/>
      </c>
      <c r="U465" s="28"/>
      <c r="V465" s="28"/>
      <c r="W465" s="28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J465" s="34" t="str">
        <f aca="false">IF(OR($BD465&lt;&gt;"",$BF465&lt;&gt;"",$BH465&lt;&gt;""),"Yes","No")</f>
        <v>No</v>
      </c>
      <c r="BK465" s="35" t="str">
        <f aca="false">IFERROR(IF(BD465="","",BD465*INDEX('00 - Lists'!$M$2:$M$11,MATCH(L465,'00 - Lists'!$L$2:$L$11,0))/100000),"")</f>
        <v/>
      </c>
      <c r="BL465" s="35" t="str">
        <f aca="false">IFERROR(IF(BE465="","",BE465*INDEX('00 - Lists'!$M$2:$M$11,MATCH(L465,'00 - Lists'!$L$2:$L$11,0))/100000),"")</f>
        <v/>
      </c>
      <c r="BM465" s="35" t="str">
        <f aca="false">IFERROR(IF(BF465="","",BF465*INDEX('00 - Lists'!$M$2:$M$11,MATCH(L465,'00 - Lists'!$L$2:$L$11,0))/100000),"")</f>
        <v/>
      </c>
      <c r="BN465" s="35" t="str">
        <f aca="false">IFERROR(IF(BG465="","",BG465*INDEX('00 - Lists'!$M$2:$M$11,MATCH(L465,'00 - Lists'!$L$2:$L$11,0))/100000),"")</f>
        <v/>
      </c>
      <c r="BO465" s="35" t="str">
        <f aca="false">IFERROR(IF(BH465="","",BH465*INDEX('00 - Lists'!$M$2:$M$11,MATCH(L465,'00 - Lists'!$L$2:$L$11,0))/100000),"")</f>
        <v/>
      </c>
      <c r="BP465" s="35" t="str">
        <f aca="false">IFERROR(IF(BI465="","",BI465*INDEX('00 - Lists'!$M$2:$M$11,MATCH(L465,'00 - Lists'!$L$2:$L$11,0))/100000),"")</f>
        <v/>
      </c>
      <c r="BS465" s="36" t="str">
        <f aca="false">IF(O465="","",IF(O465&gt;=20,"Yes","No"))</f>
        <v/>
      </c>
      <c r="BT465" s="36" t="str">
        <f aca="false">IF(O465="","",IF(O465&gt;=30,"Yes","No"))</f>
        <v/>
      </c>
      <c r="BU465" s="36" t="str">
        <f aca="false">IF(O465="","",IF(O465&gt;=75,"Yes","No"))</f>
        <v/>
      </c>
      <c r="BV465" s="36" t="str">
        <f aca="false">IF(O465="","",IF(O465&gt;=100,"Yes","No"))</f>
        <v/>
      </c>
      <c r="BW465" s="36" t="str">
        <f aca="false">IF(O465="","",IF(O465&gt;=150,"Yes","No"))</f>
        <v/>
      </c>
      <c r="BX465" s="36" t="str">
        <f aca="false">IF(O465="","",IF(O465&gt;=200,"Yes","No"))</f>
        <v/>
      </c>
      <c r="BY465" s="36" t="str">
        <f aca="false">IF(Q465="","",IF(Q465&gt;=150000,"Yes","No"))</f>
        <v/>
      </c>
      <c r="BZ465" s="36" t="str">
        <f aca="false">IF(Q465="","",IF(Q465&gt;=200000,"Yes","No"))</f>
        <v/>
      </c>
      <c r="CA465" s="36" t="str">
        <f aca="false">IF(Q465="","",IF(Q465&gt;=250000,"Yes","No"))</f>
        <v/>
      </c>
      <c r="CB465" s="36" t="str">
        <f aca="false">IF(Q465="","",IF(Q465&gt;=300000,"Yes","No"))</f>
        <v/>
      </c>
      <c r="CC465" s="37"/>
      <c r="CD465" s="36" t="str">
        <f aca="true">IF(B465="","",IF(TODAY()-B465&lt;=7,"🟢 0-7d",IF(TODAY()-B465&lt;=30,"🟡 8-30d",IF(TODAY()-B465&lt;=60,"🟠 31-60d","🔴 60d+"))))</f>
        <v/>
      </c>
      <c r="CE465" s="36" t="str">
        <f aca="false">IF(G465="","",IF(G465&lt;&gt;"USA","N/A - Not USA Role",IF(J465="Yes",IF(OR(F465="Intern",F465="New Grad"),"🟡 Possible","🟢 Strong"),IF(J465="No","🔴 Difficult","⚪ Unknown"))))</f>
        <v/>
      </c>
      <c r="CF465" s="37"/>
      <c r="CG465" s="37"/>
      <c r="CH465" s="38"/>
      <c r="CI465" s="38"/>
      <c r="CJ465" s="38"/>
      <c r="CK465" s="38"/>
    </row>
    <row r="466" customFormat="false" ht="15" hidden="false" customHeight="true" outlineLevel="0" collapsed="false">
      <c r="A466" s="26" t="str">
        <f aca="false">IF($C466="","",ROW()-3)</f>
        <v/>
      </c>
      <c r="B466" s="27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9"/>
      <c r="N466" s="29"/>
      <c r="O466" s="30" t="str">
        <f aca="false">IFERROR(IF(M466="","",M466*INDEX('00 - Lists'!$M$2:$M$11,MATCH(L466,'00 - Lists'!$L$2:$L$11,0))/100000),"")</f>
        <v/>
      </c>
      <c r="P466" s="30" t="str">
        <f aca="false">IFERROR(IF(N466="","",N466*INDEX('00 - Lists'!$M$2:$M$11,MATCH(L466,'00 - Lists'!$L$2:$L$11,0))/100000),"")</f>
        <v/>
      </c>
      <c r="Q466" s="31" t="str">
        <f aca="false">IFERROR(IF(M466="","",M466*INDEX('00 - Lists'!$N$2:$N$11,MATCH(L466,'00 - Lists'!$L$2:$L$11,0))),"")</f>
        <v/>
      </c>
      <c r="R466" s="31" t="str">
        <f aca="false">IFERROR(IF(N466="","",N466*INDEX('00 - Lists'!$N$2:$N$11,MATCH(L466,'00 - Lists'!$L$2:$L$11,0))),"")</f>
        <v/>
      </c>
      <c r="S466" s="32" t="str">
        <f aca="false">IF(O466="","",IF(O466&gt;=50,"Yes","No"))</f>
        <v/>
      </c>
      <c r="T466" s="32" t="str">
        <f aca="false">IF(Q466="","",IF(Q466&gt;=100000,"Yes","No"))</f>
        <v/>
      </c>
      <c r="U466" s="28"/>
      <c r="V466" s="28"/>
      <c r="W466" s="28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J466" s="34" t="str">
        <f aca="false">IF(OR($BD466&lt;&gt;"",$BF466&lt;&gt;"",$BH466&lt;&gt;""),"Yes","No")</f>
        <v>No</v>
      </c>
      <c r="BK466" s="35" t="str">
        <f aca="false">IFERROR(IF(BD466="","",BD466*INDEX('00 - Lists'!$M$2:$M$11,MATCH(L466,'00 - Lists'!$L$2:$L$11,0))/100000),"")</f>
        <v/>
      </c>
      <c r="BL466" s="35" t="str">
        <f aca="false">IFERROR(IF(BE466="","",BE466*INDEX('00 - Lists'!$M$2:$M$11,MATCH(L466,'00 - Lists'!$L$2:$L$11,0))/100000),"")</f>
        <v/>
      </c>
      <c r="BM466" s="35" t="str">
        <f aca="false">IFERROR(IF(BF466="","",BF466*INDEX('00 - Lists'!$M$2:$M$11,MATCH(L466,'00 - Lists'!$L$2:$L$11,0))/100000),"")</f>
        <v/>
      </c>
      <c r="BN466" s="35" t="str">
        <f aca="false">IFERROR(IF(BG466="","",BG466*INDEX('00 - Lists'!$M$2:$M$11,MATCH(L466,'00 - Lists'!$L$2:$L$11,0))/100000),"")</f>
        <v/>
      </c>
      <c r="BO466" s="35" t="str">
        <f aca="false">IFERROR(IF(BH466="","",BH466*INDEX('00 - Lists'!$M$2:$M$11,MATCH(L466,'00 - Lists'!$L$2:$L$11,0))/100000),"")</f>
        <v/>
      </c>
      <c r="BP466" s="35" t="str">
        <f aca="false">IFERROR(IF(BI466="","",BI466*INDEX('00 - Lists'!$M$2:$M$11,MATCH(L466,'00 - Lists'!$L$2:$L$11,0))/100000),"")</f>
        <v/>
      </c>
      <c r="BS466" s="36" t="str">
        <f aca="false">IF(O466="","",IF(O466&gt;=20,"Yes","No"))</f>
        <v/>
      </c>
      <c r="BT466" s="36" t="str">
        <f aca="false">IF(O466="","",IF(O466&gt;=30,"Yes","No"))</f>
        <v/>
      </c>
      <c r="BU466" s="36" t="str">
        <f aca="false">IF(O466="","",IF(O466&gt;=75,"Yes","No"))</f>
        <v/>
      </c>
      <c r="BV466" s="36" t="str">
        <f aca="false">IF(O466="","",IF(O466&gt;=100,"Yes","No"))</f>
        <v/>
      </c>
      <c r="BW466" s="36" t="str">
        <f aca="false">IF(O466="","",IF(O466&gt;=150,"Yes","No"))</f>
        <v/>
      </c>
      <c r="BX466" s="36" t="str">
        <f aca="false">IF(O466="","",IF(O466&gt;=200,"Yes","No"))</f>
        <v/>
      </c>
      <c r="BY466" s="36" t="str">
        <f aca="false">IF(Q466="","",IF(Q466&gt;=150000,"Yes","No"))</f>
        <v/>
      </c>
      <c r="BZ466" s="36" t="str">
        <f aca="false">IF(Q466="","",IF(Q466&gt;=200000,"Yes","No"))</f>
        <v/>
      </c>
      <c r="CA466" s="36" t="str">
        <f aca="false">IF(Q466="","",IF(Q466&gt;=250000,"Yes","No"))</f>
        <v/>
      </c>
      <c r="CB466" s="36" t="str">
        <f aca="false">IF(Q466="","",IF(Q466&gt;=300000,"Yes","No"))</f>
        <v/>
      </c>
      <c r="CC466" s="37"/>
      <c r="CD466" s="36" t="str">
        <f aca="true">IF(B466="","",IF(TODAY()-B466&lt;=7,"🟢 0-7d",IF(TODAY()-B466&lt;=30,"🟡 8-30d",IF(TODAY()-B466&lt;=60,"🟠 31-60d","🔴 60d+"))))</f>
        <v/>
      </c>
      <c r="CE466" s="36" t="str">
        <f aca="false">IF(G466="","",IF(G466&lt;&gt;"USA","N/A - Not USA Role",IF(J466="Yes",IF(OR(F466="Intern",F466="New Grad"),"🟡 Possible","🟢 Strong"),IF(J466="No","🔴 Difficult","⚪ Unknown"))))</f>
        <v/>
      </c>
      <c r="CF466" s="37"/>
      <c r="CG466" s="37"/>
      <c r="CH466" s="38"/>
      <c r="CI466" s="38"/>
      <c r="CJ466" s="38"/>
      <c r="CK466" s="38"/>
    </row>
    <row r="467" customFormat="false" ht="15" hidden="false" customHeight="true" outlineLevel="0" collapsed="false">
      <c r="A467" s="26" t="str">
        <f aca="false">IF($C467="","",ROW()-3)</f>
        <v/>
      </c>
      <c r="B467" s="27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9"/>
      <c r="N467" s="29"/>
      <c r="O467" s="30" t="str">
        <f aca="false">IFERROR(IF(M467="","",M467*INDEX('00 - Lists'!$M$2:$M$11,MATCH(L467,'00 - Lists'!$L$2:$L$11,0))/100000),"")</f>
        <v/>
      </c>
      <c r="P467" s="30" t="str">
        <f aca="false">IFERROR(IF(N467="","",N467*INDEX('00 - Lists'!$M$2:$M$11,MATCH(L467,'00 - Lists'!$L$2:$L$11,0))/100000),"")</f>
        <v/>
      </c>
      <c r="Q467" s="31" t="str">
        <f aca="false">IFERROR(IF(M467="","",M467*INDEX('00 - Lists'!$N$2:$N$11,MATCH(L467,'00 - Lists'!$L$2:$L$11,0))),"")</f>
        <v/>
      </c>
      <c r="R467" s="31" t="str">
        <f aca="false">IFERROR(IF(N467="","",N467*INDEX('00 - Lists'!$N$2:$N$11,MATCH(L467,'00 - Lists'!$L$2:$L$11,0))),"")</f>
        <v/>
      </c>
      <c r="S467" s="32" t="str">
        <f aca="false">IF(O467="","",IF(O467&gt;=50,"Yes","No"))</f>
        <v/>
      </c>
      <c r="T467" s="32" t="str">
        <f aca="false">IF(Q467="","",IF(Q467&gt;=100000,"Yes","No"))</f>
        <v/>
      </c>
      <c r="U467" s="28"/>
      <c r="V467" s="28"/>
      <c r="W467" s="28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J467" s="34" t="str">
        <f aca="false">IF(OR($BD467&lt;&gt;"",$BF467&lt;&gt;"",$BH467&lt;&gt;""),"Yes","No")</f>
        <v>No</v>
      </c>
      <c r="BK467" s="35" t="str">
        <f aca="false">IFERROR(IF(BD467="","",BD467*INDEX('00 - Lists'!$M$2:$M$11,MATCH(L467,'00 - Lists'!$L$2:$L$11,0))/100000),"")</f>
        <v/>
      </c>
      <c r="BL467" s="35" t="str">
        <f aca="false">IFERROR(IF(BE467="","",BE467*INDEX('00 - Lists'!$M$2:$M$11,MATCH(L467,'00 - Lists'!$L$2:$L$11,0))/100000),"")</f>
        <v/>
      </c>
      <c r="BM467" s="35" t="str">
        <f aca="false">IFERROR(IF(BF467="","",BF467*INDEX('00 - Lists'!$M$2:$M$11,MATCH(L467,'00 - Lists'!$L$2:$L$11,0))/100000),"")</f>
        <v/>
      </c>
      <c r="BN467" s="35" t="str">
        <f aca="false">IFERROR(IF(BG467="","",BG467*INDEX('00 - Lists'!$M$2:$M$11,MATCH(L467,'00 - Lists'!$L$2:$L$11,0))/100000),"")</f>
        <v/>
      </c>
      <c r="BO467" s="35" t="str">
        <f aca="false">IFERROR(IF(BH467="","",BH467*INDEX('00 - Lists'!$M$2:$M$11,MATCH(L467,'00 - Lists'!$L$2:$L$11,0))/100000),"")</f>
        <v/>
      </c>
      <c r="BP467" s="35" t="str">
        <f aca="false">IFERROR(IF(BI467="","",BI467*INDEX('00 - Lists'!$M$2:$M$11,MATCH(L467,'00 - Lists'!$L$2:$L$11,0))/100000),"")</f>
        <v/>
      </c>
      <c r="BS467" s="36" t="str">
        <f aca="false">IF(O467="","",IF(O467&gt;=20,"Yes","No"))</f>
        <v/>
      </c>
      <c r="BT467" s="36" t="str">
        <f aca="false">IF(O467="","",IF(O467&gt;=30,"Yes","No"))</f>
        <v/>
      </c>
      <c r="BU467" s="36" t="str">
        <f aca="false">IF(O467="","",IF(O467&gt;=75,"Yes","No"))</f>
        <v/>
      </c>
      <c r="BV467" s="36" t="str">
        <f aca="false">IF(O467="","",IF(O467&gt;=100,"Yes","No"))</f>
        <v/>
      </c>
      <c r="BW467" s="36" t="str">
        <f aca="false">IF(O467="","",IF(O467&gt;=150,"Yes","No"))</f>
        <v/>
      </c>
      <c r="BX467" s="36" t="str">
        <f aca="false">IF(O467="","",IF(O467&gt;=200,"Yes","No"))</f>
        <v/>
      </c>
      <c r="BY467" s="36" t="str">
        <f aca="false">IF(Q467="","",IF(Q467&gt;=150000,"Yes","No"))</f>
        <v/>
      </c>
      <c r="BZ467" s="36" t="str">
        <f aca="false">IF(Q467="","",IF(Q467&gt;=200000,"Yes","No"))</f>
        <v/>
      </c>
      <c r="CA467" s="36" t="str">
        <f aca="false">IF(Q467="","",IF(Q467&gt;=250000,"Yes","No"))</f>
        <v/>
      </c>
      <c r="CB467" s="36" t="str">
        <f aca="false">IF(Q467="","",IF(Q467&gt;=300000,"Yes","No"))</f>
        <v/>
      </c>
      <c r="CC467" s="37"/>
      <c r="CD467" s="36" t="str">
        <f aca="true">IF(B467="","",IF(TODAY()-B467&lt;=7,"🟢 0-7d",IF(TODAY()-B467&lt;=30,"🟡 8-30d",IF(TODAY()-B467&lt;=60,"🟠 31-60d","🔴 60d+"))))</f>
        <v/>
      </c>
      <c r="CE467" s="36" t="str">
        <f aca="false">IF(G467="","",IF(G467&lt;&gt;"USA","N/A - Not USA Role",IF(J467="Yes",IF(OR(F467="Intern",F467="New Grad"),"🟡 Possible","🟢 Strong"),IF(J467="No","🔴 Difficult","⚪ Unknown"))))</f>
        <v/>
      </c>
      <c r="CF467" s="37"/>
      <c r="CG467" s="37"/>
      <c r="CH467" s="38"/>
      <c r="CI467" s="38"/>
      <c r="CJ467" s="38"/>
      <c r="CK467" s="38"/>
    </row>
    <row r="468" customFormat="false" ht="15" hidden="false" customHeight="true" outlineLevel="0" collapsed="false">
      <c r="A468" s="26" t="str">
        <f aca="false">IF($C468="","",ROW()-3)</f>
        <v/>
      </c>
      <c r="B468" s="27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9"/>
      <c r="N468" s="29"/>
      <c r="O468" s="30" t="str">
        <f aca="false">IFERROR(IF(M468="","",M468*INDEX('00 - Lists'!$M$2:$M$11,MATCH(L468,'00 - Lists'!$L$2:$L$11,0))/100000),"")</f>
        <v/>
      </c>
      <c r="P468" s="30" t="str">
        <f aca="false">IFERROR(IF(N468="","",N468*INDEX('00 - Lists'!$M$2:$M$11,MATCH(L468,'00 - Lists'!$L$2:$L$11,0))/100000),"")</f>
        <v/>
      </c>
      <c r="Q468" s="31" t="str">
        <f aca="false">IFERROR(IF(M468="","",M468*INDEX('00 - Lists'!$N$2:$N$11,MATCH(L468,'00 - Lists'!$L$2:$L$11,0))),"")</f>
        <v/>
      </c>
      <c r="R468" s="31" t="str">
        <f aca="false">IFERROR(IF(N468="","",N468*INDEX('00 - Lists'!$N$2:$N$11,MATCH(L468,'00 - Lists'!$L$2:$L$11,0))),"")</f>
        <v/>
      </c>
      <c r="S468" s="32" t="str">
        <f aca="false">IF(O468="","",IF(O468&gt;=50,"Yes","No"))</f>
        <v/>
      </c>
      <c r="T468" s="32" t="str">
        <f aca="false">IF(Q468="","",IF(Q468&gt;=100000,"Yes","No"))</f>
        <v/>
      </c>
      <c r="U468" s="28"/>
      <c r="V468" s="28"/>
      <c r="W468" s="28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J468" s="34" t="str">
        <f aca="false">IF(OR($BD468&lt;&gt;"",$BF468&lt;&gt;"",$BH468&lt;&gt;""),"Yes","No")</f>
        <v>No</v>
      </c>
      <c r="BK468" s="35" t="str">
        <f aca="false">IFERROR(IF(BD468="","",BD468*INDEX('00 - Lists'!$M$2:$M$11,MATCH(L468,'00 - Lists'!$L$2:$L$11,0))/100000),"")</f>
        <v/>
      </c>
      <c r="BL468" s="35" t="str">
        <f aca="false">IFERROR(IF(BE468="","",BE468*INDEX('00 - Lists'!$M$2:$M$11,MATCH(L468,'00 - Lists'!$L$2:$L$11,0))/100000),"")</f>
        <v/>
      </c>
      <c r="BM468" s="35" t="str">
        <f aca="false">IFERROR(IF(BF468="","",BF468*INDEX('00 - Lists'!$M$2:$M$11,MATCH(L468,'00 - Lists'!$L$2:$L$11,0))/100000),"")</f>
        <v/>
      </c>
      <c r="BN468" s="35" t="str">
        <f aca="false">IFERROR(IF(BG468="","",BG468*INDEX('00 - Lists'!$M$2:$M$11,MATCH(L468,'00 - Lists'!$L$2:$L$11,0))/100000),"")</f>
        <v/>
      </c>
      <c r="BO468" s="35" t="str">
        <f aca="false">IFERROR(IF(BH468="","",BH468*INDEX('00 - Lists'!$M$2:$M$11,MATCH(L468,'00 - Lists'!$L$2:$L$11,0))/100000),"")</f>
        <v/>
      </c>
      <c r="BP468" s="35" t="str">
        <f aca="false">IFERROR(IF(BI468="","",BI468*INDEX('00 - Lists'!$M$2:$M$11,MATCH(L468,'00 - Lists'!$L$2:$L$11,0))/100000),"")</f>
        <v/>
      </c>
      <c r="BS468" s="36" t="str">
        <f aca="false">IF(O468="","",IF(O468&gt;=20,"Yes","No"))</f>
        <v/>
      </c>
      <c r="BT468" s="36" t="str">
        <f aca="false">IF(O468="","",IF(O468&gt;=30,"Yes","No"))</f>
        <v/>
      </c>
      <c r="BU468" s="36" t="str">
        <f aca="false">IF(O468="","",IF(O468&gt;=75,"Yes","No"))</f>
        <v/>
      </c>
      <c r="BV468" s="36" t="str">
        <f aca="false">IF(O468="","",IF(O468&gt;=100,"Yes","No"))</f>
        <v/>
      </c>
      <c r="BW468" s="36" t="str">
        <f aca="false">IF(O468="","",IF(O468&gt;=150,"Yes","No"))</f>
        <v/>
      </c>
      <c r="BX468" s="36" t="str">
        <f aca="false">IF(O468="","",IF(O468&gt;=200,"Yes","No"))</f>
        <v/>
      </c>
      <c r="BY468" s="36" t="str">
        <f aca="false">IF(Q468="","",IF(Q468&gt;=150000,"Yes","No"))</f>
        <v/>
      </c>
      <c r="BZ468" s="36" t="str">
        <f aca="false">IF(Q468="","",IF(Q468&gt;=200000,"Yes","No"))</f>
        <v/>
      </c>
      <c r="CA468" s="36" t="str">
        <f aca="false">IF(Q468="","",IF(Q468&gt;=250000,"Yes","No"))</f>
        <v/>
      </c>
      <c r="CB468" s="36" t="str">
        <f aca="false">IF(Q468="","",IF(Q468&gt;=300000,"Yes","No"))</f>
        <v/>
      </c>
      <c r="CC468" s="37"/>
      <c r="CD468" s="36" t="str">
        <f aca="true">IF(B468="","",IF(TODAY()-B468&lt;=7,"🟢 0-7d",IF(TODAY()-B468&lt;=30,"🟡 8-30d",IF(TODAY()-B468&lt;=60,"🟠 31-60d","🔴 60d+"))))</f>
        <v/>
      </c>
      <c r="CE468" s="36" t="str">
        <f aca="false">IF(G468="","",IF(G468&lt;&gt;"USA","N/A - Not USA Role",IF(J468="Yes",IF(OR(F468="Intern",F468="New Grad"),"🟡 Possible","🟢 Strong"),IF(J468="No","🔴 Difficult","⚪ Unknown"))))</f>
        <v/>
      </c>
      <c r="CF468" s="37"/>
      <c r="CG468" s="37"/>
      <c r="CH468" s="38"/>
      <c r="CI468" s="38"/>
      <c r="CJ468" s="38"/>
      <c r="CK468" s="38"/>
    </row>
    <row r="469" customFormat="false" ht="15" hidden="false" customHeight="true" outlineLevel="0" collapsed="false">
      <c r="A469" s="26" t="str">
        <f aca="false">IF($C469="","",ROW()-3)</f>
        <v/>
      </c>
      <c r="B469" s="27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9"/>
      <c r="N469" s="29"/>
      <c r="O469" s="30" t="str">
        <f aca="false">IFERROR(IF(M469="","",M469*INDEX('00 - Lists'!$M$2:$M$11,MATCH(L469,'00 - Lists'!$L$2:$L$11,0))/100000),"")</f>
        <v/>
      </c>
      <c r="P469" s="30" t="str">
        <f aca="false">IFERROR(IF(N469="","",N469*INDEX('00 - Lists'!$M$2:$M$11,MATCH(L469,'00 - Lists'!$L$2:$L$11,0))/100000),"")</f>
        <v/>
      </c>
      <c r="Q469" s="31" t="str">
        <f aca="false">IFERROR(IF(M469="","",M469*INDEX('00 - Lists'!$N$2:$N$11,MATCH(L469,'00 - Lists'!$L$2:$L$11,0))),"")</f>
        <v/>
      </c>
      <c r="R469" s="31" t="str">
        <f aca="false">IFERROR(IF(N469="","",N469*INDEX('00 - Lists'!$N$2:$N$11,MATCH(L469,'00 - Lists'!$L$2:$L$11,0))),"")</f>
        <v/>
      </c>
      <c r="S469" s="32" t="str">
        <f aca="false">IF(O469="","",IF(O469&gt;=50,"Yes","No"))</f>
        <v/>
      </c>
      <c r="T469" s="32" t="str">
        <f aca="false">IF(Q469="","",IF(Q469&gt;=100000,"Yes","No"))</f>
        <v/>
      </c>
      <c r="U469" s="28"/>
      <c r="V469" s="28"/>
      <c r="W469" s="28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J469" s="34" t="str">
        <f aca="false">IF(OR($BD469&lt;&gt;"",$BF469&lt;&gt;"",$BH469&lt;&gt;""),"Yes","No")</f>
        <v>No</v>
      </c>
      <c r="BK469" s="35" t="str">
        <f aca="false">IFERROR(IF(BD469="","",BD469*INDEX('00 - Lists'!$M$2:$M$11,MATCH(L469,'00 - Lists'!$L$2:$L$11,0))/100000),"")</f>
        <v/>
      </c>
      <c r="BL469" s="35" t="str">
        <f aca="false">IFERROR(IF(BE469="","",BE469*INDEX('00 - Lists'!$M$2:$M$11,MATCH(L469,'00 - Lists'!$L$2:$L$11,0))/100000),"")</f>
        <v/>
      </c>
      <c r="BM469" s="35" t="str">
        <f aca="false">IFERROR(IF(BF469="","",BF469*INDEX('00 - Lists'!$M$2:$M$11,MATCH(L469,'00 - Lists'!$L$2:$L$11,0))/100000),"")</f>
        <v/>
      </c>
      <c r="BN469" s="35" t="str">
        <f aca="false">IFERROR(IF(BG469="","",BG469*INDEX('00 - Lists'!$M$2:$M$11,MATCH(L469,'00 - Lists'!$L$2:$L$11,0))/100000),"")</f>
        <v/>
      </c>
      <c r="BO469" s="35" t="str">
        <f aca="false">IFERROR(IF(BH469="","",BH469*INDEX('00 - Lists'!$M$2:$M$11,MATCH(L469,'00 - Lists'!$L$2:$L$11,0))/100000),"")</f>
        <v/>
      </c>
      <c r="BP469" s="35" t="str">
        <f aca="false">IFERROR(IF(BI469="","",BI469*INDEX('00 - Lists'!$M$2:$M$11,MATCH(L469,'00 - Lists'!$L$2:$L$11,0))/100000),"")</f>
        <v/>
      </c>
      <c r="BS469" s="36" t="str">
        <f aca="false">IF(O469="","",IF(O469&gt;=20,"Yes","No"))</f>
        <v/>
      </c>
      <c r="BT469" s="36" t="str">
        <f aca="false">IF(O469="","",IF(O469&gt;=30,"Yes","No"))</f>
        <v/>
      </c>
      <c r="BU469" s="36" t="str">
        <f aca="false">IF(O469="","",IF(O469&gt;=75,"Yes","No"))</f>
        <v/>
      </c>
      <c r="BV469" s="36" t="str">
        <f aca="false">IF(O469="","",IF(O469&gt;=100,"Yes","No"))</f>
        <v/>
      </c>
      <c r="BW469" s="36" t="str">
        <f aca="false">IF(O469="","",IF(O469&gt;=150,"Yes","No"))</f>
        <v/>
      </c>
      <c r="BX469" s="36" t="str">
        <f aca="false">IF(O469="","",IF(O469&gt;=200,"Yes","No"))</f>
        <v/>
      </c>
      <c r="BY469" s="36" t="str">
        <f aca="false">IF(Q469="","",IF(Q469&gt;=150000,"Yes","No"))</f>
        <v/>
      </c>
      <c r="BZ469" s="36" t="str">
        <f aca="false">IF(Q469="","",IF(Q469&gt;=200000,"Yes","No"))</f>
        <v/>
      </c>
      <c r="CA469" s="36" t="str">
        <f aca="false">IF(Q469="","",IF(Q469&gt;=250000,"Yes","No"))</f>
        <v/>
      </c>
      <c r="CB469" s="36" t="str">
        <f aca="false">IF(Q469="","",IF(Q469&gt;=300000,"Yes","No"))</f>
        <v/>
      </c>
      <c r="CC469" s="37"/>
      <c r="CD469" s="36" t="str">
        <f aca="true">IF(B469="","",IF(TODAY()-B469&lt;=7,"🟢 0-7d",IF(TODAY()-B469&lt;=30,"🟡 8-30d",IF(TODAY()-B469&lt;=60,"🟠 31-60d","🔴 60d+"))))</f>
        <v/>
      </c>
      <c r="CE469" s="36" t="str">
        <f aca="false">IF(G469="","",IF(G469&lt;&gt;"USA","N/A - Not USA Role",IF(J469="Yes",IF(OR(F469="Intern",F469="New Grad"),"🟡 Possible","🟢 Strong"),IF(J469="No","🔴 Difficult","⚪ Unknown"))))</f>
        <v/>
      </c>
      <c r="CF469" s="37"/>
      <c r="CG469" s="37"/>
      <c r="CH469" s="38"/>
      <c r="CI469" s="38"/>
      <c r="CJ469" s="38"/>
      <c r="CK469" s="38"/>
    </row>
    <row r="470" customFormat="false" ht="15" hidden="false" customHeight="true" outlineLevel="0" collapsed="false">
      <c r="A470" s="26" t="str">
        <f aca="false">IF($C470="","",ROW()-3)</f>
        <v/>
      </c>
      <c r="B470" s="27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9"/>
      <c r="N470" s="29"/>
      <c r="O470" s="30" t="str">
        <f aca="false">IFERROR(IF(M470="","",M470*INDEX('00 - Lists'!$M$2:$M$11,MATCH(L470,'00 - Lists'!$L$2:$L$11,0))/100000),"")</f>
        <v/>
      </c>
      <c r="P470" s="30" t="str">
        <f aca="false">IFERROR(IF(N470="","",N470*INDEX('00 - Lists'!$M$2:$M$11,MATCH(L470,'00 - Lists'!$L$2:$L$11,0))/100000),"")</f>
        <v/>
      </c>
      <c r="Q470" s="31" t="str">
        <f aca="false">IFERROR(IF(M470="","",M470*INDEX('00 - Lists'!$N$2:$N$11,MATCH(L470,'00 - Lists'!$L$2:$L$11,0))),"")</f>
        <v/>
      </c>
      <c r="R470" s="31" t="str">
        <f aca="false">IFERROR(IF(N470="","",N470*INDEX('00 - Lists'!$N$2:$N$11,MATCH(L470,'00 - Lists'!$L$2:$L$11,0))),"")</f>
        <v/>
      </c>
      <c r="S470" s="32" t="str">
        <f aca="false">IF(O470="","",IF(O470&gt;=50,"Yes","No"))</f>
        <v/>
      </c>
      <c r="T470" s="32" t="str">
        <f aca="false">IF(Q470="","",IF(Q470&gt;=100000,"Yes","No"))</f>
        <v/>
      </c>
      <c r="U470" s="28"/>
      <c r="V470" s="28"/>
      <c r="W470" s="28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J470" s="34" t="str">
        <f aca="false">IF(OR($BD470&lt;&gt;"",$BF470&lt;&gt;"",$BH470&lt;&gt;""),"Yes","No")</f>
        <v>No</v>
      </c>
      <c r="BK470" s="35" t="str">
        <f aca="false">IFERROR(IF(BD470="","",BD470*INDEX('00 - Lists'!$M$2:$M$11,MATCH(L470,'00 - Lists'!$L$2:$L$11,0))/100000),"")</f>
        <v/>
      </c>
      <c r="BL470" s="35" t="str">
        <f aca="false">IFERROR(IF(BE470="","",BE470*INDEX('00 - Lists'!$M$2:$M$11,MATCH(L470,'00 - Lists'!$L$2:$L$11,0))/100000),"")</f>
        <v/>
      </c>
      <c r="BM470" s="35" t="str">
        <f aca="false">IFERROR(IF(BF470="","",BF470*INDEX('00 - Lists'!$M$2:$M$11,MATCH(L470,'00 - Lists'!$L$2:$L$11,0))/100000),"")</f>
        <v/>
      </c>
      <c r="BN470" s="35" t="str">
        <f aca="false">IFERROR(IF(BG470="","",BG470*INDEX('00 - Lists'!$M$2:$M$11,MATCH(L470,'00 - Lists'!$L$2:$L$11,0))/100000),"")</f>
        <v/>
      </c>
      <c r="BO470" s="35" t="str">
        <f aca="false">IFERROR(IF(BH470="","",BH470*INDEX('00 - Lists'!$M$2:$M$11,MATCH(L470,'00 - Lists'!$L$2:$L$11,0))/100000),"")</f>
        <v/>
      </c>
      <c r="BP470" s="35" t="str">
        <f aca="false">IFERROR(IF(BI470="","",BI470*INDEX('00 - Lists'!$M$2:$M$11,MATCH(L470,'00 - Lists'!$L$2:$L$11,0))/100000),"")</f>
        <v/>
      </c>
      <c r="BS470" s="36" t="str">
        <f aca="false">IF(O470="","",IF(O470&gt;=20,"Yes","No"))</f>
        <v/>
      </c>
      <c r="BT470" s="36" t="str">
        <f aca="false">IF(O470="","",IF(O470&gt;=30,"Yes","No"))</f>
        <v/>
      </c>
      <c r="BU470" s="36" t="str">
        <f aca="false">IF(O470="","",IF(O470&gt;=75,"Yes","No"))</f>
        <v/>
      </c>
      <c r="BV470" s="36" t="str">
        <f aca="false">IF(O470="","",IF(O470&gt;=100,"Yes","No"))</f>
        <v/>
      </c>
      <c r="BW470" s="36" t="str">
        <f aca="false">IF(O470="","",IF(O470&gt;=150,"Yes","No"))</f>
        <v/>
      </c>
      <c r="BX470" s="36" t="str">
        <f aca="false">IF(O470="","",IF(O470&gt;=200,"Yes","No"))</f>
        <v/>
      </c>
      <c r="BY470" s="36" t="str">
        <f aca="false">IF(Q470="","",IF(Q470&gt;=150000,"Yes","No"))</f>
        <v/>
      </c>
      <c r="BZ470" s="36" t="str">
        <f aca="false">IF(Q470="","",IF(Q470&gt;=200000,"Yes","No"))</f>
        <v/>
      </c>
      <c r="CA470" s="36" t="str">
        <f aca="false">IF(Q470="","",IF(Q470&gt;=250000,"Yes","No"))</f>
        <v/>
      </c>
      <c r="CB470" s="36" t="str">
        <f aca="false">IF(Q470="","",IF(Q470&gt;=300000,"Yes","No"))</f>
        <v/>
      </c>
      <c r="CC470" s="37"/>
      <c r="CD470" s="36" t="str">
        <f aca="true">IF(B470="","",IF(TODAY()-B470&lt;=7,"🟢 0-7d",IF(TODAY()-B470&lt;=30,"🟡 8-30d",IF(TODAY()-B470&lt;=60,"🟠 31-60d","🔴 60d+"))))</f>
        <v/>
      </c>
      <c r="CE470" s="36" t="str">
        <f aca="false">IF(G470="","",IF(G470&lt;&gt;"USA","N/A - Not USA Role",IF(J470="Yes",IF(OR(F470="Intern",F470="New Grad"),"🟡 Possible","🟢 Strong"),IF(J470="No","🔴 Difficult","⚪ Unknown"))))</f>
        <v/>
      </c>
      <c r="CF470" s="37"/>
      <c r="CG470" s="37"/>
      <c r="CH470" s="38"/>
      <c r="CI470" s="38"/>
      <c r="CJ470" s="38"/>
      <c r="CK470" s="38"/>
    </row>
    <row r="471" customFormat="false" ht="15" hidden="false" customHeight="true" outlineLevel="0" collapsed="false">
      <c r="A471" s="26" t="str">
        <f aca="false">IF($C471="","",ROW()-3)</f>
        <v/>
      </c>
      <c r="B471" s="27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9"/>
      <c r="N471" s="29"/>
      <c r="O471" s="30" t="str">
        <f aca="false">IFERROR(IF(M471="","",M471*INDEX('00 - Lists'!$M$2:$M$11,MATCH(L471,'00 - Lists'!$L$2:$L$11,0))/100000),"")</f>
        <v/>
      </c>
      <c r="P471" s="30" t="str">
        <f aca="false">IFERROR(IF(N471="","",N471*INDEX('00 - Lists'!$M$2:$M$11,MATCH(L471,'00 - Lists'!$L$2:$L$11,0))/100000),"")</f>
        <v/>
      </c>
      <c r="Q471" s="31" t="str">
        <f aca="false">IFERROR(IF(M471="","",M471*INDEX('00 - Lists'!$N$2:$N$11,MATCH(L471,'00 - Lists'!$L$2:$L$11,0))),"")</f>
        <v/>
      </c>
      <c r="R471" s="31" t="str">
        <f aca="false">IFERROR(IF(N471="","",N471*INDEX('00 - Lists'!$N$2:$N$11,MATCH(L471,'00 - Lists'!$L$2:$L$11,0))),"")</f>
        <v/>
      </c>
      <c r="S471" s="32" t="str">
        <f aca="false">IF(O471="","",IF(O471&gt;=50,"Yes","No"))</f>
        <v/>
      </c>
      <c r="T471" s="32" t="str">
        <f aca="false">IF(Q471="","",IF(Q471&gt;=100000,"Yes","No"))</f>
        <v/>
      </c>
      <c r="U471" s="28"/>
      <c r="V471" s="28"/>
      <c r="W471" s="28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J471" s="34" t="str">
        <f aca="false">IF(OR($BD471&lt;&gt;"",$BF471&lt;&gt;"",$BH471&lt;&gt;""),"Yes","No")</f>
        <v>No</v>
      </c>
      <c r="BK471" s="35" t="str">
        <f aca="false">IFERROR(IF(BD471="","",BD471*INDEX('00 - Lists'!$M$2:$M$11,MATCH(L471,'00 - Lists'!$L$2:$L$11,0))/100000),"")</f>
        <v/>
      </c>
      <c r="BL471" s="35" t="str">
        <f aca="false">IFERROR(IF(BE471="","",BE471*INDEX('00 - Lists'!$M$2:$M$11,MATCH(L471,'00 - Lists'!$L$2:$L$11,0))/100000),"")</f>
        <v/>
      </c>
      <c r="BM471" s="35" t="str">
        <f aca="false">IFERROR(IF(BF471="","",BF471*INDEX('00 - Lists'!$M$2:$M$11,MATCH(L471,'00 - Lists'!$L$2:$L$11,0))/100000),"")</f>
        <v/>
      </c>
      <c r="BN471" s="35" t="str">
        <f aca="false">IFERROR(IF(BG471="","",BG471*INDEX('00 - Lists'!$M$2:$M$11,MATCH(L471,'00 - Lists'!$L$2:$L$11,0))/100000),"")</f>
        <v/>
      </c>
      <c r="BO471" s="35" t="str">
        <f aca="false">IFERROR(IF(BH471="","",BH471*INDEX('00 - Lists'!$M$2:$M$11,MATCH(L471,'00 - Lists'!$L$2:$L$11,0))/100000),"")</f>
        <v/>
      </c>
      <c r="BP471" s="35" t="str">
        <f aca="false">IFERROR(IF(BI471="","",BI471*INDEX('00 - Lists'!$M$2:$M$11,MATCH(L471,'00 - Lists'!$L$2:$L$11,0))/100000),"")</f>
        <v/>
      </c>
      <c r="BS471" s="36" t="str">
        <f aca="false">IF(O471="","",IF(O471&gt;=20,"Yes","No"))</f>
        <v/>
      </c>
      <c r="BT471" s="36" t="str">
        <f aca="false">IF(O471="","",IF(O471&gt;=30,"Yes","No"))</f>
        <v/>
      </c>
      <c r="BU471" s="36" t="str">
        <f aca="false">IF(O471="","",IF(O471&gt;=75,"Yes","No"))</f>
        <v/>
      </c>
      <c r="BV471" s="36" t="str">
        <f aca="false">IF(O471="","",IF(O471&gt;=100,"Yes","No"))</f>
        <v/>
      </c>
      <c r="BW471" s="36" t="str">
        <f aca="false">IF(O471="","",IF(O471&gt;=150,"Yes","No"))</f>
        <v/>
      </c>
      <c r="BX471" s="36" t="str">
        <f aca="false">IF(O471="","",IF(O471&gt;=200,"Yes","No"))</f>
        <v/>
      </c>
      <c r="BY471" s="36" t="str">
        <f aca="false">IF(Q471="","",IF(Q471&gt;=150000,"Yes","No"))</f>
        <v/>
      </c>
      <c r="BZ471" s="36" t="str">
        <f aca="false">IF(Q471="","",IF(Q471&gt;=200000,"Yes","No"))</f>
        <v/>
      </c>
      <c r="CA471" s="36" t="str">
        <f aca="false">IF(Q471="","",IF(Q471&gt;=250000,"Yes","No"))</f>
        <v/>
      </c>
      <c r="CB471" s="36" t="str">
        <f aca="false">IF(Q471="","",IF(Q471&gt;=300000,"Yes","No"))</f>
        <v/>
      </c>
      <c r="CC471" s="37"/>
      <c r="CD471" s="36" t="str">
        <f aca="true">IF(B471="","",IF(TODAY()-B471&lt;=7,"🟢 0-7d",IF(TODAY()-B471&lt;=30,"🟡 8-30d",IF(TODAY()-B471&lt;=60,"🟠 31-60d","🔴 60d+"))))</f>
        <v/>
      </c>
      <c r="CE471" s="36" t="str">
        <f aca="false">IF(G471="","",IF(G471&lt;&gt;"USA","N/A - Not USA Role",IF(J471="Yes",IF(OR(F471="Intern",F471="New Grad"),"🟡 Possible","🟢 Strong"),IF(J471="No","🔴 Difficult","⚪ Unknown"))))</f>
        <v/>
      </c>
      <c r="CF471" s="37"/>
      <c r="CG471" s="37"/>
      <c r="CH471" s="38"/>
      <c r="CI471" s="38"/>
      <c r="CJ471" s="38"/>
      <c r="CK471" s="38"/>
    </row>
    <row r="472" customFormat="false" ht="15" hidden="false" customHeight="true" outlineLevel="0" collapsed="false">
      <c r="A472" s="26" t="str">
        <f aca="false">IF($C472="","",ROW()-3)</f>
        <v/>
      </c>
      <c r="B472" s="27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9"/>
      <c r="N472" s="29"/>
      <c r="O472" s="30" t="str">
        <f aca="false">IFERROR(IF(M472="","",M472*INDEX('00 - Lists'!$M$2:$M$11,MATCH(L472,'00 - Lists'!$L$2:$L$11,0))/100000),"")</f>
        <v/>
      </c>
      <c r="P472" s="30" t="str">
        <f aca="false">IFERROR(IF(N472="","",N472*INDEX('00 - Lists'!$M$2:$M$11,MATCH(L472,'00 - Lists'!$L$2:$L$11,0))/100000),"")</f>
        <v/>
      </c>
      <c r="Q472" s="31" t="str">
        <f aca="false">IFERROR(IF(M472="","",M472*INDEX('00 - Lists'!$N$2:$N$11,MATCH(L472,'00 - Lists'!$L$2:$L$11,0))),"")</f>
        <v/>
      </c>
      <c r="R472" s="31" t="str">
        <f aca="false">IFERROR(IF(N472="","",N472*INDEX('00 - Lists'!$N$2:$N$11,MATCH(L472,'00 - Lists'!$L$2:$L$11,0))),"")</f>
        <v/>
      </c>
      <c r="S472" s="32" t="str">
        <f aca="false">IF(O472="","",IF(O472&gt;=50,"Yes","No"))</f>
        <v/>
      </c>
      <c r="T472" s="32" t="str">
        <f aca="false">IF(Q472="","",IF(Q472&gt;=100000,"Yes","No"))</f>
        <v/>
      </c>
      <c r="U472" s="28"/>
      <c r="V472" s="28"/>
      <c r="W472" s="28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J472" s="34" t="str">
        <f aca="false">IF(OR($BD472&lt;&gt;"",$BF472&lt;&gt;"",$BH472&lt;&gt;""),"Yes","No")</f>
        <v>No</v>
      </c>
      <c r="BK472" s="35" t="str">
        <f aca="false">IFERROR(IF(BD472="","",BD472*INDEX('00 - Lists'!$M$2:$M$11,MATCH(L472,'00 - Lists'!$L$2:$L$11,0))/100000),"")</f>
        <v/>
      </c>
      <c r="BL472" s="35" t="str">
        <f aca="false">IFERROR(IF(BE472="","",BE472*INDEX('00 - Lists'!$M$2:$M$11,MATCH(L472,'00 - Lists'!$L$2:$L$11,0))/100000),"")</f>
        <v/>
      </c>
      <c r="BM472" s="35" t="str">
        <f aca="false">IFERROR(IF(BF472="","",BF472*INDEX('00 - Lists'!$M$2:$M$11,MATCH(L472,'00 - Lists'!$L$2:$L$11,0))/100000),"")</f>
        <v/>
      </c>
      <c r="BN472" s="35" t="str">
        <f aca="false">IFERROR(IF(BG472="","",BG472*INDEX('00 - Lists'!$M$2:$M$11,MATCH(L472,'00 - Lists'!$L$2:$L$11,0))/100000),"")</f>
        <v/>
      </c>
      <c r="BO472" s="35" t="str">
        <f aca="false">IFERROR(IF(BH472="","",BH472*INDEX('00 - Lists'!$M$2:$M$11,MATCH(L472,'00 - Lists'!$L$2:$L$11,0))/100000),"")</f>
        <v/>
      </c>
      <c r="BP472" s="35" t="str">
        <f aca="false">IFERROR(IF(BI472="","",BI472*INDEX('00 - Lists'!$M$2:$M$11,MATCH(L472,'00 - Lists'!$L$2:$L$11,0))/100000),"")</f>
        <v/>
      </c>
      <c r="BS472" s="36" t="str">
        <f aca="false">IF(O472="","",IF(O472&gt;=20,"Yes","No"))</f>
        <v/>
      </c>
      <c r="BT472" s="36" t="str">
        <f aca="false">IF(O472="","",IF(O472&gt;=30,"Yes","No"))</f>
        <v/>
      </c>
      <c r="BU472" s="36" t="str">
        <f aca="false">IF(O472="","",IF(O472&gt;=75,"Yes","No"))</f>
        <v/>
      </c>
      <c r="BV472" s="36" t="str">
        <f aca="false">IF(O472="","",IF(O472&gt;=100,"Yes","No"))</f>
        <v/>
      </c>
      <c r="BW472" s="36" t="str">
        <f aca="false">IF(O472="","",IF(O472&gt;=150,"Yes","No"))</f>
        <v/>
      </c>
      <c r="BX472" s="36" t="str">
        <f aca="false">IF(O472="","",IF(O472&gt;=200,"Yes","No"))</f>
        <v/>
      </c>
      <c r="BY472" s="36" t="str">
        <f aca="false">IF(Q472="","",IF(Q472&gt;=150000,"Yes","No"))</f>
        <v/>
      </c>
      <c r="BZ472" s="36" t="str">
        <f aca="false">IF(Q472="","",IF(Q472&gt;=200000,"Yes","No"))</f>
        <v/>
      </c>
      <c r="CA472" s="36" t="str">
        <f aca="false">IF(Q472="","",IF(Q472&gt;=250000,"Yes","No"))</f>
        <v/>
      </c>
      <c r="CB472" s="36" t="str">
        <f aca="false">IF(Q472="","",IF(Q472&gt;=300000,"Yes","No"))</f>
        <v/>
      </c>
      <c r="CC472" s="37"/>
      <c r="CD472" s="36" t="str">
        <f aca="true">IF(B472="","",IF(TODAY()-B472&lt;=7,"🟢 0-7d",IF(TODAY()-B472&lt;=30,"🟡 8-30d",IF(TODAY()-B472&lt;=60,"🟠 31-60d","🔴 60d+"))))</f>
        <v/>
      </c>
      <c r="CE472" s="36" t="str">
        <f aca="false">IF(G472="","",IF(G472&lt;&gt;"USA","N/A - Not USA Role",IF(J472="Yes",IF(OR(F472="Intern",F472="New Grad"),"🟡 Possible","🟢 Strong"),IF(J472="No","🔴 Difficult","⚪ Unknown"))))</f>
        <v/>
      </c>
      <c r="CF472" s="37"/>
      <c r="CG472" s="37"/>
      <c r="CH472" s="38"/>
      <c r="CI472" s="38"/>
      <c r="CJ472" s="38"/>
      <c r="CK472" s="38"/>
    </row>
    <row r="473" customFormat="false" ht="15" hidden="false" customHeight="true" outlineLevel="0" collapsed="false">
      <c r="A473" s="26" t="str">
        <f aca="false">IF($C473="","",ROW()-3)</f>
        <v/>
      </c>
      <c r="B473" s="27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9"/>
      <c r="N473" s="29"/>
      <c r="O473" s="30" t="str">
        <f aca="false">IFERROR(IF(M473="","",M473*INDEX('00 - Lists'!$M$2:$M$11,MATCH(L473,'00 - Lists'!$L$2:$L$11,0))/100000),"")</f>
        <v/>
      </c>
      <c r="P473" s="30" t="str">
        <f aca="false">IFERROR(IF(N473="","",N473*INDEX('00 - Lists'!$M$2:$M$11,MATCH(L473,'00 - Lists'!$L$2:$L$11,0))/100000),"")</f>
        <v/>
      </c>
      <c r="Q473" s="31" t="str">
        <f aca="false">IFERROR(IF(M473="","",M473*INDEX('00 - Lists'!$N$2:$N$11,MATCH(L473,'00 - Lists'!$L$2:$L$11,0))),"")</f>
        <v/>
      </c>
      <c r="R473" s="31" t="str">
        <f aca="false">IFERROR(IF(N473="","",N473*INDEX('00 - Lists'!$N$2:$N$11,MATCH(L473,'00 - Lists'!$L$2:$L$11,0))),"")</f>
        <v/>
      </c>
      <c r="S473" s="32" t="str">
        <f aca="false">IF(O473="","",IF(O473&gt;=50,"Yes","No"))</f>
        <v/>
      </c>
      <c r="T473" s="32" t="str">
        <f aca="false">IF(Q473="","",IF(Q473&gt;=100000,"Yes","No"))</f>
        <v/>
      </c>
      <c r="U473" s="28"/>
      <c r="V473" s="28"/>
      <c r="W473" s="28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J473" s="34" t="str">
        <f aca="false">IF(OR($BD473&lt;&gt;"",$BF473&lt;&gt;"",$BH473&lt;&gt;""),"Yes","No")</f>
        <v>No</v>
      </c>
      <c r="BK473" s="35" t="str">
        <f aca="false">IFERROR(IF(BD473="","",BD473*INDEX('00 - Lists'!$M$2:$M$11,MATCH(L473,'00 - Lists'!$L$2:$L$11,0))/100000),"")</f>
        <v/>
      </c>
      <c r="BL473" s="35" t="str">
        <f aca="false">IFERROR(IF(BE473="","",BE473*INDEX('00 - Lists'!$M$2:$M$11,MATCH(L473,'00 - Lists'!$L$2:$L$11,0))/100000),"")</f>
        <v/>
      </c>
      <c r="BM473" s="35" t="str">
        <f aca="false">IFERROR(IF(BF473="","",BF473*INDEX('00 - Lists'!$M$2:$M$11,MATCH(L473,'00 - Lists'!$L$2:$L$11,0))/100000),"")</f>
        <v/>
      </c>
      <c r="BN473" s="35" t="str">
        <f aca="false">IFERROR(IF(BG473="","",BG473*INDEX('00 - Lists'!$M$2:$M$11,MATCH(L473,'00 - Lists'!$L$2:$L$11,0))/100000),"")</f>
        <v/>
      </c>
      <c r="BO473" s="35" t="str">
        <f aca="false">IFERROR(IF(BH473="","",BH473*INDEX('00 - Lists'!$M$2:$M$11,MATCH(L473,'00 - Lists'!$L$2:$L$11,0))/100000),"")</f>
        <v/>
      </c>
      <c r="BP473" s="35" t="str">
        <f aca="false">IFERROR(IF(BI473="","",BI473*INDEX('00 - Lists'!$M$2:$M$11,MATCH(L473,'00 - Lists'!$L$2:$L$11,0))/100000),"")</f>
        <v/>
      </c>
      <c r="BS473" s="36" t="str">
        <f aca="false">IF(O473="","",IF(O473&gt;=20,"Yes","No"))</f>
        <v/>
      </c>
      <c r="BT473" s="36" t="str">
        <f aca="false">IF(O473="","",IF(O473&gt;=30,"Yes","No"))</f>
        <v/>
      </c>
      <c r="BU473" s="36" t="str">
        <f aca="false">IF(O473="","",IF(O473&gt;=75,"Yes","No"))</f>
        <v/>
      </c>
      <c r="BV473" s="36" t="str">
        <f aca="false">IF(O473="","",IF(O473&gt;=100,"Yes","No"))</f>
        <v/>
      </c>
      <c r="BW473" s="36" t="str">
        <f aca="false">IF(O473="","",IF(O473&gt;=150,"Yes","No"))</f>
        <v/>
      </c>
      <c r="BX473" s="36" t="str">
        <f aca="false">IF(O473="","",IF(O473&gt;=200,"Yes","No"))</f>
        <v/>
      </c>
      <c r="BY473" s="36" t="str">
        <f aca="false">IF(Q473="","",IF(Q473&gt;=150000,"Yes","No"))</f>
        <v/>
      </c>
      <c r="BZ473" s="36" t="str">
        <f aca="false">IF(Q473="","",IF(Q473&gt;=200000,"Yes","No"))</f>
        <v/>
      </c>
      <c r="CA473" s="36" t="str">
        <f aca="false">IF(Q473="","",IF(Q473&gt;=250000,"Yes","No"))</f>
        <v/>
      </c>
      <c r="CB473" s="36" t="str">
        <f aca="false">IF(Q473="","",IF(Q473&gt;=300000,"Yes","No"))</f>
        <v/>
      </c>
      <c r="CC473" s="37"/>
      <c r="CD473" s="36" t="str">
        <f aca="true">IF(B473="","",IF(TODAY()-B473&lt;=7,"🟢 0-7d",IF(TODAY()-B473&lt;=30,"🟡 8-30d",IF(TODAY()-B473&lt;=60,"🟠 31-60d","🔴 60d+"))))</f>
        <v/>
      </c>
      <c r="CE473" s="36" t="str">
        <f aca="false">IF(G473="","",IF(G473&lt;&gt;"USA","N/A - Not USA Role",IF(J473="Yes",IF(OR(F473="Intern",F473="New Grad"),"🟡 Possible","🟢 Strong"),IF(J473="No","🔴 Difficult","⚪ Unknown"))))</f>
        <v/>
      </c>
      <c r="CF473" s="37"/>
      <c r="CG473" s="37"/>
      <c r="CH473" s="38"/>
      <c r="CI473" s="38"/>
      <c r="CJ473" s="38"/>
      <c r="CK473" s="38"/>
    </row>
    <row r="474" customFormat="false" ht="15" hidden="false" customHeight="true" outlineLevel="0" collapsed="false">
      <c r="A474" s="26" t="str">
        <f aca="false">IF($C474="","",ROW()-3)</f>
        <v/>
      </c>
      <c r="B474" s="27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9"/>
      <c r="N474" s="29"/>
      <c r="O474" s="30" t="str">
        <f aca="false">IFERROR(IF(M474="","",M474*INDEX('00 - Lists'!$M$2:$M$11,MATCH(L474,'00 - Lists'!$L$2:$L$11,0))/100000),"")</f>
        <v/>
      </c>
      <c r="P474" s="30" t="str">
        <f aca="false">IFERROR(IF(N474="","",N474*INDEX('00 - Lists'!$M$2:$M$11,MATCH(L474,'00 - Lists'!$L$2:$L$11,0))/100000),"")</f>
        <v/>
      </c>
      <c r="Q474" s="31" t="str">
        <f aca="false">IFERROR(IF(M474="","",M474*INDEX('00 - Lists'!$N$2:$N$11,MATCH(L474,'00 - Lists'!$L$2:$L$11,0))),"")</f>
        <v/>
      </c>
      <c r="R474" s="31" t="str">
        <f aca="false">IFERROR(IF(N474="","",N474*INDEX('00 - Lists'!$N$2:$N$11,MATCH(L474,'00 - Lists'!$L$2:$L$11,0))),"")</f>
        <v/>
      </c>
      <c r="S474" s="32" t="str">
        <f aca="false">IF(O474="","",IF(O474&gt;=50,"Yes","No"))</f>
        <v/>
      </c>
      <c r="T474" s="32" t="str">
        <f aca="false">IF(Q474="","",IF(Q474&gt;=100000,"Yes","No"))</f>
        <v/>
      </c>
      <c r="U474" s="28"/>
      <c r="V474" s="28"/>
      <c r="W474" s="28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J474" s="34" t="str">
        <f aca="false">IF(OR($BD474&lt;&gt;"",$BF474&lt;&gt;"",$BH474&lt;&gt;""),"Yes","No")</f>
        <v>No</v>
      </c>
      <c r="BK474" s="35" t="str">
        <f aca="false">IFERROR(IF(BD474="","",BD474*INDEX('00 - Lists'!$M$2:$M$11,MATCH(L474,'00 - Lists'!$L$2:$L$11,0))/100000),"")</f>
        <v/>
      </c>
      <c r="BL474" s="35" t="str">
        <f aca="false">IFERROR(IF(BE474="","",BE474*INDEX('00 - Lists'!$M$2:$M$11,MATCH(L474,'00 - Lists'!$L$2:$L$11,0))/100000),"")</f>
        <v/>
      </c>
      <c r="BM474" s="35" t="str">
        <f aca="false">IFERROR(IF(BF474="","",BF474*INDEX('00 - Lists'!$M$2:$M$11,MATCH(L474,'00 - Lists'!$L$2:$L$11,0))/100000),"")</f>
        <v/>
      </c>
      <c r="BN474" s="35" t="str">
        <f aca="false">IFERROR(IF(BG474="","",BG474*INDEX('00 - Lists'!$M$2:$M$11,MATCH(L474,'00 - Lists'!$L$2:$L$11,0))/100000),"")</f>
        <v/>
      </c>
      <c r="BO474" s="35" t="str">
        <f aca="false">IFERROR(IF(BH474="","",BH474*INDEX('00 - Lists'!$M$2:$M$11,MATCH(L474,'00 - Lists'!$L$2:$L$11,0))/100000),"")</f>
        <v/>
      </c>
      <c r="BP474" s="35" t="str">
        <f aca="false">IFERROR(IF(BI474="","",BI474*INDEX('00 - Lists'!$M$2:$M$11,MATCH(L474,'00 - Lists'!$L$2:$L$11,0))/100000),"")</f>
        <v/>
      </c>
      <c r="BS474" s="36" t="str">
        <f aca="false">IF(O474="","",IF(O474&gt;=20,"Yes","No"))</f>
        <v/>
      </c>
      <c r="BT474" s="36" t="str">
        <f aca="false">IF(O474="","",IF(O474&gt;=30,"Yes","No"))</f>
        <v/>
      </c>
      <c r="BU474" s="36" t="str">
        <f aca="false">IF(O474="","",IF(O474&gt;=75,"Yes","No"))</f>
        <v/>
      </c>
      <c r="BV474" s="36" t="str">
        <f aca="false">IF(O474="","",IF(O474&gt;=100,"Yes","No"))</f>
        <v/>
      </c>
      <c r="BW474" s="36" t="str">
        <f aca="false">IF(O474="","",IF(O474&gt;=150,"Yes","No"))</f>
        <v/>
      </c>
      <c r="BX474" s="36" t="str">
        <f aca="false">IF(O474="","",IF(O474&gt;=200,"Yes","No"))</f>
        <v/>
      </c>
      <c r="BY474" s="36" t="str">
        <f aca="false">IF(Q474="","",IF(Q474&gt;=150000,"Yes","No"))</f>
        <v/>
      </c>
      <c r="BZ474" s="36" t="str">
        <f aca="false">IF(Q474="","",IF(Q474&gt;=200000,"Yes","No"))</f>
        <v/>
      </c>
      <c r="CA474" s="36" t="str">
        <f aca="false">IF(Q474="","",IF(Q474&gt;=250000,"Yes","No"))</f>
        <v/>
      </c>
      <c r="CB474" s="36" t="str">
        <f aca="false">IF(Q474="","",IF(Q474&gt;=300000,"Yes","No"))</f>
        <v/>
      </c>
      <c r="CC474" s="37"/>
      <c r="CD474" s="36" t="str">
        <f aca="true">IF(B474="","",IF(TODAY()-B474&lt;=7,"🟢 0-7d",IF(TODAY()-B474&lt;=30,"🟡 8-30d",IF(TODAY()-B474&lt;=60,"🟠 31-60d","🔴 60d+"))))</f>
        <v/>
      </c>
      <c r="CE474" s="36" t="str">
        <f aca="false">IF(G474="","",IF(G474&lt;&gt;"USA","N/A - Not USA Role",IF(J474="Yes",IF(OR(F474="Intern",F474="New Grad"),"🟡 Possible","🟢 Strong"),IF(J474="No","🔴 Difficult","⚪ Unknown"))))</f>
        <v/>
      </c>
      <c r="CF474" s="37"/>
      <c r="CG474" s="37"/>
      <c r="CH474" s="38"/>
      <c r="CI474" s="38"/>
      <c r="CJ474" s="38"/>
      <c r="CK474" s="38"/>
    </row>
    <row r="475" customFormat="false" ht="15" hidden="false" customHeight="true" outlineLevel="0" collapsed="false">
      <c r="A475" s="26" t="str">
        <f aca="false">IF($C475="","",ROW()-3)</f>
        <v/>
      </c>
      <c r="B475" s="27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9"/>
      <c r="N475" s="29"/>
      <c r="O475" s="30" t="str">
        <f aca="false">IFERROR(IF(M475="","",M475*INDEX('00 - Lists'!$M$2:$M$11,MATCH(L475,'00 - Lists'!$L$2:$L$11,0))/100000),"")</f>
        <v/>
      </c>
      <c r="P475" s="30" t="str">
        <f aca="false">IFERROR(IF(N475="","",N475*INDEX('00 - Lists'!$M$2:$M$11,MATCH(L475,'00 - Lists'!$L$2:$L$11,0))/100000),"")</f>
        <v/>
      </c>
      <c r="Q475" s="31" t="str">
        <f aca="false">IFERROR(IF(M475="","",M475*INDEX('00 - Lists'!$N$2:$N$11,MATCH(L475,'00 - Lists'!$L$2:$L$11,0))),"")</f>
        <v/>
      </c>
      <c r="R475" s="31" t="str">
        <f aca="false">IFERROR(IF(N475="","",N475*INDEX('00 - Lists'!$N$2:$N$11,MATCH(L475,'00 - Lists'!$L$2:$L$11,0))),"")</f>
        <v/>
      </c>
      <c r="S475" s="32" t="str">
        <f aca="false">IF(O475="","",IF(O475&gt;=50,"Yes","No"))</f>
        <v/>
      </c>
      <c r="T475" s="32" t="str">
        <f aca="false">IF(Q475="","",IF(Q475&gt;=100000,"Yes","No"))</f>
        <v/>
      </c>
      <c r="U475" s="28"/>
      <c r="V475" s="28"/>
      <c r="W475" s="28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J475" s="34" t="str">
        <f aca="false">IF(OR($BD475&lt;&gt;"",$BF475&lt;&gt;"",$BH475&lt;&gt;""),"Yes","No")</f>
        <v>No</v>
      </c>
      <c r="BK475" s="35" t="str">
        <f aca="false">IFERROR(IF(BD475="","",BD475*INDEX('00 - Lists'!$M$2:$M$11,MATCH(L475,'00 - Lists'!$L$2:$L$11,0))/100000),"")</f>
        <v/>
      </c>
      <c r="BL475" s="35" t="str">
        <f aca="false">IFERROR(IF(BE475="","",BE475*INDEX('00 - Lists'!$M$2:$M$11,MATCH(L475,'00 - Lists'!$L$2:$L$11,0))/100000),"")</f>
        <v/>
      </c>
      <c r="BM475" s="35" t="str">
        <f aca="false">IFERROR(IF(BF475="","",BF475*INDEX('00 - Lists'!$M$2:$M$11,MATCH(L475,'00 - Lists'!$L$2:$L$11,0))/100000),"")</f>
        <v/>
      </c>
      <c r="BN475" s="35" t="str">
        <f aca="false">IFERROR(IF(BG475="","",BG475*INDEX('00 - Lists'!$M$2:$M$11,MATCH(L475,'00 - Lists'!$L$2:$L$11,0))/100000),"")</f>
        <v/>
      </c>
      <c r="BO475" s="35" t="str">
        <f aca="false">IFERROR(IF(BH475="","",BH475*INDEX('00 - Lists'!$M$2:$M$11,MATCH(L475,'00 - Lists'!$L$2:$L$11,0))/100000),"")</f>
        <v/>
      </c>
      <c r="BP475" s="35" t="str">
        <f aca="false">IFERROR(IF(BI475="","",BI475*INDEX('00 - Lists'!$M$2:$M$11,MATCH(L475,'00 - Lists'!$L$2:$L$11,0))/100000),"")</f>
        <v/>
      </c>
      <c r="BS475" s="36" t="str">
        <f aca="false">IF(O475="","",IF(O475&gt;=20,"Yes","No"))</f>
        <v/>
      </c>
      <c r="BT475" s="36" t="str">
        <f aca="false">IF(O475="","",IF(O475&gt;=30,"Yes","No"))</f>
        <v/>
      </c>
      <c r="BU475" s="36" t="str">
        <f aca="false">IF(O475="","",IF(O475&gt;=75,"Yes","No"))</f>
        <v/>
      </c>
      <c r="BV475" s="36" t="str">
        <f aca="false">IF(O475="","",IF(O475&gt;=100,"Yes","No"))</f>
        <v/>
      </c>
      <c r="BW475" s="36" t="str">
        <f aca="false">IF(O475="","",IF(O475&gt;=150,"Yes","No"))</f>
        <v/>
      </c>
      <c r="BX475" s="36" t="str">
        <f aca="false">IF(O475="","",IF(O475&gt;=200,"Yes","No"))</f>
        <v/>
      </c>
      <c r="BY475" s="36" t="str">
        <f aca="false">IF(Q475="","",IF(Q475&gt;=150000,"Yes","No"))</f>
        <v/>
      </c>
      <c r="BZ475" s="36" t="str">
        <f aca="false">IF(Q475="","",IF(Q475&gt;=200000,"Yes","No"))</f>
        <v/>
      </c>
      <c r="CA475" s="36" t="str">
        <f aca="false">IF(Q475="","",IF(Q475&gt;=250000,"Yes","No"))</f>
        <v/>
      </c>
      <c r="CB475" s="36" t="str">
        <f aca="false">IF(Q475="","",IF(Q475&gt;=300000,"Yes","No"))</f>
        <v/>
      </c>
      <c r="CC475" s="37"/>
      <c r="CD475" s="36" t="str">
        <f aca="true">IF(B475="","",IF(TODAY()-B475&lt;=7,"🟢 0-7d",IF(TODAY()-B475&lt;=30,"🟡 8-30d",IF(TODAY()-B475&lt;=60,"🟠 31-60d","🔴 60d+"))))</f>
        <v/>
      </c>
      <c r="CE475" s="36" t="str">
        <f aca="false">IF(G475="","",IF(G475&lt;&gt;"USA","N/A - Not USA Role",IF(J475="Yes",IF(OR(F475="Intern",F475="New Grad"),"🟡 Possible","🟢 Strong"),IF(J475="No","🔴 Difficult","⚪ Unknown"))))</f>
        <v/>
      </c>
      <c r="CF475" s="37"/>
      <c r="CG475" s="37"/>
      <c r="CH475" s="38"/>
      <c r="CI475" s="38"/>
      <c r="CJ475" s="38"/>
      <c r="CK475" s="38"/>
    </row>
    <row r="476" customFormat="false" ht="15" hidden="false" customHeight="true" outlineLevel="0" collapsed="false">
      <c r="A476" s="26" t="str">
        <f aca="false">IF($C476="","",ROW()-3)</f>
        <v/>
      </c>
      <c r="B476" s="27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9"/>
      <c r="N476" s="29"/>
      <c r="O476" s="30" t="str">
        <f aca="false">IFERROR(IF(M476="","",M476*INDEX('00 - Lists'!$M$2:$M$11,MATCH(L476,'00 - Lists'!$L$2:$L$11,0))/100000),"")</f>
        <v/>
      </c>
      <c r="P476" s="30" t="str">
        <f aca="false">IFERROR(IF(N476="","",N476*INDEX('00 - Lists'!$M$2:$M$11,MATCH(L476,'00 - Lists'!$L$2:$L$11,0))/100000),"")</f>
        <v/>
      </c>
      <c r="Q476" s="31" t="str">
        <f aca="false">IFERROR(IF(M476="","",M476*INDEX('00 - Lists'!$N$2:$N$11,MATCH(L476,'00 - Lists'!$L$2:$L$11,0))),"")</f>
        <v/>
      </c>
      <c r="R476" s="31" t="str">
        <f aca="false">IFERROR(IF(N476="","",N476*INDEX('00 - Lists'!$N$2:$N$11,MATCH(L476,'00 - Lists'!$L$2:$L$11,0))),"")</f>
        <v/>
      </c>
      <c r="S476" s="32" t="str">
        <f aca="false">IF(O476="","",IF(O476&gt;=50,"Yes","No"))</f>
        <v/>
      </c>
      <c r="T476" s="32" t="str">
        <f aca="false">IF(Q476="","",IF(Q476&gt;=100000,"Yes","No"))</f>
        <v/>
      </c>
      <c r="U476" s="28"/>
      <c r="V476" s="28"/>
      <c r="W476" s="28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J476" s="34" t="str">
        <f aca="false">IF(OR($BD476&lt;&gt;"",$BF476&lt;&gt;"",$BH476&lt;&gt;""),"Yes","No")</f>
        <v>No</v>
      </c>
      <c r="BK476" s="35" t="str">
        <f aca="false">IFERROR(IF(BD476="","",BD476*INDEX('00 - Lists'!$M$2:$M$11,MATCH(L476,'00 - Lists'!$L$2:$L$11,0))/100000),"")</f>
        <v/>
      </c>
      <c r="BL476" s="35" t="str">
        <f aca="false">IFERROR(IF(BE476="","",BE476*INDEX('00 - Lists'!$M$2:$M$11,MATCH(L476,'00 - Lists'!$L$2:$L$11,0))/100000),"")</f>
        <v/>
      </c>
      <c r="BM476" s="35" t="str">
        <f aca="false">IFERROR(IF(BF476="","",BF476*INDEX('00 - Lists'!$M$2:$M$11,MATCH(L476,'00 - Lists'!$L$2:$L$11,0))/100000),"")</f>
        <v/>
      </c>
      <c r="BN476" s="35" t="str">
        <f aca="false">IFERROR(IF(BG476="","",BG476*INDEX('00 - Lists'!$M$2:$M$11,MATCH(L476,'00 - Lists'!$L$2:$L$11,0))/100000),"")</f>
        <v/>
      </c>
      <c r="BO476" s="35" t="str">
        <f aca="false">IFERROR(IF(BH476="","",BH476*INDEX('00 - Lists'!$M$2:$M$11,MATCH(L476,'00 - Lists'!$L$2:$L$11,0))/100000),"")</f>
        <v/>
      </c>
      <c r="BP476" s="35" t="str">
        <f aca="false">IFERROR(IF(BI476="","",BI476*INDEX('00 - Lists'!$M$2:$M$11,MATCH(L476,'00 - Lists'!$L$2:$L$11,0))/100000),"")</f>
        <v/>
      </c>
      <c r="BS476" s="36" t="str">
        <f aca="false">IF(O476="","",IF(O476&gt;=20,"Yes","No"))</f>
        <v/>
      </c>
      <c r="BT476" s="36" t="str">
        <f aca="false">IF(O476="","",IF(O476&gt;=30,"Yes","No"))</f>
        <v/>
      </c>
      <c r="BU476" s="36" t="str">
        <f aca="false">IF(O476="","",IF(O476&gt;=75,"Yes","No"))</f>
        <v/>
      </c>
      <c r="BV476" s="36" t="str">
        <f aca="false">IF(O476="","",IF(O476&gt;=100,"Yes","No"))</f>
        <v/>
      </c>
      <c r="BW476" s="36" t="str">
        <f aca="false">IF(O476="","",IF(O476&gt;=150,"Yes","No"))</f>
        <v/>
      </c>
      <c r="BX476" s="36" t="str">
        <f aca="false">IF(O476="","",IF(O476&gt;=200,"Yes","No"))</f>
        <v/>
      </c>
      <c r="BY476" s="36" t="str">
        <f aca="false">IF(Q476="","",IF(Q476&gt;=150000,"Yes","No"))</f>
        <v/>
      </c>
      <c r="BZ476" s="36" t="str">
        <f aca="false">IF(Q476="","",IF(Q476&gt;=200000,"Yes","No"))</f>
        <v/>
      </c>
      <c r="CA476" s="36" t="str">
        <f aca="false">IF(Q476="","",IF(Q476&gt;=250000,"Yes","No"))</f>
        <v/>
      </c>
      <c r="CB476" s="36" t="str">
        <f aca="false">IF(Q476="","",IF(Q476&gt;=300000,"Yes","No"))</f>
        <v/>
      </c>
      <c r="CC476" s="37"/>
      <c r="CD476" s="36" t="str">
        <f aca="true">IF(B476="","",IF(TODAY()-B476&lt;=7,"🟢 0-7d",IF(TODAY()-B476&lt;=30,"🟡 8-30d",IF(TODAY()-B476&lt;=60,"🟠 31-60d","🔴 60d+"))))</f>
        <v/>
      </c>
      <c r="CE476" s="36" t="str">
        <f aca="false">IF(G476="","",IF(G476&lt;&gt;"USA","N/A - Not USA Role",IF(J476="Yes",IF(OR(F476="Intern",F476="New Grad"),"🟡 Possible","🟢 Strong"),IF(J476="No","🔴 Difficult","⚪ Unknown"))))</f>
        <v/>
      </c>
      <c r="CF476" s="37"/>
      <c r="CG476" s="37"/>
      <c r="CH476" s="38"/>
      <c r="CI476" s="38"/>
      <c r="CJ476" s="38"/>
      <c r="CK476" s="38"/>
    </row>
    <row r="477" customFormat="false" ht="15" hidden="false" customHeight="true" outlineLevel="0" collapsed="false">
      <c r="A477" s="26" t="str">
        <f aca="false">IF($C477="","",ROW()-3)</f>
        <v/>
      </c>
      <c r="B477" s="27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9"/>
      <c r="N477" s="29"/>
      <c r="O477" s="30" t="str">
        <f aca="false">IFERROR(IF(M477="","",M477*INDEX('00 - Lists'!$M$2:$M$11,MATCH(L477,'00 - Lists'!$L$2:$L$11,0))/100000),"")</f>
        <v/>
      </c>
      <c r="P477" s="30" t="str">
        <f aca="false">IFERROR(IF(N477="","",N477*INDEX('00 - Lists'!$M$2:$M$11,MATCH(L477,'00 - Lists'!$L$2:$L$11,0))/100000),"")</f>
        <v/>
      </c>
      <c r="Q477" s="31" t="str">
        <f aca="false">IFERROR(IF(M477="","",M477*INDEX('00 - Lists'!$N$2:$N$11,MATCH(L477,'00 - Lists'!$L$2:$L$11,0))),"")</f>
        <v/>
      </c>
      <c r="R477" s="31" t="str">
        <f aca="false">IFERROR(IF(N477="","",N477*INDEX('00 - Lists'!$N$2:$N$11,MATCH(L477,'00 - Lists'!$L$2:$L$11,0))),"")</f>
        <v/>
      </c>
      <c r="S477" s="32" t="str">
        <f aca="false">IF(O477="","",IF(O477&gt;=50,"Yes","No"))</f>
        <v/>
      </c>
      <c r="T477" s="32" t="str">
        <f aca="false">IF(Q477="","",IF(Q477&gt;=100000,"Yes","No"))</f>
        <v/>
      </c>
      <c r="U477" s="28"/>
      <c r="V477" s="28"/>
      <c r="W477" s="28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J477" s="34" t="str">
        <f aca="false">IF(OR($BD477&lt;&gt;"",$BF477&lt;&gt;"",$BH477&lt;&gt;""),"Yes","No")</f>
        <v>No</v>
      </c>
      <c r="BK477" s="35" t="str">
        <f aca="false">IFERROR(IF(BD477="","",BD477*INDEX('00 - Lists'!$M$2:$M$11,MATCH(L477,'00 - Lists'!$L$2:$L$11,0))/100000),"")</f>
        <v/>
      </c>
      <c r="BL477" s="35" t="str">
        <f aca="false">IFERROR(IF(BE477="","",BE477*INDEX('00 - Lists'!$M$2:$M$11,MATCH(L477,'00 - Lists'!$L$2:$L$11,0))/100000),"")</f>
        <v/>
      </c>
      <c r="BM477" s="35" t="str">
        <f aca="false">IFERROR(IF(BF477="","",BF477*INDEX('00 - Lists'!$M$2:$M$11,MATCH(L477,'00 - Lists'!$L$2:$L$11,0))/100000),"")</f>
        <v/>
      </c>
      <c r="BN477" s="35" t="str">
        <f aca="false">IFERROR(IF(BG477="","",BG477*INDEX('00 - Lists'!$M$2:$M$11,MATCH(L477,'00 - Lists'!$L$2:$L$11,0))/100000),"")</f>
        <v/>
      </c>
      <c r="BO477" s="35" t="str">
        <f aca="false">IFERROR(IF(BH477="","",BH477*INDEX('00 - Lists'!$M$2:$M$11,MATCH(L477,'00 - Lists'!$L$2:$L$11,0))/100000),"")</f>
        <v/>
      </c>
      <c r="BP477" s="35" t="str">
        <f aca="false">IFERROR(IF(BI477="","",BI477*INDEX('00 - Lists'!$M$2:$M$11,MATCH(L477,'00 - Lists'!$L$2:$L$11,0))/100000),"")</f>
        <v/>
      </c>
      <c r="BS477" s="36" t="str">
        <f aca="false">IF(O477="","",IF(O477&gt;=20,"Yes","No"))</f>
        <v/>
      </c>
      <c r="BT477" s="36" t="str">
        <f aca="false">IF(O477="","",IF(O477&gt;=30,"Yes","No"))</f>
        <v/>
      </c>
      <c r="BU477" s="36" t="str">
        <f aca="false">IF(O477="","",IF(O477&gt;=75,"Yes","No"))</f>
        <v/>
      </c>
      <c r="BV477" s="36" t="str">
        <f aca="false">IF(O477="","",IF(O477&gt;=100,"Yes","No"))</f>
        <v/>
      </c>
      <c r="BW477" s="36" t="str">
        <f aca="false">IF(O477="","",IF(O477&gt;=150,"Yes","No"))</f>
        <v/>
      </c>
      <c r="BX477" s="36" t="str">
        <f aca="false">IF(O477="","",IF(O477&gt;=200,"Yes","No"))</f>
        <v/>
      </c>
      <c r="BY477" s="36" t="str">
        <f aca="false">IF(Q477="","",IF(Q477&gt;=150000,"Yes","No"))</f>
        <v/>
      </c>
      <c r="BZ477" s="36" t="str">
        <f aca="false">IF(Q477="","",IF(Q477&gt;=200000,"Yes","No"))</f>
        <v/>
      </c>
      <c r="CA477" s="36" t="str">
        <f aca="false">IF(Q477="","",IF(Q477&gt;=250000,"Yes","No"))</f>
        <v/>
      </c>
      <c r="CB477" s="36" t="str">
        <f aca="false">IF(Q477="","",IF(Q477&gt;=300000,"Yes","No"))</f>
        <v/>
      </c>
      <c r="CC477" s="37"/>
      <c r="CD477" s="36" t="str">
        <f aca="true">IF(B477="","",IF(TODAY()-B477&lt;=7,"🟢 0-7d",IF(TODAY()-B477&lt;=30,"🟡 8-30d",IF(TODAY()-B477&lt;=60,"🟠 31-60d","🔴 60d+"))))</f>
        <v/>
      </c>
      <c r="CE477" s="36" t="str">
        <f aca="false">IF(G477="","",IF(G477&lt;&gt;"USA","N/A - Not USA Role",IF(J477="Yes",IF(OR(F477="Intern",F477="New Grad"),"🟡 Possible","🟢 Strong"),IF(J477="No","🔴 Difficult","⚪ Unknown"))))</f>
        <v/>
      </c>
      <c r="CF477" s="37"/>
      <c r="CG477" s="37"/>
      <c r="CH477" s="38"/>
      <c r="CI477" s="38"/>
      <c r="CJ477" s="38"/>
      <c r="CK477" s="38"/>
    </row>
    <row r="478" customFormat="false" ht="15" hidden="false" customHeight="true" outlineLevel="0" collapsed="false">
      <c r="A478" s="26" t="str">
        <f aca="false">IF($C478="","",ROW()-3)</f>
        <v/>
      </c>
      <c r="B478" s="27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9"/>
      <c r="N478" s="29"/>
      <c r="O478" s="30" t="str">
        <f aca="false">IFERROR(IF(M478="","",M478*INDEX('00 - Lists'!$M$2:$M$11,MATCH(L478,'00 - Lists'!$L$2:$L$11,0))/100000),"")</f>
        <v/>
      </c>
      <c r="P478" s="30" t="str">
        <f aca="false">IFERROR(IF(N478="","",N478*INDEX('00 - Lists'!$M$2:$M$11,MATCH(L478,'00 - Lists'!$L$2:$L$11,0))/100000),"")</f>
        <v/>
      </c>
      <c r="Q478" s="31" t="str">
        <f aca="false">IFERROR(IF(M478="","",M478*INDEX('00 - Lists'!$N$2:$N$11,MATCH(L478,'00 - Lists'!$L$2:$L$11,0))),"")</f>
        <v/>
      </c>
      <c r="R478" s="31" t="str">
        <f aca="false">IFERROR(IF(N478="","",N478*INDEX('00 - Lists'!$N$2:$N$11,MATCH(L478,'00 - Lists'!$L$2:$L$11,0))),"")</f>
        <v/>
      </c>
      <c r="S478" s="32" t="str">
        <f aca="false">IF(O478="","",IF(O478&gt;=50,"Yes","No"))</f>
        <v/>
      </c>
      <c r="T478" s="32" t="str">
        <f aca="false">IF(Q478="","",IF(Q478&gt;=100000,"Yes","No"))</f>
        <v/>
      </c>
      <c r="U478" s="28"/>
      <c r="V478" s="28"/>
      <c r="W478" s="28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J478" s="34" t="str">
        <f aca="false">IF(OR($BD478&lt;&gt;"",$BF478&lt;&gt;"",$BH478&lt;&gt;""),"Yes","No")</f>
        <v>No</v>
      </c>
      <c r="BK478" s="35" t="str">
        <f aca="false">IFERROR(IF(BD478="","",BD478*INDEX('00 - Lists'!$M$2:$M$11,MATCH(L478,'00 - Lists'!$L$2:$L$11,0))/100000),"")</f>
        <v/>
      </c>
      <c r="BL478" s="35" t="str">
        <f aca="false">IFERROR(IF(BE478="","",BE478*INDEX('00 - Lists'!$M$2:$M$11,MATCH(L478,'00 - Lists'!$L$2:$L$11,0))/100000),"")</f>
        <v/>
      </c>
      <c r="BM478" s="35" t="str">
        <f aca="false">IFERROR(IF(BF478="","",BF478*INDEX('00 - Lists'!$M$2:$M$11,MATCH(L478,'00 - Lists'!$L$2:$L$11,0))/100000),"")</f>
        <v/>
      </c>
      <c r="BN478" s="35" t="str">
        <f aca="false">IFERROR(IF(BG478="","",BG478*INDEX('00 - Lists'!$M$2:$M$11,MATCH(L478,'00 - Lists'!$L$2:$L$11,0))/100000),"")</f>
        <v/>
      </c>
      <c r="BO478" s="35" t="str">
        <f aca="false">IFERROR(IF(BH478="","",BH478*INDEX('00 - Lists'!$M$2:$M$11,MATCH(L478,'00 - Lists'!$L$2:$L$11,0))/100000),"")</f>
        <v/>
      </c>
      <c r="BP478" s="35" t="str">
        <f aca="false">IFERROR(IF(BI478="","",BI478*INDEX('00 - Lists'!$M$2:$M$11,MATCH(L478,'00 - Lists'!$L$2:$L$11,0))/100000),"")</f>
        <v/>
      </c>
      <c r="BS478" s="36" t="str">
        <f aca="false">IF(O478="","",IF(O478&gt;=20,"Yes","No"))</f>
        <v/>
      </c>
      <c r="BT478" s="36" t="str">
        <f aca="false">IF(O478="","",IF(O478&gt;=30,"Yes","No"))</f>
        <v/>
      </c>
      <c r="BU478" s="36" t="str">
        <f aca="false">IF(O478="","",IF(O478&gt;=75,"Yes","No"))</f>
        <v/>
      </c>
      <c r="BV478" s="36" t="str">
        <f aca="false">IF(O478="","",IF(O478&gt;=100,"Yes","No"))</f>
        <v/>
      </c>
      <c r="BW478" s="36" t="str">
        <f aca="false">IF(O478="","",IF(O478&gt;=150,"Yes","No"))</f>
        <v/>
      </c>
      <c r="BX478" s="36" t="str">
        <f aca="false">IF(O478="","",IF(O478&gt;=200,"Yes","No"))</f>
        <v/>
      </c>
      <c r="BY478" s="36" t="str">
        <f aca="false">IF(Q478="","",IF(Q478&gt;=150000,"Yes","No"))</f>
        <v/>
      </c>
      <c r="BZ478" s="36" t="str">
        <f aca="false">IF(Q478="","",IF(Q478&gt;=200000,"Yes","No"))</f>
        <v/>
      </c>
      <c r="CA478" s="36" t="str">
        <f aca="false">IF(Q478="","",IF(Q478&gt;=250000,"Yes","No"))</f>
        <v/>
      </c>
      <c r="CB478" s="36" t="str">
        <f aca="false">IF(Q478="","",IF(Q478&gt;=300000,"Yes","No"))</f>
        <v/>
      </c>
      <c r="CC478" s="37"/>
      <c r="CD478" s="36" t="str">
        <f aca="true">IF(B478="","",IF(TODAY()-B478&lt;=7,"🟢 0-7d",IF(TODAY()-B478&lt;=30,"🟡 8-30d",IF(TODAY()-B478&lt;=60,"🟠 31-60d","🔴 60d+"))))</f>
        <v/>
      </c>
      <c r="CE478" s="36" t="str">
        <f aca="false">IF(G478="","",IF(G478&lt;&gt;"USA","N/A - Not USA Role",IF(J478="Yes",IF(OR(F478="Intern",F478="New Grad"),"🟡 Possible","🟢 Strong"),IF(J478="No","🔴 Difficult","⚪ Unknown"))))</f>
        <v/>
      </c>
      <c r="CF478" s="37"/>
      <c r="CG478" s="37"/>
      <c r="CH478" s="38"/>
      <c r="CI478" s="38"/>
      <c r="CJ478" s="38"/>
      <c r="CK478" s="38"/>
    </row>
    <row r="479" customFormat="false" ht="15" hidden="false" customHeight="true" outlineLevel="0" collapsed="false">
      <c r="A479" s="26" t="str">
        <f aca="false">IF($C479="","",ROW()-3)</f>
        <v/>
      </c>
      <c r="B479" s="27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9"/>
      <c r="N479" s="29"/>
      <c r="O479" s="30" t="str">
        <f aca="false">IFERROR(IF(M479="","",M479*INDEX('00 - Lists'!$M$2:$M$11,MATCH(L479,'00 - Lists'!$L$2:$L$11,0))/100000),"")</f>
        <v/>
      </c>
      <c r="P479" s="30" t="str">
        <f aca="false">IFERROR(IF(N479="","",N479*INDEX('00 - Lists'!$M$2:$M$11,MATCH(L479,'00 - Lists'!$L$2:$L$11,0))/100000),"")</f>
        <v/>
      </c>
      <c r="Q479" s="31" t="str">
        <f aca="false">IFERROR(IF(M479="","",M479*INDEX('00 - Lists'!$N$2:$N$11,MATCH(L479,'00 - Lists'!$L$2:$L$11,0))),"")</f>
        <v/>
      </c>
      <c r="R479" s="31" t="str">
        <f aca="false">IFERROR(IF(N479="","",N479*INDEX('00 - Lists'!$N$2:$N$11,MATCH(L479,'00 - Lists'!$L$2:$L$11,0))),"")</f>
        <v/>
      </c>
      <c r="S479" s="32" t="str">
        <f aca="false">IF(O479="","",IF(O479&gt;=50,"Yes","No"))</f>
        <v/>
      </c>
      <c r="T479" s="32" t="str">
        <f aca="false">IF(Q479="","",IF(Q479&gt;=100000,"Yes","No"))</f>
        <v/>
      </c>
      <c r="U479" s="28"/>
      <c r="V479" s="28"/>
      <c r="W479" s="28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J479" s="34" t="str">
        <f aca="false">IF(OR($BD479&lt;&gt;"",$BF479&lt;&gt;"",$BH479&lt;&gt;""),"Yes","No")</f>
        <v>No</v>
      </c>
      <c r="BK479" s="35" t="str">
        <f aca="false">IFERROR(IF(BD479="","",BD479*INDEX('00 - Lists'!$M$2:$M$11,MATCH(L479,'00 - Lists'!$L$2:$L$11,0))/100000),"")</f>
        <v/>
      </c>
      <c r="BL479" s="35" t="str">
        <f aca="false">IFERROR(IF(BE479="","",BE479*INDEX('00 - Lists'!$M$2:$M$11,MATCH(L479,'00 - Lists'!$L$2:$L$11,0))/100000),"")</f>
        <v/>
      </c>
      <c r="BM479" s="35" t="str">
        <f aca="false">IFERROR(IF(BF479="","",BF479*INDEX('00 - Lists'!$M$2:$M$11,MATCH(L479,'00 - Lists'!$L$2:$L$11,0))/100000),"")</f>
        <v/>
      </c>
      <c r="BN479" s="35" t="str">
        <f aca="false">IFERROR(IF(BG479="","",BG479*INDEX('00 - Lists'!$M$2:$M$11,MATCH(L479,'00 - Lists'!$L$2:$L$11,0))/100000),"")</f>
        <v/>
      </c>
      <c r="BO479" s="35" t="str">
        <f aca="false">IFERROR(IF(BH479="","",BH479*INDEX('00 - Lists'!$M$2:$M$11,MATCH(L479,'00 - Lists'!$L$2:$L$11,0))/100000),"")</f>
        <v/>
      </c>
      <c r="BP479" s="35" t="str">
        <f aca="false">IFERROR(IF(BI479="","",BI479*INDEX('00 - Lists'!$M$2:$M$11,MATCH(L479,'00 - Lists'!$L$2:$L$11,0))/100000),"")</f>
        <v/>
      </c>
      <c r="BS479" s="36" t="str">
        <f aca="false">IF(O479="","",IF(O479&gt;=20,"Yes","No"))</f>
        <v/>
      </c>
      <c r="BT479" s="36" t="str">
        <f aca="false">IF(O479="","",IF(O479&gt;=30,"Yes","No"))</f>
        <v/>
      </c>
      <c r="BU479" s="36" t="str">
        <f aca="false">IF(O479="","",IF(O479&gt;=75,"Yes","No"))</f>
        <v/>
      </c>
      <c r="BV479" s="36" t="str">
        <f aca="false">IF(O479="","",IF(O479&gt;=100,"Yes","No"))</f>
        <v/>
      </c>
      <c r="BW479" s="36" t="str">
        <f aca="false">IF(O479="","",IF(O479&gt;=150,"Yes","No"))</f>
        <v/>
      </c>
      <c r="BX479" s="36" t="str">
        <f aca="false">IF(O479="","",IF(O479&gt;=200,"Yes","No"))</f>
        <v/>
      </c>
      <c r="BY479" s="36" t="str">
        <f aca="false">IF(Q479="","",IF(Q479&gt;=150000,"Yes","No"))</f>
        <v/>
      </c>
      <c r="BZ479" s="36" t="str">
        <f aca="false">IF(Q479="","",IF(Q479&gt;=200000,"Yes","No"))</f>
        <v/>
      </c>
      <c r="CA479" s="36" t="str">
        <f aca="false">IF(Q479="","",IF(Q479&gt;=250000,"Yes","No"))</f>
        <v/>
      </c>
      <c r="CB479" s="36" t="str">
        <f aca="false">IF(Q479="","",IF(Q479&gt;=300000,"Yes","No"))</f>
        <v/>
      </c>
      <c r="CC479" s="37"/>
      <c r="CD479" s="36" t="str">
        <f aca="true">IF(B479="","",IF(TODAY()-B479&lt;=7,"🟢 0-7d",IF(TODAY()-B479&lt;=30,"🟡 8-30d",IF(TODAY()-B479&lt;=60,"🟠 31-60d","🔴 60d+"))))</f>
        <v/>
      </c>
      <c r="CE479" s="36" t="str">
        <f aca="false">IF(G479="","",IF(G479&lt;&gt;"USA","N/A - Not USA Role",IF(J479="Yes",IF(OR(F479="Intern",F479="New Grad"),"🟡 Possible","🟢 Strong"),IF(J479="No","🔴 Difficult","⚪ Unknown"))))</f>
        <v/>
      </c>
      <c r="CF479" s="37"/>
      <c r="CG479" s="37"/>
      <c r="CH479" s="38"/>
      <c r="CI479" s="38"/>
      <c r="CJ479" s="38"/>
      <c r="CK479" s="38"/>
    </row>
    <row r="480" customFormat="false" ht="15" hidden="false" customHeight="true" outlineLevel="0" collapsed="false">
      <c r="A480" s="26" t="str">
        <f aca="false">IF($C480="","",ROW()-3)</f>
        <v/>
      </c>
      <c r="B480" s="27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9"/>
      <c r="N480" s="29"/>
      <c r="O480" s="30" t="str">
        <f aca="false">IFERROR(IF(M480="","",M480*INDEX('00 - Lists'!$M$2:$M$11,MATCH(L480,'00 - Lists'!$L$2:$L$11,0))/100000),"")</f>
        <v/>
      </c>
      <c r="P480" s="30" t="str">
        <f aca="false">IFERROR(IF(N480="","",N480*INDEX('00 - Lists'!$M$2:$M$11,MATCH(L480,'00 - Lists'!$L$2:$L$11,0))/100000),"")</f>
        <v/>
      </c>
      <c r="Q480" s="31" t="str">
        <f aca="false">IFERROR(IF(M480="","",M480*INDEX('00 - Lists'!$N$2:$N$11,MATCH(L480,'00 - Lists'!$L$2:$L$11,0))),"")</f>
        <v/>
      </c>
      <c r="R480" s="31" t="str">
        <f aca="false">IFERROR(IF(N480="","",N480*INDEX('00 - Lists'!$N$2:$N$11,MATCH(L480,'00 - Lists'!$L$2:$L$11,0))),"")</f>
        <v/>
      </c>
      <c r="S480" s="32" t="str">
        <f aca="false">IF(O480="","",IF(O480&gt;=50,"Yes","No"))</f>
        <v/>
      </c>
      <c r="T480" s="32" t="str">
        <f aca="false">IF(Q480="","",IF(Q480&gt;=100000,"Yes","No"))</f>
        <v/>
      </c>
      <c r="U480" s="28"/>
      <c r="V480" s="28"/>
      <c r="W480" s="28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J480" s="34" t="str">
        <f aca="false">IF(OR($BD480&lt;&gt;"",$BF480&lt;&gt;"",$BH480&lt;&gt;""),"Yes","No")</f>
        <v>No</v>
      </c>
      <c r="BK480" s="35" t="str">
        <f aca="false">IFERROR(IF(BD480="","",BD480*INDEX('00 - Lists'!$M$2:$M$11,MATCH(L480,'00 - Lists'!$L$2:$L$11,0))/100000),"")</f>
        <v/>
      </c>
      <c r="BL480" s="35" t="str">
        <f aca="false">IFERROR(IF(BE480="","",BE480*INDEX('00 - Lists'!$M$2:$M$11,MATCH(L480,'00 - Lists'!$L$2:$L$11,0))/100000),"")</f>
        <v/>
      </c>
      <c r="BM480" s="35" t="str">
        <f aca="false">IFERROR(IF(BF480="","",BF480*INDEX('00 - Lists'!$M$2:$M$11,MATCH(L480,'00 - Lists'!$L$2:$L$11,0))/100000),"")</f>
        <v/>
      </c>
      <c r="BN480" s="35" t="str">
        <f aca="false">IFERROR(IF(BG480="","",BG480*INDEX('00 - Lists'!$M$2:$M$11,MATCH(L480,'00 - Lists'!$L$2:$L$11,0))/100000),"")</f>
        <v/>
      </c>
      <c r="BO480" s="35" t="str">
        <f aca="false">IFERROR(IF(BH480="","",BH480*INDEX('00 - Lists'!$M$2:$M$11,MATCH(L480,'00 - Lists'!$L$2:$L$11,0))/100000),"")</f>
        <v/>
      </c>
      <c r="BP480" s="35" t="str">
        <f aca="false">IFERROR(IF(BI480="","",BI480*INDEX('00 - Lists'!$M$2:$M$11,MATCH(L480,'00 - Lists'!$L$2:$L$11,0))/100000),"")</f>
        <v/>
      </c>
      <c r="BS480" s="36" t="str">
        <f aca="false">IF(O480="","",IF(O480&gt;=20,"Yes","No"))</f>
        <v/>
      </c>
      <c r="BT480" s="36" t="str">
        <f aca="false">IF(O480="","",IF(O480&gt;=30,"Yes","No"))</f>
        <v/>
      </c>
      <c r="BU480" s="36" t="str">
        <f aca="false">IF(O480="","",IF(O480&gt;=75,"Yes","No"))</f>
        <v/>
      </c>
      <c r="BV480" s="36" t="str">
        <f aca="false">IF(O480="","",IF(O480&gt;=100,"Yes","No"))</f>
        <v/>
      </c>
      <c r="BW480" s="36" t="str">
        <f aca="false">IF(O480="","",IF(O480&gt;=150,"Yes","No"))</f>
        <v/>
      </c>
      <c r="BX480" s="36" t="str">
        <f aca="false">IF(O480="","",IF(O480&gt;=200,"Yes","No"))</f>
        <v/>
      </c>
      <c r="BY480" s="36" t="str">
        <f aca="false">IF(Q480="","",IF(Q480&gt;=150000,"Yes","No"))</f>
        <v/>
      </c>
      <c r="BZ480" s="36" t="str">
        <f aca="false">IF(Q480="","",IF(Q480&gt;=200000,"Yes","No"))</f>
        <v/>
      </c>
      <c r="CA480" s="36" t="str">
        <f aca="false">IF(Q480="","",IF(Q480&gt;=250000,"Yes","No"))</f>
        <v/>
      </c>
      <c r="CB480" s="36" t="str">
        <f aca="false">IF(Q480="","",IF(Q480&gt;=300000,"Yes","No"))</f>
        <v/>
      </c>
      <c r="CC480" s="37"/>
      <c r="CD480" s="36" t="str">
        <f aca="true">IF(B480="","",IF(TODAY()-B480&lt;=7,"🟢 0-7d",IF(TODAY()-B480&lt;=30,"🟡 8-30d",IF(TODAY()-B480&lt;=60,"🟠 31-60d","🔴 60d+"))))</f>
        <v/>
      </c>
      <c r="CE480" s="36" t="str">
        <f aca="false">IF(G480="","",IF(G480&lt;&gt;"USA","N/A - Not USA Role",IF(J480="Yes",IF(OR(F480="Intern",F480="New Grad"),"🟡 Possible","🟢 Strong"),IF(J480="No","🔴 Difficult","⚪ Unknown"))))</f>
        <v/>
      </c>
      <c r="CF480" s="37"/>
      <c r="CG480" s="37"/>
      <c r="CH480" s="38"/>
      <c r="CI480" s="38"/>
      <c r="CJ480" s="38"/>
      <c r="CK480" s="38"/>
    </row>
    <row r="481" customFormat="false" ht="15" hidden="false" customHeight="true" outlineLevel="0" collapsed="false">
      <c r="A481" s="26" t="str">
        <f aca="false">IF($C481="","",ROW()-3)</f>
        <v/>
      </c>
      <c r="B481" s="27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9"/>
      <c r="N481" s="29"/>
      <c r="O481" s="30" t="str">
        <f aca="false">IFERROR(IF(M481="","",M481*INDEX('00 - Lists'!$M$2:$M$11,MATCH(L481,'00 - Lists'!$L$2:$L$11,0))/100000),"")</f>
        <v/>
      </c>
      <c r="P481" s="30" t="str">
        <f aca="false">IFERROR(IF(N481="","",N481*INDEX('00 - Lists'!$M$2:$M$11,MATCH(L481,'00 - Lists'!$L$2:$L$11,0))/100000),"")</f>
        <v/>
      </c>
      <c r="Q481" s="31" t="str">
        <f aca="false">IFERROR(IF(M481="","",M481*INDEX('00 - Lists'!$N$2:$N$11,MATCH(L481,'00 - Lists'!$L$2:$L$11,0))),"")</f>
        <v/>
      </c>
      <c r="R481" s="31" t="str">
        <f aca="false">IFERROR(IF(N481="","",N481*INDEX('00 - Lists'!$N$2:$N$11,MATCH(L481,'00 - Lists'!$L$2:$L$11,0))),"")</f>
        <v/>
      </c>
      <c r="S481" s="32" t="str">
        <f aca="false">IF(O481="","",IF(O481&gt;=50,"Yes","No"))</f>
        <v/>
      </c>
      <c r="T481" s="32" t="str">
        <f aca="false">IF(Q481="","",IF(Q481&gt;=100000,"Yes","No"))</f>
        <v/>
      </c>
      <c r="U481" s="28"/>
      <c r="V481" s="28"/>
      <c r="W481" s="28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J481" s="34" t="str">
        <f aca="false">IF(OR($BD481&lt;&gt;"",$BF481&lt;&gt;"",$BH481&lt;&gt;""),"Yes","No")</f>
        <v>No</v>
      </c>
      <c r="BK481" s="35" t="str">
        <f aca="false">IFERROR(IF(BD481="","",BD481*INDEX('00 - Lists'!$M$2:$M$11,MATCH(L481,'00 - Lists'!$L$2:$L$11,0))/100000),"")</f>
        <v/>
      </c>
      <c r="BL481" s="35" t="str">
        <f aca="false">IFERROR(IF(BE481="","",BE481*INDEX('00 - Lists'!$M$2:$M$11,MATCH(L481,'00 - Lists'!$L$2:$L$11,0))/100000),"")</f>
        <v/>
      </c>
      <c r="BM481" s="35" t="str">
        <f aca="false">IFERROR(IF(BF481="","",BF481*INDEX('00 - Lists'!$M$2:$M$11,MATCH(L481,'00 - Lists'!$L$2:$L$11,0))/100000),"")</f>
        <v/>
      </c>
      <c r="BN481" s="35" t="str">
        <f aca="false">IFERROR(IF(BG481="","",BG481*INDEX('00 - Lists'!$M$2:$M$11,MATCH(L481,'00 - Lists'!$L$2:$L$11,0))/100000),"")</f>
        <v/>
      </c>
      <c r="BO481" s="35" t="str">
        <f aca="false">IFERROR(IF(BH481="","",BH481*INDEX('00 - Lists'!$M$2:$M$11,MATCH(L481,'00 - Lists'!$L$2:$L$11,0))/100000),"")</f>
        <v/>
      </c>
      <c r="BP481" s="35" t="str">
        <f aca="false">IFERROR(IF(BI481="","",BI481*INDEX('00 - Lists'!$M$2:$M$11,MATCH(L481,'00 - Lists'!$L$2:$L$11,0))/100000),"")</f>
        <v/>
      </c>
      <c r="BS481" s="36" t="str">
        <f aca="false">IF(O481="","",IF(O481&gt;=20,"Yes","No"))</f>
        <v/>
      </c>
      <c r="BT481" s="36" t="str">
        <f aca="false">IF(O481="","",IF(O481&gt;=30,"Yes","No"))</f>
        <v/>
      </c>
      <c r="BU481" s="36" t="str">
        <f aca="false">IF(O481="","",IF(O481&gt;=75,"Yes","No"))</f>
        <v/>
      </c>
      <c r="BV481" s="36" t="str">
        <f aca="false">IF(O481="","",IF(O481&gt;=100,"Yes","No"))</f>
        <v/>
      </c>
      <c r="BW481" s="36" t="str">
        <f aca="false">IF(O481="","",IF(O481&gt;=150,"Yes","No"))</f>
        <v/>
      </c>
      <c r="BX481" s="36" t="str">
        <f aca="false">IF(O481="","",IF(O481&gt;=200,"Yes","No"))</f>
        <v/>
      </c>
      <c r="BY481" s="36" t="str">
        <f aca="false">IF(Q481="","",IF(Q481&gt;=150000,"Yes","No"))</f>
        <v/>
      </c>
      <c r="BZ481" s="36" t="str">
        <f aca="false">IF(Q481="","",IF(Q481&gt;=200000,"Yes","No"))</f>
        <v/>
      </c>
      <c r="CA481" s="36" t="str">
        <f aca="false">IF(Q481="","",IF(Q481&gt;=250000,"Yes","No"))</f>
        <v/>
      </c>
      <c r="CB481" s="36" t="str">
        <f aca="false">IF(Q481="","",IF(Q481&gt;=300000,"Yes","No"))</f>
        <v/>
      </c>
      <c r="CC481" s="37"/>
      <c r="CD481" s="36" t="str">
        <f aca="true">IF(B481="","",IF(TODAY()-B481&lt;=7,"🟢 0-7d",IF(TODAY()-B481&lt;=30,"🟡 8-30d",IF(TODAY()-B481&lt;=60,"🟠 31-60d","🔴 60d+"))))</f>
        <v/>
      </c>
      <c r="CE481" s="36" t="str">
        <f aca="false">IF(G481="","",IF(G481&lt;&gt;"USA","N/A - Not USA Role",IF(J481="Yes",IF(OR(F481="Intern",F481="New Grad"),"🟡 Possible","🟢 Strong"),IF(J481="No","🔴 Difficult","⚪ Unknown"))))</f>
        <v/>
      </c>
      <c r="CF481" s="37"/>
      <c r="CG481" s="37"/>
      <c r="CH481" s="38"/>
      <c r="CI481" s="38"/>
      <c r="CJ481" s="38"/>
      <c r="CK481" s="38"/>
    </row>
    <row r="482" customFormat="false" ht="15" hidden="false" customHeight="true" outlineLevel="0" collapsed="false">
      <c r="A482" s="26" t="str">
        <f aca="false">IF($C482="","",ROW()-3)</f>
        <v/>
      </c>
      <c r="B482" s="27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9"/>
      <c r="N482" s="29"/>
      <c r="O482" s="30" t="str">
        <f aca="false">IFERROR(IF(M482="","",M482*INDEX('00 - Lists'!$M$2:$M$11,MATCH(L482,'00 - Lists'!$L$2:$L$11,0))/100000),"")</f>
        <v/>
      </c>
      <c r="P482" s="30" t="str">
        <f aca="false">IFERROR(IF(N482="","",N482*INDEX('00 - Lists'!$M$2:$M$11,MATCH(L482,'00 - Lists'!$L$2:$L$11,0))/100000),"")</f>
        <v/>
      </c>
      <c r="Q482" s="31" t="str">
        <f aca="false">IFERROR(IF(M482="","",M482*INDEX('00 - Lists'!$N$2:$N$11,MATCH(L482,'00 - Lists'!$L$2:$L$11,0))),"")</f>
        <v/>
      </c>
      <c r="R482" s="31" t="str">
        <f aca="false">IFERROR(IF(N482="","",N482*INDEX('00 - Lists'!$N$2:$N$11,MATCH(L482,'00 - Lists'!$L$2:$L$11,0))),"")</f>
        <v/>
      </c>
      <c r="S482" s="32" t="str">
        <f aca="false">IF(O482="","",IF(O482&gt;=50,"Yes","No"))</f>
        <v/>
      </c>
      <c r="T482" s="32" t="str">
        <f aca="false">IF(Q482="","",IF(Q482&gt;=100000,"Yes","No"))</f>
        <v/>
      </c>
      <c r="U482" s="28"/>
      <c r="V482" s="28"/>
      <c r="W482" s="28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J482" s="34" t="str">
        <f aca="false">IF(OR($BD482&lt;&gt;"",$BF482&lt;&gt;"",$BH482&lt;&gt;""),"Yes","No")</f>
        <v>No</v>
      </c>
      <c r="BK482" s="35" t="str">
        <f aca="false">IFERROR(IF(BD482="","",BD482*INDEX('00 - Lists'!$M$2:$M$11,MATCH(L482,'00 - Lists'!$L$2:$L$11,0))/100000),"")</f>
        <v/>
      </c>
      <c r="BL482" s="35" t="str">
        <f aca="false">IFERROR(IF(BE482="","",BE482*INDEX('00 - Lists'!$M$2:$M$11,MATCH(L482,'00 - Lists'!$L$2:$L$11,0))/100000),"")</f>
        <v/>
      </c>
      <c r="BM482" s="35" t="str">
        <f aca="false">IFERROR(IF(BF482="","",BF482*INDEX('00 - Lists'!$M$2:$M$11,MATCH(L482,'00 - Lists'!$L$2:$L$11,0))/100000),"")</f>
        <v/>
      </c>
      <c r="BN482" s="35" t="str">
        <f aca="false">IFERROR(IF(BG482="","",BG482*INDEX('00 - Lists'!$M$2:$M$11,MATCH(L482,'00 - Lists'!$L$2:$L$11,0))/100000),"")</f>
        <v/>
      </c>
      <c r="BO482" s="35" t="str">
        <f aca="false">IFERROR(IF(BH482="","",BH482*INDEX('00 - Lists'!$M$2:$M$11,MATCH(L482,'00 - Lists'!$L$2:$L$11,0))/100000),"")</f>
        <v/>
      </c>
      <c r="BP482" s="35" t="str">
        <f aca="false">IFERROR(IF(BI482="","",BI482*INDEX('00 - Lists'!$M$2:$M$11,MATCH(L482,'00 - Lists'!$L$2:$L$11,0))/100000),"")</f>
        <v/>
      </c>
      <c r="BS482" s="36" t="str">
        <f aca="false">IF(O482="","",IF(O482&gt;=20,"Yes","No"))</f>
        <v/>
      </c>
      <c r="BT482" s="36" t="str">
        <f aca="false">IF(O482="","",IF(O482&gt;=30,"Yes","No"))</f>
        <v/>
      </c>
      <c r="BU482" s="36" t="str">
        <f aca="false">IF(O482="","",IF(O482&gt;=75,"Yes","No"))</f>
        <v/>
      </c>
      <c r="BV482" s="36" t="str">
        <f aca="false">IF(O482="","",IF(O482&gt;=100,"Yes","No"))</f>
        <v/>
      </c>
      <c r="BW482" s="36" t="str">
        <f aca="false">IF(O482="","",IF(O482&gt;=150,"Yes","No"))</f>
        <v/>
      </c>
      <c r="BX482" s="36" t="str">
        <f aca="false">IF(O482="","",IF(O482&gt;=200,"Yes","No"))</f>
        <v/>
      </c>
      <c r="BY482" s="36" t="str">
        <f aca="false">IF(Q482="","",IF(Q482&gt;=150000,"Yes","No"))</f>
        <v/>
      </c>
      <c r="BZ482" s="36" t="str">
        <f aca="false">IF(Q482="","",IF(Q482&gt;=200000,"Yes","No"))</f>
        <v/>
      </c>
      <c r="CA482" s="36" t="str">
        <f aca="false">IF(Q482="","",IF(Q482&gt;=250000,"Yes","No"))</f>
        <v/>
      </c>
      <c r="CB482" s="36" t="str">
        <f aca="false">IF(Q482="","",IF(Q482&gt;=300000,"Yes","No"))</f>
        <v/>
      </c>
      <c r="CC482" s="37"/>
      <c r="CD482" s="36" t="str">
        <f aca="true">IF(B482="","",IF(TODAY()-B482&lt;=7,"🟢 0-7d",IF(TODAY()-B482&lt;=30,"🟡 8-30d",IF(TODAY()-B482&lt;=60,"🟠 31-60d","🔴 60d+"))))</f>
        <v/>
      </c>
      <c r="CE482" s="36" t="str">
        <f aca="false">IF(G482="","",IF(G482&lt;&gt;"USA","N/A - Not USA Role",IF(J482="Yes",IF(OR(F482="Intern",F482="New Grad"),"🟡 Possible","🟢 Strong"),IF(J482="No","🔴 Difficult","⚪ Unknown"))))</f>
        <v/>
      </c>
      <c r="CF482" s="37"/>
      <c r="CG482" s="37"/>
      <c r="CH482" s="38"/>
      <c r="CI482" s="38"/>
      <c r="CJ482" s="38"/>
      <c r="CK482" s="38"/>
    </row>
    <row r="483" customFormat="false" ht="15" hidden="false" customHeight="true" outlineLevel="0" collapsed="false">
      <c r="A483" s="26" t="str">
        <f aca="false">IF($C483="","",ROW()-3)</f>
        <v/>
      </c>
      <c r="B483" s="27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9"/>
      <c r="N483" s="29"/>
      <c r="O483" s="30" t="str">
        <f aca="false">IFERROR(IF(M483="","",M483*INDEX('00 - Lists'!$M$2:$M$11,MATCH(L483,'00 - Lists'!$L$2:$L$11,0))/100000),"")</f>
        <v/>
      </c>
      <c r="P483" s="30" t="str">
        <f aca="false">IFERROR(IF(N483="","",N483*INDEX('00 - Lists'!$M$2:$M$11,MATCH(L483,'00 - Lists'!$L$2:$L$11,0))/100000),"")</f>
        <v/>
      </c>
      <c r="Q483" s="31" t="str">
        <f aca="false">IFERROR(IF(M483="","",M483*INDEX('00 - Lists'!$N$2:$N$11,MATCH(L483,'00 - Lists'!$L$2:$L$11,0))),"")</f>
        <v/>
      </c>
      <c r="R483" s="31" t="str">
        <f aca="false">IFERROR(IF(N483="","",N483*INDEX('00 - Lists'!$N$2:$N$11,MATCH(L483,'00 - Lists'!$L$2:$L$11,0))),"")</f>
        <v/>
      </c>
      <c r="S483" s="32" t="str">
        <f aca="false">IF(O483="","",IF(O483&gt;=50,"Yes","No"))</f>
        <v/>
      </c>
      <c r="T483" s="32" t="str">
        <f aca="false">IF(Q483="","",IF(Q483&gt;=100000,"Yes","No"))</f>
        <v/>
      </c>
      <c r="U483" s="28"/>
      <c r="V483" s="28"/>
      <c r="W483" s="28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J483" s="34" t="str">
        <f aca="false">IF(OR($BD483&lt;&gt;"",$BF483&lt;&gt;"",$BH483&lt;&gt;""),"Yes","No")</f>
        <v>No</v>
      </c>
      <c r="BK483" s="35" t="str">
        <f aca="false">IFERROR(IF(BD483="","",BD483*INDEX('00 - Lists'!$M$2:$M$11,MATCH(L483,'00 - Lists'!$L$2:$L$11,0))/100000),"")</f>
        <v/>
      </c>
      <c r="BL483" s="35" t="str">
        <f aca="false">IFERROR(IF(BE483="","",BE483*INDEX('00 - Lists'!$M$2:$M$11,MATCH(L483,'00 - Lists'!$L$2:$L$11,0))/100000),"")</f>
        <v/>
      </c>
      <c r="BM483" s="35" t="str">
        <f aca="false">IFERROR(IF(BF483="","",BF483*INDEX('00 - Lists'!$M$2:$M$11,MATCH(L483,'00 - Lists'!$L$2:$L$11,0))/100000),"")</f>
        <v/>
      </c>
      <c r="BN483" s="35" t="str">
        <f aca="false">IFERROR(IF(BG483="","",BG483*INDEX('00 - Lists'!$M$2:$M$11,MATCH(L483,'00 - Lists'!$L$2:$L$11,0))/100000),"")</f>
        <v/>
      </c>
      <c r="BO483" s="35" t="str">
        <f aca="false">IFERROR(IF(BH483="","",BH483*INDEX('00 - Lists'!$M$2:$M$11,MATCH(L483,'00 - Lists'!$L$2:$L$11,0))/100000),"")</f>
        <v/>
      </c>
      <c r="BP483" s="35" t="str">
        <f aca="false">IFERROR(IF(BI483="","",BI483*INDEX('00 - Lists'!$M$2:$M$11,MATCH(L483,'00 - Lists'!$L$2:$L$11,0))/100000),"")</f>
        <v/>
      </c>
      <c r="BS483" s="36" t="str">
        <f aca="false">IF(O483="","",IF(O483&gt;=20,"Yes","No"))</f>
        <v/>
      </c>
      <c r="BT483" s="36" t="str">
        <f aca="false">IF(O483="","",IF(O483&gt;=30,"Yes","No"))</f>
        <v/>
      </c>
      <c r="BU483" s="36" t="str">
        <f aca="false">IF(O483="","",IF(O483&gt;=75,"Yes","No"))</f>
        <v/>
      </c>
      <c r="BV483" s="36" t="str">
        <f aca="false">IF(O483="","",IF(O483&gt;=100,"Yes","No"))</f>
        <v/>
      </c>
      <c r="BW483" s="36" t="str">
        <f aca="false">IF(O483="","",IF(O483&gt;=150,"Yes","No"))</f>
        <v/>
      </c>
      <c r="BX483" s="36" t="str">
        <f aca="false">IF(O483="","",IF(O483&gt;=200,"Yes","No"))</f>
        <v/>
      </c>
      <c r="BY483" s="36" t="str">
        <f aca="false">IF(Q483="","",IF(Q483&gt;=150000,"Yes","No"))</f>
        <v/>
      </c>
      <c r="BZ483" s="36" t="str">
        <f aca="false">IF(Q483="","",IF(Q483&gt;=200000,"Yes","No"))</f>
        <v/>
      </c>
      <c r="CA483" s="36" t="str">
        <f aca="false">IF(Q483="","",IF(Q483&gt;=250000,"Yes","No"))</f>
        <v/>
      </c>
      <c r="CB483" s="36" t="str">
        <f aca="false">IF(Q483="","",IF(Q483&gt;=300000,"Yes","No"))</f>
        <v/>
      </c>
      <c r="CC483" s="37"/>
      <c r="CD483" s="36" t="str">
        <f aca="true">IF(B483="","",IF(TODAY()-B483&lt;=7,"🟢 0-7d",IF(TODAY()-B483&lt;=30,"🟡 8-30d",IF(TODAY()-B483&lt;=60,"🟠 31-60d","🔴 60d+"))))</f>
        <v/>
      </c>
      <c r="CE483" s="36" t="str">
        <f aca="false">IF(G483="","",IF(G483&lt;&gt;"USA","N/A - Not USA Role",IF(J483="Yes",IF(OR(F483="Intern",F483="New Grad"),"🟡 Possible","🟢 Strong"),IF(J483="No","🔴 Difficult","⚪ Unknown"))))</f>
        <v/>
      </c>
      <c r="CF483" s="37"/>
      <c r="CG483" s="37"/>
      <c r="CH483" s="38"/>
      <c r="CI483" s="38"/>
      <c r="CJ483" s="38"/>
      <c r="CK483" s="38"/>
    </row>
    <row r="484" customFormat="false" ht="15" hidden="false" customHeight="true" outlineLevel="0" collapsed="false">
      <c r="A484" s="26" t="str">
        <f aca="false">IF($C484="","",ROW()-3)</f>
        <v/>
      </c>
      <c r="B484" s="27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9"/>
      <c r="N484" s="29"/>
      <c r="O484" s="30" t="str">
        <f aca="false">IFERROR(IF(M484="","",M484*INDEX('00 - Lists'!$M$2:$M$11,MATCH(L484,'00 - Lists'!$L$2:$L$11,0))/100000),"")</f>
        <v/>
      </c>
      <c r="P484" s="30" t="str">
        <f aca="false">IFERROR(IF(N484="","",N484*INDEX('00 - Lists'!$M$2:$M$11,MATCH(L484,'00 - Lists'!$L$2:$L$11,0))/100000),"")</f>
        <v/>
      </c>
      <c r="Q484" s="31" t="str">
        <f aca="false">IFERROR(IF(M484="","",M484*INDEX('00 - Lists'!$N$2:$N$11,MATCH(L484,'00 - Lists'!$L$2:$L$11,0))),"")</f>
        <v/>
      </c>
      <c r="R484" s="31" t="str">
        <f aca="false">IFERROR(IF(N484="","",N484*INDEX('00 - Lists'!$N$2:$N$11,MATCH(L484,'00 - Lists'!$L$2:$L$11,0))),"")</f>
        <v/>
      </c>
      <c r="S484" s="32" t="str">
        <f aca="false">IF(O484="","",IF(O484&gt;=50,"Yes","No"))</f>
        <v/>
      </c>
      <c r="T484" s="32" t="str">
        <f aca="false">IF(Q484="","",IF(Q484&gt;=100000,"Yes","No"))</f>
        <v/>
      </c>
      <c r="U484" s="28"/>
      <c r="V484" s="28"/>
      <c r="W484" s="28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J484" s="34" t="str">
        <f aca="false">IF(OR($BD484&lt;&gt;"",$BF484&lt;&gt;"",$BH484&lt;&gt;""),"Yes","No")</f>
        <v>No</v>
      </c>
      <c r="BK484" s="35" t="str">
        <f aca="false">IFERROR(IF(BD484="","",BD484*INDEX('00 - Lists'!$M$2:$M$11,MATCH(L484,'00 - Lists'!$L$2:$L$11,0))/100000),"")</f>
        <v/>
      </c>
      <c r="BL484" s="35" t="str">
        <f aca="false">IFERROR(IF(BE484="","",BE484*INDEX('00 - Lists'!$M$2:$M$11,MATCH(L484,'00 - Lists'!$L$2:$L$11,0))/100000),"")</f>
        <v/>
      </c>
      <c r="BM484" s="35" t="str">
        <f aca="false">IFERROR(IF(BF484="","",BF484*INDEX('00 - Lists'!$M$2:$M$11,MATCH(L484,'00 - Lists'!$L$2:$L$11,0))/100000),"")</f>
        <v/>
      </c>
      <c r="BN484" s="35" t="str">
        <f aca="false">IFERROR(IF(BG484="","",BG484*INDEX('00 - Lists'!$M$2:$M$11,MATCH(L484,'00 - Lists'!$L$2:$L$11,0))/100000),"")</f>
        <v/>
      </c>
      <c r="BO484" s="35" t="str">
        <f aca="false">IFERROR(IF(BH484="","",BH484*INDEX('00 - Lists'!$M$2:$M$11,MATCH(L484,'00 - Lists'!$L$2:$L$11,0))/100000),"")</f>
        <v/>
      </c>
      <c r="BP484" s="35" t="str">
        <f aca="false">IFERROR(IF(BI484="","",BI484*INDEX('00 - Lists'!$M$2:$M$11,MATCH(L484,'00 - Lists'!$L$2:$L$11,0))/100000),"")</f>
        <v/>
      </c>
      <c r="BS484" s="36" t="str">
        <f aca="false">IF(O484="","",IF(O484&gt;=20,"Yes","No"))</f>
        <v/>
      </c>
      <c r="BT484" s="36" t="str">
        <f aca="false">IF(O484="","",IF(O484&gt;=30,"Yes","No"))</f>
        <v/>
      </c>
      <c r="BU484" s="36" t="str">
        <f aca="false">IF(O484="","",IF(O484&gt;=75,"Yes","No"))</f>
        <v/>
      </c>
      <c r="BV484" s="36" t="str">
        <f aca="false">IF(O484="","",IF(O484&gt;=100,"Yes","No"))</f>
        <v/>
      </c>
      <c r="BW484" s="36" t="str">
        <f aca="false">IF(O484="","",IF(O484&gt;=150,"Yes","No"))</f>
        <v/>
      </c>
      <c r="BX484" s="36" t="str">
        <f aca="false">IF(O484="","",IF(O484&gt;=200,"Yes","No"))</f>
        <v/>
      </c>
      <c r="BY484" s="36" t="str">
        <f aca="false">IF(Q484="","",IF(Q484&gt;=150000,"Yes","No"))</f>
        <v/>
      </c>
      <c r="BZ484" s="36" t="str">
        <f aca="false">IF(Q484="","",IF(Q484&gt;=200000,"Yes","No"))</f>
        <v/>
      </c>
      <c r="CA484" s="36" t="str">
        <f aca="false">IF(Q484="","",IF(Q484&gt;=250000,"Yes","No"))</f>
        <v/>
      </c>
      <c r="CB484" s="36" t="str">
        <f aca="false">IF(Q484="","",IF(Q484&gt;=300000,"Yes","No"))</f>
        <v/>
      </c>
      <c r="CC484" s="37"/>
      <c r="CD484" s="36" t="str">
        <f aca="true">IF(B484="","",IF(TODAY()-B484&lt;=7,"🟢 0-7d",IF(TODAY()-B484&lt;=30,"🟡 8-30d",IF(TODAY()-B484&lt;=60,"🟠 31-60d","🔴 60d+"))))</f>
        <v/>
      </c>
      <c r="CE484" s="36" t="str">
        <f aca="false">IF(G484="","",IF(G484&lt;&gt;"USA","N/A - Not USA Role",IF(J484="Yes",IF(OR(F484="Intern",F484="New Grad"),"🟡 Possible","🟢 Strong"),IF(J484="No","🔴 Difficult","⚪ Unknown"))))</f>
        <v/>
      </c>
      <c r="CF484" s="37"/>
      <c r="CG484" s="37"/>
      <c r="CH484" s="38"/>
      <c r="CI484" s="38"/>
      <c r="CJ484" s="38"/>
      <c r="CK484" s="38"/>
    </row>
    <row r="485" customFormat="false" ht="15" hidden="false" customHeight="true" outlineLevel="0" collapsed="false">
      <c r="A485" s="26" t="str">
        <f aca="false">IF($C485="","",ROW()-3)</f>
        <v/>
      </c>
      <c r="B485" s="27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9"/>
      <c r="N485" s="29"/>
      <c r="O485" s="30" t="str">
        <f aca="false">IFERROR(IF(M485="","",M485*INDEX('00 - Lists'!$M$2:$M$11,MATCH(L485,'00 - Lists'!$L$2:$L$11,0))/100000),"")</f>
        <v/>
      </c>
      <c r="P485" s="30" t="str">
        <f aca="false">IFERROR(IF(N485="","",N485*INDEX('00 - Lists'!$M$2:$M$11,MATCH(L485,'00 - Lists'!$L$2:$L$11,0))/100000),"")</f>
        <v/>
      </c>
      <c r="Q485" s="31" t="str">
        <f aca="false">IFERROR(IF(M485="","",M485*INDEX('00 - Lists'!$N$2:$N$11,MATCH(L485,'00 - Lists'!$L$2:$L$11,0))),"")</f>
        <v/>
      </c>
      <c r="R485" s="31" t="str">
        <f aca="false">IFERROR(IF(N485="","",N485*INDEX('00 - Lists'!$N$2:$N$11,MATCH(L485,'00 - Lists'!$L$2:$L$11,0))),"")</f>
        <v/>
      </c>
      <c r="S485" s="32" t="str">
        <f aca="false">IF(O485="","",IF(O485&gt;=50,"Yes","No"))</f>
        <v/>
      </c>
      <c r="T485" s="32" t="str">
        <f aca="false">IF(Q485="","",IF(Q485&gt;=100000,"Yes","No"))</f>
        <v/>
      </c>
      <c r="U485" s="28"/>
      <c r="V485" s="28"/>
      <c r="W485" s="28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J485" s="34" t="str">
        <f aca="false">IF(OR($BD485&lt;&gt;"",$BF485&lt;&gt;"",$BH485&lt;&gt;""),"Yes","No")</f>
        <v>No</v>
      </c>
      <c r="BK485" s="35" t="str">
        <f aca="false">IFERROR(IF(BD485="","",BD485*INDEX('00 - Lists'!$M$2:$M$11,MATCH(L485,'00 - Lists'!$L$2:$L$11,0))/100000),"")</f>
        <v/>
      </c>
      <c r="BL485" s="35" t="str">
        <f aca="false">IFERROR(IF(BE485="","",BE485*INDEX('00 - Lists'!$M$2:$M$11,MATCH(L485,'00 - Lists'!$L$2:$L$11,0))/100000),"")</f>
        <v/>
      </c>
      <c r="BM485" s="35" t="str">
        <f aca="false">IFERROR(IF(BF485="","",BF485*INDEX('00 - Lists'!$M$2:$M$11,MATCH(L485,'00 - Lists'!$L$2:$L$11,0))/100000),"")</f>
        <v/>
      </c>
      <c r="BN485" s="35" t="str">
        <f aca="false">IFERROR(IF(BG485="","",BG485*INDEX('00 - Lists'!$M$2:$M$11,MATCH(L485,'00 - Lists'!$L$2:$L$11,0))/100000),"")</f>
        <v/>
      </c>
      <c r="BO485" s="35" t="str">
        <f aca="false">IFERROR(IF(BH485="","",BH485*INDEX('00 - Lists'!$M$2:$M$11,MATCH(L485,'00 - Lists'!$L$2:$L$11,0))/100000),"")</f>
        <v/>
      </c>
      <c r="BP485" s="35" t="str">
        <f aca="false">IFERROR(IF(BI485="","",BI485*INDEX('00 - Lists'!$M$2:$M$11,MATCH(L485,'00 - Lists'!$L$2:$L$11,0))/100000),"")</f>
        <v/>
      </c>
      <c r="BS485" s="36" t="str">
        <f aca="false">IF(O485="","",IF(O485&gt;=20,"Yes","No"))</f>
        <v/>
      </c>
      <c r="BT485" s="36" t="str">
        <f aca="false">IF(O485="","",IF(O485&gt;=30,"Yes","No"))</f>
        <v/>
      </c>
      <c r="BU485" s="36" t="str">
        <f aca="false">IF(O485="","",IF(O485&gt;=75,"Yes","No"))</f>
        <v/>
      </c>
      <c r="BV485" s="36" t="str">
        <f aca="false">IF(O485="","",IF(O485&gt;=100,"Yes","No"))</f>
        <v/>
      </c>
      <c r="BW485" s="36" t="str">
        <f aca="false">IF(O485="","",IF(O485&gt;=150,"Yes","No"))</f>
        <v/>
      </c>
      <c r="BX485" s="36" t="str">
        <f aca="false">IF(O485="","",IF(O485&gt;=200,"Yes","No"))</f>
        <v/>
      </c>
      <c r="BY485" s="36" t="str">
        <f aca="false">IF(Q485="","",IF(Q485&gt;=150000,"Yes","No"))</f>
        <v/>
      </c>
      <c r="BZ485" s="36" t="str">
        <f aca="false">IF(Q485="","",IF(Q485&gt;=200000,"Yes","No"))</f>
        <v/>
      </c>
      <c r="CA485" s="36" t="str">
        <f aca="false">IF(Q485="","",IF(Q485&gt;=250000,"Yes","No"))</f>
        <v/>
      </c>
      <c r="CB485" s="36" t="str">
        <f aca="false">IF(Q485="","",IF(Q485&gt;=300000,"Yes","No"))</f>
        <v/>
      </c>
      <c r="CC485" s="37"/>
      <c r="CD485" s="36" t="str">
        <f aca="true">IF(B485="","",IF(TODAY()-B485&lt;=7,"🟢 0-7d",IF(TODAY()-B485&lt;=30,"🟡 8-30d",IF(TODAY()-B485&lt;=60,"🟠 31-60d","🔴 60d+"))))</f>
        <v/>
      </c>
      <c r="CE485" s="36" t="str">
        <f aca="false">IF(G485="","",IF(G485&lt;&gt;"USA","N/A - Not USA Role",IF(J485="Yes",IF(OR(F485="Intern",F485="New Grad"),"🟡 Possible","🟢 Strong"),IF(J485="No","🔴 Difficult","⚪ Unknown"))))</f>
        <v/>
      </c>
      <c r="CF485" s="37"/>
      <c r="CG485" s="37"/>
      <c r="CH485" s="38"/>
      <c r="CI485" s="38"/>
      <c r="CJ485" s="38"/>
      <c r="CK485" s="38"/>
    </row>
    <row r="486" customFormat="false" ht="15" hidden="false" customHeight="true" outlineLevel="0" collapsed="false">
      <c r="A486" s="26" t="str">
        <f aca="false">IF($C486="","",ROW()-3)</f>
        <v/>
      </c>
      <c r="B486" s="27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9"/>
      <c r="N486" s="29"/>
      <c r="O486" s="30" t="str">
        <f aca="false">IFERROR(IF(M486="","",M486*INDEX('00 - Lists'!$M$2:$M$11,MATCH(L486,'00 - Lists'!$L$2:$L$11,0))/100000),"")</f>
        <v/>
      </c>
      <c r="P486" s="30" t="str">
        <f aca="false">IFERROR(IF(N486="","",N486*INDEX('00 - Lists'!$M$2:$M$11,MATCH(L486,'00 - Lists'!$L$2:$L$11,0))/100000),"")</f>
        <v/>
      </c>
      <c r="Q486" s="31" t="str">
        <f aca="false">IFERROR(IF(M486="","",M486*INDEX('00 - Lists'!$N$2:$N$11,MATCH(L486,'00 - Lists'!$L$2:$L$11,0))),"")</f>
        <v/>
      </c>
      <c r="R486" s="31" t="str">
        <f aca="false">IFERROR(IF(N486="","",N486*INDEX('00 - Lists'!$N$2:$N$11,MATCH(L486,'00 - Lists'!$L$2:$L$11,0))),"")</f>
        <v/>
      </c>
      <c r="S486" s="32" t="str">
        <f aca="false">IF(O486="","",IF(O486&gt;=50,"Yes","No"))</f>
        <v/>
      </c>
      <c r="T486" s="32" t="str">
        <f aca="false">IF(Q486="","",IF(Q486&gt;=100000,"Yes","No"))</f>
        <v/>
      </c>
      <c r="U486" s="28"/>
      <c r="V486" s="28"/>
      <c r="W486" s="28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J486" s="34" t="str">
        <f aca="false">IF(OR($BD486&lt;&gt;"",$BF486&lt;&gt;"",$BH486&lt;&gt;""),"Yes","No")</f>
        <v>No</v>
      </c>
      <c r="BK486" s="35" t="str">
        <f aca="false">IFERROR(IF(BD486="","",BD486*INDEX('00 - Lists'!$M$2:$M$11,MATCH(L486,'00 - Lists'!$L$2:$L$11,0))/100000),"")</f>
        <v/>
      </c>
      <c r="BL486" s="35" t="str">
        <f aca="false">IFERROR(IF(BE486="","",BE486*INDEX('00 - Lists'!$M$2:$M$11,MATCH(L486,'00 - Lists'!$L$2:$L$11,0))/100000),"")</f>
        <v/>
      </c>
      <c r="BM486" s="35" t="str">
        <f aca="false">IFERROR(IF(BF486="","",BF486*INDEX('00 - Lists'!$M$2:$M$11,MATCH(L486,'00 - Lists'!$L$2:$L$11,0))/100000),"")</f>
        <v/>
      </c>
      <c r="BN486" s="35" t="str">
        <f aca="false">IFERROR(IF(BG486="","",BG486*INDEX('00 - Lists'!$M$2:$M$11,MATCH(L486,'00 - Lists'!$L$2:$L$11,0))/100000),"")</f>
        <v/>
      </c>
      <c r="BO486" s="35" t="str">
        <f aca="false">IFERROR(IF(BH486="","",BH486*INDEX('00 - Lists'!$M$2:$M$11,MATCH(L486,'00 - Lists'!$L$2:$L$11,0))/100000),"")</f>
        <v/>
      </c>
      <c r="BP486" s="35" t="str">
        <f aca="false">IFERROR(IF(BI486="","",BI486*INDEX('00 - Lists'!$M$2:$M$11,MATCH(L486,'00 - Lists'!$L$2:$L$11,0))/100000),"")</f>
        <v/>
      </c>
      <c r="BS486" s="36" t="str">
        <f aca="false">IF(O486="","",IF(O486&gt;=20,"Yes","No"))</f>
        <v/>
      </c>
      <c r="BT486" s="36" t="str">
        <f aca="false">IF(O486="","",IF(O486&gt;=30,"Yes","No"))</f>
        <v/>
      </c>
      <c r="BU486" s="36" t="str">
        <f aca="false">IF(O486="","",IF(O486&gt;=75,"Yes","No"))</f>
        <v/>
      </c>
      <c r="BV486" s="36" t="str">
        <f aca="false">IF(O486="","",IF(O486&gt;=100,"Yes","No"))</f>
        <v/>
      </c>
      <c r="BW486" s="36" t="str">
        <f aca="false">IF(O486="","",IF(O486&gt;=150,"Yes","No"))</f>
        <v/>
      </c>
      <c r="BX486" s="36" t="str">
        <f aca="false">IF(O486="","",IF(O486&gt;=200,"Yes","No"))</f>
        <v/>
      </c>
      <c r="BY486" s="36" t="str">
        <f aca="false">IF(Q486="","",IF(Q486&gt;=150000,"Yes","No"))</f>
        <v/>
      </c>
      <c r="BZ486" s="36" t="str">
        <f aca="false">IF(Q486="","",IF(Q486&gt;=200000,"Yes","No"))</f>
        <v/>
      </c>
      <c r="CA486" s="36" t="str">
        <f aca="false">IF(Q486="","",IF(Q486&gt;=250000,"Yes","No"))</f>
        <v/>
      </c>
      <c r="CB486" s="36" t="str">
        <f aca="false">IF(Q486="","",IF(Q486&gt;=300000,"Yes","No"))</f>
        <v/>
      </c>
      <c r="CC486" s="37"/>
      <c r="CD486" s="36" t="str">
        <f aca="true">IF(B486="","",IF(TODAY()-B486&lt;=7,"🟢 0-7d",IF(TODAY()-B486&lt;=30,"🟡 8-30d",IF(TODAY()-B486&lt;=60,"🟠 31-60d","🔴 60d+"))))</f>
        <v/>
      </c>
      <c r="CE486" s="36" t="str">
        <f aca="false">IF(G486="","",IF(G486&lt;&gt;"USA","N/A - Not USA Role",IF(J486="Yes",IF(OR(F486="Intern",F486="New Grad"),"🟡 Possible","🟢 Strong"),IF(J486="No","🔴 Difficult","⚪ Unknown"))))</f>
        <v/>
      </c>
      <c r="CF486" s="37"/>
      <c r="CG486" s="37"/>
      <c r="CH486" s="38"/>
      <c r="CI486" s="38"/>
      <c r="CJ486" s="38"/>
      <c r="CK486" s="38"/>
    </row>
    <row r="487" customFormat="false" ht="15" hidden="false" customHeight="true" outlineLevel="0" collapsed="false">
      <c r="A487" s="26" t="str">
        <f aca="false">IF($C487="","",ROW()-3)</f>
        <v/>
      </c>
      <c r="B487" s="27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9"/>
      <c r="N487" s="29"/>
      <c r="O487" s="30" t="str">
        <f aca="false">IFERROR(IF(M487="","",M487*INDEX('00 - Lists'!$M$2:$M$11,MATCH(L487,'00 - Lists'!$L$2:$L$11,0))/100000),"")</f>
        <v/>
      </c>
      <c r="P487" s="30" t="str">
        <f aca="false">IFERROR(IF(N487="","",N487*INDEX('00 - Lists'!$M$2:$M$11,MATCH(L487,'00 - Lists'!$L$2:$L$11,0))/100000),"")</f>
        <v/>
      </c>
      <c r="Q487" s="31" t="str">
        <f aca="false">IFERROR(IF(M487="","",M487*INDEX('00 - Lists'!$N$2:$N$11,MATCH(L487,'00 - Lists'!$L$2:$L$11,0))),"")</f>
        <v/>
      </c>
      <c r="R487" s="31" t="str">
        <f aca="false">IFERROR(IF(N487="","",N487*INDEX('00 - Lists'!$N$2:$N$11,MATCH(L487,'00 - Lists'!$L$2:$L$11,0))),"")</f>
        <v/>
      </c>
      <c r="S487" s="32" t="str">
        <f aca="false">IF(O487="","",IF(O487&gt;=50,"Yes","No"))</f>
        <v/>
      </c>
      <c r="T487" s="32" t="str">
        <f aca="false">IF(Q487="","",IF(Q487&gt;=100000,"Yes","No"))</f>
        <v/>
      </c>
      <c r="U487" s="28"/>
      <c r="V487" s="28"/>
      <c r="W487" s="28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J487" s="34" t="str">
        <f aca="false">IF(OR($BD487&lt;&gt;"",$BF487&lt;&gt;"",$BH487&lt;&gt;""),"Yes","No")</f>
        <v>No</v>
      </c>
      <c r="BK487" s="35" t="str">
        <f aca="false">IFERROR(IF(BD487="","",BD487*INDEX('00 - Lists'!$M$2:$M$11,MATCH(L487,'00 - Lists'!$L$2:$L$11,0))/100000),"")</f>
        <v/>
      </c>
      <c r="BL487" s="35" t="str">
        <f aca="false">IFERROR(IF(BE487="","",BE487*INDEX('00 - Lists'!$M$2:$M$11,MATCH(L487,'00 - Lists'!$L$2:$L$11,0))/100000),"")</f>
        <v/>
      </c>
      <c r="BM487" s="35" t="str">
        <f aca="false">IFERROR(IF(BF487="","",BF487*INDEX('00 - Lists'!$M$2:$M$11,MATCH(L487,'00 - Lists'!$L$2:$L$11,0))/100000),"")</f>
        <v/>
      </c>
      <c r="BN487" s="35" t="str">
        <f aca="false">IFERROR(IF(BG487="","",BG487*INDEX('00 - Lists'!$M$2:$M$11,MATCH(L487,'00 - Lists'!$L$2:$L$11,0))/100000),"")</f>
        <v/>
      </c>
      <c r="BO487" s="35" t="str">
        <f aca="false">IFERROR(IF(BH487="","",BH487*INDEX('00 - Lists'!$M$2:$M$11,MATCH(L487,'00 - Lists'!$L$2:$L$11,0))/100000),"")</f>
        <v/>
      </c>
      <c r="BP487" s="35" t="str">
        <f aca="false">IFERROR(IF(BI487="","",BI487*INDEX('00 - Lists'!$M$2:$M$11,MATCH(L487,'00 - Lists'!$L$2:$L$11,0))/100000),"")</f>
        <v/>
      </c>
      <c r="BS487" s="36" t="str">
        <f aca="false">IF(O487="","",IF(O487&gt;=20,"Yes","No"))</f>
        <v/>
      </c>
      <c r="BT487" s="36" t="str">
        <f aca="false">IF(O487="","",IF(O487&gt;=30,"Yes","No"))</f>
        <v/>
      </c>
      <c r="BU487" s="36" t="str">
        <f aca="false">IF(O487="","",IF(O487&gt;=75,"Yes","No"))</f>
        <v/>
      </c>
      <c r="BV487" s="36" t="str">
        <f aca="false">IF(O487="","",IF(O487&gt;=100,"Yes","No"))</f>
        <v/>
      </c>
      <c r="BW487" s="36" t="str">
        <f aca="false">IF(O487="","",IF(O487&gt;=150,"Yes","No"))</f>
        <v/>
      </c>
      <c r="BX487" s="36" t="str">
        <f aca="false">IF(O487="","",IF(O487&gt;=200,"Yes","No"))</f>
        <v/>
      </c>
      <c r="BY487" s="36" t="str">
        <f aca="false">IF(Q487="","",IF(Q487&gt;=150000,"Yes","No"))</f>
        <v/>
      </c>
      <c r="BZ487" s="36" t="str">
        <f aca="false">IF(Q487="","",IF(Q487&gt;=200000,"Yes","No"))</f>
        <v/>
      </c>
      <c r="CA487" s="36" t="str">
        <f aca="false">IF(Q487="","",IF(Q487&gt;=250000,"Yes","No"))</f>
        <v/>
      </c>
      <c r="CB487" s="36" t="str">
        <f aca="false">IF(Q487="","",IF(Q487&gt;=300000,"Yes","No"))</f>
        <v/>
      </c>
      <c r="CC487" s="37"/>
      <c r="CD487" s="36" t="str">
        <f aca="true">IF(B487="","",IF(TODAY()-B487&lt;=7,"🟢 0-7d",IF(TODAY()-B487&lt;=30,"🟡 8-30d",IF(TODAY()-B487&lt;=60,"🟠 31-60d","🔴 60d+"))))</f>
        <v/>
      </c>
      <c r="CE487" s="36" t="str">
        <f aca="false">IF(G487="","",IF(G487&lt;&gt;"USA","N/A - Not USA Role",IF(J487="Yes",IF(OR(F487="Intern",F487="New Grad"),"🟡 Possible","🟢 Strong"),IF(J487="No","🔴 Difficult","⚪ Unknown"))))</f>
        <v/>
      </c>
      <c r="CF487" s="37"/>
      <c r="CG487" s="37"/>
      <c r="CH487" s="38"/>
      <c r="CI487" s="38"/>
      <c r="CJ487" s="38"/>
      <c r="CK487" s="38"/>
    </row>
    <row r="488" customFormat="false" ht="15" hidden="false" customHeight="true" outlineLevel="0" collapsed="false">
      <c r="A488" s="26" t="str">
        <f aca="false">IF($C488="","",ROW()-3)</f>
        <v/>
      </c>
      <c r="B488" s="27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9"/>
      <c r="N488" s="29"/>
      <c r="O488" s="30" t="str">
        <f aca="false">IFERROR(IF(M488="","",M488*INDEX('00 - Lists'!$M$2:$M$11,MATCH(L488,'00 - Lists'!$L$2:$L$11,0))/100000),"")</f>
        <v/>
      </c>
      <c r="P488" s="30" t="str">
        <f aca="false">IFERROR(IF(N488="","",N488*INDEX('00 - Lists'!$M$2:$M$11,MATCH(L488,'00 - Lists'!$L$2:$L$11,0))/100000),"")</f>
        <v/>
      </c>
      <c r="Q488" s="31" t="str">
        <f aca="false">IFERROR(IF(M488="","",M488*INDEX('00 - Lists'!$N$2:$N$11,MATCH(L488,'00 - Lists'!$L$2:$L$11,0))),"")</f>
        <v/>
      </c>
      <c r="R488" s="31" t="str">
        <f aca="false">IFERROR(IF(N488="","",N488*INDEX('00 - Lists'!$N$2:$N$11,MATCH(L488,'00 - Lists'!$L$2:$L$11,0))),"")</f>
        <v/>
      </c>
      <c r="S488" s="32" t="str">
        <f aca="false">IF(O488="","",IF(O488&gt;=50,"Yes","No"))</f>
        <v/>
      </c>
      <c r="T488" s="32" t="str">
        <f aca="false">IF(Q488="","",IF(Q488&gt;=100000,"Yes","No"))</f>
        <v/>
      </c>
      <c r="U488" s="28"/>
      <c r="V488" s="28"/>
      <c r="W488" s="28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J488" s="34" t="str">
        <f aca="false">IF(OR($BD488&lt;&gt;"",$BF488&lt;&gt;"",$BH488&lt;&gt;""),"Yes","No")</f>
        <v>No</v>
      </c>
      <c r="BK488" s="35" t="str">
        <f aca="false">IFERROR(IF(BD488="","",BD488*INDEX('00 - Lists'!$M$2:$M$11,MATCH(L488,'00 - Lists'!$L$2:$L$11,0))/100000),"")</f>
        <v/>
      </c>
      <c r="BL488" s="35" t="str">
        <f aca="false">IFERROR(IF(BE488="","",BE488*INDEX('00 - Lists'!$M$2:$M$11,MATCH(L488,'00 - Lists'!$L$2:$L$11,0))/100000),"")</f>
        <v/>
      </c>
      <c r="BM488" s="35" t="str">
        <f aca="false">IFERROR(IF(BF488="","",BF488*INDEX('00 - Lists'!$M$2:$M$11,MATCH(L488,'00 - Lists'!$L$2:$L$11,0))/100000),"")</f>
        <v/>
      </c>
      <c r="BN488" s="35" t="str">
        <f aca="false">IFERROR(IF(BG488="","",BG488*INDEX('00 - Lists'!$M$2:$M$11,MATCH(L488,'00 - Lists'!$L$2:$L$11,0))/100000),"")</f>
        <v/>
      </c>
      <c r="BO488" s="35" t="str">
        <f aca="false">IFERROR(IF(BH488="","",BH488*INDEX('00 - Lists'!$M$2:$M$11,MATCH(L488,'00 - Lists'!$L$2:$L$11,0))/100000),"")</f>
        <v/>
      </c>
      <c r="BP488" s="35" t="str">
        <f aca="false">IFERROR(IF(BI488="","",BI488*INDEX('00 - Lists'!$M$2:$M$11,MATCH(L488,'00 - Lists'!$L$2:$L$11,0))/100000),"")</f>
        <v/>
      </c>
      <c r="BS488" s="36" t="str">
        <f aca="false">IF(O488="","",IF(O488&gt;=20,"Yes","No"))</f>
        <v/>
      </c>
      <c r="BT488" s="36" t="str">
        <f aca="false">IF(O488="","",IF(O488&gt;=30,"Yes","No"))</f>
        <v/>
      </c>
      <c r="BU488" s="36" t="str">
        <f aca="false">IF(O488="","",IF(O488&gt;=75,"Yes","No"))</f>
        <v/>
      </c>
      <c r="BV488" s="36" t="str">
        <f aca="false">IF(O488="","",IF(O488&gt;=100,"Yes","No"))</f>
        <v/>
      </c>
      <c r="BW488" s="36" t="str">
        <f aca="false">IF(O488="","",IF(O488&gt;=150,"Yes","No"))</f>
        <v/>
      </c>
      <c r="BX488" s="36" t="str">
        <f aca="false">IF(O488="","",IF(O488&gt;=200,"Yes","No"))</f>
        <v/>
      </c>
      <c r="BY488" s="36" t="str">
        <f aca="false">IF(Q488="","",IF(Q488&gt;=150000,"Yes","No"))</f>
        <v/>
      </c>
      <c r="BZ488" s="36" t="str">
        <f aca="false">IF(Q488="","",IF(Q488&gt;=200000,"Yes","No"))</f>
        <v/>
      </c>
      <c r="CA488" s="36" t="str">
        <f aca="false">IF(Q488="","",IF(Q488&gt;=250000,"Yes","No"))</f>
        <v/>
      </c>
      <c r="CB488" s="36" t="str">
        <f aca="false">IF(Q488="","",IF(Q488&gt;=300000,"Yes","No"))</f>
        <v/>
      </c>
      <c r="CC488" s="37"/>
      <c r="CD488" s="36" t="str">
        <f aca="true">IF(B488="","",IF(TODAY()-B488&lt;=7,"🟢 0-7d",IF(TODAY()-B488&lt;=30,"🟡 8-30d",IF(TODAY()-B488&lt;=60,"🟠 31-60d","🔴 60d+"))))</f>
        <v/>
      </c>
      <c r="CE488" s="36" t="str">
        <f aca="false">IF(G488="","",IF(G488&lt;&gt;"USA","N/A - Not USA Role",IF(J488="Yes",IF(OR(F488="Intern",F488="New Grad"),"🟡 Possible","🟢 Strong"),IF(J488="No","🔴 Difficult","⚪ Unknown"))))</f>
        <v/>
      </c>
      <c r="CF488" s="37"/>
      <c r="CG488" s="37"/>
      <c r="CH488" s="38"/>
      <c r="CI488" s="38"/>
      <c r="CJ488" s="38"/>
      <c r="CK488" s="38"/>
    </row>
    <row r="489" customFormat="false" ht="15" hidden="false" customHeight="true" outlineLevel="0" collapsed="false">
      <c r="A489" s="26" t="str">
        <f aca="false">IF($C489="","",ROW()-3)</f>
        <v/>
      </c>
      <c r="B489" s="27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9"/>
      <c r="N489" s="29"/>
      <c r="O489" s="30" t="str">
        <f aca="false">IFERROR(IF(M489="","",M489*INDEX('00 - Lists'!$M$2:$M$11,MATCH(L489,'00 - Lists'!$L$2:$L$11,0))/100000),"")</f>
        <v/>
      </c>
      <c r="P489" s="30" t="str">
        <f aca="false">IFERROR(IF(N489="","",N489*INDEX('00 - Lists'!$M$2:$M$11,MATCH(L489,'00 - Lists'!$L$2:$L$11,0))/100000),"")</f>
        <v/>
      </c>
      <c r="Q489" s="31" t="str">
        <f aca="false">IFERROR(IF(M489="","",M489*INDEX('00 - Lists'!$N$2:$N$11,MATCH(L489,'00 - Lists'!$L$2:$L$11,0))),"")</f>
        <v/>
      </c>
      <c r="R489" s="31" t="str">
        <f aca="false">IFERROR(IF(N489="","",N489*INDEX('00 - Lists'!$N$2:$N$11,MATCH(L489,'00 - Lists'!$L$2:$L$11,0))),"")</f>
        <v/>
      </c>
      <c r="S489" s="32" t="str">
        <f aca="false">IF(O489="","",IF(O489&gt;=50,"Yes","No"))</f>
        <v/>
      </c>
      <c r="T489" s="32" t="str">
        <f aca="false">IF(Q489="","",IF(Q489&gt;=100000,"Yes","No"))</f>
        <v/>
      </c>
      <c r="U489" s="28"/>
      <c r="V489" s="28"/>
      <c r="W489" s="28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J489" s="34" t="str">
        <f aca="false">IF(OR($BD489&lt;&gt;"",$BF489&lt;&gt;"",$BH489&lt;&gt;""),"Yes","No")</f>
        <v>No</v>
      </c>
      <c r="BK489" s="35" t="str">
        <f aca="false">IFERROR(IF(BD489="","",BD489*INDEX('00 - Lists'!$M$2:$M$11,MATCH(L489,'00 - Lists'!$L$2:$L$11,0))/100000),"")</f>
        <v/>
      </c>
      <c r="BL489" s="35" t="str">
        <f aca="false">IFERROR(IF(BE489="","",BE489*INDEX('00 - Lists'!$M$2:$M$11,MATCH(L489,'00 - Lists'!$L$2:$L$11,0))/100000),"")</f>
        <v/>
      </c>
      <c r="BM489" s="35" t="str">
        <f aca="false">IFERROR(IF(BF489="","",BF489*INDEX('00 - Lists'!$M$2:$M$11,MATCH(L489,'00 - Lists'!$L$2:$L$11,0))/100000),"")</f>
        <v/>
      </c>
      <c r="BN489" s="35" t="str">
        <f aca="false">IFERROR(IF(BG489="","",BG489*INDEX('00 - Lists'!$M$2:$M$11,MATCH(L489,'00 - Lists'!$L$2:$L$11,0))/100000),"")</f>
        <v/>
      </c>
      <c r="BO489" s="35" t="str">
        <f aca="false">IFERROR(IF(BH489="","",BH489*INDEX('00 - Lists'!$M$2:$M$11,MATCH(L489,'00 - Lists'!$L$2:$L$11,0))/100000),"")</f>
        <v/>
      </c>
      <c r="BP489" s="35" t="str">
        <f aca="false">IFERROR(IF(BI489="","",BI489*INDEX('00 - Lists'!$M$2:$M$11,MATCH(L489,'00 - Lists'!$L$2:$L$11,0))/100000),"")</f>
        <v/>
      </c>
      <c r="BS489" s="36" t="str">
        <f aca="false">IF(O489="","",IF(O489&gt;=20,"Yes","No"))</f>
        <v/>
      </c>
      <c r="BT489" s="36" t="str">
        <f aca="false">IF(O489="","",IF(O489&gt;=30,"Yes","No"))</f>
        <v/>
      </c>
      <c r="BU489" s="36" t="str">
        <f aca="false">IF(O489="","",IF(O489&gt;=75,"Yes","No"))</f>
        <v/>
      </c>
      <c r="BV489" s="36" t="str">
        <f aca="false">IF(O489="","",IF(O489&gt;=100,"Yes","No"))</f>
        <v/>
      </c>
      <c r="BW489" s="36" t="str">
        <f aca="false">IF(O489="","",IF(O489&gt;=150,"Yes","No"))</f>
        <v/>
      </c>
      <c r="BX489" s="36" t="str">
        <f aca="false">IF(O489="","",IF(O489&gt;=200,"Yes","No"))</f>
        <v/>
      </c>
      <c r="BY489" s="36" t="str">
        <f aca="false">IF(Q489="","",IF(Q489&gt;=150000,"Yes","No"))</f>
        <v/>
      </c>
      <c r="BZ489" s="36" t="str">
        <f aca="false">IF(Q489="","",IF(Q489&gt;=200000,"Yes","No"))</f>
        <v/>
      </c>
      <c r="CA489" s="36" t="str">
        <f aca="false">IF(Q489="","",IF(Q489&gt;=250000,"Yes","No"))</f>
        <v/>
      </c>
      <c r="CB489" s="36" t="str">
        <f aca="false">IF(Q489="","",IF(Q489&gt;=300000,"Yes","No"))</f>
        <v/>
      </c>
      <c r="CC489" s="37"/>
      <c r="CD489" s="36" t="str">
        <f aca="true">IF(B489="","",IF(TODAY()-B489&lt;=7,"🟢 0-7d",IF(TODAY()-B489&lt;=30,"🟡 8-30d",IF(TODAY()-B489&lt;=60,"🟠 31-60d","🔴 60d+"))))</f>
        <v/>
      </c>
      <c r="CE489" s="36" t="str">
        <f aca="false">IF(G489="","",IF(G489&lt;&gt;"USA","N/A - Not USA Role",IF(J489="Yes",IF(OR(F489="Intern",F489="New Grad"),"🟡 Possible","🟢 Strong"),IF(J489="No","🔴 Difficult","⚪ Unknown"))))</f>
        <v/>
      </c>
      <c r="CF489" s="37"/>
      <c r="CG489" s="37"/>
      <c r="CH489" s="38"/>
      <c r="CI489" s="38"/>
      <c r="CJ489" s="38"/>
      <c r="CK489" s="38"/>
    </row>
    <row r="490" customFormat="false" ht="15" hidden="false" customHeight="true" outlineLevel="0" collapsed="false">
      <c r="A490" s="26" t="str">
        <f aca="false">IF($C490="","",ROW()-3)</f>
        <v/>
      </c>
      <c r="B490" s="27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9"/>
      <c r="N490" s="29"/>
      <c r="O490" s="30" t="str">
        <f aca="false">IFERROR(IF(M490="","",M490*INDEX('00 - Lists'!$M$2:$M$11,MATCH(L490,'00 - Lists'!$L$2:$L$11,0))/100000),"")</f>
        <v/>
      </c>
      <c r="P490" s="30" t="str">
        <f aca="false">IFERROR(IF(N490="","",N490*INDEX('00 - Lists'!$M$2:$M$11,MATCH(L490,'00 - Lists'!$L$2:$L$11,0))/100000),"")</f>
        <v/>
      </c>
      <c r="Q490" s="31" t="str">
        <f aca="false">IFERROR(IF(M490="","",M490*INDEX('00 - Lists'!$N$2:$N$11,MATCH(L490,'00 - Lists'!$L$2:$L$11,0))),"")</f>
        <v/>
      </c>
      <c r="R490" s="31" t="str">
        <f aca="false">IFERROR(IF(N490="","",N490*INDEX('00 - Lists'!$N$2:$N$11,MATCH(L490,'00 - Lists'!$L$2:$L$11,0))),"")</f>
        <v/>
      </c>
      <c r="S490" s="32" t="str">
        <f aca="false">IF(O490="","",IF(O490&gt;=50,"Yes","No"))</f>
        <v/>
      </c>
      <c r="T490" s="32" t="str">
        <f aca="false">IF(Q490="","",IF(Q490&gt;=100000,"Yes","No"))</f>
        <v/>
      </c>
      <c r="U490" s="28"/>
      <c r="V490" s="28"/>
      <c r="W490" s="28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J490" s="34" t="str">
        <f aca="false">IF(OR($BD490&lt;&gt;"",$BF490&lt;&gt;"",$BH490&lt;&gt;""),"Yes","No")</f>
        <v>No</v>
      </c>
      <c r="BK490" s="35" t="str">
        <f aca="false">IFERROR(IF(BD490="","",BD490*INDEX('00 - Lists'!$M$2:$M$11,MATCH(L490,'00 - Lists'!$L$2:$L$11,0))/100000),"")</f>
        <v/>
      </c>
      <c r="BL490" s="35" t="str">
        <f aca="false">IFERROR(IF(BE490="","",BE490*INDEX('00 - Lists'!$M$2:$M$11,MATCH(L490,'00 - Lists'!$L$2:$L$11,0))/100000),"")</f>
        <v/>
      </c>
      <c r="BM490" s="35" t="str">
        <f aca="false">IFERROR(IF(BF490="","",BF490*INDEX('00 - Lists'!$M$2:$M$11,MATCH(L490,'00 - Lists'!$L$2:$L$11,0))/100000),"")</f>
        <v/>
      </c>
      <c r="BN490" s="35" t="str">
        <f aca="false">IFERROR(IF(BG490="","",BG490*INDEX('00 - Lists'!$M$2:$M$11,MATCH(L490,'00 - Lists'!$L$2:$L$11,0))/100000),"")</f>
        <v/>
      </c>
      <c r="BO490" s="35" t="str">
        <f aca="false">IFERROR(IF(BH490="","",BH490*INDEX('00 - Lists'!$M$2:$M$11,MATCH(L490,'00 - Lists'!$L$2:$L$11,0))/100000),"")</f>
        <v/>
      </c>
      <c r="BP490" s="35" t="str">
        <f aca="false">IFERROR(IF(BI490="","",BI490*INDEX('00 - Lists'!$M$2:$M$11,MATCH(L490,'00 - Lists'!$L$2:$L$11,0))/100000),"")</f>
        <v/>
      </c>
      <c r="BS490" s="36" t="str">
        <f aca="false">IF(O490="","",IF(O490&gt;=20,"Yes","No"))</f>
        <v/>
      </c>
      <c r="BT490" s="36" t="str">
        <f aca="false">IF(O490="","",IF(O490&gt;=30,"Yes","No"))</f>
        <v/>
      </c>
      <c r="BU490" s="36" t="str">
        <f aca="false">IF(O490="","",IF(O490&gt;=75,"Yes","No"))</f>
        <v/>
      </c>
      <c r="BV490" s="36" t="str">
        <f aca="false">IF(O490="","",IF(O490&gt;=100,"Yes","No"))</f>
        <v/>
      </c>
      <c r="BW490" s="36" t="str">
        <f aca="false">IF(O490="","",IF(O490&gt;=150,"Yes","No"))</f>
        <v/>
      </c>
      <c r="BX490" s="36" t="str">
        <f aca="false">IF(O490="","",IF(O490&gt;=200,"Yes","No"))</f>
        <v/>
      </c>
      <c r="BY490" s="36" t="str">
        <f aca="false">IF(Q490="","",IF(Q490&gt;=150000,"Yes","No"))</f>
        <v/>
      </c>
      <c r="BZ490" s="36" t="str">
        <f aca="false">IF(Q490="","",IF(Q490&gt;=200000,"Yes","No"))</f>
        <v/>
      </c>
      <c r="CA490" s="36" t="str">
        <f aca="false">IF(Q490="","",IF(Q490&gt;=250000,"Yes","No"))</f>
        <v/>
      </c>
      <c r="CB490" s="36" t="str">
        <f aca="false">IF(Q490="","",IF(Q490&gt;=300000,"Yes","No"))</f>
        <v/>
      </c>
      <c r="CC490" s="37"/>
      <c r="CD490" s="36" t="str">
        <f aca="true">IF(B490="","",IF(TODAY()-B490&lt;=7,"🟢 0-7d",IF(TODAY()-B490&lt;=30,"🟡 8-30d",IF(TODAY()-B490&lt;=60,"🟠 31-60d","🔴 60d+"))))</f>
        <v/>
      </c>
      <c r="CE490" s="36" t="str">
        <f aca="false">IF(G490="","",IF(G490&lt;&gt;"USA","N/A - Not USA Role",IF(J490="Yes",IF(OR(F490="Intern",F490="New Grad"),"🟡 Possible","🟢 Strong"),IF(J490="No","🔴 Difficult","⚪ Unknown"))))</f>
        <v/>
      </c>
      <c r="CF490" s="37"/>
      <c r="CG490" s="37"/>
      <c r="CH490" s="38"/>
      <c r="CI490" s="38"/>
      <c r="CJ490" s="38"/>
      <c r="CK490" s="38"/>
    </row>
    <row r="491" customFormat="false" ht="15" hidden="false" customHeight="true" outlineLevel="0" collapsed="false">
      <c r="A491" s="26" t="str">
        <f aca="false">IF($C491="","",ROW()-3)</f>
        <v/>
      </c>
      <c r="B491" s="27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9"/>
      <c r="N491" s="29"/>
      <c r="O491" s="30" t="str">
        <f aca="false">IFERROR(IF(M491="","",M491*INDEX('00 - Lists'!$M$2:$M$11,MATCH(L491,'00 - Lists'!$L$2:$L$11,0))/100000),"")</f>
        <v/>
      </c>
      <c r="P491" s="30" t="str">
        <f aca="false">IFERROR(IF(N491="","",N491*INDEX('00 - Lists'!$M$2:$M$11,MATCH(L491,'00 - Lists'!$L$2:$L$11,0))/100000),"")</f>
        <v/>
      </c>
      <c r="Q491" s="31" t="str">
        <f aca="false">IFERROR(IF(M491="","",M491*INDEX('00 - Lists'!$N$2:$N$11,MATCH(L491,'00 - Lists'!$L$2:$L$11,0))),"")</f>
        <v/>
      </c>
      <c r="R491" s="31" t="str">
        <f aca="false">IFERROR(IF(N491="","",N491*INDEX('00 - Lists'!$N$2:$N$11,MATCH(L491,'00 - Lists'!$L$2:$L$11,0))),"")</f>
        <v/>
      </c>
      <c r="S491" s="32" t="str">
        <f aca="false">IF(O491="","",IF(O491&gt;=50,"Yes","No"))</f>
        <v/>
      </c>
      <c r="T491" s="32" t="str">
        <f aca="false">IF(Q491="","",IF(Q491&gt;=100000,"Yes","No"))</f>
        <v/>
      </c>
      <c r="U491" s="28"/>
      <c r="V491" s="28"/>
      <c r="W491" s="28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J491" s="34" t="str">
        <f aca="false">IF(OR($BD491&lt;&gt;"",$BF491&lt;&gt;"",$BH491&lt;&gt;""),"Yes","No")</f>
        <v>No</v>
      </c>
      <c r="BK491" s="35" t="str">
        <f aca="false">IFERROR(IF(BD491="","",BD491*INDEX('00 - Lists'!$M$2:$M$11,MATCH(L491,'00 - Lists'!$L$2:$L$11,0))/100000),"")</f>
        <v/>
      </c>
      <c r="BL491" s="35" t="str">
        <f aca="false">IFERROR(IF(BE491="","",BE491*INDEX('00 - Lists'!$M$2:$M$11,MATCH(L491,'00 - Lists'!$L$2:$L$11,0))/100000),"")</f>
        <v/>
      </c>
      <c r="BM491" s="35" t="str">
        <f aca="false">IFERROR(IF(BF491="","",BF491*INDEX('00 - Lists'!$M$2:$M$11,MATCH(L491,'00 - Lists'!$L$2:$L$11,0))/100000),"")</f>
        <v/>
      </c>
      <c r="BN491" s="35" t="str">
        <f aca="false">IFERROR(IF(BG491="","",BG491*INDEX('00 - Lists'!$M$2:$M$11,MATCH(L491,'00 - Lists'!$L$2:$L$11,0))/100000),"")</f>
        <v/>
      </c>
      <c r="BO491" s="35" t="str">
        <f aca="false">IFERROR(IF(BH491="","",BH491*INDEX('00 - Lists'!$M$2:$M$11,MATCH(L491,'00 - Lists'!$L$2:$L$11,0))/100000),"")</f>
        <v/>
      </c>
      <c r="BP491" s="35" t="str">
        <f aca="false">IFERROR(IF(BI491="","",BI491*INDEX('00 - Lists'!$M$2:$M$11,MATCH(L491,'00 - Lists'!$L$2:$L$11,0))/100000),"")</f>
        <v/>
      </c>
      <c r="BS491" s="36" t="str">
        <f aca="false">IF(O491="","",IF(O491&gt;=20,"Yes","No"))</f>
        <v/>
      </c>
      <c r="BT491" s="36" t="str">
        <f aca="false">IF(O491="","",IF(O491&gt;=30,"Yes","No"))</f>
        <v/>
      </c>
      <c r="BU491" s="36" t="str">
        <f aca="false">IF(O491="","",IF(O491&gt;=75,"Yes","No"))</f>
        <v/>
      </c>
      <c r="BV491" s="36" t="str">
        <f aca="false">IF(O491="","",IF(O491&gt;=100,"Yes","No"))</f>
        <v/>
      </c>
      <c r="BW491" s="36" t="str">
        <f aca="false">IF(O491="","",IF(O491&gt;=150,"Yes","No"))</f>
        <v/>
      </c>
      <c r="BX491" s="36" t="str">
        <f aca="false">IF(O491="","",IF(O491&gt;=200,"Yes","No"))</f>
        <v/>
      </c>
      <c r="BY491" s="36" t="str">
        <f aca="false">IF(Q491="","",IF(Q491&gt;=150000,"Yes","No"))</f>
        <v/>
      </c>
      <c r="BZ491" s="36" t="str">
        <f aca="false">IF(Q491="","",IF(Q491&gt;=200000,"Yes","No"))</f>
        <v/>
      </c>
      <c r="CA491" s="36" t="str">
        <f aca="false">IF(Q491="","",IF(Q491&gt;=250000,"Yes","No"))</f>
        <v/>
      </c>
      <c r="CB491" s="36" t="str">
        <f aca="false">IF(Q491="","",IF(Q491&gt;=300000,"Yes","No"))</f>
        <v/>
      </c>
      <c r="CC491" s="37"/>
      <c r="CD491" s="36" t="str">
        <f aca="true">IF(B491="","",IF(TODAY()-B491&lt;=7,"🟢 0-7d",IF(TODAY()-B491&lt;=30,"🟡 8-30d",IF(TODAY()-B491&lt;=60,"🟠 31-60d","🔴 60d+"))))</f>
        <v/>
      </c>
      <c r="CE491" s="36" t="str">
        <f aca="false">IF(G491="","",IF(G491&lt;&gt;"USA","N/A - Not USA Role",IF(J491="Yes",IF(OR(F491="Intern",F491="New Grad"),"🟡 Possible","🟢 Strong"),IF(J491="No","🔴 Difficult","⚪ Unknown"))))</f>
        <v/>
      </c>
      <c r="CF491" s="37"/>
      <c r="CG491" s="37"/>
      <c r="CH491" s="38"/>
      <c r="CI491" s="38"/>
      <c r="CJ491" s="38"/>
      <c r="CK491" s="38"/>
    </row>
    <row r="492" customFormat="false" ht="15" hidden="false" customHeight="true" outlineLevel="0" collapsed="false">
      <c r="A492" s="26" t="str">
        <f aca="false">IF($C492="","",ROW()-3)</f>
        <v/>
      </c>
      <c r="B492" s="27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9"/>
      <c r="N492" s="29"/>
      <c r="O492" s="30" t="str">
        <f aca="false">IFERROR(IF(M492="","",M492*INDEX('00 - Lists'!$M$2:$M$11,MATCH(L492,'00 - Lists'!$L$2:$L$11,0))/100000),"")</f>
        <v/>
      </c>
      <c r="P492" s="30" t="str">
        <f aca="false">IFERROR(IF(N492="","",N492*INDEX('00 - Lists'!$M$2:$M$11,MATCH(L492,'00 - Lists'!$L$2:$L$11,0))/100000),"")</f>
        <v/>
      </c>
      <c r="Q492" s="31" t="str">
        <f aca="false">IFERROR(IF(M492="","",M492*INDEX('00 - Lists'!$N$2:$N$11,MATCH(L492,'00 - Lists'!$L$2:$L$11,0))),"")</f>
        <v/>
      </c>
      <c r="R492" s="31" t="str">
        <f aca="false">IFERROR(IF(N492="","",N492*INDEX('00 - Lists'!$N$2:$N$11,MATCH(L492,'00 - Lists'!$L$2:$L$11,0))),"")</f>
        <v/>
      </c>
      <c r="S492" s="32" t="str">
        <f aca="false">IF(O492="","",IF(O492&gt;=50,"Yes","No"))</f>
        <v/>
      </c>
      <c r="T492" s="32" t="str">
        <f aca="false">IF(Q492="","",IF(Q492&gt;=100000,"Yes","No"))</f>
        <v/>
      </c>
      <c r="U492" s="28"/>
      <c r="V492" s="28"/>
      <c r="W492" s="28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J492" s="34" t="str">
        <f aca="false">IF(OR($BD492&lt;&gt;"",$BF492&lt;&gt;"",$BH492&lt;&gt;""),"Yes","No")</f>
        <v>No</v>
      </c>
      <c r="BK492" s="35" t="str">
        <f aca="false">IFERROR(IF(BD492="","",BD492*INDEX('00 - Lists'!$M$2:$M$11,MATCH(L492,'00 - Lists'!$L$2:$L$11,0))/100000),"")</f>
        <v/>
      </c>
      <c r="BL492" s="35" t="str">
        <f aca="false">IFERROR(IF(BE492="","",BE492*INDEX('00 - Lists'!$M$2:$M$11,MATCH(L492,'00 - Lists'!$L$2:$L$11,0))/100000),"")</f>
        <v/>
      </c>
      <c r="BM492" s="35" t="str">
        <f aca="false">IFERROR(IF(BF492="","",BF492*INDEX('00 - Lists'!$M$2:$M$11,MATCH(L492,'00 - Lists'!$L$2:$L$11,0))/100000),"")</f>
        <v/>
      </c>
      <c r="BN492" s="35" t="str">
        <f aca="false">IFERROR(IF(BG492="","",BG492*INDEX('00 - Lists'!$M$2:$M$11,MATCH(L492,'00 - Lists'!$L$2:$L$11,0))/100000),"")</f>
        <v/>
      </c>
      <c r="BO492" s="35" t="str">
        <f aca="false">IFERROR(IF(BH492="","",BH492*INDEX('00 - Lists'!$M$2:$M$11,MATCH(L492,'00 - Lists'!$L$2:$L$11,0))/100000),"")</f>
        <v/>
      </c>
      <c r="BP492" s="35" t="str">
        <f aca="false">IFERROR(IF(BI492="","",BI492*INDEX('00 - Lists'!$M$2:$M$11,MATCH(L492,'00 - Lists'!$L$2:$L$11,0))/100000),"")</f>
        <v/>
      </c>
      <c r="BS492" s="36" t="str">
        <f aca="false">IF(O492="","",IF(O492&gt;=20,"Yes","No"))</f>
        <v/>
      </c>
      <c r="BT492" s="36" t="str">
        <f aca="false">IF(O492="","",IF(O492&gt;=30,"Yes","No"))</f>
        <v/>
      </c>
      <c r="BU492" s="36" t="str">
        <f aca="false">IF(O492="","",IF(O492&gt;=75,"Yes","No"))</f>
        <v/>
      </c>
      <c r="BV492" s="36" t="str">
        <f aca="false">IF(O492="","",IF(O492&gt;=100,"Yes","No"))</f>
        <v/>
      </c>
      <c r="BW492" s="36" t="str">
        <f aca="false">IF(O492="","",IF(O492&gt;=150,"Yes","No"))</f>
        <v/>
      </c>
      <c r="BX492" s="36" t="str">
        <f aca="false">IF(O492="","",IF(O492&gt;=200,"Yes","No"))</f>
        <v/>
      </c>
      <c r="BY492" s="36" t="str">
        <f aca="false">IF(Q492="","",IF(Q492&gt;=150000,"Yes","No"))</f>
        <v/>
      </c>
      <c r="BZ492" s="36" t="str">
        <f aca="false">IF(Q492="","",IF(Q492&gt;=200000,"Yes","No"))</f>
        <v/>
      </c>
      <c r="CA492" s="36" t="str">
        <f aca="false">IF(Q492="","",IF(Q492&gt;=250000,"Yes","No"))</f>
        <v/>
      </c>
      <c r="CB492" s="36" t="str">
        <f aca="false">IF(Q492="","",IF(Q492&gt;=300000,"Yes","No"))</f>
        <v/>
      </c>
      <c r="CC492" s="37"/>
      <c r="CD492" s="36" t="str">
        <f aca="true">IF(B492="","",IF(TODAY()-B492&lt;=7,"🟢 0-7d",IF(TODAY()-B492&lt;=30,"🟡 8-30d",IF(TODAY()-B492&lt;=60,"🟠 31-60d","🔴 60d+"))))</f>
        <v/>
      </c>
      <c r="CE492" s="36" t="str">
        <f aca="false">IF(G492="","",IF(G492&lt;&gt;"USA","N/A - Not USA Role",IF(J492="Yes",IF(OR(F492="Intern",F492="New Grad"),"🟡 Possible","🟢 Strong"),IF(J492="No","🔴 Difficult","⚪ Unknown"))))</f>
        <v/>
      </c>
      <c r="CF492" s="37"/>
      <c r="CG492" s="37"/>
      <c r="CH492" s="38"/>
      <c r="CI492" s="38"/>
      <c r="CJ492" s="38"/>
      <c r="CK492" s="38"/>
    </row>
    <row r="493" customFormat="false" ht="15" hidden="false" customHeight="true" outlineLevel="0" collapsed="false">
      <c r="A493" s="26" t="str">
        <f aca="false">IF($C493="","",ROW()-3)</f>
        <v/>
      </c>
      <c r="B493" s="27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9"/>
      <c r="N493" s="29"/>
      <c r="O493" s="30" t="str">
        <f aca="false">IFERROR(IF(M493="","",M493*INDEX('00 - Lists'!$M$2:$M$11,MATCH(L493,'00 - Lists'!$L$2:$L$11,0))/100000),"")</f>
        <v/>
      </c>
      <c r="P493" s="30" t="str">
        <f aca="false">IFERROR(IF(N493="","",N493*INDEX('00 - Lists'!$M$2:$M$11,MATCH(L493,'00 - Lists'!$L$2:$L$11,0))/100000),"")</f>
        <v/>
      </c>
      <c r="Q493" s="31" t="str">
        <f aca="false">IFERROR(IF(M493="","",M493*INDEX('00 - Lists'!$N$2:$N$11,MATCH(L493,'00 - Lists'!$L$2:$L$11,0))),"")</f>
        <v/>
      </c>
      <c r="R493" s="31" t="str">
        <f aca="false">IFERROR(IF(N493="","",N493*INDEX('00 - Lists'!$N$2:$N$11,MATCH(L493,'00 - Lists'!$L$2:$L$11,0))),"")</f>
        <v/>
      </c>
      <c r="S493" s="32" t="str">
        <f aca="false">IF(O493="","",IF(O493&gt;=50,"Yes","No"))</f>
        <v/>
      </c>
      <c r="T493" s="32" t="str">
        <f aca="false">IF(Q493="","",IF(Q493&gt;=100000,"Yes","No"))</f>
        <v/>
      </c>
      <c r="U493" s="28"/>
      <c r="V493" s="28"/>
      <c r="W493" s="28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J493" s="34" t="str">
        <f aca="false">IF(OR($BD493&lt;&gt;"",$BF493&lt;&gt;"",$BH493&lt;&gt;""),"Yes","No")</f>
        <v>No</v>
      </c>
      <c r="BK493" s="35" t="str">
        <f aca="false">IFERROR(IF(BD493="","",BD493*INDEX('00 - Lists'!$M$2:$M$11,MATCH(L493,'00 - Lists'!$L$2:$L$11,0))/100000),"")</f>
        <v/>
      </c>
      <c r="BL493" s="35" t="str">
        <f aca="false">IFERROR(IF(BE493="","",BE493*INDEX('00 - Lists'!$M$2:$M$11,MATCH(L493,'00 - Lists'!$L$2:$L$11,0))/100000),"")</f>
        <v/>
      </c>
      <c r="BM493" s="35" t="str">
        <f aca="false">IFERROR(IF(BF493="","",BF493*INDEX('00 - Lists'!$M$2:$M$11,MATCH(L493,'00 - Lists'!$L$2:$L$11,0))/100000),"")</f>
        <v/>
      </c>
      <c r="BN493" s="35" t="str">
        <f aca="false">IFERROR(IF(BG493="","",BG493*INDEX('00 - Lists'!$M$2:$M$11,MATCH(L493,'00 - Lists'!$L$2:$L$11,0))/100000),"")</f>
        <v/>
      </c>
      <c r="BO493" s="35" t="str">
        <f aca="false">IFERROR(IF(BH493="","",BH493*INDEX('00 - Lists'!$M$2:$M$11,MATCH(L493,'00 - Lists'!$L$2:$L$11,0))/100000),"")</f>
        <v/>
      </c>
      <c r="BP493" s="35" t="str">
        <f aca="false">IFERROR(IF(BI493="","",BI493*INDEX('00 - Lists'!$M$2:$M$11,MATCH(L493,'00 - Lists'!$L$2:$L$11,0))/100000),"")</f>
        <v/>
      </c>
      <c r="BS493" s="36" t="str">
        <f aca="false">IF(O493="","",IF(O493&gt;=20,"Yes","No"))</f>
        <v/>
      </c>
      <c r="BT493" s="36" t="str">
        <f aca="false">IF(O493="","",IF(O493&gt;=30,"Yes","No"))</f>
        <v/>
      </c>
      <c r="BU493" s="36" t="str">
        <f aca="false">IF(O493="","",IF(O493&gt;=75,"Yes","No"))</f>
        <v/>
      </c>
      <c r="BV493" s="36" t="str">
        <f aca="false">IF(O493="","",IF(O493&gt;=100,"Yes","No"))</f>
        <v/>
      </c>
      <c r="BW493" s="36" t="str">
        <f aca="false">IF(O493="","",IF(O493&gt;=150,"Yes","No"))</f>
        <v/>
      </c>
      <c r="BX493" s="36" t="str">
        <f aca="false">IF(O493="","",IF(O493&gt;=200,"Yes","No"))</f>
        <v/>
      </c>
      <c r="BY493" s="36" t="str">
        <f aca="false">IF(Q493="","",IF(Q493&gt;=150000,"Yes","No"))</f>
        <v/>
      </c>
      <c r="BZ493" s="36" t="str">
        <f aca="false">IF(Q493="","",IF(Q493&gt;=200000,"Yes","No"))</f>
        <v/>
      </c>
      <c r="CA493" s="36" t="str">
        <f aca="false">IF(Q493="","",IF(Q493&gt;=250000,"Yes","No"))</f>
        <v/>
      </c>
      <c r="CB493" s="36" t="str">
        <f aca="false">IF(Q493="","",IF(Q493&gt;=300000,"Yes","No"))</f>
        <v/>
      </c>
      <c r="CC493" s="37"/>
      <c r="CD493" s="36" t="str">
        <f aca="true">IF(B493="","",IF(TODAY()-B493&lt;=7,"🟢 0-7d",IF(TODAY()-B493&lt;=30,"🟡 8-30d",IF(TODAY()-B493&lt;=60,"🟠 31-60d","🔴 60d+"))))</f>
        <v/>
      </c>
      <c r="CE493" s="36" t="str">
        <f aca="false">IF(G493="","",IF(G493&lt;&gt;"USA","N/A - Not USA Role",IF(J493="Yes",IF(OR(F493="Intern",F493="New Grad"),"🟡 Possible","🟢 Strong"),IF(J493="No","🔴 Difficult","⚪ Unknown"))))</f>
        <v/>
      </c>
      <c r="CF493" s="37"/>
      <c r="CG493" s="37"/>
      <c r="CH493" s="38"/>
      <c r="CI493" s="38"/>
      <c r="CJ493" s="38"/>
      <c r="CK493" s="38"/>
    </row>
    <row r="494" customFormat="false" ht="15" hidden="false" customHeight="true" outlineLevel="0" collapsed="false">
      <c r="A494" s="26" t="str">
        <f aca="false">IF($C494="","",ROW()-3)</f>
        <v/>
      </c>
      <c r="B494" s="27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9"/>
      <c r="N494" s="29"/>
      <c r="O494" s="30" t="str">
        <f aca="false">IFERROR(IF(M494="","",M494*INDEX('00 - Lists'!$M$2:$M$11,MATCH(L494,'00 - Lists'!$L$2:$L$11,0))/100000),"")</f>
        <v/>
      </c>
      <c r="P494" s="30" t="str">
        <f aca="false">IFERROR(IF(N494="","",N494*INDEX('00 - Lists'!$M$2:$M$11,MATCH(L494,'00 - Lists'!$L$2:$L$11,0))/100000),"")</f>
        <v/>
      </c>
      <c r="Q494" s="31" t="str">
        <f aca="false">IFERROR(IF(M494="","",M494*INDEX('00 - Lists'!$N$2:$N$11,MATCH(L494,'00 - Lists'!$L$2:$L$11,0))),"")</f>
        <v/>
      </c>
      <c r="R494" s="31" t="str">
        <f aca="false">IFERROR(IF(N494="","",N494*INDEX('00 - Lists'!$N$2:$N$11,MATCH(L494,'00 - Lists'!$L$2:$L$11,0))),"")</f>
        <v/>
      </c>
      <c r="S494" s="32" t="str">
        <f aca="false">IF(O494="","",IF(O494&gt;=50,"Yes","No"))</f>
        <v/>
      </c>
      <c r="T494" s="32" t="str">
        <f aca="false">IF(Q494="","",IF(Q494&gt;=100000,"Yes","No"))</f>
        <v/>
      </c>
      <c r="U494" s="28"/>
      <c r="V494" s="28"/>
      <c r="W494" s="28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J494" s="34" t="str">
        <f aca="false">IF(OR($BD494&lt;&gt;"",$BF494&lt;&gt;"",$BH494&lt;&gt;""),"Yes","No")</f>
        <v>No</v>
      </c>
      <c r="BK494" s="35" t="str">
        <f aca="false">IFERROR(IF(BD494="","",BD494*INDEX('00 - Lists'!$M$2:$M$11,MATCH(L494,'00 - Lists'!$L$2:$L$11,0))/100000),"")</f>
        <v/>
      </c>
      <c r="BL494" s="35" t="str">
        <f aca="false">IFERROR(IF(BE494="","",BE494*INDEX('00 - Lists'!$M$2:$M$11,MATCH(L494,'00 - Lists'!$L$2:$L$11,0))/100000),"")</f>
        <v/>
      </c>
      <c r="BM494" s="35" t="str">
        <f aca="false">IFERROR(IF(BF494="","",BF494*INDEX('00 - Lists'!$M$2:$M$11,MATCH(L494,'00 - Lists'!$L$2:$L$11,0))/100000),"")</f>
        <v/>
      </c>
      <c r="BN494" s="35" t="str">
        <f aca="false">IFERROR(IF(BG494="","",BG494*INDEX('00 - Lists'!$M$2:$M$11,MATCH(L494,'00 - Lists'!$L$2:$L$11,0))/100000),"")</f>
        <v/>
      </c>
      <c r="BO494" s="35" t="str">
        <f aca="false">IFERROR(IF(BH494="","",BH494*INDEX('00 - Lists'!$M$2:$M$11,MATCH(L494,'00 - Lists'!$L$2:$L$11,0))/100000),"")</f>
        <v/>
      </c>
      <c r="BP494" s="35" t="str">
        <f aca="false">IFERROR(IF(BI494="","",BI494*INDEX('00 - Lists'!$M$2:$M$11,MATCH(L494,'00 - Lists'!$L$2:$L$11,0))/100000),"")</f>
        <v/>
      </c>
      <c r="BS494" s="36" t="str">
        <f aca="false">IF(O494="","",IF(O494&gt;=20,"Yes","No"))</f>
        <v/>
      </c>
      <c r="BT494" s="36" t="str">
        <f aca="false">IF(O494="","",IF(O494&gt;=30,"Yes","No"))</f>
        <v/>
      </c>
      <c r="BU494" s="36" t="str">
        <f aca="false">IF(O494="","",IF(O494&gt;=75,"Yes","No"))</f>
        <v/>
      </c>
      <c r="BV494" s="36" t="str">
        <f aca="false">IF(O494="","",IF(O494&gt;=100,"Yes","No"))</f>
        <v/>
      </c>
      <c r="BW494" s="36" t="str">
        <f aca="false">IF(O494="","",IF(O494&gt;=150,"Yes","No"))</f>
        <v/>
      </c>
      <c r="BX494" s="36" t="str">
        <f aca="false">IF(O494="","",IF(O494&gt;=200,"Yes","No"))</f>
        <v/>
      </c>
      <c r="BY494" s="36" t="str">
        <f aca="false">IF(Q494="","",IF(Q494&gt;=150000,"Yes","No"))</f>
        <v/>
      </c>
      <c r="BZ494" s="36" t="str">
        <f aca="false">IF(Q494="","",IF(Q494&gt;=200000,"Yes","No"))</f>
        <v/>
      </c>
      <c r="CA494" s="36" t="str">
        <f aca="false">IF(Q494="","",IF(Q494&gt;=250000,"Yes","No"))</f>
        <v/>
      </c>
      <c r="CB494" s="36" t="str">
        <f aca="false">IF(Q494="","",IF(Q494&gt;=300000,"Yes","No"))</f>
        <v/>
      </c>
      <c r="CC494" s="37"/>
      <c r="CD494" s="36" t="str">
        <f aca="true">IF(B494="","",IF(TODAY()-B494&lt;=7,"🟢 0-7d",IF(TODAY()-B494&lt;=30,"🟡 8-30d",IF(TODAY()-B494&lt;=60,"🟠 31-60d","🔴 60d+"))))</f>
        <v/>
      </c>
      <c r="CE494" s="36" t="str">
        <f aca="false">IF(G494="","",IF(G494&lt;&gt;"USA","N/A - Not USA Role",IF(J494="Yes",IF(OR(F494="Intern",F494="New Grad"),"🟡 Possible","🟢 Strong"),IF(J494="No","🔴 Difficult","⚪ Unknown"))))</f>
        <v/>
      </c>
      <c r="CF494" s="37"/>
      <c r="CG494" s="37"/>
      <c r="CH494" s="38"/>
      <c r="CI494" s="38"/>
      <c r="CJ494" s="38"/>
      <c r="CK494" s="38"/>
    </row>
    <row r="495" customFormat="false" ht="15" hidden="false" customHeight="true" outlineLevel="0" collapsed="false">
      <c r="A495" s="26" t="str">
        <f aca="false">IF($C495="","",ROW()-3)</f>
        <v/>
      </c>
      <c r="B495" s="27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9"/>
      <c r="N495" s="29"/>
      <c r="O495" s="30" t="str">
        <f aca="false">IFERROR(IF(M495="","",M495*INDEX('00 - Lists'!$M$2:$M$11,MATCH(L495,'00 - Lists'!$L$2:$L$11,0))/100000),"")</f>
        <v/>
      </c>
      <c r="P495" s="30" t="str">
        <f aca="false">IFERROR(IF(N495="","",N495*INDEX('00 - Lists'!$M$2:$M$11,MATCH(L495,'00 - Lists'!$L$2:$L$11,0))/100000),"")</f>
        <v/>
      </c>
      <c r="Q495" s="31" t="str">
        <f aca="false">IFERROR(IF(M495="","",M495*INDEX('00 - Lists'!$N$2:$N$11,MATCH(L495,'00 - Lists'!$L$2:$L$11,0))),"")</f>
        <v/>
      </c>
      <c r="R495" s="31" t="str">
        <f aca="false">IFERROR(IF(N495="","",N495*INDEX('00 - Lists'!$N$2:$N$11,MATCH(L495,'00 - Lists'!$L$2:$L$11,0))),"")</f>
        <v/>
      </c>
      <c r="S495" s="32" t="str">
        <f aca="false">IF(O495="","",IF(O495&gt;=50,"Yes","No"))</f>
        <v/>
      </c>
      <c r="T495" s="32" t="str">
        <f aca="false">IF(Q495="","",IF(Q495&gt;=100000,"Yes","No"))</f>
        <v/>
      </c>
      <c r="U495" s="28"/>
      <c r="V495" s="28"/>
      <c r="W495" s="28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J495" s="34" t="str">
        <f aca="false">IF(OR($BD495&lt;&gt;"",$BF495&lt;&gt;"",$BH495&lt;&gt;""),"Yes","No")</f>
        <v>No</v>
      </c>
      <c r="BK495" s="35" t="str">
        <f aca="false">IFERROR(IF(BD495="","",BD495*INDEX('00 - Lists'!$M$2:$M$11,MATCH(L495,'00 - Lists'!$L$2:$L$11,0))/100000),"")</f>
        <v/>
      </c>
      <c r="BL495" s="35" t="str">
        <f aca="false">IFERROR(IF(BE495="","",BE495*INDEX('00 - Lists'!$M$2:$M$11,MATCH(L495,'00 - Lists'!$L$2:$L$11,0))/100000),"")</f>
        <v/>
      </c>
      <c r="BM495" s="35" t="str">
        <f aca="false">IFERROR(IF(BF495="","",BF495*INDEX('00 - Lists'!$M$2:$M$11,MATCH(L495,'00 - Lists'!$L$2:$L$11,0))/100000),"")</f>
        <v/>
      </c>
      <c r="BN495" s="35" t="str">
        <f aca="false">IFERROR(IF(BG495="","",BG495*INDEX('00 - Lists'!$M$2:$M$11,MATCH(L495,'00 - Lists'!$L$2:$L$11,0))/100000),"")</f>
        <v/>
      </c>
      <c r="BO495" s="35" t="str">
        <f aca="false">IFERROR(IF(BH495="","",BH495*INDEX('00 - Lists'!$M$2:$M$11,MATCH(L495,'00 - Lists'!$L$2:$L$11,0))/100000),"")</f>
        <v/>
      </c>
      <c r="BP495" s="35" t="str">
        <f aca="false">IFERROR(IF(BI495="","",BI495*INDEX('00 - Lists'!$M$2:$M$11,MATCH(L495,'00 - Lists'!$L$2:$L$11,0))/100000),"")</f>
        <v/>
      </c>
      <c r="BS495" s="36" t="str">
        <f aca="false">IF(O495="","",IF(O495&gt;=20,"Yes","No"))</f>
        <v/>
      </c>
      <c r="BT495" s="36" t="str">
        <f aca="false">IF(O495="","",IF(O495&gt;=30,"Yes","No"))</f>
        <v/>
      </c>
      <c r="BU495" s="36" t="str">
        <f aca="false">IF(O495="","",IF(O495&gt;=75,"Yes","No"))</f>
        <v/>
      </c>
      <c r="BV495" s="36" t="str">
        <f aca="false">IF(O495="","",IF(O495&gt;=100,"Yes","No"))</f>
        <v/>
      </c>
      <c r="BW495" s="36" t="str">
        <f aca="false">IF(O495="","",IF(O495&gt;=150,"Yes","No"))</f>
        <v/>
      </c>
      <c r="BX495" s="36" t="str">
        <f aca="false">IF(O495="","",IF(O495&gt;=200,"Yes","No"))</f>
        <v/>
      </c>
      <c r="BY495" s="36" t="str">
        <f aca="false">IF(Q495="","",IF(Q495&gt;=150000,"Yes","No"))</f>
        <v/>
      </c>
      <c r="BZ495" s="36" t="str">
        <f aca="false">IF(Q495="","",IF(Q495&gt;=200000,"Yes","No"))</f>
        <v/>
      </c>
      <c r="CA495" s="36" t="str">
        <f aca="false">IF(Q495="","",IF(Q495&gt;=250000,"Yes","No"))</f>
        <v/>
      </c>
      <c r="CB495" s="36" t="str">
        <f aca="false">IF(Q495="","",IF(Q495&gt;=300000,"Yes","No"))</f>
        <v/>
      </c>
      <c r="CC495" s="37"/>
      <c r="CD495" s="36" t="str">
        <f aca="true">IF(B495="","",IF(TODAY()-B495&lt;=7,"🟢 0-7d",IF(TODAY()-B495&lt;=30,"🟡 8-30d",IF(TODAY()-B495&lt;=60,"🟠 31-60d","🔴 60d+"))))</f>
        <v/>
      </c>
      <c r="CE495" s="36" t="str">
        <f aca="false">IF(G495="","",IF(G495&lt;&gt;"USA","N/A - Not USA Role",IF(J495="Yes",IF(OR(F495="Intern",F495="New Grad"),"🟡 Possible","🟢 Strong"),IF(J495="No","🔴 Difficult","⚪ Unknown"))))</f>
        <v/>
      </c>
      <c r="CF495" s="37"/>
      <c r="CG495" s="37"/>
      <c r="CH495" s="38"/>
      <c r="CI495" s="38"/>
      <c r="CJ495" s="38"/>
      <c r="CK495" s="38"/>
    </row>
    <row r="496" customFormat="false" ht="15" hidden="false" customHeight="true" outlineLevel="0" collapsed="false">
      <c r="A496" s="26" t="str">
        <f aca="false">IF($C496="","",ROW()-3)</f>
        <v/>
      </c>
      <c r="B496" s="27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9"/>
      <c r="N496" s="29"/>
      <c r="O496" s="30" t="str">
        <f aca="false">IFERROR(IF(M496="","",M496*INDEX('00 - Lists'!$M$2:$M$11,MATCH(L496,'00 - Lists'!$L$2:$L$11,0))/100000),"")</f>
        <v/>
      </c>
      <c r="P496" s="30" t="str">
        <f aca="false">IFERROR(IF(N496="","",N496*INDEX('00 - Lists'!$M$2:$M$11,MATCH(L496,'00 - Lists'!$L$2:$L$11,0))/100000),"")</f>
        <v/>
      </c>
      <c r="Q496" s="31" t="str">
        <f aca="false">IFERROR(IF(M496="","",M496*INDEX('00 - Lists'!$N$2:$N$11,MATCH(L496,'00 - Lists'!$L$2:$L$11,0))),"")</f>
        <v/>
      </c>
      <c r="R496" s="31" t="str">
        <f aca="false">IFERROR(IF(N496="","",N496*INDEX('00 - Lists'!$N$2:$N$11,MATCH(L496,'00 - Lists'!$L$2:$L$11,0))),"")</f>
        <v/>
      </c>
      <c r="S496" s="32" t="str">
        <f aca="false">IF(O496="","",IF(O496&gt;=50,"Yes","No"))</f>
        <v/>
      </c>
      <c r="T496" s="32" t="str">
        <f aca="false">IF(Q496="","",IF(Q496&gt;=100000,"Yes","No"))</f>
        <v/>
      </c>
      <c r="U496" s="28"/>
      <c r="V496" s="28"/>
      <c r="W496" s="28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J496" s="34" t="str">
        <f aca="false">IF(OR($BD496&lt;&gt;"",$BF496&lt;&gt;"",$BH496&lt;&gt;""),"Yes","No")</f>
        <v>No</v>
      </c>
      <c r="BK496" s="35" t="str">
        <f aca="false">IFERROR(IF(BD496="","",BD496*INDEX('00 - Lists'!$M$2:$M$11,MATCH(L496,'00 - Lists'!$L$2:$L$11,0))/100000),"")</f>
        <v/>
      </c>
      <c r="BL496" s="35" t="str">
        <f aca="false">IFERROR(IF(BE496="","",BE496*INDEX('00 - Lists'!$M$2:$M$11,MATCH(L496,'00 - Lists'!$L$2:$L$11,0))/100000),"")</f>
        <v/>
      </c>
      <c r="BM496" s="35" t="str">
        <f aca="false">IFERROR(IF(BF496="","",BF496*INDEX('00 - Lists'!$M$2:$M$11,MATCH(L496,'00 - Lists'!$L$2:$L$11,0))/100000),"")</f>
        <v/>
      </c>
      <c r="BN496" s="35" t="str">
        <f aca="false">IFERROR(IF(BG496="","",BG496*INDEX('00 - Lists'!$M$2:$M$11,MATCH(L496,'00 - Lists'!$L$2:$L$11,0))/100000),"")</f>
        <v/>
      </c>
      <c r="BO496" s="35" t="str">
        <f aca="false">IFERROR(IF(BH496="","",BH496*INDEX('00 - Lists'!$M$2:$M$11,MATCH(L496,'00 - Lists'!$L$2:$L$11,0))/100000),"")</f>
        <v/>
      </c>
      <c r="BP496" s="35" t="str">
        <f aca="false">IFERROR(IF(BI496="","",BI496*INDEX('00 - Lists'!$M$2:$M$11,MATCH(L496,'00 - Lists'!$L$2:$L$11,0))/100000),"")</f>
        <v/>
      </c>
      <c r="BS496" s="36" t="str">
        <f aca="false">IF(O496="","",IF(O496&gt;=20,"Yes","No"))</f>
        <v/>
      </c>
      <c r="BT496" s="36" t="str">
        <f aca="false">IF(O496="","",IF(O496&gt;=30,"Yes","No"))</f>
        <v/>
      </c>
      <c r="BU496" s="36" t="str">
        <f aca="false">IF(O496="","",IF(O496&gt;=75,"Yes","No"))</f>
        <v/>
      </c>
      <c r="BV496" s="36" t="str">
        <f aca="false">IF(O496="","",IF(O496&gt;=100,"Yes","No"))</f>
        <v/>
      </c>
      <c r="BW496" s="36" t="str">
        <f aca="false">IF(O496="","",IF(O496&gt;=150,"Yes","No"))</f>
        <v/>
      </c>
      <c r="BX496" s="36" t="str">
        <f aca="false">IF(O496="","",IF(O496&gt;=200,"Yes","No"))</f>
        <v/>
      </c>
      <c r="BY496" s="36" t="str">
        <f aca="false">IF(Q496="","",IF(Q496&gt;=150000,"Yes","No"))</f>
        <v/>
      </c>
      <c r="BZ496" s="36" t="str">
        <f aca="false">IF(Q496="","",IF(Q496&gt;=200000,"Yes","No"))</f>
        <v/>
      </c>
      <c r="CA496" s="36" t="str">
        <f aca="false">IF(Q496="","",IF(Q496&gt;=250000,"Yes","No"))</f>
        <v/>
      </c>
      <c r="CB496" s="36" t="str">
        <f aca="false">IF(Q496="","",IF(Q496&gt;=300000,"Yes","No"))</f>
        <v/>
      </c>
      <c r="CC496" s="37"/>
      <c r="CD496" s="36" t="str">
        <f aca="true">IF(B496="","",IF(TODAY()-B496&lt;=7,"🟢 0-7d",IF(TODAY()-B496&lt;=30,"🟡 8-30d",IF(TODAY()-B496&lt;=60,"🟠 31-60d","🔴 60d+"))))</f>
        <v/>
      </c>
      <c r="CE496" s="36" t="str">
        <f aca="false">IF(G496="","",IF(G496&lt;&gt;"USA","N/A - Not USA Role",IF(J496="Yes",IF(OR(F496="Intern",F496="New Grad"),"🟡 Possible","🟢 Strong"),IF(J496="No","🔴 Difficult","⚪ Unknown"))))</f>
        <v/>
      </c>
      <c r="CF496" s="37"/>
      <c r="CG496" s="37"/>
      <c r="CH496" s="38"/>
      <c r="CI496" s="38"/>
      <c r="CJ496" s="38"/>
      <c r="CK496" s="38"/>
    </row>
    <row r="497" customFormat="false" ht="15" hidden="false" customHeight="true" outlineLevel="0" collapsed="false">
      <c r="A497" s="26" t="str">
        <f aca="false">IF($C497="","",ROW()-3)</f>
        <v/>
      </c>
      <c r="B497" s="27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9"/>
      <c r="N497" s="29"/>
      <c r="O497" s="30" t="str">
        <f aca="false">IFERROR(IF(M497="","",M497*INDEX('00 - Lists'!$M$2:$M$11,MATCH(L497,'00 - Lists'!$L$2:$L$11,0))/100000),"")</f>
        <v/>
      </c>
      <c r="P497" s="30" t="str">
        <f aca="false">IFERROR(IF(N497="","",N497*INDEX('00 - Lists'!$M$2:$M$11,MATCH(L497,'00 - Lists'!$L$2:$L$11,0))/100000),"")</f>
        <v/>
      </c>
      <c r="Q497" s="31" t="str">
        <f aca="false">IFERROR(IF(M497="","",M497*INDEX('00 - Lists'!$N$2:$N$11,MATCH(L497,'00 - Lists'!$L$2:$L$11,0))),"")</f>
        <v/>
      </c>
      <c r="R497" s="31" t="str">
        <f aca="false">IFERROR(IF(N497="","",N497*INDEX('00 - Lists'!$N$2:$N$11,MATCH(L497,'00 - Lists'!$L$2:$L$11,0))),"")</f>
        <v/>
      </c>
      <c r="S497" s="32" t="str">
        <f aca="false">IF(O497="","",IF(O497&gt;=50,"Yes","No"))</f>
        <v/>
      </c>
      <c r="T497" s="32" t="str">
        <f aca="false">IF(Q497="","",IF(Q497&gt;=100000,"Yes","No"))</f>
        <v/>
      </c>
      <c r="U497" s="28"/>
      <c r="V497" s="28"/>
      <c r="W497" s="28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J497" s="34" t="str">
        <f aca="false">IF(OR($BD497&lt;&gt;"",$BF497&lt;&gt;"",$BH497&lt;&gt;""),"Yes","No")</f>
        <v>No</v>
      </c>
      <c r="BK497" s="35" t="str">
        <f aca="false">IFERROR(IF(BD497="","",BD497*INDEX('00 - Lists'!$M$2:$M$11,MATCH(L497,'00 - Lists'!$L$2:$L$11,0))/100000),"")</f>
        <v/>
      </c>
      <c r="BL497" s="35" t="str">
        <f aca="false">IFERROR(IF(BE497="","",BE497*INDEX('00 - Lists'!$M$2:$M$11,MATCH(L497,'00 - Lists'!$L$2:$L$11,0))/100000),"")</f>
        <v/>
      </c>
      <c r="BM497" s="35" t="str">
        <f aca="false">IFERROR(IF(BF497="","",BF497*INDEX('00 - Lists'!$M$2:$M$11,MATCH(L497,'00 - Lists'!$L$2:$L$11,0))/100000),"")</f>
        <v/>
      </c>
      <c r="BN497" s="35" t="str">
        <f aca="false">IFERROR(IF(BG497="","",BG497*INDEX('00 - Lists'!$M$2:$M$11,MATCH(L497,'00 - Lists'!$L$2:$L$11,0))/100000),"")</f>
        <v/>
      </c>
      <c r="BO497" s="35" t="str">
        <f aca="false">IFERROR(IF(BH497="","",BH497*INDEX('00 - Lists'!$M$2:$M$11,MATCH(L497,'00 - Lists'!$L$2:$L$11,0))/100000),"")</f>
        <v/>
      </c>
      <c r="BP497" s="35" t="str">
        <f aca="false">IFERROR(IF(BI497="","",BI497*INDEX('00 - Lists'!$M$2:$M$11,MATCH(L497,'00 - Lists'!$L$2:$L$11,0))/100000),"")</f>
        <v/>
      </c>
      <c r="BS497" s="36" t="str">
        <f aca="false">IF(O497="","",IF(O497&gt;=20,"Yes","No"))</f>
        <v/>
      </c>
      <c r="BT497" s="36" t="str">
        <f aca="false">IF(O497="","",IF(O497&gt;=30,"Yes","No"))</f>
        <v/>
      </c>
      <c r="BU497" s="36" t="str">
        <f aca="false">IF(O497="","",IF(O497&gt;=75,"Yes","No"))</f>
        <v/>
      </c>
      <c r="BV497" s="36" t="str">
        <f aca="false">IF(O497="","",IF(O497&gt;=100,"Yes","No"))</f>
        <v/>
      </c>
      <c r="BW497" s="36" t="str">
        <f aca="false">IF(O497="","",IF(O497&gt;=150,"Yes","No"))</f>
        <v/>
      </c>
      <c r="BX497" s="36" t="str">
        <f aca="false">IF(O497="","",IF(O497&gt;=200,"Yes","No"))</f>
        <v/>
      </c>
      <c r="BY497" s="36" t="str">
        <f aca="false">IF(Q497="","",IF(Q497&gt;=150000,"Yes","No"))</f>
        <v/>
      </c>
      <c r="BZ497" s="36" t="str">
        <f aca="false">IF(Q497="","",IF(Q497&gt;=200000,"Yes","No"))</f>
        <v/>
      </c>
      <c r="CA497" s="36" t="str">
        <f aca="false">IF(Q497="","",IF(Q497&gt;=250000,"Yes","No"))</f>
        <v/>
      </c>
      <c r="CB497" s="36" t="str">
        <f aca="false">IF(Q497="","",IF(Q497&gt;=300000,"Yes","No"))</f>
        <v/>
      </c>
      <c r="CC497" s="37"/>
      <c r="CD497" s="36" t="str">
        <f aca="true">IF(B497="","",IF(TODAY()-B497&lt;=7,"🟢 0-7d",IF(TODAY()-B497&lt;=30,"🟡 8-30d",IF(TODAY()-B497&lt;=60,"🟠 31-60d","🔴 60d+"))))</f>
        <v/>
      </c>
      <c r="CE497" s="36" t="str">
        <f aca="false">IF(G497="","",IF(G497&lt;&gt;"USA","N/A - Not USA Role",IF(J497="Yes",IF(OR(F497="Intern",F497="New Grad"),"🟡 Possible","🟢 Strong"),IF(J497="No","🔴 Difficult","⚪ Unknown"))))</f>
        <v/>
      </c>
      <c r="CF497" s="37"/>
      <c r="CG497" s="37"/>
      <c r="CH497" s="38"/>
      <c r="CI497" s="38"/>
      <c r="CJ497" s="38"/>
      <c r="CK497" s="38"/>
    </row>
    <row r="498" customFormat="false" ht="15" hidden="false" customHeight="true" outlineLevel="0" collapsed="false">
      <c r="A498" s="26" t="str">
        <f aca="false">IF($C498="","",ROW()-3)</f>
        <v/>
      </c>
      <c r="B498" s="27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9"/>
      <c r="N498" s="29"/>
      <c r="O498" s="30" t="str">
        <f aca="false">IFERROR(IF(M498="","",M498*INDEX('00 - Lists'!$M$2:$M$11,MATCH(L498,'00 - Lists'!$L$2:$L$11,0))/100000),"")</f>
        <v/>
      </c>
      <c r="P498" s="30" t="str">
        <f aca="false">IFERROR(IF(N498="","",N498*INDEX('00 - Lists'!$M$2:$M$11,MATCH(L498,'00 - Lists'!$L$2:$L$11,0))/100000),"")</f>
        <v/>
      </c>
      <c r="Q498" s="31" t="str">
        <f aca="false">IFERROR(IF(M498="","",M498*INDEX('00 - Lists'!$N$2:$N$11,MATCH(L498,'00 - Lists'!$L$2:$L$11,0))),"")</f>
        <v/>
      </c>
      <c r="R498" s="31" t="str">
        <f aca="false">IFERROR(IF(N498="","",N498*INDEX('00 - Lists'!$N$2:$N$11,MATCH(L498,'00 - Lists'!$L$2:$L$11,0))),"")</f>
        <v/>
      </c>
      <c r="S498" s="32" t="str">
        <f aca="false">IF(O498="","",IF(O498&gt;=50,"Yes","No"))</f>
        <v/>
      </c>
      <c r="T498" s="32" t="str">
        <f aca="false">IF(Q498="","",IF(Q498&gt;=100000,"Yes","No"))</f>
        <v/>
      </c>
      <c r="U498" s="28"/>
      <c r="V498" s="28"/>
      <c r="W498" s="28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J498" s="34" t="str">
        <f aca="false">IF(OR($BD498&lt;&gt;"",$BF498&lt;&gt;"",$BH498&lt;&gt;""),"Yes","No")</f>
        <v>No</v>
      </c>
      <c r="BK498" s="35" t="str">
        <f aca="false">IFERROR(IF(BD498="","",BD498*INDEX('00 - Lists'!$M$2:$M$11,MATCH(L498,'00 - Lists'!$L$2:$L$11,0))/100000),"")</f>
        <v/>
      </c>
      <c r="BL498" s="35" t="str">
        <f aca="false">IFERROR(IF(BE498="","",BE498*INDEX('00 - Lists'!$M$2:$M$11,MATCH(L498,'00 - Lists'!$L$2:$L$11,0))/100000),"")</f>
        <v/>
      </c>
      <c r="BM498" s="35" t="str">
        <f aca="false">IFERROR(IF(BF498="","",BF498*INDEX('00 - Lists'!$M$2:$M$11,MATCH(L498,'00 - Lists'!$L$2:$L$11,0))/100000),"")</f>
        <v/>
      </c>
      <c r="BN498" s="35" t="str">
        <f aca="false">IFERROR(IF(BG498="","",BG498*INDEX('00 - Lists'!$M$2:$M$11,MATCH(L498,'00 - Lists'!$L$2:$L$11,0))/100000),"")</f>
        <v/>
      </c>
      <c r="BO498" s="35" t="str">
        <f aca="false">IFERROR(IF(BH498="","",BH498*INDEX('00 - Lists'!$M$2:$M$11,MATCH(L498,'00 - Lists'!$L$2:$L$11,0))/100000),"")</f>
        <v/>
      </c>
      <c r="BP498" s="35" t="str">
        <f aca="false">IFERROR(IF(BI498="","",BI498*INDEX('00 - Lists'!$M$2:$M$11,MATCH(L498,'00 - Lists'!$L$2:$L$11,0))/100000),"")</f>
        <v/>
      </c>
      <c r="BS498" s="36" t="str">
        <f aca="false">IF(O498="","",IF(O498&gt;=20,"Yes","No"))</f>
        <v/>
      </c>
      <c r="BT498" s="36" t="str">
        <f aca="false">IF(O498="","",IF(O498&gt;=30,"Yes","No"))</f>
        <v/>
      </c>
      <c r="BU498" s="36" t="str">
        <f aca="false">IF(O498="","",IF(O498&gt;=75,"Yes","No"))</f>
        <v/>
      </c>
      <c r="BV498" s="36" t="str">
        <f aca="false">IF(O498="","",IF(O498&gt;=100,"Yes","No"))</f>
        <v/>
      </c>
      <c r="BW498" s="36" t="str">
        <f aca="false">IF(O498="","",IF(O498&gt;=150,"Yes","No"))</f>
        <v/>
      </c>
      <c r="BX498" s="36" t="str">
        <f aca="false">IF(O498="","",IF(O498&gt;=200,"Yes","No"))</f>
        <v/>
      </c>
      <c r="BY498" s="36" t="str">
        <f aca="false">IF(Q498="","",IF(Q498&gt;=150000,"Yes","No"))</f>
        <v/>
      </c>
      <c r="BZ498" s="36" t="str">
        <f aca="false">IF(Q498="","",IF(Q498&gt;=200000,"Yes","No"))</f>
        <v/>
      </c>
      <c r="CA498" s="36" t="str">
        <f aca="false">IF(Q498="","",IF(Q498&gt;=250000,"Yes","No"))</f>
        <v/>
      </c>
      <c r="CB498" s="36" t="str">
        <f aca="false">IF(Q498="","",IF(Q498&gt;=300000,"Yes","No"))</f>
        <v/>
      </c>
      <c r="CC498" s="37"/>
      <c r="CD498" s="36" t="str">
        <f aca="true">IF(B498="","",IF(TODAY()-B498&lt;=7,"🟢 0-7d",IF(TODAY()-B498&lt;=30,"🟡 8-30d",IF(TODAY()-B498&lt;=60,"🟠 31-60d","🔴 60d+"))))</f>
        <v/>
      </c>
      <c r="CE498" s="36" t="str">
        <f aca="false">IF(G498="","",IF(G498&lt;&gt;"USA","N/A - Not USA Role",IF(J498="Yes",IF(OR(F498="Intern",F498="New Grad"),"🟡 Possible","🟢 Strong"),IF(J498="No","🔴 Difficult","⚪ Unknown"))))</f>
        <v/>
      </c>
      <c r="CF498" s="37"/>
      <c r="CG498" s="37"/>
      <c r="CH498" s="38"/>
      <c r="CI498" s="38"/>
      <c r="CJ498" s="38"/>
      <c r="CK498" s="38"/>
    </row>
    <row r="499" customFormat="false" ht="15" hidden="false" customHeight="true" outlineLevel="0" collapsed="false">
      <c r="A499" s="26" t="str">
        <f aca="false">IF($C499="","",ROW()-3)</f>
        <v/>
      </c>
      <c r="B499" s="27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9"/>
      <c r="N499" s="29"/>
      <c r="O499" s="30" t="str">
        <f aca="false">IFERROR(IF(M499="","",M499*INDEX('00 - Lists'!$M$2:$M$11,MATCH(L499,'00 - Lists'!$L$2:$L$11,0))/100000),"")</f>
        <v/>
      </c>
      <c r="P499" s="30" t="str">
        <f aca="false">IFERROR(IF(N499="","",N499*INDEX('00 - Lists'!$M$2:$M$11,MATCH(L499,'00 - Lists'!$L$2:$L$11,0))/100000),"")</f>
        <v/>
      </c>
      <c r="Q499" s="31" t="str">
        <f aca="false">IFERROR(IF(M499="","",M499*INDEX('00 - Lists'!$N$2:$N$11,MATCH(L499,'00 - Lists'!$L$2:$L$11,0))),"")</f>
        <v/>
      </c>
      <c r="R499" s="31" t="str">
        <f aca="false">IFERROR(IF(N499="","",N499*INDEX('00 - Lists'!$N$2:$N$11,MATCH(L499,'00 - Lists'!$L$2:$L$11,0))),"")</f>
        <v/>
      </c>
      <c r="S499" s="32" t="str">
        <f aca="false">IF(O499="","",IF(O499&gt;=50,"Yes","No"))</f>
        <v/>
      </c>
      <c r="T499" s="32" t="str">
        <f aca="false">IF(Q499="","",IF(Q499&gt;=100000,"Yes","No"))</f>
        <v/>
      </c>
      <c r="U499" s="28"/>
      <c r="V499" s="28"/>
      <c r="W499" s="28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J499" s="34" t="str">
        <f aca="false">IF(OR($BD499&lt;&gt;"",$BF499&lt;&gt;"",$BH499&lt;&gt;""),"Yes","No")</f>
        <v>No</v>
      </c>
      <c r="BK499" s="35" t="str">
        <f aca="false">IFERROR(IF(BD499="","",BD499*INDEX('00 - Lists'!$M$2:$M$11,MATCH(L499,'00 - Lists'!$L$2:$L$11,0))/100000),"")</f>
        <v/>
      </c>
      <c r="BL499" s="35" t="str">
        <f aca="false">IFERROR(IF(BE499="","",BE499*INDEX('00 - Lists'!$M$2:$M$11,MATCH(L499,'00 - Lists'!$L$2:$L$11,0))/100000),"")</f>
        <v/>
      </c>
      <c r="BM499" s="35" t="str">
        <f aca="false">IFERROR(IF(BF499="","",BF499*INDEX('00 - Lists'!$M$2:$M$11,MATCH(L499,'00 - Lists'!$L$2:$L$11,0))/100000),"")</f>
        <v/>
      </c>
      <c r="BN499" s="35" t="str">
        <f aca="false">IFERROR(IF(BG499="","",BG499*INDEX('00 - Lists'!$M$2:$M$11,MATCH(L499,'00 - Lists'!$L$2:$L$11,0))/100000),"")</f>
        <v/>
      </c>
      <c r="BO499" s="35" t="str">
        <f aca="false">IFERROR(IF(BH499="","",BH499*INDEX('00 - Lists'!$M$2:$M$11,MATCH(L499,'00 - Lists'!$L$2:$L$11,0))/100000),"")</f>
        <v/>
      </c>
      <c r="BP499" s="35" t="str">
        <f aca="false">IFERROR(IF(BI499="","",BI499*INDEX('00 - Lists'!$M$2:$M$11,MATCH(L499,'00 - Lists'!$L$2:$L$11,0))/100000),"")</f>
        <v/>
      </c>
      <c r="BS499" s="36" t="str">
        <f aca="false">IF(O499="","",IF(O499&gt;=20,"Yes","No"))</f>
        <v/>
      </c>
      <c r="BT499" s="36" t="str">
        <f aca="false">IF(O499="","",IF(O499&gt;=30,"Yes","No"))</f>
        <v/>
      </c>
      <c r="BU499" s="36" t="str">
        <f aca="false">IF(O499="","",IF(O499&gt;=75,"Yes","No"))</f>
        <v/>
      </c>
      <c r="BV499" s="36" t="str">
        <f aca="false">IF(O499="","",IF(O499&gt;=100,"Yes","No"))</f>
        <v/>
      </c>
      <c r="BW499" s="36" t="str">
        <f aca="false">IF(O499="","",IF(O499&gt;=150,"Yes","No"))</f>
        <v/>
      </c>
      <c r="BX499" s="36" t="str">
        <f aca="false">IF(O499="","",IF(O499&gt;=200,"Yes","No"))</f>
        <v/>
      </c>
      <c r="BY499" s="36" t="str">
        <f aca="false">IF(Q499="","",IF(Q499&gt;=150000,"Yes","No"))</f>
        <v/>
      </c>
      <c r="BZ499" s="36" t="str">
        <f aca="false">IF(Q499="","",IF(Q499&gt;=200000,"Yes","No"))</f>
        <v/>
      </c>
      <c r="CA499" s="36" t="str">
        <f aca="false">IF(Q499="","",IF(Q499&gt;=250000,"Yes","No"))</f>
        <v/>
      </c>
      <c r="CB499" s="36" t="str">
        <f aca="false">IF(Q499="","",IF(Q499&gt;=300000,"Yes","No"))</f>
        <v/>
      </c>
      <c r="CC499" s="37"/>
      <c r="CD499" s="36" t="str">
        <f aca="true">IF(B499="","",IF(TODAY()-B499&lt;=7,"🟢 0-7d",IF(TODAY()-B499&lt;=30,"🟡 8-30d",IF(TODAY()-B499&lt;=60,"🟠 31-60d","🔴 60d+"))))</f>
        <v/>
      </c>
      <c r="CE499" s="36" t="str">
        <f aca="false">IF(G499="","",IF(G499&lt;&gt;"USA","N/A - Not USA Role",IF(J499="Yes",IF(OR(F499="Intern",F499="New Grad"),"🟡 Possible","🟢 Strong"),IF(J499="No","🔴 Difficult","⚪ Unknown"))))</f>
        <v/>
      </c>
      <c r="CF499" s="37"/>
      <c r="CG499" s="37"/>
      <c r="CH499" s="38"/>
      <c r="CI499" s="38"/>
      <c r="CJ499" s="38"/>
      <c r="CK499" s="38"/>
    </row>
    <row r="500" customFormat="false" ht="15" hidden="false" customHeight="true" outlineLevel="0" collapsed="false">
      <c r="A500" s="26" t="str">
        <f aca="false">IF($C500="","",ROW()-3)</f>
        <v/>
      </c>
      <c r="B500" s="27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9"/>
      <c r="N500" s="29"/>
      <c r="O500" s="30" t="str">
        <f aca="false">IFERROR(IF(M500="","",M500*INDEX('00 - Lists'!$M$2:$M$11,MATCH(L500,'00 - Lists'!$L$2:$L$11,0))/100000),"")</f>
        <v/>
      </c>
      <c r="P500" s="30" t="str">
        <f aca="false">IFERROR(IF(N500="","",N500*INDEX('00 - Lists'!$M$2:$M$11,MATCH(L500,'00 - Lists'!$L$2:$L$11,0))/100000),"")</f>
        <v/>
      </c>
      <c r="Q500" s="31" t="str">
        <f aca="false">IFERROR(IF(M500="","",M500*INDEX('00 - Lists'!$N$2:$N$11,MATCH(L500,'00 - Lists'!$L$2:$L$11,0))),"")</f>
        <v/>
      </c>
      <c r="R500" s="31" t="str">
        <f aca="false">IFERROR(IF(N500="","",N500*INDEX('00 - Lists'!$N$2:$N$11,MATCH(L500,'00 - Lists'!$L$2:$L$11,0))),"")</f>
        <v/>
      </c>
      <c r="S500" s="32" t="str">
        <f aca="false">IF(O500="","",IF(O500&gt;=50,"Yes","No"))</f>
        <v/>
      </c>
      <c r="T500" s="32" t="str">
        <f aca="false">IF(Q500="","",IF(Q500&gt;=100000,"Yes","No"))</f>
        <v/>
      </c>
      <c r="U500" s="28"/>
      <c r="V500" s="28"/>
      <c r="W500" s="28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J500" s="34" t="str">
        <f aca="false">IF(OR($BD500&lt;&gt;"",$BF500&lt;&gt;"",$BH500&lt;&gt;""),"Yes","No")</f>
        <v>No</v>
      </c>
      <c r="BK500" s="35" t="str">
        <f aca="false">IFERROR(IF(BD500="","",BD500*INDEX('00 - Lists'!$M$2:$M$11,MATCH(L500,'00 - Lists'!$L$2:$L$11,0))/100000),"")</f>
        <v/>
      </c>
      <c r="BL500" s="35" t="str">
        <f aca="false">IFERROR(IF(BE500="","",BE500*INDEX('00 - Lists'!$M$2:$M$11,MATCH(L500,'00 - Lists'!$L$2:$L$11,0))/100000),"")</f>
        <v/>
      </c>
      <c r="BM500" s="35" t="str">
        <f aca="false">IFERROR(IF(BF500="","",BF500*INDEX('00 - Lists'!$M$2:$M$11,MATCH(L500,'00 - Lists'!$L$2:$L$11,0))/100000),"")</f>
        <v/>
      </c>
      <c r="BN500" s="35" t="str">
        <f aca="false">IFERROR(IF(BG500="","",BG500*INDEX('00 - Lists'!$M$2:$M$11,MATCH(L500,'00 - Lists'!$L$2:$L$11,0))/100000),"")</f>
        <v/>
      </c>
      <c r="BO500" s="35" t="str">
        <f aca="false">IFERROR(IF(BH500="","",BH500*INDEX('00 - Lists'!$M$2:$M$11,MATCH(L500,'00 - Lists'!$L$2:$L$11,0))/100000),"")</f>
        <v/>
      </c>
      <c r="BP500" s="35" t="str">
        <f aca="false">IFERROR(IF(BI500="","",BI500*INDEX('00 - Lists'!$M$2:$M$11,MATCH(L500,'00 - Lists'!$L$2:$L$11,0))/100000),"")</f>
        <v/>
      </c>
      <c r="BS500" s="36" t="str">
        <f aca="false">IF(O500="","",IF(O500&gt;=20,"Yes","No"))</f>
        <v/>
      </c>
      <c r="BT500" s="36" t="str">
        <f aca="false">IF(O500="","",IF(O500&gt;=30,"Yes","No"))</f>
        <v/>
      </c>
      <c r="BU500" s="36" t="str">
        <f aca="false">IF(O500="","",IF(O500&gt;=75,"Yes","No"))</f>
        <v/>
      </c>
      <c r="BV500" s="36" t="str">
        <f aca="false">IF(O500="","",IF(O500&gt;=100,"Yes","No"))</f>
        <v/>
      </c>
      <c r="BW500" s="36" t="str">
        <f aca="false">IF(O500="","",IF(O500&gt;=150,"Yes","No"))</f>
        <v/>
      </c>
      <c r="BX500" s="36" t="str">
        <f aca="false">IF(O500="","",IF(O500&gt;=200,"Yes","No"))</f>
        <v/>
      </c>
      <c r="BY500" s="36" t="str">
        <f aca="false">IF(Q500="","",IF(Q500&gt;=150000,"Yes","No"))</f>
        <v/>
      </c>
      <c r="BZ500" s="36" t="str">
        <f aca="false">IF(Q500="","",IF(Q500&gt;=200000,"Yes","No"))</f>
        <v/>
      </c>
      <c r="CA500" s="36" t="str">
        <f aca="false">IF(Q500="","",IF(Q500&gt;=250000,"Yes","No"))</f>
        <v/>
      </c>
      <c r="CB500" s="36" t="str">
        <f aca="false">IF(Q500="","",IF(Q500&gt;=300000,"Yes","No"))</f>
        <v/>
      </c>
      <c r="CC500" s="37"/>
      <c r="CD500" s="36" t="str">
        <f aca="true">IF(B500="","",IF(TODAY()-B500&lt;=7,"🟢 0-7d",IF(TODAY()-B500&lt;=30,"🟡 8-30d",IF(TODAY()-B500&lt;=60,"🟠 31-60d","🔴 60d+"))))</f>
        <v/>
      </c>
      <c r="CE500" s="36" t="str">
        <f aca="false">IF(G500="","",IF(G500&lt;&gt;"USA","N/A - Not USA Role",IF(J500="Yes",IF(OR(F500="Intern",F500="New Grad"),"🟡 Possible","🟢 Strong"),IF(J500="No","🔴 Difficult","⚪ Unknown"))))</f>
        <v/>
      </c>
      <c r="CF500" s="37"/>
      <c r="CG500" s="37"/>
      <c r="CH500" s="38"/>
      <c r="CI500" s="38"/>
      <c r="CJ500" s="38"/>
      <c r="CK500" s="38"/>
    </row>
    <row r="501" customFormat="false" ht="15" hidden="false" customHeight="true" outlineLevel="0" collapsed="false">
      <c r="A501" s="26" t="str">
        <f aca="false">IF($C501="","",ROW()-3)</f>
        <v/>
      </c>
      <c r="B501" s="27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9"/>
      <c r="N501" s="29"/>
      <c r="O501" s="30" t="str">
        <f aca="false">IFERROR(IF(M501="","",M501*INDEX('00 - Lists'!$M$2:$M$11,MATCH(L501,'00 - Lists'!$L$2:$L$11,0))/100000),"")</f>
        <v/>
      </c>
      <c r="P501" s="30" t="str">
        <f aca="false">IFERROR(IF(N501="","",N501*INDEX('00 - Lists'!$M$2:$M$11,MATCH(L501,'00 - Lists'!$L$2:$L$11,0))/100000),"")</f>
        <v/>
      </c>
      <c r="Q501" s="31" t="str">
        <f aca="false">IFERROR(IF(M501="","",M501*INDEX('00 - Lists'!$N$2:$N$11,MATCH(L501,'00 - Lists'!$L$2:$L$11,0))),"")</f>
        <v/>
      </c>
      <c r="R501" s="31" t="str">
        <f aca="false">IFERROR(IF(N501="","",N501*INDEX('00 - Lists'!$N$2:$N$11,MATCH(L501,'00 - Lists'!$L$2:$L$11,0))),"")</f>
        <v/>
      </c>
      <c r="S501" s="32" t="str">
        <f aca="false">IF(O501="","",IF(O501&gt;=50,"Yes","No"))</f>
        <v/>
      </c>
      <c r="T501" s="32" t="str">
        <f aca="false">IF(Q501="","",IF(Q501&gt;=100000,"Yes","No"))</f>
        <v/>
      </c>
      <c r="U501" s="28"/>
      <c r="V501" s="28"/>
      <c r="W501" s="28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J501" s="34" t="str">
        <f aca="false">IF(OR($BD501&lt;&gt;"",$BF501&lt;&gt;"",$BH501&lt;&gt;""),"Yes","No")</f>
        <v>No</v>
      </c>
      <c r="BK501" s="35" t="str">
        <f aca="false">IFERROR(IF(BD501="","",BD501*INDEX('00 - Lists'!$M$2:$M$11,MATCH(L501,'00 - Lists'!$L$2:$L$11,0))/100000),"")</f>
        <v/>
      </c>
      <c r="BL501" s="35" t="str">
        <f aca="false">IFERROR(IF(BE501="","",BE501*INDEX('00 - Lists'!$M$2:$M$11,MATCH(L501,'00 - Lists'!$L$2:$L$11,0))/100000),"")</f>
        <v/>
      </c>
      <c r="BM501" s="35" t="str">
        <f aca="false">IFERROR(IF(BF501="","",BF501*INDEX('00 - Lists'!$M$2:$M$11,MATCH(L501,'00 - Lists'!$L$2:$L$11,0))/100000),"")</f>
        <v/>
      </c>
      <c r="BN501" s="35" t="str">
        <f aca="false">IFERROR(IF(BG501="","",BG501*INDEX('00 - Lists'!$M$2:$M$11,MATCH(L501,'00 - Lists'!$L$2:$L$11,0))/100000),"")</f>
        <v/>
      </c>
      <c r="BO501" s="35" t="str">
        <f aca="false">IFERROR(IF(BH501="","",BH501*INDEX('00 - Lists'!$M$2:$M$11,MATCH(L501,'00 - Lists'!$L$2:$L$11,0))/100000),"")</f>
        <v/>
      </c>
      <c r="BP501" s="35" t="str">
        <f aca="false">IFERROR(IF(BI501="","",BI501*INDEX('00 - Lists'!$M$2:$M$11,MATCH(L501,'00 - Lists'!$L$2:$L$11,0))/100000),"")</f>
        <v/>
      </c>
      <c r="BS501" s="36" t="str">
        <f aca="false">IF(O501="","",IF(O501&gt;=20,"Yes","No"))</f>
        <v/>
      </c>
      <c r="BT501" s="36" t="str">
        <f aca="false">IF(O501="","",IF(O501&gt;=30,"Yes","No"))</f>
        <v/>
      </c>
      <c r="BU501" s="36" t="str">
        <f aca="false">IF(O501="","",IF(O501&gt;=75,"Yes","No"))</f>
        <v/>
      </c>
      <c r="BV501" s="36" t="str">
        <f aca="false">IF(O501="","",IF(O501&gt;=100,"Yes","No"))</f>
        <v/>
      </c>
      <c r="BW501" s="36" t="str">
        <f aca="false">IF(O501="","",IF(O501&gt;=150,"Yes","No"))</f>
        <v/>
      </c>
      <c r="BX501" s="36" t="str">
        <f aca="false">IF(O501="","",IF(O501&gt;=200,"Yes","No"))</f>
        <v/>
      </c>
      <c r="BY501" s="36" t="str">
        <f aca="false">IF(Q501="","",IF(Q501&gt;=150000,"Yes","No"))</f>
        <v/>
      </c>
      <c r="BZ501" s="36" t="str">
        <f aca="false">IF(Q501="","",IF(Q501&gt;=200000,"Yes","No"))</f>
        <v/>
      </c>
      <c r="CA501" s="36" t="str">
        <f aca="false">IF(Q501="","",IF(Q501&gt;=250000,"Yes","No"))</f>
        <v/>
      </c>
      <c r="CB501" s="36" t="str">
        <f aca="false">IF(Q501="","",IF(Q501&gt;=300000,"Yes","No"))</f>
        <v/>
      </c>
      <c r="CC501" s="37"/>
      <c r="CD501" s="36" t="str">
        <f aca="true">IF(B501="","",IF(TODAY()-B501&lt;=7,"🟢 0-7d",IF(TODAY()-B501&lt;=30,"🟡 8-30d",IF(TODAY()-B501&lt;=60,"🟠 31-60d","🔴 60d+"))))</f>
        <v/>
      </c>
      <c r="CE501" s="36" t="str">
        <f aca="false">IF(G501="","",IF(G501&lt;&gt;"USA","N/A - Not USA Role",IF(J501="Yes",IF(OR(F501="Intern",F501="New Grad"),"🟡 Possible","🟢 Strong"),IF(J501="No","🔴 Difficult","⚪ Unknown"))))</f>
        <v/>
      </c>
      <c r="CF501" s="37"/>
      <c r="CG501" s="37"/>
      <c r="CH501" s="38"/>
      <c r="CI501" s="38"/>
      <c r="CJ501" s="38"/>
      <c r="CK501" s="38"/>
    </row>
    <row r="502" customFormat="false" ht="15" hidden="false" customHeight="true" outlineLevel="0" collapsed="false">
      <c r="A502" s="26" t="str">
        <f aca="false">IF($C502="","",ROW()-3)</f>
        <v/>
      </c>
      <c r="B502" s="27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9"/>
      <c r="N502" s="29"/>
      <c r="O502" s="30" t="str">
        <f aca="false">IFERROR(IF(M502="","",M502*INDEX('00 - Lists'!$M$2:$M$11,MATCH(L502,'00 - Lists'!$L$2:$L$11,0))/100000),"")</f>
        <v/>
      </c>
      <c r="P502" s="30" t="str">
        <f aca="false">IFERROR(IF(N502="","",N502*INDEX('00 - Lists'!$M$2:$M$11,MATCH(L502,'00 - Lists'!$L$2:$L$11,0))/100000),"")</f>
        <v/>
      </c>
      <c r="Q502" s="31" t="str">
        <f aca="false">IFERROR(IF(M502="","",M502*INDEX('00 - Lists'!$N$2:$N$11,MATCH(L502,'00 - Lists'!$L$2:$L$11,0))),"")</f>
        <v/>
      </c>
      <c r="R502" s="31" t="str">
        <f aca="false">IFERROR(IF(N502="","",N502*INDEX('00 - Lists'!$N$2:$N$11,MATCH(L502,'00 - Lists'!$L$2:$L$11,0))),"")</f>
        <v/>
      </c>
      <c r="S502" s="32" t="str">
        <f aca="false">IF(O502="","",IF(O502&gt;=50,"Yes","No"))</f>
        <v/>
      </c>
      <c r="T502" s="32" t="str">
        <f aca="false">IF(Q502="","",IF(Q502&gt;=100000,"Yes","No"))</f>
        <v/>
      </c>
      <c r="U502" s="28"/>
      <c r="V502" s="28"/>
      <c r="W502" s="28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J502" s="34" t="str">
        <f aca="false">IF(OR($BD502&lt;&gt;"",$BF502&lt;&gt;"",$BH502&lt;&gt;""),"Yes","No")</f>
        <v>No</v>
      </c>
      <c r="BK502" s="35" t="str">
        <f aca="false">IFERROR(IF(BD502="","",BD502*INDEX('00 - Lists'!$M$2:$M$11,MATCH(L502,'00 - Lists'!$L$2:$L$11,0))/100000),"")</f>
        <v/>
      </c>
      <c r="BL502" s="35" t="str">
        <f aca="false">IFERROR(IF(BE502="","",BE502*INDEX('00 - Lists'!$M$2:$M$11,MATCH(L502,'00 - Lists'!$L$2:$L$11,0))/100000),"")</f>
        <v/>
      </c>
      <c r="BM502" s="35" t="str">
        <f aca="false">IFERROR(IF(BF502="","",BF502*INDEX('00 - Lists'!$M$2:$M$11,MATCH(L502,'00 - Lists'!$L$2:$L$11,0))/100000),"")</f>
        <v/>
      </c>
      <c r="BN502" s="35" t="str">
        <f aca="false">IFERROR(IF(BG502="","",BG502*INDEX('00 - Lists'!$M$2:$M$11,MATCH(L502,'00 - Lists'!$L$2:$L$11,0))/100000),"")</f>
        <v/>
      </c>
      <c r="BO502" s="35" t="str">
        <f aca="false">IFERROR(IF(BH502="","",BH502*INDEX('00 - Lists'!$M$2:$M$11,MATCH(L502,'00 - Lists'!$L$2:$L$11,0))/100000),"")</f>
        <v/>
      </c>
      <c r="BP502" s="35" t="str">
        <f aca="false">IFERROR(IF(BI502="","",BI502*INDEX('00 - Lists'!$M$2:$M$11,MATCH(L502,'00 - Lists'!$L$2:$L$11,0))/100000),"")</f>
        <v/>
      </c>
      <c r="BS502" s="36" t="str">
        <f aca="false">IF(O502="","",IF(O502&gt;=20,"Yes","No"))</f>
        <v/>
      </c>
      <c r="BT502" s="36" t="str">
        <f aca="false">IF(O502="","",IF(O502&gt;=30,"Yes","No"))</f>
        <v/>
      </c>
      <c r="BU502" s="36" t="str">
        <f aca="false">IF(O502="","",IF(O502&gt;=75,"Yes","No"))</f>
        <v/>
      </c>
      <c r="BV502" s="36" t="str">
        <f aca="false">IF(O502="","",IF(O502&gt;=100,"Yes","No"))</f>
        <v/>
      </c>
      <c r="BW502" s="36" t="str">
        <f aca="false">IF(O502="","",IF(O502&gt;=150,"Yes","No"))</f>
        <v/>
      </c>
      <c r="BX502" s="36" t="str">
        <f aca="false">IF(O502="","",IF(O502&gt;=200,"Yes","No"))</f>
        <v/>
      </c>
      <c r="BY502" s="36" t="str">
        <f aca="false">IF(Q502="","",IF(Q502&gt;=150000,"Yes","No"))</f>
        <v/>
      </c>
      <c r="BZ502" s="36" t="str">
        <f aca="false">IF(Q502="","",IF(Q502&gt;=200000,"Yes","No"))</f>
        <v/>
      </c>
      <c r="CA502" s="36" t="str">
        <f aca="false">IF(Q502="","",IF(Q502&gt;=250000,"Yes","No"))</f>
        <v/>
      </c>
      <c r="CB502" s="36" t="str">
        <f aca="false">IF(Q502="","",IF(Q502&gt;=300000,"Yes","No"))</f>
        <v/>
      </c>
      <c r="CC502" s="37"/>
      <c r="CD502" s="36" t="str">
        <f aca="true">IF(B502="","",IF(TODAY()-B502&lt;=7,"🟢 0-7d",IF(TODAY()-B502&lt;=30,"🟡 8-30d",IF(TODAY()-B502&lt;=60,"🟠 31-60d","🔴 60d+"))))</f>
        <v/>
      </c>
      <c r="CE502" s="36" t="str">
        <f aca="false">IF(G502="","",IF(G502&lt;&gt;"USA","N/A - Not USA Role",IF(J502="Yes",IF(OR(F502="Intern",F502="New Grad"),"🟡 Possible","🟢 Strong"),IF(J502="No","🔴 Difficult","⚪ Unknown"))))</f>
        <v/>
      </c>
      <c r="CF502" s="37"/>
      <c r="CG502" s="37"/>
      <c r="CH502" s="38"/>
      <c r="CI502" s="38"/>
      <c r="CJ502" s="38"/>
      <c r="CK502" s="38"/>
    </row>
    <row r="503" customFormat="false" ht="15" hidden="false" customHeight="true" outlineLevel="0" collapsed="false">
      <c r="A503" s="26" t="str">
        <f aca="false">IF($C503="","",ROW()-3)</f>
        <v/>
      </c>
      <c r="B503" s="27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9"/>
      <c r="N503" s="29"/>
      <c r="O503" s="30" t="str">
        <f aca="false">IFERROR(IF(M503="","",M503*INDEX('00 - Lists'!$M$2:$M$11,MATCH(L503,'00 - Lists'!$L$2:$L$11,0))/100000),"")</f>
        <v/>
      </c>
      <c r="P503" s="30" t="str">
        <f aca="false">IFERROR(IF(N503="","",N503*INDEX('00 - Lists'!$M$2:$M$11,MATCH(L503,'00 - Lists'!$L$2:$L$11,0))/100000),"")</f>
        <v/>
      </c>
      <c r="Q503" s="31" t="str">
        <f aca="false">IFERROR(IF(M503="","",M503*INDEX('00 - Lists'!$N$2:$N$11,MATCH(L503,'00 - Lists'!$L$2:$L$11,0))),"")</f>
        <v/>
      </c>
      <c r="R503" s="31" t="str">
        <f aca="false">IFERROR(IF(N503="","",N503*INDEX('00 - Lists'!$N$2:$N$11,MATCH(L503,'00 - Lists'!$L$2:$L$11,0))),"")</f>
        <v/>
      </c>
      <c r="S503" s="32" t="str">
        <f aca="false">IF(O503="","",IF(O503&gt;=50,"Yes","No"))</f>
        <v/>
      </c>
      <c r="T503" s="32" t="str">
        <f aca="false">IF(Q503="","",IF(Q503&gt;=100000,"Yes","No"))</f>
        <v/>
      </c>
      <c r="U503" s="28"/>
      <c r="V503" s="28"/>
      <c r="W503" s="28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J503" s="34" t="str">
        <f aca="false">IF(OR($BD503&lt;&gt;"",$BF503&lt;&gt;"",$BH503&lt;&gt;""),"Yes","No")</f>
        <v>No</v>
      </c>
      <c r="BK503" s="35" t="str">
        <f aca="false">IFERROR(IF(BD503="","",BD503*INDEX('00 - Lists'!$M$2:$M$11,MATCH(L503,'00 - Lists'!$L$2:$L$11,0))/100000),"")</f>
        <v/>
      </c>
      <c r="BL503" s="35" t="str">
        <f aca="false">IFERROR(IF(BE503="","",BE503*INDEX('00 - Lists'!$M$2:$M$11,MATCH(L503,'00 - Lists'!$L$2:$L$11,0))/100000),"")</f>
        <v/>
      </c>
      <c r="BM503" s="35" t="str">
        <f aca="false">IFERROR(IF(BF503="","",BF503*INDEX('00 - Lists'!$M$2:$M$11,MATCH(L503,'00 - Lists'!$L$2:$L$11,0))/100000),"")</f>
        <v/>
      </c>
      <c r="BN503" s="35" t="str">
        <f aca="false">IFERROR(IF(BG503="","",BG503*INDEX('00 - Lists'!$M$2:$M$11,MATCH(L503,'00 - Lists'!$L$2:$L$11,0))/100000),"")</f>
        <v/>
      </c>
      <c r="BO503" s="35" t="str">
        <f aca="false">IFERROR(IF(BH503="","",BH503*INDEX('00 - Lists'!$M$2:$M$11,MATCH(L503,'00 - Lists'!$L$2:$L$11,0))/100000),"")</f>
        <v/>
      </c>
      <c r="BP503" s="35" t="str">
        <f aca="false">IFERROR(IF(BI503="","",BI503*INDEX('00 - Lists'!$M$2:$M$11,MATCH(L503,'00 - Lists'!$L$2:$L$11,0))/100000),"")</f>
        <v/>
      </c>
      <c r="BS503" s="36" t="str">
        <f aca="false">IF(O503="","",IF(O503&gt;=20,"Yes","No"))</f>
        <v/>
      </c>
      <c r="BT503" s="36" t="str">
        <f aca="false">IF(O503="","",IF(O503&gt;=30,"Yes","No"))</f>
        <v/>
      </c>
      <c r="BU503" s="36" t="str">
        <f aca="false">IF(O503="","",IF(O503&gt;=75,"Yes","No"))</f>
        <v/>
      </c>
      <c r="BV503" s="36" t="str">
        <f aca="false">IF(O503="","",IF(O503&gt;=100,"Yes","No"))</f>
        <v/>
      </c>
      <c r="BW503" s="36" t="str">
        <f aca="false">IF(O503="","",IF(O503&gt;=150,"Yes","No"))</f>
        <v/>
      </c>
      <c r="BX503" s="36" t="str">
        <f aca="false">IF(O503="","",IF(O503&gt;=200,"Yes","No"))</f>
        <v/>
      </c>
      <c r="BY503" s="36" t="str">
        <f aca="false">IF(Q503="","",IF(Q503&gt;=150000,"Yes","No"))</f>
        <v/>
      </c>
      <c r="BZ503" s="36" t="str">
        <f aca="false">IF(Q503="","",IF(Q503&gt;=200000,"Yes","No"))</f>
        <v/>
      </c>
      <c r="CA503" s="36" t="str">
        <f aca="false">IF(Q503="","",IF(Q503&gt;=250000,"Yes","No"))</f>
        <v/>
      </c>
      <c r="CB503" s="36" t="str">
        <f aca="false">IF(Q503="","",IF(Q503&gt;=300000,"Yes","No"))</f>
        <v/>
      </c>
      <c r="CC503" s="37"/>
      <c r="CD503" s="36" t="str">
        <f aca="true">IF(B503="","",IF(TODAY()-B503&lt;=7,"🟢 0-7d",IF(TODAY()-B503&lt;=30,"🟡 8-30d",IF(TODAY()-B503&lt;=60,"🟠 31-60d","🔴 60d+"))))</f>
        <v/>
      </c>
      <c r="CE503" s="36" t="str">
        <f aca="false">IF(G503="","",IF(G503&lt;&gt;"USA","N/A - Not USA Role",IF(J503="Yes",IF(OR(F503="Intern",F503="New Grad"),"🟡 Possible","🟢 Strong"),IF(J503="No","🔴 Difficult","⚪ Unknown"))))</f>
        <v/>
      </c>
      <c r="CF503" s="37"/>
      <c r="CG503" s="37"/>
      <c r="CH503" s="38"/>
      <c r="CI503" s="38"/>
      <c r="CJ503" s="38"/>
      <c r="CK503" s="38"/>
    </row>
    <row r="504" customFormat="false" ht="15" hidden="false" customHeight="true" outlineLevel="0" collapsed="false">
      <c r="A504" s="26" t="str">
        <f aca="false">IF($C504="","",ROW()-3)</f>
        <v/>
      </c>
      <c r="B504" s="27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9"/>
      <c r="N504" s="29"/>
      <c r="O504" s="30" t="str">
        <f aca="false">IFERROR(IF(M504="","",M504*INDEX('00 - Lists'!$M$2:$M$11,MATCH(L504,'00 - Lists'!$L$2:$L$11,0))/100000),"")</f>
        <v/>
      </c>
      <c r="P504" s="30" t="str">
        <f aca="false">IFERROR(IF(N504="","",N504*INDEX('00 - Lists'!$M$2:$M$11,MATCH(L504,'00 - Lists'!$L$2:$L$11,0))/100000),"")</f>
        <v/>
      </c>
      <c r="Q504" s="31" t="str">
        <f aca="false">IFERROR(IF(M504="","",M504*INDEX('00 - Lists'!$N$2:$N$11,MATCH(L504,'00 - Lists'!$L$2:$L$11,0))),"")</f>
        <v/>
      </c>
      <c r="R504" s="31" t="str">
        <f aca="false">IFERROR(IF(N504="","",N504*INDEX('00 - Lists'!$N$2:$N$11,MATCH(L504,'00 - Lists'!$L$2:$L$11,0))),"")</f>
        <v/>
      </c>
      <c r="S504" s="32" t="str">
        <f aca="false">IF(O504="","",IF(O504&gt;=50,"Yes","No"))</f>
        <v/>
      </c>
      <c r="T504" s="32" t="str">
        <f aca="false">IF(Q504="","",IF(Q504&gt;=100000,"Yes","No"))</f>
        <v/>
      </c>
      <c r="U504" s="28"/>
      <c r="V504" s="28"/>
      <c r="W504" s="28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J504" s="34" t="str">
        <f aca="false">IF(OR($BD504&lt;&gt;"",$BF504&lt;&gt;"",$BH504&lt;&gt;""),"Yes","No")</f>
        <v>No</v>
      </c>
      <c r="BK504" s="35" t="str">
        <f aca="false">IFERROR(IF(BD504="","",BD504*INDEX('00 - Lists'!$M$2:$M$11,MATCH(L504,'00 - Lists'!$L$2:$L$11,0))/100000),"")</f>
        <v/>
      </c>
      <c r="BL504" s="35" t="str">
        <f aca="false">IFERROR(IF(BE504="","",BE504*INDEX('00 - Lists'!$M$2:$M$11,MATCH(L504,'00 - Lists'!$L$2:$L$11,0))/100000),"")</f>
        <v/>
      </c>
      <c r="BM504" s="35" t="str">
        <f aca="false">IFERROR(IF(BF504="","",BF504*INDEX('00 - Lists'!$M$2:$M$11,MATCH(L504,'00 - Lists'!$L$2:$L$11,0))/100000),"")</f>
        <v/>
      </c>
      <c r="BN504" s="35" t="str">
        <f aca="false">IFERROR(IF(BG504="","",BG504*INDEX('00 - Lists'!$M$2:$M$11,MATCH(L504,'00 - Lists'!$L$2:$L$11,0))/100000),"")</f>
        <v/>
      </c>
      <c r="BO504" s="35" t="str">
        <f aca="false">IFERROR(IF(BH504="","",BH504*INDEX('00 - Lists'!$M$2:$M$11,MATCH(L504,'00 - Lists'!$L$2:$L$11,0))/100000),"")</f>
        <v/>
      </c>
      <c r="BP504" s="35" t="str">
        <f aca="false">IFERROR(IF(BI504="","",BI504*INDEX('00 - Lists'!$M$2:$M$11,MATCH(L504,'00 - Lists'!$L$2:$L$11,0))/100000),"")</f>
        <v/>
      </c>
      <c r="BS504" s="36" t="str">
        <f aca="false">IF(O504="","",IF(O504&gt;=20,"Yes","No"))</f>
        <v/>
      </c>
      <c r="BT504" s="36" t="str">
        <f aca="false">IF(O504="","",IF(O504&gt;=30,"Yes","No"))</f>
        <v/>
      </c>
      <c r="BU504" s="36" t="str">
        <f aca="false">IF(O504="","",IF(O504&gt;=75,"Yes","No"))</f>
        <v/>
      </c>
      <c r="BV504" s="36" t="str">
        <f aca="false">IF(O504="","",IF(O504&gt;=100,"Yes","No"))</f>
        <v/>
      </c>
      <c r="BW504" s="36" t="str">
        <f aca="false">IF(O504="","",IF(O504&gt;=150,"Yes","No"))</f>
        <v/>
      </c>
      <c r="BX504" s="36" t="str">
        <f aca="false">IF(O504="","",IF(O504&gt;=200,"Yes","No"))</f>
        <v/>
      </c>
      <c r="BY504" s="36" t="str">
        <f aca="false">IF(Q504="","",IF(Q504&gt;=150000,"Yes","No"))</f>
        <v/>
      </c>
      <c r="BZ504" s="36" t="str">
        <f aca="false">IF(Q504="","",IF(Q504&gt;=200000,"Yes","No"))</f>
        <v/>
      </c>
      <c r="CA504" s="36" t="str">
        <f aca="false">IF(Q504="","",IF(Q504&gt;=250000,"Yes","No"))</f>
        <v/>
      </c>
      <c r="CB504" s="36" t="str">
        <f aca="false">IF(Q504="","",IF(Q504&gt;=300000,"Yes","No"))</f>
        <v/>
      </c>
      <c r="CC504" s="37"/>
      <c r="CD504" s="36" t="str">
        <f aca="true">IF(B504="","",IF(TODAY()-B504&lt;=7,"🟢 0-7d",IF(TODAY()-B504&lt;=30,"🟡 8-30d",IF(TODAY()-B504&lt;=60,"🟠 31-60d","🔴 60d+"))))</f>
        <v/>
      </c>
      <c r="CE504" s="36" t="str">
        <f aca="false">IF(G504="","",IF(G504&lt;&gt;"USA","N/A - Not USA Role",IF(J504="Yes",IF(OR(F504="Intern",F504="New Grad"),"🟡 Possible","🟢 Strong"),IF(J504="No","🔴 Difficult","⚪ Unknown"))))</f>
        <v/>
      </c>
      <c r="CF504" s="37"/>
      <c r="CG504" s="37"/>
      <c r="CH504" s="38"/>
      <c r="CI504" s="38"/>
      <c r="CJ504" s="38"/>
      <c r="CK504" s="38"/>
    </row>
    <row r="505" customFormat="false" ht="15" hidden="false" customHeight="true" outlineLevel="0" collapsed="false">
      <c r="A505" s="26" t="str">
        <f aca="false">IF($C505="","",ROW()-3)</f>
        <v/>
      </c>
      <c r="B505" s="27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9"/>
      <c r="N505" s="29"/>
      <c r="O505" s="30" t="str">
        <f aca="false">IFERROR(IF(M505="","",M505*INDEX('00 - Lists'!$M$2:$M$11,MATCH(L505,'00 - Lists'!$L$2:$L$11,0))/100000),"")</f>
        <v/>
      </c>
      <c r="P505" s="30" t="str">
        <f aca="false">IFERROR(IF(N505="","",N505*INDEX('00 - Lists'!$M$2:$M$11,MATCH(L505,'00 - Lists'!$L$2:$L$11,0))/100000),"")</f>
        <v/>
      </c>
      <c r="Q505" s="31" t="str">
        <f aca="false">IFERROR(IF(M505="","",M505*INDEX('00 - Lists'!$N$2:$N$11,MATCH(L505,'00 - Lists'!$L$2:$L$11,0))),"")</f>
        <v/>
      </c>
      <c r="R505" s="31" t="str">
        <f aca="false">IFERROR(IF(N505="","",N505*INDEX('00 - Lists'!$N$2:$N$11,MATCH(L505,'00 - Lists'!$L$2:$L$11,0))),"")</f>
        <v/>
      </c>
      <c r="S505" s="32" t="str">
        <f aca="false">IF(O505="","",IF(O505&gt;=50,"Yes","No"))</f>
        <v/>
      </c>
      <c r="T505" s="32" t="str">
        <f aca="false">IF(Q505="","",IF(Q505&gt;=100000,"Yes","No"))</f>
        <v/>
      </c>
      <c r="U505" s="28"/>
      <c r="V505" s="28"/>
      <c r="W505" s="28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J505" s="34" t="str">
        <f aca="false">IF(OR($BD505&lt;&gt;"",$BF505&lt;&gt;"",$BH505&lt;&gt;""),"Yes","No")</f>
        <v>No</v>
      </c>
      <c r="BK505" s="35" t="str">
        <f aca="false">IFERROR(IF(BD505="","",BD505*INDEX('00 - Lists'!$M$2:$M$11,MATCH(L505,'00 - Lists'!$L$2:$L$11,0))/100000),"")</f>
        <v/>
      </c>
      <c r="BL505" s="35" t="str">
        <f aca="false">IFERROR(IF(BE505="","",BE505*INDEX('00 - Lists'!$M$2:$M$11,MATCH(L505,'00 - Lists'!$L$2:$L$11,0))/100000),"")</f>
        <v/>
      </c>
      <c r="BM505" s="35" t="str">
        <f aca="false">IFERROR(IF(BF505="","",BF505*INDEX('00 - Lists'!$M$2:$M$11,MATCH(L505,'00 - Lists'!$L$2:$L$11,0))/100000),"")</f>
        <v/>
      </c>
      <c r="BN505" s="35" t="str">
        <f aca="false">IFERROR(IF(BG505="","",BG505*INDEX('00 - Lists'!$M$2:$M$11,MATCH(L505,'00 - Lists'!$L$2:$L$11,0))/100000),"")</f>
        <v/>
      </c>
      <c r="BO505" s="35" t="str">
        <f aca="false">IFERROR(IF(BH505="","",BH505*INDEX('00 - Lists'!$M$2:$M$11,MATCH(L505,'00 - Lists'!$L$2:$L$11,0))/100000),"")</f>
        <v/>
      </c>
      <c r="BP505" s="35" t="str">
        <f aca="false">IFERROR(IF(BI505="","",BI505*INDEX('00 - Lists'!$M$2:$M$11,MATCH(L505,'00 - Lists'!$L$2:$L$11,0))/100000),"")</f>
        <v/>
      </c>
      <c r="BS505" s="36" t="str">
        <f aca="false">IF(O505="","",IF(O505&gt;=20,"Yes","No"))</f>
        <v/>
      </c>
      <c r="BT505" s="36" t="str">
        <f aca="false">IF(O505="","",IF(O505&gt;=30,"Yes","No"))</f>
        <v/>
      </c>
      <c r="BU505" s="36" t="str">
        <f aca="false">IF(O505="","",IF(O505&gt;=75,"Yes","No"))</f>
        <v/>
      </c>
      <c r="BV505" s="36" t="str">
        <f aca="false">IF(O505="","",IF(O505&gt;=100,"Yes","No"))</f>
        <v/>
      </c>
      <c r="BW505" s="36" t="str">
        <f aca="false">IF(O505="","",IF(O505&gt;=150,"Yes","No"))</f>
        <v/>
      </c>
      <c r="BX505" s="36" t="str">
        <f aca="false">IF(O505="","",IF(O505&gt;=200,"Yes","No"))</f>
        <v/>
      </c>
      <c r="BY505" s="36" t="str">
        <f aca="false">IF(Q505="","",IF(Q505&gt;=150000,"Yes","No"))</f>
        <v/>
      </c>
      <c r="BZ505" s="36" t="str">
        <f aca="false">IF(Q505="","",IF(Q505&gt;=200000,"Yes","No"))</f>
        <v/>
      </c>
      <c r="CA505" s="36" t="str">
        <f aca="false">IF(Q505="","",IF(Q505&gt;=250000,"Yes","No"))</f>
        <v/>
      </c>
      <c r="CB505" s="36" t="str">
        <f aca="false">IF(Q505="","",IF(Q505&gt;=300000,"Yes","No"))</f>
        <v/>
      </c>
      <c r="CC505" s="37"/>
      <c r="CD505" s="36" t="str">
        <f aca="true">IF(B505="","",IF(TODAY()-B505&lt;=7,"🟢 0-7d",IF(TODAY()-B505&lt;=30,"🟡 8-30d",IF(TODAY()-B505&lt;=60,"🟠 31-60d","🔴 60d+"))))</f>
        <v/>
      </c>
      <c r="CE505" s="36" t="str">
        <f aca="false">IF(G505="","",IF(G505&lt;&gt;"USA","N/A - Not USA Role",IF(J505="Yes",IF(OR(F505="Intern",F505="New Grad"),"🟡 Possible","🟢 Strong"),IF(J505="No","🔴 Difficult","⚪ Unknown"))))</f>
        <v/>
      </c>
      <c r="CF505" s="37"/>
      <c r="CG505" s="37"/>
      <c r="CH505" s="38"/>
      <c r="CI505" s="38"/>
      <c r="CJ505" s="38"/>
      <c r="CK505" s="38"/>
    </row>
    <row r="506" customFormat="false" ht="15" hidden="false" customHeight="true" outlineLevel="0" collapsed="false">
      <c r="A506" s="26" t="str">
        <f aca="false">IF($C506="","",ROW()-3)</f>
        <v/>
      </c>
      <c r="B506" s="27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9"/>
      <c r="N506" s="29"/>
      <c r="O506" s="30" t="str">
        <f aca="false">IFERROR(IF(M506="","",M506*INDEX('00 - Lists'!$M$2:$M$11,MATCH(L506,'00 - Lists'!$L$2:$L$11,0))/100000),"")</f>
        <v/>
      </c>
      <c r="P506" s="30" t="str">
        <f aca="false">IFERROR(IF(N506="","",N506*INDEX('00 - Lists'!$M$2:$M$11,MATCH(L506,'00 - Lists'!$L$2:$L$11,0))/100000),"")</f>
        <v/>
      </c>
      <c r="Q506" s="31" t="str">
        <f aca="false">IFERROR(IF(M506="","",M506*INDEX('00 - Lists'!$N$2:$N$11,MATCH(L506,'00 - Lists'!$L$2:$L$11,0))),"")</f>
        <v/>
      </c>
      <c r="R506" s="31" t="str">
        <f aca="false">IFERROR(IF(N506="","",N506*INDEX('00 - Lists'!$N$2:$N$11,MATCH(L506,'00 - Lists'!$L$2:$L$11,0))),"")</f>
        <v/>
      </c>
      <c r="S506" s="32" t="str">
        <f aca="false">IF(O506="","",IF(O506&gt;=50,"Yes","No"))</f>
        <v/>
      </c>
      <c r="T506" s="32" t="str">
        <f aca="false">IF(Q506="","",IF(Q506&gt;=100000,"Yes","No"))</f>
        <v/>
      </c>
      <c r="U506" s="28"/>
      <c r="V506" s="28"/>
      <c r="W506" s="28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J506" s="34" t="str">
        <f aca="false">IF(OR($BD506&lt;&gt;"",$BF506&lt;&gt;"",$BH506&lt;&gt;""),"Yes","No")</f>
        <v>No</v>
      </c>
      <c r="BK506" s="35" t="str">
        <f aca="false">IFERROR(IF(BD506="","",BD506*INDEX('00 - Lists'!$M$2:$M$11,MATCH(L506,'00 - Lists'!$L$2:$L$11,0))/100000),"")</f>
        <v/>
      </c>
      <c r="BL506" s="35" t="str">
        <f aca="false">IFERROR(IF(BE506="","",BE506*INDEX('00 - Lists'!$M$2:$M$11,MATCH(L506,'00 - Lists'!$L$2:$L$11,0))/100000),"")</f>
        <v/>
      </c>
      <c r="BM506" s="35" t="str">
        <f aca="false">IFERROR(IF(BF506="","",BF506*INDEX('00 - Lists'!$M$2:$M$11,MATCH(L506,'00 - Lists'!$L$2:$L$11,0))/100000),"")</f>
        <v/>
      </c>
      <c r="BN506" s="35" t="str">
        <f aca="false">IFERROR(IF(BG506="","",BG506*INDEX('00 - Lists'!$M$2:$M$11,MATCH(L506,'00 - Lists'!$L$2:$L$11,0))/100000),"")</f>
        <v/>
      </c>
      <c r="BO506" s="35" t="str">
        <f aca="false">IFERROR(IF(BH506="","",BH506*INDEX('00 - Lists'!$M$2:$M$11,MATCH(L506,'00 - Lists'!$L$2:$L$11,0))/100000),"")</f>
        <v/>
      </c>
      <c r="BP506" s="35" t="str">
        <f aca="false">IFERROR(IF(BI506="","",BI506*INDEX('00 - Lists'!$M$2:$M$11,MATCH(L506,'00 - Lists'!$L$2:$L$11,0))/100000),"")</f>
        <v/>
      </c>
      <c r="BS506" s="36" t="str">
        <f aca="false">IF(O506="","",IF(O506&gt;=20,"Yes","No"))</f>
        <v/>
      </c>
      <c r="BT506" s="36" t="str">
        <f aca="false">IF(O506="","",IF(O506&gt;=30,"Yes","No"))</f>
        <v/>
      </c>
      <c r="BU506" s="36" t="str">
        <f aca="false">IF(O506="","",IF(O506&gt;=75,"Yes","No"))</f>
        <v/>
      </c>
      <c r="BV506" s="36" t="str">
        <f aca="false">IF(O506="","",IF(O506&gt;=100,"Yes","No"))</f>
        <v/>
      </c>
      <c r="BW506" s="36" t="str">
        <f aca="false">IF(O506="","",IF(O506&gt;=150,"Yes","No"))</f>
        <v/>
      </c>
      <c r="BX506" s="36" t="str">
        <f aca="false">IF(O506="","",IF(O506&gt;=200,"Yes","No"))</f>
        <v/>
      </c>
      <c r="BY506" s="36" t="str">
        <f aca="false">IF(Q506="","",IF(Q506&gt;=150000,"Yes","No"))</f>
        <v/>
      </c>
      <c r="BZ506" s="36" t="str">
        <f aca="false">IF(Q506="","",IF(Q506&gt;=200000,"Yes","No"))</f>
        <v/>
      </c>
      <c r="CA506" s="36" t="str">
        <f aca="false">IF(Q506="","",IF(Q506&gt;=250000,"Yes","No"))</f>
        <v/>
      </c>
      <c r="CB506" s="36" t="str">
        <f aca="false">IF(Q506="","",IF(Q506&gt;=300000,"Yes","No"))</f>
        <v/>
      </c>
      <c r="CC506" s="37"/>
      <c r="CD506" s="36" t="str">
        <f aca="true">IF(B506="","",IF(TODAY()-B506&lt;=7,"🟢 0-7d",IF(TODAY()-B506&lt;=30,"🟡 8-30d",IF(TODAY()-B506&lt;=60,"🟠 31-60d","🔴 60d+"))))</f>
        <v/>
      </c>
      <c r="CE506" s="36" t="str">
        <f aca="false">IF(G506="","",IF(G506&lt;&gt;"USA","N/A - Not USA Role",IF(J506="Yes",IF(OR(F506="Intern",F506="New Grad"),"🟡 Possible","🟢 Strong"),IF(J506="No","🔴 Difficult","⚪ Unknown"))))</f>
        <v/>
      </c>
      <c r="CF506" s="37"/>
      <c r="CG506" s="37"/>
      <c r="CH506" s="38"/>
      <c r="CI506" s="38"/>
      <c r="CJ506" s="38"/>
      <c r="CK506" s="38"/>
    </row>
    <row r="507" customFormat="false" ht="15" hidden="false" customHeight="true" outlineLevel="0" collapsed="false">
      <c r="A507" s="26" t="str">
        <f aca="false">IF($C507="","",ROW()-3)</f>
        <v/>
      </c>
      <c r="B507" s="27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9"/>
      <c r="N507" s="29"/>
      <c r="O507" s="30" t="str">
        <f aca="false">IFERROR(IF(M507="","",M507*INDEX('00 - Lists'!$M$2:$M$11,MATCH(L507,'00 - Lists'!$L$2:$L$11,0))/100000),"")</f>
        <v/>
      </c>
      <c r="P507" s="30" t="str">
        <f aca="false">IFERROR(IF(N507="","",N507*INDEX('00 - Lists'!$M$2:$M$11,MATCH(L507,'00 - Lists'!$L$2:$L$11,0))/100000),"")</f>
        <v/>
      </c>
      <c r="Q507" s="31" t="str">
        <f aca="false">IFERROR(IF(M507="","",M507*INDEX('00 - Lists'!$N$2:$N$11,MATCH(L507,'00 - Lists'!$L$2:$L$11,0))),"")</f>
        <v/>
      </c>
      <c r="R507" s="31" t="str">
        <f aca="false">IFERROR(IF(N507="","",N507*INDEX('00 - Lists'!$N$2:$N$11,MATCH(L507,'00 - Lists'!$L$2:$L$11,0))),"")</f>
        <v/>
      </c>
      <c r="S507" s="32" t="str">
        <f aca="false">IF(O507="","",IF(O507&gt;=50,"Yes","No"))</f>
        <v/>
      </c>
      <c r="T507" s="32" t="str">
        <f aca="false">IF(Q507="","",IF(Q507&gt;=100000,"Yes","No"))</f>
        <v/>
      </c>
      <c r="U507" s="28"/>
      <c r="V507" s="28"/>
      <c r="W507" s="28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J507" s="34" t="str">
        <f aca="false">IF(OR($BD507&lt;&gt;"",$BF507&lt;&gt;"",$BH507&lt;&gt;""),"Yes","No")</f>
        <v>No</v>
      </c>
      <c r="BK507" s="35" t="str">
        <f aca="false">IFERROR(IF(BD507="","",BD507*INDEX('00 - Lists'!$M$2:$M$11,MATCH(L507,'00 - Lists'!$L$2:$L$11,0))/100000),"")</f>
        <v/>
      </c>
      <c r="BL507" s="35" t="str">
        <f aca="false">IFERROR(IF(BE507="","",BE507*INDEX('00 - Lists'!$M$2:$M$11,MATCH(L507,'00 - Lists'!$L$2:$L$11,0))/100000),"")</f>
        <v/>
      </c>
      <c r="BM507" s="35" t="str">
        <f aca="false">IFERROR(IF(BF507="","",BF507*INDEX('00 - Lists'!$M$2:$M$11,MATCH(L507,'00 - Lists'!$L$2:$L$11,0))/100000),"")</f>
        <v/>
      </c>
      <c r="BN507" s="35" t="str">
        <f aca="false">IFERROR(IF(BG507="","",BG507*INDEX('00 - Lists'!$M$2:$M$11,MATCH(L507,'00 - Lists'!$L$2:$L$11,0))/100000),"")</f>
        <v/>
      </c>
      <c r="BO507" s="35" t="str">
        <f aca="false">IFERROR(IF(BH507="","",BH507*INDEX('00 - Lists'!$M$2:$M$11,MATCH(L507,'00 - Lists'!$L$2:$L$11,0))/100000),"")</f>
        <v/>
      </c>
      <c r="BP507" s="35" t="str">
        <f aca="false">IFERROR(IF(BI507="","",BI507*INDEX('00 - Lists'!$M$2:$M$11,MATCH(L507,'00 - Lists'!$L$2:$L$11,0))/100000),"")</f>
        <v/>
      </c>
      <c r="BS507" s="36" t="str">
        <f aca="false">IF(O507="","",IF(O507&gt;=20,"Yes","No"))</f>
        <v/>
      </c>
      <c r="BT507" s="36" t="str">
        <f aca="false">IF(O507="","",IF(O507&gt;=30,"Yes","No"))</f>
        <v/>
      </c>
      <c r="BU507" s="36" t="str">
        <f aca="false">IF(O507="","",IF(O507&gt;=75,"Yes","No"))</f>
        <v/>
      </c>
      <c r="BV507" s="36" t="str">
        <f aca="false">IF(O507="","",IF(O507&gt;=100,"Yes","No"))</f>
        <v/>
      </c>
      <c r="BW507" s="36" t="str">
        <f aca="false">IF(O507="","",IF(O507&gt;=150,"Yes","No"))</f>
        <v/>
      </c>
      <c r="BX507" s="36" t="str">
        <f aca="false">IF(O507="","",IF(O507&gt;=200,"Yes","No"))</f>
        <v/>
      </c>
      <c r="BY507" s="36" t="str">
        <f aca="false">IF(Q507="","",IF(Q507&gt;=150000,"Yes","No"))</f>
        <v/>
      </c>
      <c r="BZ507" s="36" t="str">
        <f aca="false">IF(Q507="","",IF(Q507&gt;=200000,"Yes","No"))</f>
        <v/>
      </c>
      <c r="CA507" s="36" t="str">
        <f aca="false">IF(Q507="","",IF(Q507&gt;=250000,"Yes","No"))</f>
        <v/>
      </c>
      <c r="CB507" s="36" t="str">
        <f aca="false">IF(Q507="","",IF(Q507&gt;=300000,"Yes","No"))</f>
        <v/>
      </c>
      <c r="CC507" s="37"/>
      <c r="CD507" s="36" t="str">
        <f aca="true">IF(B507="","",IF(TODAY()-B507&lt;=7,"🟢 0-7d",IF(TODAY()-B507&lt;=30,"🟡 8-30d",IF(TODAY()-B507&lt;=60,"🟠 31-60d","🔴 60d+"))))</f>
        <v/>
      </c>
      <c r="CE507" s="36" t="str">
        <f aca="false">IF(G507="","",IF(G507&lt;&gt;"USA","N/A - Not USA Role",IF(J507="Yes",IF(OR(F507="Intern",F507="New Grad"),"🟡 Possible","🟢 Strong"),IF(J507="No","🔴 Difficult","⚪ Unknown"))))</f>
        <v/>
      </c>
      <c r="CF507" s="37"/>
      <c r="CG507" s="37"/>
      <c r="CH507" s="38"/>
      <c r="CI507" s="38"/>
      <c r="CJ507" s="38"/>
      <c r="CK507" s="38"/>
    </row>
    <row r="508" customFormat="false" ht="15" hidden="false" customHeight="true" outlineLevel="0" collapsed="false">
      <c r="A508" s="26" t="str">
        <f aca="false">IF($C508="","",ROW()-3)</f>
        <v/>
      </c>
      <c r="B508" s="27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9"/>
      <c r="N508" s="29"/>
      <c r="O508" s="30" t="str">
        <f aca="false">IFERROR(IF(M508="","",M508*INDEX('00 - Lists'!$M$2:$M$11,MATCH(L508,'00 - Lists'!$L$2:$L$11,0))/100000),"")</f>
        <v/>
      </c>
      <c r="P508" s="30" t="str">
        <f aca="false">IFERROR(IF(N508="","",N508*INDEX('00 - Lists'!$M$2:$M$11,MATCH(L508,'00 - Lists'!$L$2:$L$11,0))/100000),"")</f>
        <v/>
      </c>
      <c r="Q508" s="31" t="str">
        <f aca="false">IFERROR(IF(M508="","",M508*INDEX('00 - Lists'!$N$2:$N$11,MATCH(L508,'00 - Lists'!$L$2:$L$11,0))),"")</f>
        <v/>
      </c>
      <c r="R508" s="31" t="str">
        <f aca="false">IFERROR(IF(N508="","",N508*INDEX('00 - Lists'!$N$2:$N$11,MATCH(L508,'00 - Lists'!$L$2:$L$11,0))),"")</f>
        <v/>
      </c>
      <c r="S508" s="32" t="str">
        <f aca="false">IF(O508="","",IF(O508&gt;=50,"Yes","No"))</f>
        <v/>
      </c>
      <c r="T508" s="32" t="str">
        <f aca="false">IF(Q508="","",IF(Q508&gt;=100000,"Yes","No"))</f>
        <v/>
      </c>
      <c r="U508" s="28"/>
      <c r="V508" s="28"/>
      <c r="W508" s="28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J508" s="34" t="str">
        <f aca="false">IF(OR($BD508&lt;&gt;"",$BF508&lt;&gt;"",$BH508&lt;&gt;""),"Yes","No")</f>
        <v>No</v>
      </c>
      <c r="BK508" s="35" t="str">
        <f aca="false">IFERROR(IF(BD508="","",BD508*INDEX('00 - Lists'!$M$2:$M$11,MATCH(L508,'00 - Lists'!$L$2:$L$11,0))/100000),"")</f>
        <v/>
      </c>
      <c r="BL508" s="35" t="str">
        <f aca="false">IFERROR(IF(BE508="","",BE508*INDEX('00 - Lists'!$M$2:$M$11,MATCH(L508,'00 - Lists'!$L$2:$L$11,0))/100000),"")</f>
        <v/>
      </c>
      <c r="BM508" s="35" t="str">
        <f aca="false">IFERROR(IF(BF508="","",BF508*INDEX('00 - Lists'!$M$2:$M$11,MATCH(L508,'00 - Lists'!$L$2:$L$11,0))/100000),"")</f>
        <v/>
      </c>
      <c r="BN508" s="35" t="str">
        <f aca="false">IFERROR(IF(BG508="","",BG508*INDEX('00 - Lists'!$M$2:$M$11,MATCH(L508,'00 - Lists'!$L$2:$L$11,0))/100000),"")</f>
        <v/>
      </c>
      <c r="BO508" s="35" t="str">
        <f aca="false">IFERROR(IF(BH508="","",BH508*INDEX('00 - Lists'!$M$2:$M$11,MATCH(L508,'00 - Lists'!$L$2:$L$11,0))/100000),"")</f>
        <v/>
      </c>
      <c r="BP508" s="35" t="str">
        <f aca="false">IFERROR(IF(BI508="","",BI508*INDEX('00 - Lists'!$M$2:$M$11,MATCH(L508,'00 - Lists'!$L$2:$L$11,0))/100000),"")</f>
        <v/>
      </c>
      <c r="BS508" s="36" t="str">
        <f aca="false">IF(O508="","",IF(O508&gt;=20,"Yes","No"))</f>
        <v/>
      </c>
      <c r="BT508" s="36" t="str">
        <f aca="false">IF(O508="","",IF(O508&gt;=30,"Yes","No"))</f>
        <v/>
      </c>
      <c r="BU508" s="36" t="str">
        <f aca="false">IF(O508="","",IF(O508&gt;=75,"Yes","No"))</f>
        <v/>
      </c>
      <c r="BV508" s="36" t="str">
        <f aca="false">IF(O508="","",IF(O508&gt;=100,"Yes","No"))</f>
        <v/>
      </c>
      <c r="BW508" s="36" t="str">
        <f aca="false">IF(O508="","",IF(O508&gt;=150,"Yes","No"))</f>
        <v/>
      </c>
      <c r="BX508" s="36" t="str">
        <f aca="false">IF(O508="","",IF(O508&gt;=200,"Yes","No"))</f>
        <v/>
      </c>
      <c r="BY508" s="36" t="str">
        <f aca="false">IF(Q508="","",IF(Q508&gt;=150000,"Yes","No"))</f>
        <v/>
      </c>
      <c r="BZ508" s="36" t="str">
        <f aca="false">IF(Q508="","",IF(Q508&gt;=200000,"Yes","No"))</f>
        <v/>
      </c>
      <c r="CA508" s="36" t="str">
        <f aca="false">IF(Q508="","",IF(Q508&gt;=250000,"Yes","No"))</f>
        <v/>
      </c>
      <c r="CB508" s="36" t="str">
        <f aca="false">IF(Q508="","",IF(Q508&gt;=300000,"Yes","No"))</f>
        <v/>
      </c>
      <c r="CC508" s="37"/>
      <c r="CD508" s="36" t="str">
        <f aca="true">IF(B508="","",IF(TODAY()-B508&lt;=7,"🟢 0-7d",IF(TODAY()-B508&lt;=30,"🟡 8-30d",IF(TODAY()-B508&lt;=60,"🟠 31-60d","🔴 60d+"))))</f>
        <v/>
      </c>
      <c r="CE508" s="36" t="str">
        <f aca="false">IF(G508="","",IF(G508&lt;&gt;"USA","N/A - Not USA Role",IF(J508="Yes",IF(OR(F508="Intern",F508="New Grad"),"🟡 Possible","🟢 Strong"),IF(J508="No","🔴 Difficult","⚪ Unknown"))))</f>
        <v/>
      </c>
      <c r="CF508" s="37"/>
      <c r="CG508" s="37"/>
      <c r="CH508" s="38"/>
      <c r="CI508" s="38"/>
      <c r="CJ508" s="38"/>
      <c r="CK508" s="38"/>
    </row>
    <row r="509" customFormat="false" ht="15" hidden="false" customHeight="true" outlineLevel="0" collapsed="false">
      <c r="A509" s="26" t="str">
        <f aca="false">IF($C509="","",ROW()-3)</f>
        <v/>
      </c>
      <c r="B509" s="27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9"/>
      <c r="N509" s="29"/>
      <c r="O509" s="30" t="str">
        <f aca="false">IFERROR(IF(M509="","",M509*INDEX('00 - Lists'!$M$2:$M$11,MATCH(L509,'00 - Lists'!$L$2:$L$11,0))/100000),"")</f>
        <v/>
      </c>
      <c r="P509" s="30" t="str">
        <f aca="false">IFERROR(IF(N509="","",N509*INDEX('00 - Lists'!$M$2:$M$11,MATCH(L509,'00 - Lists'!$L$2:$L$11,0))/100000),"")</f>
        <v/>
      </c>
      <c r="Q509" s="31" t="str">
        <f aca="false">IFERROR(IF(M509="","",M509*INDEX('00 - Lists'!$N$2:$N$11,MATCH(L509,'00 - Lists'!$L$2:$L$11,0))),"")</f>
        <v/>
      </c>
      <c r="R509" s="31" t="str">
        <f aca="false">IFERROR(IF(N509="","",N509*INDEX('00 - Lists'!$N$2:$N$11,MATCH(L509,'00 - Lists'!$L$2:$L$11,0))),"")</f>
        <v/>
      </c>
      <c r="S509" s="32" t="str">
        <f aca="false">IF(O509="","",IF(O509&gt;=50,"Yes","No"))</f>
        <v/>
      </c>
      <c r="T509" s="32" t="str">
        <f aca="false">IF(Q509="","",IF(Q509&gt;=100000,"Yes","No"))</f>
        <v/>
      </c>
      <c r="U509" s="28"/>
      <c r="V509" s="28"/>
      <c r="W509" s="28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J509" s="34" t="str">
        <f aca="false">IF(OR($BD509&lt;&gt;"",$BF509&lt;&gt;"",$BH509&lt;&gt;""),"Yes","No")</f>
        <v>No</v>
      </c>
      <c r="BK509" s="35" t="str">
        <f aca="false">IFERROR(IF(BD509="","",BD509*INDEX('00 - Lists'!$M$2:$M$11,MATCH(L509,'00 - Lists'!$L$2:$L$11,0))/100000),"")</f>
        <v/>
      </c>
      <c r="BL509" s="35" t="str">
        <f aca="false">IFERROR(IF(BE509="","",BE509*INDEX('00 - Lists'!$M$2:$M$11,MATCH(L509,'00 - Lists'!$L$2:$L$11,0))/100000),"")</f>
        <v/>
      </c>
      <c r="BM509" s="35" t="str">
        <f aca="false">IFERROR(IF(BF509="","",BF509*INDEX('00 - Lists'!$M$2:$M$11,MATCH(L509,'00 - Lists'!$L$2:$L$11,0))/100000),"")</f>
        <v/>
      </c>
      <c r="BN509" s="35" t="str">
        <f aca="false">IFERROR(IF(BG509="","",BG509*INDEX('00 - Lists'!$M$2:$M$11,MATCH(L509,'00 - Lists'!$L$2:$L$11,0))/100000),"")</f>
        <v/>
      </c>
      <c r="BO509" s="35" t="str">
        <f aca="false">IFERROR(IF(BH509="","",BH509*INDEX('00 - Lists'!$M$2:$M$11,MATCH(L509,'00 - Lists'!$L$2:$L$11,0))/100000),"")</f>
        <v/>
      </c>
      <c r="BP509" s="35" t="str">
        <f aca="false">IFERROR(IF(BI509="","",BI509*INDEX('00 - Lists'!$M$2:$M$11,MATCH(L509,'00 - Lists'!$L$2:$L$11,0))/100000),"")</f>
        <v/>
      </c>
      <c r="BS509" s="36" t="str">
        <f aca="false">IF(O509="","",IF(O509&gt;=20,"Yes","No"))</f>
        <v/>
      </c>
      <c r="BT509" s="36" t="str">
        <f aca="false">IF(O509="","",IF(O509&gt;=30,"Yes","No"))</f>
        <v/>
      </c>
      <c r="BU509" s="36" t="str">
        <f aca="false">IF(O509="","",IF(O509&gt;=75,"Yes","No"))</f>
        <v/>
      </c>
      <c r="BV509" s="36" t="str">
        <f aca="false">IF(O509="","",IF(O509&gt;=100,"Yes","No"))</f>
        <v/>
      </c>
      <c r="BW509" s="36" t="str">
        <f aca="false">IF(O509="","",IF(O509&gt;=150,"Yes","No"))</f>
        <v/>
      </c>
      <c r="BX509" s="36" t="str">
        <f aca="false">IF(O509="","",IF(O509&gt;=200,"Yes","No"))</f>
        <v/>
      </c>
      <c r="BY509" s="36" t="str">
        <f aca="false">IF(Q509="","",IF(Q509&gt;=150000,"Yes","No"))</f>
        <v/>
      </c>
      <c r="BZ509" s="36" t="str">
        <f aca="false">IF(Q509="","",IF(Q509&gt;=200000,"Yes","No"))</f>
        <v/>
      </c>
      <c r="CA509" s="36" t="str">
        <f aca="false">IF(Q509="","",IF(Q509&gt;=250000,"Yes","No"))</f>
        <v/>
      </c>
      <c r="CB509" s="36" t="str">
        <f aca="false">IF(Q509="","",IF(Q509&gt;=300000,"Yes","No"))</f>
        <v/>
      </c>
      <c r="CC509" s="37"/>
      <c r="CD509" s="36" t="str">
        <f aca="true">IF(B509="","",IF(TODAY()-B509&lt;=7,"🟢 0-7d",IF(TODAY()-B509&lt;=30,"🟡 8-30d",IF(TODAY()-B509&lt;=60,"🟠 31-60d","🔴 60d+"))))</f>
        <v/>
      </c>
      <c r="CE509" s="36" t="str">
        <f aca="false">IF(G509="","",IF(G509&lt;&gt;"USA","N/A - Not USA Role",IF(J509="Yes",IF(OR(F509="Intern",F509="New Grad"),"🟡 Possible","🟢 Strong"),IF(J509="No","🔴 Difficult","⚪ Unknown"))))</f>
        <v/>
      </c>
      <c r="CF509" s="37"/>
      <c r="CG509" s="37"/>
      <c r="CH509" s="38"/>
      <c r="CI509" s="38"/>
      <c r="CJ509" s="38"/>
      <c r="CK509" s="38"/>
    </row>
    <row r="510" customFormat="false" ht="15" hidden="false" customHeight="true" outlineLevel="0" collapsed="false">
      <c r="A510" s="26" t="str">
        <f aca="false">IF($C510="","",ROW()-3)</f>
        <v/>
      </c>
      <c r="B510" s="27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9"/>
      <c r="N510" s="29"/>
      <c r="O510" s="30" t="str">
        <f aca="false">IFERROR(IF(M510="","",M510*INDEX('00 - Lists'!$M$2:$M$11,MATCH(L510,'00 - Lists'!$L$2:$L$11,0))/100000),"")</f>
        <v/>
      </c>
      <c r="P510" s="30" t="str">
        <f aca="false">IFERROR(IF(N510="","",N510*INDEX('00 - Lists'!$M$2:$M$11,MATCH(L510,'00 - Lists'!$L$2:$L$11,0))/100000),"")</f>
        <v/>
      </c>
      <c r="Q510" s="31" t="str">
        <f aca="false">IFERROR(IF(M510="","",M510*INDEX('00 - Lists'!$N$2:$N$11,MATCH(L510,'00 - Lists'!$L$2:$L$11,0))),"")</f>
        <v/>
      </c>
      <c r="R510" s="31" t="str">
        <f aca="false">IFERROR(IF(N510="","",N510*INDEX('00 - Lists'!$N$2:$N$11,MATCH(L510,'00 - Lists'!$L$2:$L$11,0))),"")</f>
        <v/>
      </c>
      <c r="S510" s="32" t="str">
        <f aca="false">IF(O510="","",IF(O510&gt;=50,"Yes","No"))</f>
        <v/>
      </c>
      <c r="T510" s="32" t="str">
        <f aca="false">IF(Q510="","",IF(Q510&gt;=100000,"Yes","No"))</f>
        <v/>
      </c>
      <c r="U510" s="28"/>
      <c r="V510" s="28"/>
      <c r="W510" s="28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J510" s="34" t="str">
        <f aca="false">IF(OR($BD510&lt;&gt;"",$BF510&lt;&gt;"",$BH510&lt;&gt;""),"Yes","No")</f>
        <v>No</v>
      </c>
      <c r="BK510" s="35" t="str">
        <f aca="false">IFERROR(IF(BD510="","",BD510*INDEX('00 - Lists'!$M$2:$M$11,MATCH(L510,'00 - Lists'!$L$2:$L$11,0))/100000),"")</f>
        <v/>
      </c>
      <c r="BL510" s="35" t="str">
        <f aca="false">IFERROR(IF(BE510="","",BE510*INDEX('00 - Lists'!$M$2:$M$11,MATCH(L510,'00 - Lists'!$L$2:$L$11,0))/100000),"")</f>
        <v/>
      </c>
      <c r="BM510" s="35" t="str">
        <f aca="false">IFERROR(IF(BF510="","",BF510*INDEX('00 - Lists'!$M$2:$M$11,MATCH(L510,'00 - Lists'!$L$2:$L$11,0))/100000),"")</f>
        <v/>
      </c>
      <c r="BN510" s="35" t="str">
        <f aca="false">IFERROR(IF(BG510="","",BG510*INDEX('00 - Lists'!$M$2:$M$11,MATCH(L510,'00 - Lists'!$L$2:$L$11,0))/100000),"")</f>
        <v/>
      </c>
      <c r="BO510" s="35" t="str">
        <f aca="false">IFERROR(IF(BH510="","",BH510*INDEX('00 - Lists'!$M$2:$M$11,MATCH(L510,'00 - Lists'!$L$2:$L$11,0))/100000),"")</f>
        <v/>
      </c>
      <c r="BP510" s="35" t="str">
        <f aca="false">IFERROR(IF(BI510="","",BI510*INDEX('00 - Lists'!$M$2:$M$11,MATCH(L510,'00 - Lists'!$L$2:$L$11,0))/100000),"")</f>
        <v/>
      </c>
      <c r="BS510" s="36" t="str">
        <f aca="false">IF(O510="","",IF(O510&gt;=20,"Yes","No"))</f>
        <v/>
      </c>
      <c r="BT510" s="36" t="str">
        <f aca="false">IF(O510="","",IF(O510&gt;=30,"Yes","No"))</f>
        <v/>
      </c>
      <c r="BU510" s="36" t="str">
        <f aca="false">IF(O510="","",IF(O510&gt;=75,"Yes","No"))</f>
        <v/>
      </c>
      <c r="BV510" s="36" t="str">
        <f aca="false">IF(O510="","",IF(O510&gt;=100,"Yes","No"))</f>
        <v/>
      </c>
      <c r="BW510" s="36" t="str">
        <f aca="false">IF(O510="","",IF(O510&gt;=150,"Yes","No"))</f>
        <v/>
      </c>
      <c r="BX510" s="36" t="str">
        <f aca="false">IF(O510="","",IF(O510&gt;=200,"Yes","No"))</f>
        <v/>
      </c>
      <c r="BY510" s="36" t="str">
        <f aca="false">IF(Q510="","",IF(Q510&gt;=150000,"Yes","No"))</f>
        <v/>
      </c>
      <c r="BZ510" s="36" t="str">
        <f aca="false">IF(Q510="","",IF(Q510&gt;=200000,"Yes","No"))</f>
        <v/>
      </c>
      <c r="CA510" s="36" t="str">
        <f aca="false">IF(Q510="","",IF(Q510&gt;=250000,"Yes","No"))</f>
        <v/>
      </c>
      <c r="CB510" s="36" t="str">
        <f aca="false">IF(Q510="","",IF(Q510&gt;=300000,"Yes","No"))</f>
        <v/>
      </c>
      <c r="CC510" s="37"/>
      <c r="CD510" s="36" t="str">
        <f aca="true">IF(B510="","",IF(TODAY()-B510&lt;=7,"🟢 0-7d",IF(TODAY()-B510&lt;=30,"🟡 8-30d",IF(TODAY()-B510&lt;=60,"🟠 31-60d","🔴 60d+"))))</f>
        <v/>
      </c>
      <c r="CE510" s="36" t="str">
        <f aca="false">IF(G510="","",IF(G510&lt;&gt;"USA","N/A - Not USA Role",IF(J510="Yes",IF(OR(F510="Intern",F510="New Grad"),"🟡 Possible","🟢 Strong"),IF(J510="No","🔴 Difficult","⚪ Unknown"))))</f>
        <v/>
      </c>
      <c r="CF510" s="37"/>
      <c r="CG510" s="37"/>
      <c r="CH510" s="38"/>
      <c r="CI510" s="38"/>
      <c r="CJ510" s="38"/>
      <c r="CK510" s="38"/>
    </row>
    <row r="511" customFormat="false" ht="15" hidden="false" customHeight="true" outlineLevel="0" collapsed="false">
      <c r="A511" s="26" t="str">
        <f aca="false">IF($C511="","",ROW()-3)</f>
        <v/>
      </c>
      <c r="B511" s="27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9"/>
      <c r="N511" s="29"/>
      <c r="O511" s="30" t="str">
        <f aca="false">IFERROR(IF(M511="","",M511*INDEX('00 - Lists'!$M$2:$M$11,MATCH(L511,'00 - Lists'!$L$2:$L$11,0))/100000),"")</f>
        <v/>
      </c>
      <c r="P511" s="30" t="str">
        <f aca="false">IFERROR(IF(N511="","",N511*INDEX('00 - Lists'!$M$2:$M$11,MATCH(L511,'00 - Lists'!$L$2:$L$11,0))/100000),"")</f>
        <v/>
      </c>
      <c r="Q511" s="31" t="str">
        <f aca="false">IFERROR(IF(M511="","",M511*INDEX('00 - Lists'!$N$2:$N$11,MATCH(L511,'00 - Lists'!$L$2:$L$11,0))),"")</f>
        <v/>
      </c>
      <c r="R511" s="31" t="str">
        <f aca="false">IFERROR(IF(N511="","",N511*INDEX('00 - Lists'!$N$2:$N$11,MATCH(L511,'00 - Lists'!$L$2:$L$11,0))),"")</f>
        <v/>
      </c>
      <c r="S511" s="32" t="str">
        <f aca="false">IF(O511="","",IF(O511&gt;=50,"Yes","No"))</f>
        <v/>
      </c>
      <c r="T511" s="32" t="str">
        <f aca="false">IF(Q511="","",IF(Q511&gt;=100000,"Yes","No"))</f>
        <v/>
      </c>
      <c r="U511" s="28"/>
      <c r="V511" s="28"/>
      <c r="W511" s="28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J511" s="34" t="str">
        <f aca="false">IF(OR($BD511&lt;&gt;"",$BF511&lt;&gt;"",$BH511&lt;&gt;""),"Yes","No")</f>
        <v>No</v>
      </c>
      <c r="BK511" s="35" t="str">
        <f aca="false">IFERROR(IF(BD511="","",BD511*INDEX('00 - Lists'!$M$2:$M$11,MATCH(L511,'00 - Lists'!$L$2:$L$11,0))/100000),"")</f>
        <v/>
      </c>
      <c r="BL511" s="35" t="str">
        <f aca="false">IFERROR(IF(BE511="","",BE511*INDEX('00 - Lists'!$M$2:$M$11,MATCH(L511,'00 - Lists'!$L$2:$L$11,0))/100000),"")</f>
        <v/>
      </c>
      <c r="BM511" s="35" t="str">
        <f aca="false">IFERROR(IF(BF511="","",BF511*INDEX('00 - Lists'!$M$2:$M$11,MATCH(L511,'00 - Lists'!$L$2:$L$11,0))/100000),"")</f>
        <v/>
      </c>
      <c r="BN511" s="35" t="str">
        <f aca="false">IFERROR(IF(BG511="","",BG511*INDEX('00 - Lists'!$M$2:$M$11,MATCH(L511,'00 - Lists'!$L$2:$L$11,0))/100000),"")</f>
        <v/>
      </c>
      <c r="BO511" s="35" t="str">
        <f aca="false">IFERROR(IF(BH511="","",BH511*INDEX('00 - Lists'!$M$2:$M$11,MATCH(L511,'00 - Lists'!$L$2:$L$11,0))/100000),"")</f>
        <v/>
      </c>
      <c r="BP511" s="35" t="str">
        <f aca="false">IFERROR(IF(BI511="","",BI511*INDEX('00 - Lists'!$M$2:$M$11,MATCH(L511,'00 - Lists'!$L$2:$L$11,0))/100000),"")</f>
        <v/>
      </c>
      <c r="BS511" s="36" t="str">
        <f aca="false">IF(O511="","",IF(O511&gt;=20,"Yes","No"))</f>
        <v/>
      </c>
      <c r="BT511" s="36" t="str">
        <f aca="false">IF(O511="","",IF(O511&gt;=30,"Yes","No"))</f>
        <v/>
      </c>
      <c r="BU511" s="36" t="str">
        <f aca="false">IF(O511="","",IF(O511&gt;=75,"Yes","No"))</f>
        <v/>
      </c>
      <c r="BV511" s="36" t="str">
        <f aca="false">IF(O511="","",IF(O511&gt;=100,"Yes","No"))</f>
        <v/>
      </c>
      <c r="BW511" s="36" t="str">
        <f aca="false">IF(O511="","",IF(O511&gt;=150,"Yes","No"))</f>
        <v/>
      </c>
      <c r="BX511" s="36" t="str">
        <f aca="false">IF(O511="","",IF(O511&gt;=200,"Yes","No"))</f>
        <v/>
      </c>
      <c r="BY511" s="36" t="str">
        <f aca="false">IF(Q511="","",IF(Q511&gt;=150000,"Yes","No"))</f>
        <v/>
      </c>
      <c r="BZ511" s="36" t="str">
        <f aca="false">IF(Q511="","",IF(Q511&gt;=200000,"Yes","No"))</f>
        <v/>
      </c>
      <c r="CA511" s="36" t="str">
        <f aca="false">IF(Q511="","",IF(Q511&gt;=250000,"Yes","No"))</f>
        <v/>
      </c>
      <c r="CB511" s="36" t="str">
        <f aca="false">IF(Q511="","",IF(Q511&gt;=300000,"Yes","No"))</f>
        <v/>
      </c>
      <c r="CC511" s="37"/>
      <c r="CD511" s="36" t="str">
        <f aca="true">IF(B511="","",IF(TODAY()-B511&lt;=7,"🟢 0-7d",IF(TODAY()-B511&lt;=30,"🟡 8-30d",IF(TODAY()-B511&lt;=60,"🟠 31-60d","🔴 60d+"))))</f>
        <v/>
      </c>
      <c r="CE511" s="36" t="str">
        <f aca="false">IF(G511="","",IF(G511&lt;&gt;"USA","N/A - Not USA Role",IF(J511="Yes",IF(OR(F511="Intern",F511="New Grad"),"🟡 Possible","🟢 Strong"),IF(J511="No","🔴 Difficult","⚪ Unknown"))))</f>
        <v/>
      </c>
      <c r="CF511" s="37"/>
      <c r="CG511" s="37"/>
      <c r="CH511" s="38"/>
      <c r="CI511" s="38"/>
      <c r="CJ511" s="38"/>
      <c r="CK511" s="38"/>
    </row>
    <row r="512" customFormat="false" ht="15" hidden="false" customHeight="true" outlineLevel="0" collapsed="false">
      <c r="A512" s="26" t="str">
        <f aca="false">IF($C512="","",ROW()-3)</f>
        <v/>
      </c>
      <c r="B512" s="27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9"/>
      <c r="N512" s="29"/>
      <c r="O512" s="30" t="str">
        <f aca="false">IFERROR(IF(M512="","",M512*INDEX('00 - Lists'!$M$2:$M$11,MATCH(L512,'00 - Lists'!$L$2:$L$11,0))/100000),"")</f>
        <v/>
      </c>
      <c r="P512" s="30" t="str">
        <f aca="false">IFERROR(IF(N512="","",N512*INDEX('00 - Lists'!$M$2:$M$11,MATCH(L512,'00 - Lists'!$L$2:$L$11,0))/100000),"")</f>
        <v/>
      </c>
      <c r="Q512" s="31" t="str">
        <f aca="false">IFERROR(IF(M512="","",M512*INDEX('00 - Lists'!$N$2:$N$11,MATCH(L512,'00 - Lists'!$L$2:$L$11,0))),"")</f>
        <v/>
      </c>
      <c r="R512" s="31" t="str">
        <f aca="false">IFERROR(IF(N512="","",N512*INDEX('00 - Lists'!$N$2:$N$11,MATCH(L512,'00 - Lists'!$L$2:$L$11,0))),"")</f>
        <v/>
      </c>
      <c r="S512" s="32" t="str">
        <f aca="false">IF(O512="","",IF(O512&gt;=50,"Yes","No"))</f>
        <v/>
      </c>
      <c r="T512" s="32" t="str">
        <f aca="false">IF(Q512="","",IF(Q512&gt;=100000,"Yes","No"))</f>
        <v/>
      </c>
      <c r="U512" s="28"/>
      <c r="V512" s="28"/>
      <c r="W512" s="28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J512" s="34" t="str">
        <f aca="false">IF(OR($BD512&lt;&gt;"",$BF512&lt;&gt;"",$BH512&lt;&gt;""),"Yes","No")</f>
        <v>No</v>
      </c>
      <c r="BK512" s="35" t="str">
        <f aca="false">IFERROR(IF(BD512="","",BD512*INDEX('00 - Lists'!$M$2:$M$11,MATCH(L512,'00 - Lists'!$L$2:$L$11,0))/100000),"")</f>
        <v/>
      </c>
      <c r="BL512" s="35" t="str">
        <f aca="false">IFERROR(IF(BE512="","",BE512*INDEX('00 - Lists'!$M$2:$M$11,MATCH(L512,'00 - Lists'!$L$2:$L$11,0))/100000),"")</f>
        <v/>
      </c>
      <c r="BM512" s="35" t="str">
        <f aca="false">IFERROR(IF(BF512="","",BF512*INDEX('00 - Lists'!$M$2:$M$11,MATCH(L512,'00 - Lists'!$L$2:$L$11,0))/100000),"")</f>
        <v/>
      </c>
      <c r="BN512" s="35" t="str">
        <f aca="false">IFERROR(IF(BG512="","",BG512*INDEX('00 - Lists'!$M$2:$M$11,MATCH(L512,'00 - Lists'!$L$2:$L$11,0))/100000),"")</f>
        <v/>
      </c>
      <c r="BO512" s="35" t="str">
        <f aca="false">IFERROR(IF(BH512="","",BH512*INDEX('00 - Lists'!$M$2:$M$11,MATCH(L512,'00 - Lists'!$L$2:$L$11,0))/100000),"")</f>
        <v/>
      </c>
      <c r="BP512" s="35" t="str">
        <f aca="false">IFERROR(IF(BI512="","",BI512*INDEX('00 - Lists'!$M$2:$M$11,MATCH(L512,'00 - Lists'!$L$2:$L$11,0))/100000),"")</f>
        <v/>
      </c>
      <c r="BS512" s="36" t="str">
        <f aca="false">IF(O512="","",IF(O512&gt;=20,"Yes","No"))</f>
        <v/>
      </c>
      <c r="BT512" s="36" t="str">
        <f aca="false">IF(O512="","",IF(O512&gt;=30,"Yes","No"))</f>
        <v/>
      </c>
      <c r="BU512" s="36" t="str">
        <f aca="false">IF(O512="","",IF(O512&gt;=75,"Yes","No"))</f>
        <v/>
      </c>
      <c r="BV512" s="36" t="str">
        <f aca="false">IF(O512="","",IF(O512&gt;=100,"Yes","No"))</f>
        <v/>
      </c>
      <c r="BW512" s="36" t="str">
        <f aca="false">IF(O512="","",IF(O512&gt;=150,"Yes","No"))</f>
        <v/>
      </c>
      <c r="BX512" s="36" t="str">
        <f aca="false">IF(O512="","",IF(O512&gt;=200,"Yes","No"))</f>
        <v/>
      </c>
      <c r="BY512" s="36" t="str">
        <f aca="false">IF(Q512="","",IF(Q512&gt;=150000,"Yes","No"))</f>
        <v/>
      </c>
      <c r="BZ512" s="36" t="str">
        <f aca="false">IF(Q512="","",IF(Q512&gt;=200000,"Yes","No"))</f>
        <v/>
      </c>
      <c r="CA512" s="36" t="str">
        <f aca="false">IF(Q512="","",IF(Q512&gt;=250000,"Yes","No"))</f>
        <v/>
      </c>
      <c r="CB512" s="36" t="str">
        <f aca="false">IF(Q512="","",IF(Q512&gt;=300000,"Yes","No"))</f>
        <v/>
      </c>
      <c r="CC512" s="37"/>
      <c r="CD512" s="36" t="str">
        <f aca="true">IF(B512="","",IF(TODAY()-B512&lt;=7,"🟢 0-7d",IF(TODAY()-B512&lt;=30,"🟡 8-30d",IF(TODAY()-B512&lt;=60,"🟠 31-60d","🔴 60d+"))))</f>
        <v/>
      </c>
      <c r="CE512" s="36" t="str">
        <f aca="false">IF(G512="","",IF(G512&lt;&gt;"USA","N/A - Not USA Role",IF(J512="Yes",IF(OR(F512="Intern",F512="New Grad"),"🟡 Possible","🟢 Strong"),IF(J512="No","🔴 Difficult","⚪ Unknown"))))</f>
        <v/>
      </c>
      <c r="CF512" s="37"/>
      <c r="CG512" s="37"/>
      <c r="CH512" s="38"/>
      <c r="CI512" s="38"/>
      <c r="CJ512" s="38"/>
      <c r="CK512" s="38"/>
    </row>
    <row r="513" customFormat="false" ht="15" hidden="false" customHeight="true" outlineLevel="0" collapsed="false">
      <c r="A513" s="26" t="str">
        <f aca="false">IF($C513="","",ROW()-3)</f>
        <v/>
      </c>
      <c r="B513" s="27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9"/>
      <c r="N513" s="29"/>
      <c r="O513" s="30" t="str">
        <f aca="false">IFERROR(IF(M513="","",M513*INDEX('00 - Lists'!$M$2:$M$11,MATCH(L513,'00 - Lists'!$L$2:$L$11,0))/100000),"")</f>
        <v/>
      </c>
      <c r="P513" s="30" t="str">
        <f aca="false">IFERROR(IF(N513="","",N513*INDEX('00 - Lists'!$M$2:$M$11,MATCH(L513,'00 - Lists'!$L$2:$L$11,0))/100000),"")</f>
        <v/>
      </c>
      <c r="Q513" s="31" t="str">
        <f aca="false">IFERROR(IF(M513="","",M513*INDEX('00 - Lists'!$N$2:$N$11,MATCH(L513,'00 - Lists'!$L$2:$L$11,0))),"")</f>
        <v/>
      </c>
      <c r="R513" s="31" t="str">
        <f aca="false">IFERROR(IF(N513="","",N513*INDEX('00 - Lists'!$N$2:$N$11,MATCH(L513,'00 - Lists'!$L$2:$L$11,0))),"")</f>
        <v/>
      </c>
      <c r="S513" s="32" t="str">
        <f aca="false">IF(O513="","",IF(O513&gt;=50,"Yes","No"))</f>
        <v/>
      </c>
      <c r="T513" s="32" t="str">
        <f aca="false">IF(Q513="","",IF(Q513&gt;=100000,"Yes","No"))</f>
        <v/>
      </c>
      <c r="U513" s="28"/>
      <c r="V513" s="28"/>
      <c r="W513" s="28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J513" s="34" t="str">
        <f aca="false">IF(OR($BD513&lt;&gt;"",$BF513&lt;&gt;"",$BH513&lt;&gt;""),"Yes","No")</f>
        <v>No</v>
      </c>
      <c r="BK513" s="35" t="str">
        <f aca="false">IFERROR(IF(BD513="","",BD513*INDEX('00 - Lists'!$M$2:$M$11,MATCH(L513,'00 - Lists'!$L$2:$L$11,0))/100000),"")</f>
        <v/>
      </c>
      <c r="BL513" s="35" t="str">
        <f aca="false">IFERROR(IF(BE513="","",BE513*INDEX('00 - Lists'!$M$2:$M$11,MATCH(L513,'00 - Lists'!$L$2:$L$11,0))/100000),"")</f>
        <v/>
      </c>
      <c r="BM513" s="35" t="str">
        <f aca="false">IFERROR(IF(BF513="","",BF513*INDEX('00 - Lists'!$M$2:$M$11,MATCH(L513,'00 - Lists'!$L$2:$L$11,0))/100000),"")</f>
        <v/>
      </c>
      <c r="BN513" s="35" t="str">
        <f aca="false">IFERROR(IF(BG513="","",BG513*INDEX('00 - Lists'!$M$2:$M$11,MATCH(L513,'00 - Lists'!$L$2:$L$11,0))/100000),"")</f>
        <v/>
      </c>
      <c r="BO513" s="35" t="str">
        <f aca="false">IFERROR(IF(BH513="","",BH513*INDEX('00 - Lists'!$M$2:$M$11,MATCH(L513,'00 - Lists'!$L$2:$L$11,0))/100000),"")</f>
        <v/>
      </c>
      <c r="BP513" s="35" t="str">
        <f aca="false">IFERROR(IF(BI513="","",BI513*INDEX('00 - Lists'!$M$2:$M$11,MATCH(L513,'00 - Lists'!$L$2:$L$11,0))/100000),"")</f>
        <v/>
      </c>
      <c r="BS513" s="36" t="str">
        <f aca="false">IF(O513="","",IF(O513&gt;=20,"Yes","No"))</f>
        <v/>
      </c>
      <c r="BT513" s="36" t="str">
        <f aca="false">IF(O513="","",IF(O513&gt;=30,"Yes","No"))</f>
        <v/>
      </c>
      <c r="BU513" s="36" t="str">
        <f aca="false">IF(O513="","",IF(O513&gt;=75,"Yes","No"))</f>
        <v/>
      </c>
      <c r="BV513" s="36" t="str">
        <f aca="false">IF(O513="","",IF(O513&gt;=100,"Yes","No"))</f>
        <v/>
      </c>
      <c r="BW513" s="36" t="str">
        <f aca="false">IF(O513="","",IF(O513&gt;=150,"Yes","No"))</f>
        <v/>
      </c>
      <c r="BX513" s="36" t="str">
        <f aca="false">IF(O513="","",IF(O513&gt;=200,"Yes","No"))</f>
        <v/>
      </c>
      <c r="BY513" s="36" t="str">
        <f aca="false">IF(Q513="","",IF(Q513&gt;=150000,"Yes","No"))</f>
        <v/>
      </c>
      <c r="BZ513" s="36" t="str">
        <f aca="false">IF(Q513="","",IF(Q513&gt;=200000,"Yes","No"))</f>
        <v/>
      </c>
      <c r="CA513" s="36" t="str">
        <f aca="false">IF(Q513="","",IF(Q513&gt;=250000,"Yes","No"))</f>
        <v/>
      </c>
      <c r="CB513" s="36" t="str">
        <f aca="false">IF(Q513="","",IF(Q513&gt;=300000,"Yes","No"))</f>
        <v/>
      </c>
      <c r="CC513" s="37"/>
      <c r="CD513" s="36" t="str">
        <f aca="true">IF(B513="","",IF(TODAY()-B513&lt;=7,"🟢 0-7d",IF(TODAY()-B513&lt;=30,"🟡 8-30d",IF(TODAY()-B513&lt;=60,"🟠 31-60d","🔴 60d+"))))</f>
        <v/>
      </c>
      <c r="CE513" s="36" t="str">
        <f aca="false">IF(G513="","",IF(G513&lt;&gt;"USA","N/A - Not USA Role",IF(J513="Yes",IF(OR(F513="Intern",F513="New Grad"),"🟡 Possible","🟢 Strong"),IF(J513="No","🔴 Difficult","⚪ Unknown"))))</f>
        <v/>
      </c>
      <c r="CF513" s="37"/>
      <c r="CG513" s="37"/>
      <c r="CH513" s="38"/>
      <c r="CI513" s="38"/>
      <c r="CJ513" s="38"/>
      <c r="CK513" s="38"/>
    </row>
    <row r="514" customFormat="false" ht="15" hidden="false" customHeight="true" outlineLevel="0" collapsed="false">
      <c r="A514" s="26" t="str">
        <f aca="false">IF($C514="","",ROW()-3)</f>
        <v/>
      </c>
      <c r="B514" s="27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9"/>
      <c r="N514" s="29"/>
      <c r="O514" s="30" t="str">
        <f aca="false">IFERROR(IF(M514="","",M514*INDEX('00 - Lists'!$M$2:$M$11,MATCH(L514,'00 - Lists'!$L$2:$L$11,0))/100000),"")</f>
        <v/>
      </c>
      <c r="P514" s="30" t="str">
        <f aca="false">IFERROR(IF(N514="","",N514*INDEX('00 - Lists'!$M$2:$M$11,MATCH(L514,'00 - Lists'!$L$2:$L$11,0))/100000),"")</f>
        <v/>
      </c>
      <c r="Q514" s="31" t="str">
        <f aca="false">IFERROR(IF(M514="","",M514*INDEX('00 - Lists'!$N$2:$N$11,MATCH(L514,'00 - Lists'!$L$2:$L$11,0))),"")</f>
        <v/>
      </c>
      <c r="R514" s="31" t="str">
        <f aca="false">IFERROR(IF(N514="","",N514*INDEX('00 - Lists'!$N$2:$N$11,MATCH(L514,'00 - Lists'!$L$2:$L$11,0))),"")</f>
        <v/>
      </c>
      <c r="S514" s="32" t="str">
        <f aca="false">IF(O514="","",IF(O514&gt;=50,"Yes","No"))</f>
        <v/>
      </c>
      <c r="T514" s="32" t="str">
        <f aca="false">IF(Q514="","",IF(Q514&gt;=100000,"Yes","No"))</f>
        <v/>
      </c>
      <c r="U514" s="28"/>
      <c r="V514" s="28"/>
      <c r="W514" s="28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J514" s="34" t="str">
        <f aca="false">IF(OR($BD514&lt;&gt;"",$BF514&lt;&gt;"",$BH514&lt;&gt;""),"Yes","No")</f>
        <v>No</v>
      </c>
      <c r="BK514" s="35" t="str">
        <f aca="false">IFERROR(IF(BD514="","",BD514*INDEX('00 - Lists'!$M$2:$M$11,MATCH(L514,'00 - Lists'!$L$2:$L$11,0))/100000),"")</f>
        <v/>
      </c>
      <c r="BL514" s="35" t="str">
        <f aca="false">IFERROR(IF(BE514="","",BE514*INDEX('00 - Lists'!$M$2:$M$11,MATCH(L514,'00 - Lists'!$L$2:$L$11,0))/100000),"")</f>
        <v/>
      </c>
      <c r="BM514" s="35" t="str">
        <f aca="false">IFERROR(IF(BF514="","",BF514*INDEX('00 - Lists'!$M$2:$M$11,MATCH(L514,'00 - Lists'!$L$2:$L$11,0))/100000),"")</f>
        <v/>
      </c>
      <c r="BN514" s="35" t="str">
        <f aca="false">IFERROR(IF(BG514="","",BG514*INDEX('00 - Lists'!$M$2:$M$11,MATCH(L514,'00 - Lists'!$L$2:$L$11,0))/100000),"")</f>
        <v/>
      </c>
      <c r="BO514" s="35" t="str">
        <f aca="false">IFERROR(IF(BH514="","",BH514*INDEX('00 - Lists'!$M$2:$M$11,MATCH(L514,'00 - Lists'!$L$2:$L$11,0))/100000),"")</f>
        <v/>
      </c>
      <c r="BP514" s="35" t="str">
        <f aca="false">IFERROR(IF(BI514="","",BI514*INDEX('00 - Lists'!$M$2:$M$11,MATCH(L514,'00 - Lists'!$L$2:$L$11,0))/100000),"")</f>
        <v/>
      </c>
      <c r="BS514" s="36" t="str">
        <f aca="false">IF(O514="","",IF(O514&gt;=20,"Yes","No"))</f>
        <v/>
      </c>
      <c r="BT514" s="36" t="str">
        <f aca="false">IF(O514="","",IF(O514&gt;=30,"Yes","No"))</f>
        <v/>
      </c>
      <c r="BU514" s="36" t="str">
        <f aca="false">IF(O514="","",IF(O514&gt;=75,"Yes","No"))</f>
        <v/>
      </c>
      <c r="BV514" s="36" t="str">
        <f aca="false">IF(O514="","",IF(O514&gt;=100,"Yes","No"))</f>
        <v/>
      </c>
      <c r="BW514" s="36" t="str">
        <f aca="false">IF(O514="","",IF(O514&gt;=150,"Yes","No"))</f>
        <v/>
      </c>
      <c r="BX514" s="36" t="str">
        <f aca="false">IF(O514="","",IF(O514&gt;=200,"Yes","No"))</f>
        <v/>
      </c>
      <c r="BY514" s="36" t="str">
        <f aca="false">IF(Q514="","",IF(Q514&gt;=150000,"Yes","No"))</f>
        <v/>
      </c>
      <c r="BZ514" s="36" t="str">
        <f aca="false">IF(Q514="","",IF(Q514&gt;=200000,"Yes","No"))</f>
        <v/>
      </c>
      <c r="CA514" s="36" t="str">
        <f aca="false">IF(Q514="","",IF(Q514&gt;=250000,"Yes","No"))</f>
        <v/>
      </c>
      <c r="CB514" s="36" t="str">
        <f aca="false">IF(Q514="","",IF(Q514&gt;=300000,"Yes","No"))</f>
        <v/>
      </c>
      <c r="CC514" s="37"/>
      <c r="CD514" s="36" t="str">
        <f aca="true">IF(B514="","",IF(TODAY()-B514&lt;=7,"🟢 0-7d",IF(TODAY()-B514&lt;=30,"🟡 8-30d",IF(TODAY()-B514&lt;=60,"🟠 31-60d","🔴 60d+"))))</f>
        <v/>
      </c>
      <c r="CE514" s="36" t="str">
        <f aca="false">IF(G514="","",IF(G514&lt;&gt;"USA","N/A - Not USA Role",IF(J514="Yes",IF(OR(F514="Intern",F514="New Grad"),"🟡 Possible","🟢 Strong"),IF(J514="No","🔴 Difficult","⚪ Unknown"))))</f>
        <v/>
      </c>
      <c r="CF514" s="37"/>
      <c r="CG514" s="37"/>
      <c r="CH514" s="38"/>
      <c r="CI514" s="38"/>
      <c r="CJ514" s="38"/>
      <c r="CK514" s="38"/>
    </row>
    <row r="515" customFormat="false" ht="15" hidden="false" customHeight="true" outlineLevel="0" collapsed="false">
      <c r="A515" s="26" t="str">
        <f aca="false">IF($C515="","",ROW()-3)</f>
        <v/>
      </c>
      <c r="B515" s="27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9"/>
      <c r="N515" s="29"/>
      <c r="O515" s="30" t="str">
        <f aca="false">IFERROR(IF(M515="","",M515*INDEX('00 - Lists'!$M$2:$M$11,MATCH(L515,'00 - Lists'!$L$2:$L$11,0))/100000),"")</f>
        <v/>
      </c>
      <c r="P515" s="30" t="str">
        <f aca="false">IFERROR(IF(N515="","",N515*INDEX('00 - Lists'!$M$2:$M$11,MATCH(L515,'00 - Lists'!$L$2:$L$11,0))/100000),"")</f>
        <v/>
      </c>
      <c r="Q515" s="31" t="str">
        <f aca="false">IFERROR(IF(M515="","",M515*INDEX('00 - Lists'!$N$2:$N$11,MATCH(L515,'00 - Lists'!$L$2:$L$11,0))),"")</f>
        <v/>
      </c>
      <c r="R515" s="31" t="str">
        <f aca="false">IFERROR(IF(N515="","",N515*INDEX('00 - Lists'!$N$2:$N$11,MATCH(L515,'00 - Lists'!$L$2:$L$11,0))),"")</f>
        <v/>
      </c>
      <c r="S515" s="32" t="str">
        <f aca="false">IF(O515="","",IF(O515&gt;=50,"Yes","No"))</f>
        <v/>
      </c>
      <c r="T515" s="32" t="str">
        <f aca="false">IF(Q515="","",IF(Q515&gt;=100000,"Yes","No"))</f>
        <v/>
      </c>
      <c r="U515" s="28"/>
      <c r="V515" s="28"/>
      <c r="W515" s="28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J515" s="34" t="str">
        <f aca="false">IF(OR($BD515&lt;&gt;"",$BF515&lt;&gt;"",$BH515&lt;&gt;""),"Yes","No")</f>
        <v>No</v>
      </c>
      <c r="BK515" s="35" t="str">
        <f aca="false">IFERROR(IF(BD515="","",BD515*INDEX('00 - Lists'!$M$2:$M$11,MATCH(L515,'00 - Lists'!$L$2:$L$11,0))/100000),"")</f>
        <v/>
      </c>
      <c r="BL515" s="35" t="str">
        <f aca="false">IFERROR(IF(BE515="","",BE515*INDEX('00 - Lists'!$M$2:$M$11,MATCH(L515,'00 - Lists'!$L$2:$L$11,0))/100000),"")</f>
        <v/>
      </c>
      <c r="BM515" s="35" t="str">
        <f aca="false">IFERROR(IF(BF515="","",BF515*INDEX('00 - Lists'!$M$2:$M$11,MATCH(L515,'00 - Lists'!$L$2:$L$11,0))/100000),"")</f>
        <v/>
      </c>
      <c r="BN515" s="35" t="str">
        <f aca="false">IFERROR(IF(BG515="","",BG515*INDEX('00 - Lists'!$M$2:$M$11,MATCH(L515,'00 - Lists'!$L$2:$L$11,0))/100000),"")</f>
        <v/>
      </c>
      <c r="BO515" s="35" t="str">
        <f aca="false">IFERROR(IF(BH515="","",BH515*INDEX('00 - Lists'!$M$2:$M$11,MATCH(L515,'00 - Lists'!$L$2:$L$11,0))/100000),"")</f>
        <v/>
      </c>
      <c r="BP515" s="35" t="str">
        <f aca="false">IFERROR(IF(BI515="","",BI515*INDEX('00 - Lists'!$M$2:$M$11,MATCH(L515,'00 - Lists'!$L$2:$L$11,0))/100000),"")</f>
        <v/>
      </c>
      <c r="BS515" s="36" t="str">
        <f aca="false">IF(O515="","",IF(O515&gt;=20,"Yes","No"))</f>
        <v/>
      </c>
      <c r="BT515" s="36" t="str">
        <f aca="false">IF(O515="","",IF(O515&gt;=30,"Yes","No"))</f>
        <v/>
      </c>
      <c r="BU515" s="36" t="str">
        <f aca="false">IF(O515="","",IF(O515&gt;=75,"Yes","No"))</f>
        <v/>
      </c>
      <c r="BV515" s="36" t="str">
        <f aca="false">IF(O515="","",IF(O515&gt;=100,"Yes","No"))</f>
        <v/>
      </c>
      <c r="BW515" s="36" t="str">
        <f aca="false">IF(O515="","",IF(O515&gt;=150,"Yes","No"))</f>
        <v/>
      </c>
      <c r="BX515" s="36" t="str">
        <f aca="false">IF(O515="","",IF(O515&gt;=200,"Yes","No"))</f>
        <v/>
      </c>
      <c r="BY515" s="36" t="str">
        <f aca="false">IF(Q515="","",IF(Q515&gt;=150000,"Yes","No"))</f>
        <v/>
      </c>
      <c r="BZ515" s="36" t="str">
        <f aca="false">IF(Q515="","",IF(Q515&gt;=200000,"Yes","No"))</f>
        <v/>
      </c>
      <c r="CA515" s="36" t="str">
        <f aca="false">IF(Q515="","",IF(Q515&gt;=250000,"Yes","No"))</f>
        <v/>
      </c>
      <c r="CB515" s="36" t="str">
        <f aca="false">IF(Q515="","",IF(Q515&gt;=300000,"Yes","No"))</f>
        <v/>
      </c>
      <c r="CC515" s="37"/>
      <c r="CD515" s="36" t="str">
        <f aca="true">IF(B515="","",IF(TODAY()-B515&lt;=7,"🟢 0-7d",IF(TODAY()-B515&lt;=30,"🟡 8-30d",IF(TODAY()-B515&lt;=60,"🟠 31-60d","🔴 60d+"))))</f>
        <v/>
      </c>
      <c r="CE515" s="36" t="str">
        <f aca="false">IF(G515="","",IF(G515&lt;&gt;"USA","N/A - Not USA Role",IF(J515="Yes",IF(OR(F515="Intern",F515="New Grad"),"🟡 Possible","🟢 Strong"),IF(J515="No","🔴 Difficult","⚪ Unknown"))))</f>
        <v/>
      </c>
      <c r="CF515" s="37"/>
      <c r="CG515" s="37"/>
      <c r="CH515" s="38"/>
      <c r="CI515" s="38"/>
      <c r="CJ515" s="38"/>
      <c r="CK515" s="38"/>
    </row>
    <row r="516" customFormat="false" ht="15" hidden="false" customHeight="true" outlineLevel="0" collapsed="false">
      <c r="A516" s="26" t="str">
        <f aca="false">IF($C516="","",ROW()-3)</f>
        <v/>
      </c>
      <c r="B516" s="27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9"/>
      <c r="N516" s="29"/>
      <c r="O516" s="30" t="str">
        <f aca="false">IFERROR(IF(M516="","",M516*INDEX('00 - Lists'!$M$2:$M$11,MATCH(L516,'00 - Lists'!$L$2:$L$11,0))/100000),"")</f>
        <v/>
      </c>
      <c r="P516" s="30" t="str">
        <f aca="false">IFERROR(IF(N516="","",N516*INDEX('00 - Lists'!$M$2:$M$11,MATCH(L516,'00 - Lists'!$L$2:$L$11,0))/100000),"")</f>
        <v/>
      </c>
      <c r="Q516" s="31" t="str">
        <f aca="false">IFERROR(IF(M516="","",M516*INDEX('00 - Lists'!$N$2:$N$11,MATCH(L516,'00 - Lists'!$L$2:$L$11,0))),"")</f>
        <v/>
      </c>
      <c r="R516" s="31" t="str">
        <f aca="false">IFERROR(IF(N516="","",N516*INDEX('00 - Lists'!$N$2:$N$11,MATCH(L516,'00 - Lists'!$L$2:$L$11,0))),"")</f>
        <v/>
      </c>
      <c r="S516" s="32" t="str">
        <f aca="false">IF(O516="","",IF(O516&gt;=50,"Yes","No"))</f>
        <v/>
      </c>
      <c r="T516" s="32" t="str">
        <f aca="false">IF(Q516="","",IF(Q516&gt;=100000,"Yes","No"))</f>
        <v/>
      </c>
      <c r="U516" s="28"/>
      <c r="V516" s="28"/>
      <c r="W516" s="28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J516" s="34" t="str">
        <f aca="false">IF(OR($BD516&lt;&gt;"",$BF516&lt;&gt;"",$BH516&lt;&gt;""),"Yes","No")</f>
        <v>No</v>
      </c>
      <c r="BK516" s="35" t="str">
        <f aca="false">IFERROR(IF(BD516="","",BD516*INDEX('00 - Lists'!$M$2:$M$11,MATCH(L516,'00 - Lists'!$L$2:$L$11,0))/100000),"")</f>
        <v/>
      </c>
      <c r="BL516" s="35" t="str">
        <f aca="false">IFERROR(IF(BE516="","",BE516*INDEX('00 - Lists'!$M$2:$M$11,MATCH(L516,'00 - Lists'!$L$2:$L$11,0))/100000),"")</f>
        <v/>
      </c>
      <c r="BM516" s="35" t="str">
        <f aca="false">IFERROR(IF(BF516="","",BF516*INDEX('00 - Lists'!$M$2:$M$11,MATCH(L516,'00 - Lists'!$L$2:$L$11,0))/100000),"")</f>
        <v/>
      </c>
      <c r="BN516" s="35" t="str">
        <f aca="false">IFERROR(IF(BG516="","",BG516*INDEX('00 - Lists'!$M$2:$M$11,MATCH(L516,'00 - Lists'!$L$2:$L$11,0))/100000),"")</f>
        <v/>
      </c>
      <c r="BO516" s="35" t="str">
        <f aca="false">IFERROR(IF(BH516="","",BH516*INDEX('00 - Lists'!$M$2:$M$11,MATCH(L516,'00 - Lists'!$L$2:$L$11,0))/100000),"")</f>
        <v/>
      </c>
      <c r="BP516" s="35" t="str">
        <f aca="false">IFERROR(IF(BI516="","",BI516*INDEX('00 - Lists'!$M$2:$M$11,MATCH(L516,'00 - Lists'!$L$2:$L$11,0))/100000),"")</f>
        <v/>
      </c>
      <c r="BS516" s="36" t="str">
        <f aca="false">IF(O516="","",IF(O516&gt;=20,"Yes","No"))</f>
        <v/>
      </c>
      <c r="BT516" s="36" t="str">
        <f aca="false">IF(O516="","",IF(O516&gt;=30,"Yes","No"))</f>
        <v/>
      </c>
      <c r="BU516" s="36" t="str">
        <f aca="false">IF(O516="","",IF(O516&gt;=75,"Yes","No"))</f>
        <v/>
      </c>
      <c r="BV516" s="36" t="str">
        <f aca="false">IF(O516="","",IF(O516&gt;=100,"Yes","No"))</f>
        <v/>
      </c>
      <c r="BW516" s="36" t="str">
        <f aca="false">IF(O516="","",IF(O516&gt;=150,"Yes","No"))</f>
        <v/>
      </c>
      <c r="BX516" s="36" t="str">
        <f aca="false">IF(O516="","",IF(O516&gt;=200,"Yes","No"))</f>
        <v/>
      </c>
      <c r="BY516" s="36" t="str">
        <f aca="false">IF(Q516="","",IF(Q516&gt;=150000,"Yes","No"))</f>
        <v/>
      </c>
      <c r="BZ516" s="36" t="str">
        <f aca="false">IF(Q516="","",IF(Q516&gt;=200000,"Yes","No"))</f>
        <v/>
      </c>
      <c r="CA516" s="36" t="str">
        <f aca="false">IF(Q516="","",IF(Q516&gt;=250000,"Yes","No"))</f>
        <v/>
      </c>
      <c r="CB516" s="36" t="str">
        <f aca="false">IF(Q516="","",IF(Q516&gt;=300000,"Yes","No"))</f>
        <v/>
      </c>
      <c r="CC516" s="37"/>
      <c r="CD516" s="36" t="str">
        <f aca="true">IF(B516="","",IF(TODAY()-B516&lt;=7,"🟢 0-7d",IF(TODAY()-B516&lt;=30,"🟡 8-30d",IF(TODAY()-B516&lt;=60,"🟠 31-60d","🔴 60d+"))))</f>
        <v/>
      </c>
      <c r="CE516" s="36" t="str">
        <f aca="false">IF(G516="","",IF(G516&lt;&gt;"USA","N/A - Not USA Role",IF(J516="Yes",IF(OR(F516="Intern",F516="New Grad"),"🟡 Possible","🟢 Strong"),IF(J516="No","🔴 Difficult","⚪ Unknown"))))</f>
        <v/>
      </c>
      <c r="CF516" s="37"/>
      <c r="CG516" s="37"/>
      <c r="CH516" s="38"/>
      <c r="CI516" s="38"/>
      <c r="CJ516" s="38"/>
      <c r="CK516" s="38"/>
    </row>
    <row r="517" customFormat="false" ht="15" hidden="false" customHeight="true" outlineLevel="0" collapsed="false">
      <c r="A517" s="26" t="str">
        <f aca="false">IF($C517="","",ROW()-3)</f>
        <v/>
      </c>
      <c r="B517" s="27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9"/>
      <c r="N517" s="29"/>
      <c r="O517" s="30" t="str">
        <f aca="false">IFERROR(IF(M517="","",M517*INDEX('00 - Lists'!$M$2:$M$11,MATCH(L517,'00 - Lists'!$L$2:$L$11,0))/100000),"")</f>
        <v/>
      </c>
      <c r="P517" s="30" t="str">
        <f aca="false">IFERROR(IF(N517="","",N517*INDEX('00 - Lists'!$M$2:$M$11,MATCH(L517,'00 - Lists'!$L$2:$L$11,0))/100000),"")</f>
        <v/>
      </c>
      <c r="Q517" s="31" t="str">
        <f aca="false">IFERROR(IF(M517="","",M517*INDEX('00 - Lists'!$N$2:$N$11,MATCH(L517,'00 - Lists'!$L$2:$L$11,0))),"")</f>
        <v/>
      </c>
      <c r="R517" s="31" t="str">
        <f aca="false">IFERROR(IF(N517="","",N517*INDEX('00 - Lists'!$N$2:$N$11,MATCH(L517,'00 - Lists'!$L$2:$L$11,0))),"")</f>
        <v/>
      </c>
      <c r="S517" s="32" t="str">
        <f aca="false">IF(O517="","",IF(O517&gt;=50,"Yes","No"))</f>
        <v/>
      </c>
      <c r="T517" s="32" t="str">
        <f aca="false">IF(Q517="","",IF(Q517&gt;=100000,"Yes","No"))</f>
        <v/>
      </c>
      <c r="U517" s="28"/>
      <c r="V517" s="28"/>
      <c r="W517" s="28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J517" s="34" t="str">
        <f aca="false">IF(OR($BD517&lt;&gt;"",$BF517&lt;&gt;"",$BH517&lt;&gt;""),"Yes","No")</f>
        <v>No</v>
      </c>
      <c r="BK517" s="35" t="str">
        <f aca="false">IFERROR(IF(BD517="","",BD517*INDEX('00 - Lists'!$M$2:$M$11,MATCH(L517,'00 - Lists'!$L$2:$L$11,0))/100000),"")</f>
        <v/>
      </c>
      <c r="BL517" s="35" t="str">
        <f aca="false">IFERROR(IF(BE517="","",BE517*INDEX('00 - Lists'!$M$2:$M$11,MATCH(L517,'00 - Lists'!$L$2:$L$11,0))/100000),"")</f>
        <v/>
      </c>
      <c r="BM517" s="35" t="str">
        <f aca="false">IFERROR(IF(BF517="","",BF517*INDEX('00 - Lists'!$M$2:$M$11,MATCH(L517,'00 - Lists'!$L$2:$L$11,0))/100000),"")</f>
        <v/>
      </c>
      <c r="BN517" s="35" t="str">
        <f aca="false">IFERROR(IF(BG517="","",BG517*INDEX('00 - Lists'!$M$2:$M$11,MATCH(L517,'00 - Lists'!$L$2:$L$11,0))/100000),"")</f>
        <v/>
      </c>
      <c r="BO517" s="35" t="str">
        <f aca="false">IFERROR(IF(BH517="","",BH517*INDEX('00 - Lists'!$M$2:$M$11,MATCH(L517,'00 - Lists'!$L$2:$L$11,0))/100000),"")</f>
        <v/>
      </c>
      <c r="BP517" s="35" t="str">
        <f aca="false">IFERROR(IF(BI517="","",BI517*INDEX('00 - Lists'!$M$2:$M$11,MATCH(L517,'00 - Lists'!$L$2:$L$11,0))/100000),"")</f>
        <v/>
      </c>
      <c r="BS517" s="36" t="str">
        <f aca="false">IF(O517="","",IF(O517&gt;=20,"Yes","No"))</f>
        <v/>
      </c>
      <c r="BT517" s="36" t="str">
        <f aca="false">IF(O517="","",IF(O517&gt;=30,"Yes","No"))</f>
        <v/>
      </c>
      <c r="BU517" s="36" t="str">
        <f aca="false">IF(O517="","",IF(O517&gt;=75,"Yes","No"))</f>
        <v/>
      </c>
      <c r="BV517" s="36" t="str">
        <f aca="false">IF(O517="","",IF(O517&gt;=100,"Yes","No"))</f>
        <v/>
      </c>
      <c r="BW517" s="36" t="str">
        <f aca="false">IF(O517="","",IF(O517&gt;=150,"Yes","No"))</f>
        <v/>
      </c>
      <c r="BX517" s="36" t="str">
        <f aca="false">IF(O517="","",IF(O517&gt;=200,"Yes","No"))</f>
        <v/>
      </c>
      <c r="BY517" s="36" t="str">
        <f aca="false">IF(Q517="","",IF(Q517&gt;=150000,"Yes","No"))</f>
        <v/>
      </c>
      <c r="BZ517" s="36" t="str">
        <f aca="false">IF(Q517="","",IF(Q517&gt;=200000,"Yes","No"))</f>
        <v/>
      </c>
      <c r="CA517" s="36" t="str">
        <f aca="false">IF(Q517="","",IF(Q517&gt;=250000,"Yes","No"))</f>
        <v/>
      </c>
      <c r="CB517" s="36" t="str">
        <f aca="false">IF(Q517="","",IF(Q517&gt;=300000,"Yes","No"))</f>
        <v/>
      </c>
      <c r="CC517" s="37"/>
      <c r="CD517" s="36" t="str">
        <f aca="true">IF(B517="","",IF(TODAY()-B517&lt;=7,"🟢 0-7d",IF(TODAY()-B517&lt;=30,"🟡 8-30d",IF(TODAY()-B517&lt;=60,"🟠 31-60d","🔴 60d+"))))</f>
        <v/>
      </c>
      <c r="CE517" s="36" t="str">
        <f aca="false">IF(G517="","",IF(G517&lt;&gt;"USA","N/A - Not USA Role",IF(J517="Yes",IF(OR(F517="Intern",F517="New Grad"),"🟡 Possible","🟢 Strong"),IF(J517="No","🔴 Difficult","⚪ Unknown"))))</f>
        <v/>
      </c>
      <c r="CF517" s="37"/>
      <c r="CG517" s="37"/>
      <c r="CH517" s="38"/>
      <c r="CI517" s="38"/>
      <c r="CJ517" s="38"/>
      <c r="CK517" s="38"/>
    </row>
    <row r="518" customFormat="false" ht="15" hidden="false" customHeight="true" outlineLevel="0" collapsed="false">
      <c r="A518" s="26" t="str">
        <f aca="false">IF($C518="","",ROW()-3)</f>
        <v/>
      </c>
      <c r="B518" s="27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9"/>
      <c r="N518" s="29"/>
      <c r="O518" s="30" t="str">
        <f aca="false">IFERROR(IF(M518="","",M518*INDEX('00 - Lists'!$M$2:$M$11,MATCH(L518,'00 - Lists'!$L$2:$L$11,0))/100000),"")</f>
        <v/>
      </c>
      <c r="P518" s="30" t="str">
        <f aca="false">IFERROR(IF(N518="","",N518*INDEX('00 - Lists'!$M$2:$M$11,MATCH(L518,'00 - Lists'!$L$2:$L$11,0))/100000),"")</f>
        <v/>
      </c>
      <c r="Q518" s="31" t="str">
        <f aca="false">IFERROR(IF(M518="","",M518*INDEX('00 - Lists'!$N$2:$N$11,MATCH(L518,'00 - Lists'!$L$2:$L$11,0))),"")</f>
        <v/>
      </c>
      <c r="R518" s="31" t="str">
        <f aca="false">IFERROR(IF(N518="","",N518*INDEX('00 - Lists'!$N$2:$N$11,MATCH(L518,'00 - Lists'!$L$2:$L$11,0))),"")</f>
        <v/>
      </c>
      <c r="S518" s="32" t="str">
        <f aca="false">IF(O518="","",IF(O518&gt;=50,"Yes","No"))</f>
        <v/>
      </c>
      <c r="T518" s="32" t="str">
        <f aca="false">IF(Q518="","",IF(Q518&gt;=100000,"Yes","No"))</f>
        <v/>
      </c>
      <c r="U518" s="28"/>
      <c r="V518" s="28"/>
      <c r="W518" s="28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J518" s="34" t="str">
        <f aca="false">IF(OR($BD518&lt;&gt;"",$BF518&lt;&gt;"",$BH518&lt;&gt;""),"Yes","No")</f>
        <v>No</v>
      </c>
      <c r="BK518" s="35" t="str">
        <f aca="false">IFERROR(IF(BD518="","",BD518*INDEX('00 - Lists'!$M$2:$M$11,MATCH(L518,'00 - Lists'!$L$2:$L$11,0))/100000),"")</f>
        <v/>
      </c>
      <c r="BL518" s="35" t="str">
        <f aca="false">IFERROR(IF(BE518="","",BE518*INDEX('00 - Lists'!$M$2:$M$11,MATCH(L518,'00 - Lists'!$L$2:$L$11,0))/100000),"")</f>
        <v/>
      </c>
      <c r="BM518" s="35" t="str">
        <f aca="false">IFERROR(IF(BF518="","",BF518*INDEX('00 - Lists'!$M$2:$M$11,MATCH(L518,'00 - Lists'!$L$2:$L$11,0))/100000),"")</f>
        <v/>
      </c>
      <c r="BN518" s="35" t="str">
        <f aca="false">IFERROR(IF(BG518="","",BG518*INDEX('00 - Lists'!$M$2:$M$11,MATCH(L518,'00 - Lists'!$L$2:$L$11,0))/100000),"")</f>
        <v/>
      </c>
      <c r="BO518" s="35" t="str">
        <f aca="false">IFERROR(IF(BH518="","",BH518*INDEX('00 - Lists'!$M$2:$M$11,MATCH(L518,'00 - Lists'!$L$2:$L$11,0))/100000),"")</f>
        <v/>
      </c>
      <c r="BP518" s="35" t="str">
        <f aca="false">IFERROR(IF(BI518="","",BI518*INDEX('00 - Lists'!$M$2:$M$11,MATCH(L518,'00 - Lists'!$L$2:$L$11,0))/100000),"")</f>
        <v/>
      </c>
      <c r="BS518" s="36" t="str">
        <f aca="false">IF(O518="","",IF(O518&gt;=20,"Yes","No"))</f>
        <v/>
      </c>
      <c r="BT518" s="36" t="str">
        <f aca="false">IF(O518="","",IF(O518&gt;=30,"Yes","No"))</f>
        <v/>
      </c>
      <c r="BU518" s="36" t="str">
        <f aca="false">IF(O518="","",IF(O518&gt;=75,"Yes","No"))</f>
        <v/>
      </c>
      <c r="BV518" s="36" t="str">
        <f aca="false">IF(O518="","",IF(O518&gt;=100,"Yes","No"))</f>
        <v/>
      </c>
      <c r="BW518" s="36" t="str">
        <f aca="false">IF(O518="","",IF(O518&gt;=150,"Yes","No"))</f>
        <v/>
      </c>
      <c r="BX518" s="36" t="str">
        <f aca="false">IF(O518="","",IF(O518&gt;=200,"Yes","No"))</f>
        <v/>
      </c>
      <c r="BY518" s="36" t="str">
        <f aca="false">IF(Q518="","",IF(Q518&gt;=150000,"Yes","No"))</f>
        <v/>
      </c>
      <c r="BZ518" s="36" t="str">
        <f aca="false">IF(Q518="","",IF(Q518&gt;=200000,"Yes","No"))</f>
        <v/>
      </c>
      <c r="CA518" s="36" t="str">
        <f aca="false">IF(Q518="","",IF(Q518&gt;=250000,"Yes","No"))</f>
        <v/>
      </c>
      <c r="CB518" s="36" t="str">
        <f aca="false">IF(Q518="","",IF(Q518&gt;=300000,"Yes","No"))</f>
        <v/>
      </c>
      <c r="CC518" s="37"/>
      <c r="CD518" s="36" t="str">
        <f aca="true">IF(B518="","",IF(TODAY()-B518&lt;=7,"🟢 0-7d",IF(TODAY()-B518&lt;=30,"🟡 8-30d",IF(TODAY()-B518&lt;=60,"🟠 31-60d","🔴 60d+"))))</f>
        <v/>
      </c>
      <c r="CE518" s="36" t="str">
        <f aca="false">IF(G518="","",IF(G518&lt;&gt;"USA","N/A - Not USA Role",IF(J518="Yes",IF(OR(F518="Intern",F518="New Grad"),"🟡 Possible","🟢 Strong"),IF(J518="No","🔴 Difficult","⚪ Unknown"))))</f>
        <v/>
      </c>
      <c r="CF518" s="37"/>
      <c r="CG518" s="37"/>
      <c r="CH518" s="38"/>
      <c r="CI518" s="38"/>
      <c r="CJ518" s="38"/>
      <c r="CK518" s="38"/>
    </row>
    <row r="519" customFormat="false" ht="15" hidden="false" customHeight="true" outlineLevel="0" collapsed="false">
      <c r="A519" s="26" t="str">
        <f aca="false">IF($C519="","",ROW()-3)</f>
        <v/>
      </c>
      <c r="B519" s="27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9"/>
      <c r="N519" s="29"/>
      <c r="O519" s="30" t="str">
        <f aca="false">IFERROR(IF(M519="","",M519*INDEX('00 - Lists'!$M$2:$M$11,MATCH(L519,'00 - Lists'!$L$2:$L$11,0))/100000),"")</f>
        <v/>
      </c>
      <c r="P519" s="30" t="str">
        <f aca="false">IFERROR(IF(N519="","",N519*INDEX('00 - Lists'!$M$2:$M$11,MATCH(L519,'00 - Lists'!$L$2:$L$11,0))/100000),"")</f>
        <v/>
      </c>
      <c r="Q519" s="31" t="str">
        <f aca="false">IFERROR(IF(M519="","",M519*INDEX('00 - Lists'!$N$2:$N$11,MATCH(L519,'00 - Lists'!$L$2:$L$11,0))),"")</f>
        <v/>
      </c>
      <c r="R519" s="31" t="str">
        <f aca="false">IFERROR(IF(N519="","",N519*INDEX('00 - Lists'!$N$2:$N$11,MATCH(L519,'00 - Lists'!$L$2:$L$11,0))),"")</f>
        <v/>
      </c>
      <c r="S519" s="32" t="str">
        <f aca="false">IF(O519="","",IF(O519&gt;=50,"Yes","No"))</f>
        <v/>
      </c>
      <c r="T519" s="32" t="str">
        <f aca="false">IF(Q519="","",IF(Q519&gt;=100000,"Yes","No"))</f>
        <v/>
      </c>
      <c r="U519" s="28"/>
      <c r="V519" s="28"/>
      <c r="W519" s="28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J519" s="34" t="str">
        <f aca="false">IF(OR($BD519&lt;&gt;"",$BF519&lt;&gt;"",$BH519&lt;&gt;""),"Yes","No")</f>
        <v>No</v>
      </c>
      <c r="BK519" s="35" t="str">
        <f aca="false">IFERROR(IF(BD519="","",BD519*INDEX('00 - Lists'!$M$2:$M$11,MATCH(L519,'00 - Lists'!$L$2:$L$11,0))/100000),"")</f>
        <v/>
      </c>
      <c r="BL519" s="35" t="str">
        <f aca="false">IFERROR(IF(BE519="","",BE519*INDEX('00 - Lists'!$M$2:$M$11,MATCH(L519,'00 - Lists'!$L$2:$L$11,0))/100000),"")</f>
        <v/>
      </c>
      <c r="BM519" s="35" t="str">
        <f aca="false">IFERROR(IF(BF519="","",BF519*INDEX('00 - Lists'!$M$2:$M$11,MATCH(L519,'00 - Lists'!$L$2:$L$11,0))/100000),"")</f>
        <v/>
      </c>
      <c r="BN519" s="35" t="str">
        <f aca="false">IFERROR(IF(BG519="","",BG519*INDEX('00 - Lists'!$M$2:$M$11,MATCH(L519,'00 - Lists'!$L$2:$L$11,0))/100000),"")</f>
        <v/>
      </c>
      <c r="BO519" s="35" t="str">
        <f aca="false">IFERROR(IF(BH519="","",BH519*INDEX('00 - Lists'!$M$2:$M$11,MATCH(L519,'00 - Lists'!$L$2:$L$11,0))/100000),"")</f>
        <v/>
      </c>
      <c r="BP519" s="35" t="str">
        <f aca="false">IFERROR(IF(BI519="","",BI519*INDEX('00 - Lists'!$M$2:$M$11,MATCH(L519,'00 - Lists'!$L$2:$L$11,0))/100000),"")</f>
        <v/>
      </c>
      <c r="BS519" s="36" t="str">
        <f aca="false">IF(O519="","",IF(O519&gt;=20,"Yes","No"))</f>
        <v/>
      </c>
      <c r="BT519" s="36" t="str">
        <f aca="false">IF(O519="","",IF(O519&gt;=30,"Yes","No"))</f>
        <v/>
      </c>
      <c r="BU519" s="36" t="str">
        <f aca="false">IF(O519="","",IF(O519&gt;=75,"Yes","No"))</f>
        <v/>
      </c>
      <c r="BV519" s="36" t="str">
        <f aca="false">IF(O519="","",IF(O519&gt;=100,"Yes","No"))</f>
        <v/>
      </c>
      <c r="BW519" s="36" t="str">
        <f aca="false">IF(O519="","",IF(O519&gt;=150,"Yes","No"))</f>
        <v/>
      </c>
      <c r="BX519" s="36" t="str">
        <f aca="false">IF(O519="","",IF(O519&gt;=200,"Yes","No"))</f>
        <v/>
      </c>
      <c r="BY519" s="36" t="str">
        <f aca="false">IF(Q519="","",IF(Q519&gt;=150000,"Yes","No"))</f>
        <v/>
      </c>
      <c r="BZ519" s="36" t="str">
        <f aca="false">IF(Q519="","",IF(Q519&gt;=200000,"Yes","No"))</f>
        <v/>
      </c>
      <c r="CA519" s="36" t="str">
        <f aca="false">IF(Q519="","",IF(Q519&gt;=250000,"Yes","No"))</f>
        <v/>
      </c>
      <c r="CB519" s="36" t="str">
        <f aca="false">IF(Q519="","",IF(Q519&gt;=300000,"Yes","No"))</f>
        <v/>
      </c>
      <c r="CC519" s="37"/>
      <c r="CD519" s="36" t="str">
        <f aca="true">IF(B519="","",IF(TODAY()-B519&lt;=7,"🟢 0-7d",IF(TODAY()-B519&lt;=30,"🟡 8-30d",IF(TODAY()-B519&lt;=60,"🟠 31-60d","🔴 60d+"))))</f>
        <v/>
      </c>
      <c r="CE519" s="36" t="str">
        <f aca="false">IF(G519="","",IF(G519&lt;&gt;"USA","N/A - Not USA Role",IF(J519="Yes",IF(OR(F519="Intern",F519="New Grad"),"🟡 Possible","🟢 Strong"),IF(J519="No","🔴 Difficult","⚪ Unknown"))))</f>
        <v/>
      </c>
      <c r="CF519" s="37"/>
      <c r="CG519" s="37"/>
      <c r="CH519" s="38"/>
      <c r="CI519" s="38"/>
      <c r="CJ519" s="38"/>
      <c r="CK519" s="38"/>
    </row>
    <row r="520" customFormat="false" ht="15" hidden="false" customHeight="true" outlineLevel="0" collapsed="false">
      <c r="A520" s="26" t="str">
        <f aca="false">IF($C520="","",ROW()-3)</f>
        <v/>
      </c>
      <c r="B520" s="27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9"/>
      <c r="N520" s="29"/>
      <c r="O520" s="30" t="str">
        <f aca="false">IFERROR(IF(M520="","",M520*INDEX('00 - Lists'!$M$2:$M$11,MATCH(L520,'00 - Lists'!$L$2:$L$11,0))/100000),"")</f>
        <v/>
      </c>
      <c r="P520" s="30" t="str">
        <f aca="false">IFERROR(IF(N520="","",N520*INDEX('00 - Lists'!$M$2:$M$11,MATCH(L520,'00 - Lists'!$L$2:$L$11,0))/100000),"")</f>
        <v/>
      </c>
      <c r="Q520" s="31" t="str">
        <f aca="false">IFERROR(IF(M520="","",M520*INDEX('00 - Lists'!$N$2:$N$11,MATCH(L520,'00 - Lists'!$L$2:$L$11,0))),"")</f>
        <v/>
      </c>
      <c r="R520" s="31" t="str">
        <f aca="false">IFERROR(IF(N520="","",N520*INDEX('00 - Lists'!$N$2:$N$11,MATCH(L520,'00 - Lists'!$L$2:$L$11,0))),"")</f>
        <v/>
      </c>
      <c r="S520" s="32" t="str">
        <f aca="false">IF(O520="","",IF(O520&gt;=50,"Yes","No"))</f>
        <v/>
      </c>
      <c r="T520" s="32" t="str">
        <f aca="false">IF(Q520="","",IF(Q520&gt;=100000,"Yes","No"))</f>
        <v/>
      </c>
      <c r="U520" s="28"/>
      <c r="V520" s="28"/>
      <c r="W520" s="28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J520" s="34" t="str">
        <f aca="false">IF(OR($BD520&lt;&gt;"",$BF520&lt;&gt;"",$BH520&lt;&gt;""),"Yes","No")</f>
        <v>No</v>
      </c>
      <c r="BK520" s="35" t="str">
        <f aca="false">IFERROR(IF(BD520="","",BD520*INDEX('00 - Lists'!$M$2:$M$11,MATCH(L520,'00 - Lists'!$L$2:$L$11,0))/100000),"")</f>
        <v/>
      </c>
      <c r="BL520" s="35" t="str">
        <f aca="false">IFERROR(IF(BE520="","",BE520*INDEX('00 - Lists'!$M$2:$M$11,MATCH(L520,'00 - Lists'!$L$2:$L$11,0))/100000),"")</f>
        <v/>
      </c>
      <c r="BM520" s="35" t="str">
        <f aca="false">IFERROR(IF(BF520="","",BF520*INDEX('00 - Lists'!$M$2:$M$11,MATCH(L520,'00 - Lists'!$L$2:$L$11,0))/100000),"")</f>
        <v/>
      </c>
      <c r="BN520" s="35" t="str">
        <f aca="false">IFERROR(IF(BG520="","",BG520*INDEX('00 - Lists'!$M$2:$M$11,MATCH(L520,'00 - Lists'!$L$2:$L$11,0))/100000),"")</f>
        <v/>
      </c>
      <c r="BO520" s="35" t="str">
        <f aca="false">IFERROR(IF(BH520="","",BH520*INDEX('00 - Lists'!$M$2:$M$11,MATCH(L520,'00 - Lists'!$L$2:$L$11,0))/100000),"")</f>
        <v/>
      </c>
      <c r="BP520" s="35" t="str">
        <f aca="false">IFERROR(IF(BI520="","",BI520*INDEX('00 - Lists'!$M$2:$M$11,MATCH(L520,'00 - Lists'!$L$2:$L$11,0))/100000),"")</f>
        <v/>
      </c>
      <c r="BS520" s="36" t="str">
        <f aca="false">IF(O520="","",IF(O520&gt;=20,"Yes","No"))</f>
        <v/>
      </c>
      <c r="BT520" s="36" t="str">
        <f aca="false">IF(O520="","",IF(O520&gt;=30,"Yes","No"))</f>
        <v/>
      </c>
      <c r="BU520" s="36" t="str">
        <f aca="false">IF(O520="","",IF(O520&gt;=75,"Yes","No"))</f>
        <v/>
      </c>
      <c r="BV520" s="36" t="str">
        <f aca="false">IF(O520="","",IF(O520&gt;=100,"Yes","No"))</f>
        <v/>
      </c>
      <c r="BW520" s="36" t="str">
        <f aca="false">IF(O520="","",IF(O520&gt;=150,"Yes","No"))</f>
        <v/>
      </c>
      <c r="BX520" s="36" t="str">
        <f aca="false">IF(O520="","",IF(O520&gt;=200,"Yes","No"))</f>
        <v/>
      </c>
      <c r="BY520" s="36" t="str">
        <f aca="false">IF(Q520="","",IF(Q520&gt;=150000,"Yes","No"))</f>
        <v/>
      </c>
      <c r="BZ520" s="36" t="str">
        <f aca="false">IF(Q520="","",IF(Q520&gt;=200000,"Yes","No"))</f>
        <v/>
      </c>
      <c r="CA520" s="36" t="str">
        <f aca="false">IF(Q520="","",IF(Q520&gt;=250000,"Yes","No"))</f>
        <v/>
      </c>
      <c r="CB520" s="36" t="str">
        <f aca="false">IF(Q520="","",IF(Q520&gt;=300000,"Yes","No"))</f>
        <v/>
      </c>
      <c r="CC520" s="37"/>
      <c r="CD520" s="36" t="str">
        <f aca="true">IF(B520="","",IF(TODAY()-B520&lt;=7,"🟢 0-7d",IF(TODAY()-B520&lt;=30,"🟡 8-30d",IF(TODAY()-B520&lt;=60,"🟠 31-60d","🔴 60d+"))))</f>
        <v/>
      </c>
      <c r="CE520" s="36" t="str">
        <f aca="false">IF(G520="","",IF(G520&lt;&gt;"USA","N/A - Not USA Role",IF(J520="Yes",IF(OR(F520="Intern",F520="New Grad"),"🟡 Possible","🟢 Strong"),IF(J520="No","🔴 Difficult","⚪ Unknown"))))</f>
        <v/>
      </c>
      <c r="CF520" s="37"/>
      <c r="CG520" s="37"/>
      <c r="CH520" s="38"/>
      <c r="CI520" s="38"/>
      <c r="CJ520" s="38"/>
      <c r="CK520" s="38"/>
    </row>
    <row r="521" customFormat="false" ht="15" hidden="false" customHeight="true" outlineLevel="0" collapsed="false">
      <c r="A521" s="26" t="str">
        <f aca="false">IF($C521="","",ROW()-3)</f>
        <v/>
      </c>
      <c r="B521" s="27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9"/>
      <c r="N521" s="29"/>
      <c r="O521" s="30" t="str">
        <f aca="false">IFERROR(IF(M521="","",M521*INDEX('00 - Lists'!$M$2:$M$11,MATCH(L521,'00 - Lists'!$L$2:$L$11,0))/100000),"")</f>
        <v/>
      </c>
      <c r="P521" s="30" t="str">
        <f aca="false">IFERROR(IF(N521="","",N521*INDEX('00 - Lists'!$M$2:$M$11,MATCH(L521,'00 - Lists'!$L$2:$L$11,0))/100000),"")</f>
        <v/>
      </c>
      <c r="Q521" s="31" t="str">
        <f aca="false">IFERROR(IF(M521="","",M521*INDEX('00 - Lists'!$N$2:$N$11,MATCH(L521,'00 - Lists'!$L$2:$L$11,0))),"")</f>
        <v/>
      </c>
      <c r="R521" s="31" t="str">
        <f aca="false">IFERROR(IF(N521="","",N521*INDEX('00 - Lists'!$N$2:$N$11,MATCH(L521,'00 - Lists'!$L$2:$L$11,0))),"")</f>
        <v/>
      </c>
      <c r="S521" s="32" t="str">
        <f aca="false">IF(O521="","",IF(O521&gt;=50,"Yes","No"))</f>
        <v/>
      </c>
      <c r="T521" s="32" t="str">
        <f aca="false">IF(Q521="","",IF(Q521&gt;=100000,"Yes","No"))</f>
        <v/>
      </c>
      <c r="U521" s="28"/>
      <c r="V521" s="28"/>
      <c r="W521" s="28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J521" s="34" t="str">
        <f aca="false">IF(OR($BD521&lt;&gt;"",$BF521&lt;&gt;"",$BH521&lt;&gt;""),"Yes","No")</f>
        <v>No</v>
      </c>
      <c r="BK521" s="35" t="str">
        <f aca="false">IFERROR(IF(BD521="","",BD521*INDEX('00 - Lists'!$M$2:$M$11,MATCH(L521,'00 - Lists'!$L$2:$L$11,0))/100000),"")</f>
        <v/>
      </c>
      <c r="BL521" s="35" t="str">
        <f aca="false">IFERROR(IF(BE521="","",BE521*INDEX('00 - Lists'!$M$2:$M$11,MATCH(L521,'00 - Lists'!$L$2:$L$11,0))/100000),"")</f>
        <v/>
      </c>
      <c r="BM521" s="35" t="str">
        <f aca="false">IFERROR(IF(BF521="","",BF521*INDEX('00 - Lists'!$M$2:$M$11,MATCH(L521,'00 - Lists'!$L$2:$L$11,0))/100000),"")</f>
        <v/>
      </c>
      <c r="BN521" s="35" t="str">
        <f aca="false">IFERROR(IF(BG521="","",BG521*INDEX('00 - Lists'!$M$2:$M$11,MATCH(L521,'00 - Lists'!$L$2:$L$11,0))/100000),"")</f>
        <v/>
      </c>
      <c r="BO521" s="35" t="str">
        <f aca="false">IFERROR(IF(BH521="","",BH521*INDEX('00 - Lists'!$M$2:$M$11,MATCH(L521,'00 - Lists'!$L$2:$L$11,0))/100000),"")</f>
        <v/>
      </c>
      <c r="BP521" s="35" t="str">
        <f aca="false">IFERROR(IF(BI521="","",BI521*INDEX('00 - Lists'!$M$2:$M$11,MATCH(L521,'00 - Lists'!$L$2:$L$11,0))/100000),"")</f>
        <v/>
      </c>
      <c r="BS521" s="36" t="str">
        <f aca="false">IF(O521="","",IF(O521&gt;=20,"Yes","No"))</f>
        <v/>
      </c>
      <c r="BT521" s="36" t="str">
        <f aca="false">IF(O521="","",IF(O521&gt;=30,"Yes","No"))</f>
        <v/>
      </c>
      <c r="BU521" s="36" t="str">
        <f aca="false">IF(O521="","",IF(O521&gt;=75,"Yes","No"))</f>
        <v/>
      </c>
      <c r="BV521" s="36" t="str">
        <f aca="false">IF(O521="","",IF(O521&gt;=100,"Yes","No"))</f>
        <v/>
      </c>
      <c r="BW521" s="36" t="str">
        <f aca="false">IF(O521="","",IF(O521&gt;=150,"Yes","No"))</f>
        <v/>
      </c>
      <c r="BX521" s="36" t="str">
        <f aca="false">IF(O521="","",IF(O521&gt;=200,"Yes","No"))</f>
        <v/>
      </c>
      <c r="BY521" s="36" t="str">
        <f aca="false">IF(Q521="","",IF(Q521&gt;=150000,"Yes","No"))</f>
        <v/>
      </c>
      <c r="BZ521" s="36" t="str">
        <f aca="false">IF(Q521="","",IF(Q521&gt;=200000,"Yes","No"))</f>
        <v/>
      </c>
      <c r="CA521" s="36" t="str">
        <f aca="false">IF(Q521="","",IF(Q521&gt;=250000,"Yes","No"))</f>
        <v/>
      </c>
      <c r="CB521" s="36" t="str">
        <f aca="false">IF(Q521="","",IF(Q521&gt;=300000,"Yes","No"))</f>
        <v/>
      </c>
      <c r="CC521" s="37"/>
      <c r="CD521" s="36" t="str">
        <f aca="true">IF(B521="","",IF(TODAY()-B521&lt;=7,"🟢 0-7d",IF(TODAY()-B521&lt;=30,"🟡 8-30d",IF(TODAY()-B521&lt;=60,"🟠 31-60d","🔴 60d+"))))</f>
        <v/>
      </c>
      <c r="CE521" s="36" t="str">
        <f aca="false">IF(G521="","",IF(G521&lt;&gt;"USA","N/A - Not USA Role",IF(J521="Yes",IF(OR(F521="Intern",F521="New Grad"),"🟡 Possible","🟢 Strong"),IF(J521="No","🔴 Difficult","⚪ Unknown"))))</f>
        <v/>
      </c>
      <c r="CF521" s="37"/>
      <c r="CG521" s="37"/>
      <c r="CH521" s="38"/>
      <c r="CI521" s="38"/>
      <c r="CJ521" s="38"/>
      <c r="CK521" s="38"/>
    </row>
    <row r="522" customFormat="false" ht="15" hidden="false" customHeight="true" outlineLevel="0" collapsed="false">
      <c r="A522" s="26" t="str">
        <f aca="false">IF($C522="","",ROW()-3)</f>
        <v/>
      </c>
      <c r="B522" s="27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9"/>
      <c r="N522" s="29"/>
      <c r="O522" s="30" t="str">
        <f aca="false">IFERROR(IF(M522="","",M522*INDEX('00 - Lists'!$M$2:$M$11,MATCH(L522,'00 - Lists'!$L$2:$L$11,0))/100000),"")</f>
        <v/>
      </c>
      <c r="P522" s="30" t="str">
        <f aca="false">IFERROR(IF(N522="","",N522*INDEX('00 - Lists'!$M$2:$M$11,MATCH(L522,'00 - Lists'!$L$2:$L$11,0))/100000),"")</f>
        <v/>
      </c>
      <c r="Q522" s="31" t="str">
        <f aca="false">IFERROR(IF(M522="","",M522*INDEX('00 - Lists'!$N$2:$N$11,MATCH(L522,'00 - Lists'!$L$2:$L$11,0))),"")</f>
        <v/>
      </c>
      <c r="R522" s="31" t="str">
        <f aca="false">IFERROR(IF(N522="","",N522*INDEX('00 - Lists'!$N$2:$N$11,MATCH(L522,'00 - Lists'!$L$2:$L$11,0))),"")</f>
        <v/>
      </c>
      <c r="S522" s="32" t="str">
        <f aca="false">IF(O522="","",IF(O522&gt;=50,"Yes","No"))</f>
        <v/>
      </c>
      <c r="T522" s="32" t="str">
        <f aca="false">IF(Q522="","",IF(Q522&gt;=100000,"Yes","No"))</f>
        <v/>
      </c>
      <c r="U522" s="28"/>
      <c r="V522" s="28"/>
      <c r="W522" s="28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J522" s="34" t="str">
        <f aca="false">IF(OR($BD522&lt;&gt;"",$BF522&lt;&gt;"",$BH522&lt;&gt;""),"Yes","No")</f>
        <v>No</v>
      </c>
      <c r="BK522" s="35" t="str">
        <f aca="false">IFERROR(IF(BD522="","",BD522*INDEX('00 - Lists'!$M$2:$M$11,MATCH(L522,'00 - Lists'!$L$2:$L$11,0))/100000),"")</f>
        <v/>
      </c>
      <c r="BL522" s="35" t="str">
        <f aca="false">IFERROR(IF(BE522="","",BE522*INDEX('00 - Lists'!$M$2:$M$11,MATCH(L522,'00 - Lists'!$L$2:$L$11,0))/100000),"")</f>
        <v/>
      </c>
      <c r="BM522" s="35" t="str">
        <f aca="false">IFERROR(IF(BF522="","",BF522*INDEX('00 - Lists'!$M$2:$M$11,MATCH(L522,'00 - Lists'!$L$2:$L$11,0))/100000),"")</f>
        <v/>
      </c>
      <c r="BN522" s="35" t="str">
        <f aca="false">IFERROR(IF(BG522="","",BG522*INDEX('00 - Lists'!$M$2:$M$11,MATCH(L522,'00 - Lists'!$L$2:$L$11,0))/100000),"")</f>
        <v/>
      </c>
      <c r="BO522" s="35" t="str">
        <f aca="false">IFERROR(IF(BH522="","",BH522*INDEX('00 - Lists'!$M$2:$M$11,MATCH(L522,'00 - Lists'!$L$2:$L$11,0))/100000),"")</f>
        <v/>
      </c>
      <c r="BP522" s="35" t="str">
        <f aca="false">IFERROR(IF(BI522="","",BI522*INDEX('00 - Lists'!$M$2:$M$11,MATCH(L522,'00 - Lists'!$L$2:$L$11,0))/100000),"")</f>
        <v/>
      </c>
      <c r="BS522" s="36" t="str">
        <f aca="false">IF(O522="","",IF(O522&gt;=20,"Yes","No"))</f>
        <v/>
      </c>
      <c r="BT522" s="36" t="str">
        <f aca="false">IF(O522="","",IF(O522&gt;=30,"Yes","No"))</f>
        <v/>
      </c>
      <c r="BU522" s="36" t="str">
        <f aca="false">IF(O522="","",IF(O522&gt;=75,"Yes","No"))</f>
        <v/>
      </c>
      <c r="BV522" s="36" t="str">
        <f aca="false">IF(O522="","",IF(O522&gt;=100,"Yes","No"))</f>
        <v/>
      </c>
      <c r="BW522" s="36" t="str">
        <f aca="false">IF(O522="","",IF(O522&gt;=150,"Yes","No"))</f>
        <v/>
      </c>
      <c r="BX522" s="36" t="str">
        <f aca="false">IF(O522="","",IF(O522&gt;=200,"Yes","No"))</f>
        <v/>
      </c>
      <c r="BY522" s="36" t="str">
        <f aca="false">IF(Q522="","",IF(Q522&gt;=150000,"Yes","No"))</f>
        <v/>
      </c>
      <c r="BZ522" s="36" t="str">
        <f aca="false">IF(Q522="","",IF(Q522&gt;=200000,"Yes","No"))</f>
        <v/>
      </c>
      <c r="CA522" s="36" t="str">
        <f aca="false">IF(Q522="","",IF(Q522&gt;=250000,"Yes","No"))</f>
        <v/>
      </c>
      <c r="CB522" s="36" t="str">
        <f aca="false">IF(Q522="","",IF(Q522&gt;=300000,"Yes","No"))</f>
        <v/>
      </c>
      <c r="CC522" s="37"/>
      <c r="CD522" s="36" t="str">
        <f aca="true">IF(B522="","",IF(TODAY()-B522&lt;=7,"🟢 0-7d",IF(TODAY()-B522&lt;=30,"🟡 8-30d",IF(TODAY()-B522&lt;=60,"🟠 31-60d","🔴 60d+"))))</f>
        <v/>
      </c>
      <c r="CE522" s="36" t="str">
        <f aca="false">IF(G522="","",IF(G522&lt;&gt;"USA","N/A - Not USA Role",IF(J522="Yes",IF(OR(F522="Intern",F522="New Grad"),"🟡 Possible","🟢 Strong"),IF(J522="No","🔴 Difficult","⚪ Unknown"))))</f>
        <v/>
      </c>
      <c r="CF522" s="37"/>
      <c r="CG522" s="37"/>
      <c r="CH522" s="38"/>
      <c r="CI522" s="38"/>
      <c r="CJ522" s="38"/>
      <c r="CK522" s="38"/>
    </row>
    <row r="523" customFormat="false" ht="15" hidden="false" customHeight="true" outlineLevel="0" collapsed="false">
      <c r="A523" s="26" t="str">
        <f aca="false">IF($C523="","",ROW()-3)</f>
        <v/>
      </c>
      <c r="B523" s="27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9"/>
      <c r="N523" s="29"/>
      <c r="O523" s="30" t="str">
        <f aca="false">IFERROR(IF(M523="","",M523*INDEX('00 - Lists'!$M$2:$M$11,MATCH(L523,'00 - Lists'!$L$2:$L$11,0))/100000),"")</f>
        <v/>
      </c>
      <c r="P523" s="30" t="str">
        <f aca="false">IFERROR(IF(N523="","",N523*INDEX('00 - Lists'!$M$2:$M$11,MATCH(L523,'00 - Lists'!$L$2:$L$11,0))/100000),"")</f>
        <v/>
      </c>
      <c r="Q523" s="31" t="str">
        <f aca="false">IFERROR(IF(M523="","",M523*INDEX('00 - Lists'!$N$2:$N$11,MATCH(L523,'00 - Lists'!$L$2:$L$11,0))),"")</f>
        <v/>
      </c>
      <c r="R523" s="31" t="str">
        <f aca="false">IFERROR(IF(N523="","",N523*INDEX('00 - Lists'!$N$2:$N$11,MATCH(L523,'00 - Lists'!$L$2:$L$11,0))),"")</f>
        <v/>
      </c>
      <c r="S523" s="32" t="str">
        <f aca="false">IF(O523="","",IF(O523&gt;=50,"Yes","No"))</f>
        <v/>
      </c>
      <c r="T523" s="32" t="str">
        <f aca="false">IF(Q523="","",IF(Q523&gt;=100000,"Yes","No"))</f>
        <v/>
      </c>
      <c r="U523" s="28"/>
      <c r="V523" s="28"/>
      <c r="W523" s="28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J523" s="34" t="str">
        <f aca="false">IF(OR($BD523&lt;&gt;"",$BF523&lt;&gt;"",$BH523&lt;&gt;""),"Yes","No")</f>
        <v>No</v>
      </c>
      <c r="BK523" s="35" t="str">
        <f aca="false">IFERROR(IF(BD523="","",BD523*INDEX('00 - Lists'!$M$2:$M$11,MATCH(L523,'00 - Lists'!$L$2:$L$11,0))/100000),"")</f>
        <v/>
      </c>
      <c r="BL523" s="35" t="str">
        <f aca="false">IFERROR(IF(BE523="","",BE523*INDEX('00 - Lists'!$M$2:$M$11,MATCH(L523,'00 - Lists'!$L$2:$L$11,0))/100000),"")</f>
        <v/>
      </c>
      <c r="BM523" s="35" t="str">
        <f aca="false">IFERROR(IF(BF523="","",BF523*INDEX('00 - Lists'!$M$2:$M$11,MATCH(L523,'00 - Lists'!$L$2:$L$11,0))/100000),"")</f>
        <v/>
      </c>
      <c r="BN523" s="35" t="str">
        <f aca="false">IFERROR(IF(BG523="","",BG523*INDEX('00 - Lists'!$M$2:$M$11,MATCH(L523,'00 - Lists'!$L$2:$L$11,0))/100000),"")</f>
        <v/>
      </c>
      <c r="BO523" s="35" t="str">
        <f aca="false">IFERROR(IF(BH523="","",BH523*INDEX('00 - Lists'!$M$2:$M$11,MATCH(L523,'00 - Lists'!$L$2:$L$11,0))/100000),"")</f>
        <v/>
      </c>
      <c r="BP523" s="35" t="str">
        <f aca="false">IFERROR(IF(BI523="","",BI523*INDEX('00 - Lists'!$M$2:$M$11,MATCH(L523,'00 - Lists'!$L$2:$L$11,0))/100000),"")</f>
        <v/>
      </c>
      <c r="BS523" s="36" t="str">
        <f aca="false">IF(O523="","",IF(O523&gt;=20,"Yes","No"))</f>
        <v/>
      </c>
      <c r="BT523" s="36" t="str">
        <f aca="false">IF(O523="","",IF(O523&gt;=30,"Yes","No"))</f>
        <v/>
      </c>
      <c r="BU523" s="36" t="str">
        <f aca="false">IF(O523="","",IF(O523&gt;=75,"Yes","No"))</f>
        <v/>
      </c>
      <c r="BV523" s="36" t="str">
        <f aca="false">IF(O523="","",IF(O523&gt;=100,"Yes","No"))</f>
        <v/>
      </c>
      <c r="BW523" s="36" t="str">
        <f aca="false">IF(O523="","",IF(O523&gt;=150,"Yes","No"))</f>
        <v/>
      </c>
      <c r="BX523" s="36" t="str">
        <f aca="false">IF(O523="","",IF(O523&gt;=200,"Yes","No"))</f>
        <v/>
      </c>
      <c r="BY523" s="36" t="str">
        <f aca="false">IF(Q523="","",IF(Q523&gt;=150000,"Yes","No"))</f>
        <v/>
      </c>
      <c r="BZ523" s="36" t="str">
        <f aca="false">IF(Q523="","",IF(Q523&gt;=200000,"Yes","No"))</f>
        <v/>
      </c>
      <c r="CA523" s="36" t="str">
        <f aca="false">IF(Q523="","",IF(Q523&gt;=250000,"Yes","No"))</f>
        <v/>
      </c>
      <c r="CB523" s="36" t="str">
        <f aca="false">IF(Q523="","",IF(Q523&gt;=300000,"Yes","No"))</f>
        <v/>
      </c>
      <c r="CC523" s="37"/>
      <c r="CD523" s="36" t="str">
        <f aca="true">IF(B523="","",IF(TODAY()-B523&lt;=7,"🟢 0-7d",IF(TODAY()-B523&lt;=30,"🟡 8-30d",IF(TODAY()-B523&lt;=60,"🟠 31-60d","🔴 60d+"))))</f>
        <v/>
      </c>
      <c r="CE523" s="36" t="str">
        <f aca="false">IF(G523="","",IF(G523&lt;&gt;"USA","N/A - Not USA Role",IF(J523="Yes",IF(OR(F523="Intern",F523="New Grad"),"🟡 Possible","🟢 Strong"),IF(J523="No","🔴 Difficult","⚪ Unknown"))))</f>
        <v/>
      </c>
      <c r="CF523" s="37"/>
      <c r="CG523" s="37"/>
      <c r="CH523" s="38"/>
      <c r="CI523" s="38"/>
      <c r="CJ523" s="38"/>
      <c r="CK523" s="38"/>
    </row>
    <row r="524" customFormat="false" ht="15" hidden="false" customHeight="true" outlineLevel="0" collapsed="false">
      <c r="A524" s="26" t="str">
        <f aca="false">IF($C524="","",ROW()-3)</f>
        <v/>
      </c>
      <c r="B524" s="27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9"/>
      <c r="N524" s="29"/>
      <c r="O524" s="30" t="str">
        <f aca="false">IFERROR(IF(M524="","",M524*INDEX('00 - Lists'!$M$2:$M$11,MATCH(L524,'00 - Lists'!$L$2:$L$11,0))/100000),"")</f>
        <v/>
      </c>
      <c r="P524" s="30" t="str">
        <f aca="false">IFERROR(IF(N524="","",N524*INDEX('00 - Lists'!$M$2:$M$11,MATCH(L524,'00 - Lists'!$L$2:$L$11,0))/100000),"")</f>
        <v/>
      </c>
      <c r="Q524" s="31" t="str">
        <f aca="false">IFERROR(IF(M524="","",M524*INDEX('00 - Lists'!$N$2:$N$11,MATCH(L524,'00 - Lists'!$L$2:$L$11,0))),"")</f>
        <v/>
      </c>
      <c r="R524" s="31" t="str">
        <f aca="false">IFERROR(IF(N524="","",N524*INDEX('00 - Lists'!$N$2:$N$11,MATCH(L524,'00 - Lists'!$L$2:$L$11,0))),"")</f>
        <v/>
      </c>
      <c r="S524" s="32" t="str">
        <f aca="false">IF(O524="","",IF(O524&gt;=50,"Yes","No"))</f>
        <v/>
      </c>
      <c r="T524" s="32" t="str">
        <f aca="false">IF(Q524="","",IF(Q524&gt;=100000,"Yes","No"))</f>
        <v/>
      </c>
      <c r="U524" s="28"/>
      <c r="V524" s="28"/>
      <c r="W524" s="28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J524" s="34" t="str">
        <f aca="false">IF(OR($BD524&lt;&gt;"",$BF524&lt;&gt;"",$BH524&lt;&gt;""),"Yes","No")</f>
        <v>No</v>
      </c>
      <c r="BK524" s="35" t="str">
        <f aca="false">IFERROR(IF(BD524="","",BD524*INDEX('00 - Lists'!$M$2:$M$11,MATCH(L524,'00 - Lists'!$L$2:$L$11,0))/100000),"")</f>
        <v/>
      </c>
      <c r="BL524" s="35" t="str">
        <f aca="false">IFERROR(IF(BE524="","",BE524*INDEX('00 - Lists'!$M$2:$M$11,MATCH(L524,'00 - Lists'!$L$2:$L$11,0))/100000),"")</f>
        <v/>
      </c>
      <c r="BM524" s="35" t="str">
        <f aca="false">IFERROR(IF(BF524="","",BF524*INDEX('00 - Lists'!$M$2:$M$11,MATCH(L524,'00 - Lists'!$L$2:$L$11,0))/100000),"")</f>
        <v/>
      </c>
      <c r="BN524" s="35" t="str">
        <f aca="false">IFERROR(IF(BG524="","",BG524*INDEX('00 - Lists'!$M$2:$M$11,MATCH(L524,'00 - Lists'!$L$2:$L$11,0))/100000),"")</f>
        <v/>
      </c>
      <c r="BO524" s="35" t="str">
        <f aca="false">IFERROR(IF(BH524="","",BH524*INDEX('00 - Lists'!$M$2:$M$11,MATCH(L524,'00 - Lists'!$L$2:$L$11,0))/100000),"")</f>
        <v/>
      </c>
      <c r="BP524" s="35" t="str">
        <f aca="false">IFERROR(IF(BI524="","",BI524*INDEX('00 - Lists'!$M$2:$M$11,MATCH(L524,'00 - Lists'!$L$2:$L$11,0))/100000),"")</f>
        <v/>
      </c>
      <c r="BS524" s="36" t="str">
        <f aca="false">IF(O524="","",IF(O524&gt;=20,"Yes","No"))</f>
        <v/>
      </c>
      <c r="BT524" s="36" t="str">
        <f aca="false">IF(O524="","",IF(O524&gt;=30,"Yes","No"))</f>
        <v/>
      </c>
      <c r="BU524" s="36" t="str">
        <f aca="false">IF(O524="","",IF(O524&gt;=75,"Yes","No"))</f>
        <v/>
      </c>
      <c r="BV524" s="36" t="str">
        <f aca="false">IF(O524="","",IF(O524&gt;=100,"Yes","No"))</f>
        <v/>
      </c>
      <c r="BW524" s="36" t="str">
        <f aca="false">IF(O524="","",IF(O524&gt;=150,"Yes","No"))</f>
        <v/>
      </c>
      <c r="BX524" s="36" t="str">
        <f aca="false">IF(O524="","",IF(O524&gt;=200,"Yes","No"))</f>
        <v/>
      </c>
      <c r="BY524" s="36" t="str">
        <f aca="false">IF(Q524="","",IF(Q524&gt;=150000,"Yes","No"))</f>
        <v/>
      </c>
      <c r="BZ524" s="36" t="str">
        <f aca="false">IF(Q524="","",IF(Q524&gt;=200000,"Yes","No"))</f>
        <v/>
      </c>
      <c r="CA524" s="36" t="str">
        <f aca="false">IF(Q524="","",IF(Q524&gt;=250000,"Yes","No"))</f>
        <v/>
      </c>
      <c r="CB524" s="36" t="str">
        <f aca="false">IF(Q524="","",IF(Q524&gt;=300000,"Yes","No"))</f>
        <v/>
      </c>
      <c r="CC524" s="37"/>
      <c r="CD524" s="36" t="str">
        <f aca="true">IF(B524="","",IF(TODAY()-B524&lt;=7,"🟢 0-7d",IF(TODAY()-B524&lt;=30,"🟡 8-30d",IF(TODAY()-B524&lt;=60,"🟠 31-60d","🔴 60d+"))))</f>
        <v/>
      </c>
      <c r="CE524" s="36" t="str">
        <f aca="false">IF(G524="","",IF(G524&lt;&gt;"USA","N/A - Not USA Role",IF(J524="Yes",IF(OR(F524="Intern",F524="New Grad"),"🟡 Possible","🟢 Strong"),IF(J524="No","🔴 Difficult","⚪ Unknown"))))</f>
        <v/>
      </c>
      <c r="CF524" s="37"/>
      <c r="CG524" s="37"/>
      <c r="CH524" s="38"/>
      <c r="CI524" s="38"/>
      <c r="CJ524" s="38"/>
      <c r="CK524" s="38"/>
    </row>
    <row r="525" customFormat="false" ht="15" hidden="false" customHeight="true" outlineLevel="0" collapsed="false">
      <c r="A525" s="26" t="str">
        <f aca="false">IF($C525="","",ROW()-3)</f>
        <v/>
      </c>
      <c r="B525" s="27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9"/>
      <c r="N525" s="29"/>
      <c r="O525" s="30" t="str">
        <f aca="false">IFERROR(IF(M525="","",M525*INDEX('00 - Lists'!$M$2:$M$11,MATCH(L525,'00 - Lists'!$L$2:$L$11,0))/100000),"")</f>
        <v/>
      </c>
      <c r="P525" s="30" t="str">
        <f aca="false">IFERROR(IF(N525="","",N525*INDEX('00 - Lists'!$M$2:$M$11,MATCH(L525,'00 - Lists'!$L$2:$L$11,0))/100000),"")</f>
        <v/>
      </c>
      <c r="Q525" s="31" t="str">
        <f aca="false">IFERROR(IF(M525="","",M525*INDEX('00 - Lists'!$N$2:$N$11,MATCH(L525,'00 - Lists'!$L$2:$L$11,0))),"")</f>
        <v/>
      </c>
      <c r="R525" s="31" t="str">
        <f aca="false">IFERROR(IF(N525="","",N525*INDEX('00 - Lists'!$N$2:$N$11,MATCH(L525,'00 - Lists'!$L$2:$L$11,0))),"")</f>
        <v/>
      </c>
      <c r="S525" s="32" t="str">
        <f aca="false">IF(O525="","",IF(O525&gt;=50,"Yes","No"))</f>
        <v/>
      </c>
      <c r="T525" s="32" t="str">
        <f aca="false">IF(Q525="","",IF(Q525&gt;=100000,"Yes","No"))</f>
        <v/>
      </c>
      <c r="U525" s="28"/>
      <c r="V525" s="28"/>
      <c r="W525" s="28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J525" s="34" t="str">
        <f aca="false">IF(OR($BD525&lt;&gt;"",$BF525&lt;&gt;"",$BH525&lt;&gt;""),"Yes","No")</f>
        <v>No</v>
      </c>
      <c r="BK525" s="35" t="str">
        <f aca="false">IFERROR(IF(BD525="","",BD525*INDEX('00 - Lists'!$M$2:$M$11,MATCH(L525,'00 - Lists'!$L$2:$L$11,0))/100000),"")</f>
        <v/>
      </c>
      <c r="BL525" s="35" t="str">
        <f aca="false">IFERROR(IF(BE525="","",BE525*INDEX('00 - Lists'!$M$2:$M$11,MATCH(L525,'00 - Lists'!$L$2:$L$11,0))/100000),"")</f>
        <v/>
      </c>
      <c r="BM525" s="35" t="str">
        <f aca="false">IFERROR(IF(BF525="","",BF525*INDEX('00 - Lists'!$M$2:$M$11,MATCH(L525,'00 - Lists'!$L$2:$L$11,0))/100000),"")</f>
        <v/>
      </c>
      <c r="BN525" s="35" t="str">
        <f aca="false">IFERROR(IF(BG525="","",BG525*INDEX('00 - Lists'!$M$2:$M$11,MATCH(L525,'00 - Lists'!$L$2:$L$11,0))/100000),"")</f>
        <v/>
      </c>
      <c r="BO525" s="35" t="str">
        <f aca="false">IFERROR(IF(BH525="","",BH525*INDEX('00 - Lists'!$M$2:$M$11,MATCH(L525,'00 - Lists'!$L$2:$L$11,0))/100000),"")</f>
        <v/>
      </c>
      <c r="BP525" s="35" t="str">
        <f aca="false">IFERROR(IF(BI525="","",BI525*INDEX('00 - Lists'!$M$2:$M$11,MATCH(L525,'00 - Lists'!$L$2:$L$11,0))/100000),"")</f>
        <v/>
      </c>
      <c r="BS525" s="36" t="str">
        <f aca="false">IF(O525="","",IF(O525&gt;=20,"Yes","No"))</f>
        <v/>
      </c>
      <c r="BT525" s="36" t="str">
        <f aca="false">IF(O525="","",IF(O525&gt;=30,"Yes","No"))</f>
        <v/>
      </c>
      <c r="BU525" s="36" t="str">
        <f aca="false">IF(O525="","",IF(O525&gt;=75,"Yes","No"))</f>
        <v/>
      </c>
      <c r="BV525" s="36" t="str">
        <f aca="false">IF(O525="","",IF(O525&gt;=100,"Yes","No"))</f>
        <v/>
      </c>
      <c r="BW525" s="36" t="str">
        <f aca="false">IF(O525="","",IF(O525&gt;=150,"Yes","No"))</f>
        <v/>
      </c>
      <c r="BX525" s="36" t="str">
        <f aca="false">IF(O525="","",IF(O525&gt;=200,"Yes","No"))</f>
        <v/>
      </c>
      <c r="BY525" s="36" t="str">
        <f aca="false">IF(Q525="","",IF(Q525&gt;=150000,"Yes","No"))</f>
        <v/>
      </c>
      <c r="BZ525" s="36" t="str">
        <f aca="false">IF(Q525="","",IF(Q525&gt;=200000,"Yes","No"))</f>
        <v/>
      </c>
      <c r="CA525" s="36" t="str">
        <f aca="false">IF(Q525="","",IF(Q525&gt;=250000,"Yes","No"))</f>
        <v/>
      </c>
      <c r="CB525" s="36" t="str">
        <f aca="false">IF(Q525="","",IF(Q525&gt;=300000,"Yes","No"))</f>
        <v/>
      </c>
      <c r="CC525" s="37"/>
      <c r="CD525" s="36" t="str">
        <f aca="true">IF(B525="","",IF(TODAY()-B525&lt;=7,"🟢 0-7d",IF(TODAY()-B525&lt;=30,"🟡 8-30d",IF(TODAY()-B525&lt;=60,"🟠 31-60d","🔴 60d+"))))</f>
        <v/>
      </c>
      <c r="CE525" s="36" t="str">
        <f aca="false">IF(G525="","",IF(G525&lt;&gt;"USA","N/A - Not USA Role",IF(J525="Yes",IF(OR(F525="Intern",F525="New Grad"),"🟡 Possible","🟢 Strong"),IF(J525="No","🔴 Difficult","⚪ Unknown"))))</f>
        <v/>
      </c>
      <c r="CF525" s="37"/>
      <c r="CG525" s="37"/>
      <c r="CH525" s="38"/>
      <c r="CI525" s="38"/>
      <c r="CJ525" s="38"/>
      <c r="CK525" s="38"/>
    </row>
    <row r="526" customFormat="false" ht="15" hidden="false" customHeight="true" outlineLevel="0" collapsed="false">
      <c r="A526" s="26" t="str">
        <f aca="false">IF($C526="","",ROW()-3)</f>
        <v/>
      </c>
      <c r="B526" s="27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9"/>
      <c r="N526" s="29"/>
      <c r="O526" s="30" t="str">
        <f aca="false">IFERROR(IF(M526="","",M526*INDEX('00 - Lists'!$M$2:$M$11,MATCH(L526,'00 - Lists'!$L$2:$L$11,0))/100000),"")</f>
        <v/>
      </c>
      <c r="P526" s="30" t="str">
        <f aca="false">IFERROR(IF(N526="","",N526*INDEX('00 - Lists'!$M$2:$M$11,MATCH(L526,'00 - Lists'!$L$2:$L$11,0))/100000),"")</f>
        <v/>
      </c>
      <c r="Q526" s="31" t="str">
        <f aca="false">IFERROR(IF(M526="","",M526*INDEX('00 - Lists'!$N$2:$N$11,MATCH(L526,'00 - Lists'!$L$2:$L$11,0))),"")</f>
        <v/>
      </c>
      <c r="R526" s="31" t="str">
        <f aca="false">IFERROR(IF(N526="","",N526*INDEX('00 - Lists'!$N$2:$N$11,MATCH(L526,'00 - Lists'!$L$2:$L$11,0))),"")</f>
        <v/>
      </c>
      <c r="S526" s="32" t="str">
        <f aca="false">IF(O526="","",IF(O526&gt;=50,"Yes","No"))</f>
        <v/>
      </c>
      <c r="T526" s="32" t="str">
        <f aca="false">IF(Q526="","",IF(Q526&gt;=100000,"Yes","No"))</f>
        <v/>
      </c>
      <c r="U526" s="28"/>
      <c r="V526" s="28"/>
      <c r="W526" s="28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J526" s="34" t="str">
        <f aca="false">IF(OR($BD526&lt;&gt;"",$BF526&lt;&gt;"",$BH526&lt;&gt;""),"Yes","No")</f>
        <v>No</v>
      </c>
      <c r="BK526" s="35" t="str">
        <f aca="false">IFERROR(IF(BD526="","",BD526*INDEX('00 - Lists'!$M$2:$M$11,MATCH(L526,'00 - Lists'!$L$2:$L$11,0))/100000),"")</f>
        <v/>
      </c>
      <c r="BL526" s="35" t="str">
        <f aca="false">IFERROR(IF(BE526="","",BE526*INDEX('00 - Lists'!$M$2:$M$11,MATCH(L526,'00 - Lists'!$L$2:$L$11,0))/100000),"")</f>
        <v/>
      </c>
      <c r="BM526" s="35" t="str">
        <f aca="false">IFERROR(IF(BF526="","",BF526*INDEX('00 - Lists'!$M$2:$M$11,MATCH(L526,'00 - Lists'!$L$2:$L$11,0))/100000),"")</f>
        <v/>
      </c>
      <c r="BN526" s="35" t="str">
        <f aca="false">IFERROR(IF(BG526="","",BG526*INDEX('00 - Lists'!$M$2:$M$11,MATCH(L526,'00 - Lists'!$L$2:$L$11,0))/100000),"")</f>
        <v/>
      </c>
      <c r="BO526" s="35" t="str">
        <f aca="false">IFERROR(IF(BH526="","",BH526*INDEX('00 - Lists'!$M$2:$M$11,MATCH(L526,'00 - Lists'!$L$2:$L$11,0))/100000),"")</f>
        <v/>
      </c>
      <c r="BP526" s="35" t="str">
        <f aca="false">IFERROR(IF(BI526="","",BI526*INDEX('00 - Lists'!$M$2:$M$11,MATCH(L526,'00 - Lists'!$L$2:$L$11,0))/100000),"")</f>
        <v/>
      </c>
      <c r="BS526" s="36" t="str">
        <f aca="false">IF(O526="","",IF(O526&gt;=20,"Yes","No"))</f>
        <v/>
      </c>
      <c r="BT526" s="36" t="str">
        <f aca="false">IF(O526="","",IF(O526&gt;=30,"Yes","No"))</f>
        <v/>
      </c>
      <c r="BU526" s="36" t="str">
        <f aca="false">IF(O526="","",IF(O526&gt;=75,"Yes","No"))</f>
        <v/>
      </c>
      <c r="BV526" s="36" t="str">
        <f aca="false">IF(O526="","",IF(O526&gt;=100,"Yes","No"))</f>
        <v/>
      </c>
      <c r="BW526" s="36" t="str">
        <f aca="false">IF(O526="","",IF(O526&gt;=150,"Yes","No"))</f>
        <v/>
      </c>
      <c r="BX526" s="36" t="str">
        <f aca="false">IF(O526="","",IF(O526&gt;=200,"Yes","No"))</f>
        <v/>
      </c>
      <c r="BY526" s="36" t="str">
        <f aca="false">IF(Q526="","",IF(Q526&gt;=150000,"Yes","No"))</f>
        <v/>
      </c>
      <c r="BZ526" s="36" t="str">
        <f aca="false">IF(Q526="","",IF(Q526&gt;=200000,"Yes","No"))</f>
        <v/>
      </c>
      <c r="CA526" s="36" t="str">
        <f aca="false">IF(Q526="","",IF(Q526&gt;=250000,"Yes","No"))</f>
        <v/>
      </c>
      <c r="CB526" s="36" t="str">
        <f aca="false">IF(Q526="","",IF(Q526&gt;=300000,"Yes","No"))</f>
        <v/>
      </c>
      <c r="CC526" s="37"/>
      <c r="CD526" s="36" t="str">
        <f aca="true">IF(B526="","",IF(TODAY()-B526&lt;=7,"🟢 0-7d",IF(TODAY()-B526&lt;=30,"🟡 8-30d",IF(TODAY()-B526&lt;=60,"🟠 31-60d","🔴 60d+"))))</f>
        <v/>
      </c>
      <c r="CE526" s="36" t="str">
        <f aca="false">IF(G526="","",IF(G526&lt;&gt;"USA","N/A - Not USA Role",IF(J526="Yes",IF(OR(F526="Intern",F526="New Grad"),"🟡 Possible","🟢 Strong"),IF(J526="No","🔴 Difficult","⚪ Unknown"))))</f>
        <v/>
      </c>
      <c r="CF526" s="37"/>
      <c r="CG526" s="37"/>
      <c r="CH526" s="38"/>
      <c r="CI526" s="38"/>
      <c r="CJ526" s="38"/>
      <c r="CK526" s="38"/>
    </row>
    <row r="527" customFormat="false" ht="15" hidden="false" customHeight="true" outlineLevel="0" collapsed="false">
      <c r="A527" s="26" t="str">
        <f aca="false">IF($C527="","",ROW()-3)</f>
        <v/>
      </c>
      <c r="B527" s="27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9"/>
      <c r="N527" s="29"/>
      <c r="O527" s="30" t="str">
        <f aca="false">IFERROR(IF(M527="","",M527*INDEX('00 - Lists'!$M$2:$M$11,MATCH(L527,'00 - Lists'!$L$2:$L$11,0))/100000),"")</f>
        <v/>
      </c>
      <c r="P527" s="30" t="str">
        <f aca="false">IFERROR(IF(N527="","",N527*INDEX('00 - Lists'!$M$2:$M$11,MATCH(L527,'00 - Lists'!$L$2:$L$11,0))/100000),"")</f>
        <v/>
      </c>
      <c r="Q527" s="31" t="str">
        <f aca="false">IFERROR(IF(M527="","",M527*INDEX('00 - Lists'!$N$2:$N$11,MATCH(L527,'00 - Lists'!$L$2:$L$11,0))),"")</f>
        <v/>
      </c>
      <c r="R527" s="31" t="str">
        <f aca="false">IFERROR(IF(N527="","",N527*INDEX('00 - Lists'!$N$2:$N$11,MATCH(L527,'00 - Lists'!$L$2:$L$11,0))),"")</f>
        <v/>
      </c>
      <c r="S527" s="32" t="str">
        <f aca="false">IF(O527="","",IF(O527&gt;=50,"Yes","No"))</f>
        <v/>
      </c>
      <c r="T527" s="32" t="str">
        <f aca="false">IF(Q527="","",IF(Q527&gt;=100000,"Yes","No"))</f>
        <v/>
      </c>
      <c r="U527" s="28"/>
      <c r="V527" s="28"/>
      <c r="W527" s="28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J527" s="34" t="str">
        <f aca="false">IF(OR($BD527&lt;&gt;"",$BF527&lt;&gt;"",$BH527&lt;&gt;""),"Yes","No")</f>
        <v>No</v>
      </c>
      <c r="BK527" s="35" t="str">
        <f aca="false">IFERROR(IF(BD527="","",BD527*INDEX('00 - Lists'!$M$2:$M$11,MATCH(L527,'00 - Lists'!$L$2:$L$11,0))/100000),"")</f>
        <v/>
      </c>
      <c r="BL527" s="35" t="str">
        <f aca="false">IFERROR(IF(BE527="","",BE527*INDEX('00 - Lists'!$M$2:$M$11,MATCH(L527,'00 - Lists'!$L$2:$L$11,0))/100000),"")</f>
        <v/>
      </c>
      <c r="BM527" s="35" t="str">
        <f aca="false">IFERROR(IF(BF527="","",BF527*INDEX('00 - Lists'!$M$2:$M$11,MATCH(L527,'00 - Lists'!$L$2:$L$11,0))/100000),"")</f>
        <v/>
      </c>
      <c r="BN527" s="35" t="str">
        <f aca="false">IFERROR(IF(BG527="","",BG527*INDEX('00 - Lists'!$M$2:$M$11,MATCH(L527,'00 - Lists'!$L$2:$L$11,0))/100000),"")</f>
        <v/>
      </c>
      <c r="BO527" s="35" t="str">
        <f aca="false">IFERROR(IF(BH527="","",BH527*INDEX('00 - Lists'!$M$2:$M$11,MATCH(L527,'00 - Lists'!$L$2:$L$11,0))/100000),"")</f>
        <v/>
      </c>
      <c r="BP527" s="35" t="str">
        <f aca="false">IFERROR(IF(BI527="","",BI527*INDEX('00 - Lists'!$M$2:$M$11,MATCH(L527,'00 - Lists'!$L$2:$L$11,0))/100000),"")</f>
        <v/>
      </c>
      <c r="BS527" s="36" t="str">
        <f aca="false">IF(O527="","",IF(O527&gt;=20,"Yes","No"))</f>
        <v/>
      </c>
      <c r="BT527" s="36" t="str">
        <f aca="false">IF(O527="","",IF(O527&gt;=30,"Yes","No"))</f>
        <v/>
      </c>
      <c r="BU527" s="36" t="str">
        <f aca="false">IF(O527="","",IF(O527&gt;=75,"Yes","No"))</f>
        <v/>
      </c>
      <c r="BV527" s="36" t="str">
        <f aca="false">IF(O527="","",IF(O527&gt;=100,"Yes","No"))</f>
        <v/>
      </c>
      <c r="BW527" s="36" t="str">
        <f aca="false">IF(O527="","",IF(O527&gt;=150,"Yes","No"))</f>
        <v/>
      </c>
      <c r="BX527" s="36" t="str">
        <f aca="false">IF(O527="","",IF(O527&gt;=200,"Yes","No"))</f>
        <v/>
      </c>
      <c r="BY527" s="36" t="str">
        <f aca="false">IF(Q527="","",IF(Q527&gt;=150000,"Yes","No"))</f>
        <v/>
      </c>
      <c r="BZ527" s="36" t="str">
        <f aca="false">IF(Q527="","",IF(Q527&gt;=200000,"Yes","No"))</f>
        <v/>
      </c>
      <c r="CA527" s="36" t="str">
        <f aca="false">IF(Q527="","",IF(Q527&gt;=250000,"Yes","No"))</f>
        <v/>
      </c>
      <c r="CB527" s="36" t="str">
        <f aca="false">IF(Q527="","",IF(Q527&gt;=300000,"Yes","No"))</f>
        <v/>
      </c>
      <c r="CC527" s="37"/>
      <c r="CD527" s="36" t="str">
        <f aca="true">IF(B527="","",IF(TODAY()-B527&lt;=7,"🟢 0-7d",IF(TODAY()-B527&lt;=30,"🟡 8-30d",IF(TODAY()-B527&lt;=60,"🟠 31-60d","🔴 60d+"))))</f>
        <v/>
      </c>
      <c r="CE527" s="36" t="str">
        <f aca="false">IF(G527="","",IF(G527&lt;&gt;"USA","N/A - Not USA Role",IF(J527="Yes",IF(OR(F527="Intern",F527="New Grad"),"🟡 Possible","🟢 Strong"),IF(J527="No","🔴 Difficult","⚪ Unknown"))))</f>
        <v/>
      </c>
      <c r="CF527" s="37"/>
      <c r="CG527" s="37"/>
      <c r="CH527" s="38"/>
      <c r="CI527" s="38"/>
      <c r="CJ527" s="38"/>
      <c r="CK527" s="38"/>
    </row>
    <row r="528" customFormat="false" ht="15" hidden="false" customHeight="true" outlineLevel="0" collapsed="false">
      <c r="A528" s="26" t="str">
        <f aca="false">IF($C528="","",ROW()-3)</f>
        <v/>
      </c>
      <c r="B528" s="27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9"/>
      <c r="N528" s="29"/>
      <c r="O528" s="30" t="str">
        <f aca="false">IFERROR(IF(M528="","",M528*INDEX('00 - Lists'!$M$2:$M$11,MATCH(L528,'00 - Lists'!$L$2:$L$11,0))/100000),"")</f>
        <v/>
      </c>
      <c r="P528" s="30" t="str">
        <f aca="false">IFERROR(IF(N528="","",N528*INDEX('00 - Lists'!$M$2:$M$11,MATCH(L528,'00 - Lists'!$L$2:$L$11,0))/100000),"")</f>
        <v/>
      </c>
      <c r="Q528" s="31" t="str">
        <f aca="false">IFERROR(IF(M528="","",M528*INDEX('00 - Lists'!$N$2:$N$11,MATCH(L528,'00 - Lists'!$L$2:$L$11,0))),"")</f>
        <v/>
      </c>
      <c r="R528" s="31" t="str">
        <f aca="false">IFERROR(IF(N528="","",N528*INDEX('00 - Lists'!$N$2:$N$11,MATCH(L528,'00 - Lists'!$L$2:$L$11,0))),"")</f>
        <v/>
      </c>
      <c r="S528" s="32" t="str">
        <f aca="false">IF(O528="","",IF(O528&gt;=50,"Yes","No"))</f>
        <v/>
      </c>
      <c r="T528" s="32" t="str">
        <f aca="false">IF(Q528="","",IF(Q528&gt;=100000,"Yes","No"))</f>
        <v/>
      </c>
      <c r="U528" s="28"/>
      <c r="V528" s="28"/>
      <c r="W528" s="28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J528" s="34" t="str">
        <f aca="false">IF(OR($BD528&lt;&gt;"",$BF528&lt;&gt;"",$BH528&lt;&gt;""),"Yes","No")</f>
        <v>No</v>
      </c>
      <c r="BK528" s="35" t="str">
        <f aca="false">IFERROR(IF(BD528="","",BD528*INDEX('00 - Lists'!$M$2:$M$11,MATCH(L528,'00 - Lists'!$L$2:$L$11,0))/100000),"")</f>
        <v/>
      </c>
      <c r="BL528" s="35" t="str">
        <f aca="false">IFERROR(IF(BE528="","",BE528*INDEX('00 - Lists'!$M$2:$M$11,MATCH(L528,'00 - Lists'!$L$2:$L$11,0))/100000),"")</f>
        <v/>
      </c>
      <c r="BM528" s="35" t="str">
        <f aca="false">IFERROR(IF(BF528="","",BF528*INDEX('00 - Lists'!$M$2:$M$11,MATCH(L528,'00 - Lists'!$L$2:$L$11,0))/100000),"")</f>
        <v/>
      </c>
      <c r="BN528" s="35" t="str">
        <f aca="false">IFERROR(IF(BG528="","",BG528*INDEX('00 - Lists'!$M$2:$M$11,MATCH(L528,'00 - Lists'!$L$2:$L$11,0))/100000),"")</f>
        <v/>
      </c>
      <c r="BO528" s="35" t="str">
        <f aca="false">IFERROR(IF(BH528="","",BH528*INDEX('00 - Lists'!$M$2:$M$11,MATCH(L528,'00 - Lists'!$L$2:$L$11,0))/100000),"")</f>
        <v/>
      </c>
      <c r="BP528" s="35" t="str">
        <f aca="false">IFERROR(IF(BI528="","",BI528*INDEX('00 - Lists'!$M$2:$M$11,MATCH(L528,'00 - Lists'!$L$2:$L$11,0))/100000),"")</f>
        <v/>
      </c>
      <c r="BS528" s="36" t="str">
        <f aca="false">IF(O528="","",IF(O528&gt;=20,"Yes","No"))</f>
        <v/>
      </c>
      <c r="BT528" s="36" t="str">
        <f aca="false">IF(O528="","",IF(O528&gt;=30,"Yes","No"))</f>
        <v/>
      </c>
      <c r="BU528" s="36" t="str">
        <f aca="false">IF(O528="","",IF(O528&gt;=75,"Yes","No"))</f>
        <v/>
      </c>
      <c r="BV528" s="36" t="str">
        <f aca="false">IF(O528="","",IF(O528&gt;=100,"Yes","No"))</f>
        <v/>
      </c>
      <c r="BW528" s="36" t="str">
        <f aca="false">IF(O528="","",IF(O528&gt;=150,"Yes","No"))</f>
        <v/>
      </c>
      <c r="BX528" s="36" t="str">
        <f aca="false">IF(O528="","",IF(O528&gt;=200,"Yes","No"))</f>
        <v/>
      </c>
      <c r="BY528" s="36" t="str">
        <f aca="false">IF(Q528="","",IF(Q528&gt;=150000,"Yes","No"))</f>
        <v/>
      </c>
      <c r="BZ528" s="36" t="str">
        <f aca="false">IF(Q528="","",IF(Q528&gt;=200000,"Yes","No"))</f>
        <v/>
      </c>
      <c r="CA528" s="36" t="str">
        <f aca="false">IF(Q528="","",IF(Q528&gt;=250000,"Yes","No"))</f>
        <v/>
      </c>
      <c r="CB528" s="36" t="str">
        <f aca="false">IF(Q528="","",IF(Q528&gt;=300000,"Yes","No"))</f>
        <v/>
      </c>
      <c r="CC528" s="37"/>
      <c r="CD528" s="36" t="str">
        <f aca="true">IF(B528="","",IF(TODAY()-B528&lt;=7,"🟢 0-7d",IF(TODAY()-B528&lt;=30,"🟡 8-30d",IF(TODAY()-B528&lt;=60,"🟠 31-60d","🔴 60d+"))))</f>
        <v/>
      </c>
      <c r="CE528" s="36" t="str">
        <f aca="false">IF(G528="","",IF(G528&lt;&gt;"USA","N/A - Not USA Role",IF(J528="Yes",IF(OR(F528="Intern",F528="New Grad"),"🟡 Possible","🟢 Strong"),IF(J528="No","🔴 Difficult","⚪ Unknown"))))</f>
        <v/>
      </c>
      <c r="CF528" s="37"/>
      <c r="CG528" s="37"/>
      <c r="CH528" s="38"/>
      <c r="CI528" s="38"/>
      <c r="CJ528" s="38"/>
      <c r="CK528" s="38"/>
    </row>
    <row r="529" customFormat="false" ht="15" hidden="false" customHeight="true" outlineLevel="0" collapsed="false">
      <c r="A529" s="26" t="str">
        <f aca="false">IF($C529="","",ROW()-3)</f>
        <v/>
      </c>
      <c r="B529" s="27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9"/>
      <c r="N529" s="29"/>
      <c r="O529" s="30" t="str">
        <f aca="false">IFERROR(IF(M529="","",M529*INDEX('00 - Lists'!$M$2:$M$11,MATCH(L529,'00 - Lists'!$L$2:$L$11,0))/100000),"")</f>
        <v/>
      </c>
      <c r="P529" s="30" t="str">
        <f aca="false">IFERROR(IF(N529="","",N529*INDEX('00 - Lists'!$M$2:$M$11,MATCH(L529,'00 - Lists'!$L$2:$L$11,0))/100000),"")</f>
        <v/>
      </c>
      <c r="Q529" s="31" t="str">
        <f aca="false">IFERROR(IF(M529="","",M529*INDEX('00 - Lists'!$N$2:$N$11,MATCH(L529,'00 - Lists'!$L$2:$L$11,0))),"")</f>
        <v/>
      </c>
      <c r="R529" s="31" t="str">
        <f aca="false">IFERROR(IF(N529="","",N529*INDEX('00 - Lists'!$N$2:$N$11,MATCH(L529,'00 - Lists'!$L$2:$L$11,0))),"")</f>
        <v/>
      </c>
      <c r="S529" s="32" t="str">
        <f aca="false">IF(O529="","",IF(O529&gt;=50,"Yes","No"))</f>
        <v/>
      </c>
      <c r="T529" s="32" t="str">
        <f aca="false">IF(Q529="","",IF(Q529&gt;=100000,"Yes","No"))</f>
        <v/>
      </c>
      <c r="U529" s="28"/>
      <c r="V529" s="28"/>
      <c r="W529" s="28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J529" s="34" t="str">
        <f aca="false">IF(OR($BD529&lt;&gt;"",$BF529&lt;&gt;"",$BH529&lt;&gt;""),"Yes","No")</f>
        <v>No</v>
      </c>
      <c r="BK529" s="35" t="str">
        <f aca="false">IFERROR(IF(BD529="","",BD529*INDEX('00 - Lists'!$M$2:$M$11,MATCH(L529,'00 - Lists'!$L$2:$L$11,0))/100000),"")</f>
        <v/>
      </c>
      <c r="BL529" s="35" t="str">
        <f aca="false">IFERROR(IF(BE529="","",BE529*INDEX('00 - Lists'!$M$2:$M$11,MATCH(L529,'00 - Lists'!$L$2:$L$11,0))/100000),"")</f>
        <v/>
      </c>
      <c r="BM529" s="35" t="str">
        <f aca="false">IFERROR(IF(BF529="","",BF529*INDEX('00 - Lists'!$M$2:$M$11,MATCH(L529,'00 - Lists'!$L$2:$L$11,0))/100000),"")</f>
        <v/>
      </c>
      <c r="BN529" s="35" t="str">
        <f aca="false">IFERROR(IF(BG529="","",BG529*INDEX('00 - Lists'!$M$2:$M$11,MATCH(L529,'00 - Lists'!$L$2:$L$11,0))/100000),"")</f>
        <v/>
      </c>
      <c r="BO529" s="35" t="str">
        <f aca="false">IFERROR(IF(BH529="","",BH529*INDEX('00 - Lists'!$M$2:$M$11,MATCH(L529,'00 - Lists'!$L$2:$L$11,0))/100000),"")</f>
        <v/>
      </c>
      <c r="BP529" s="35" t="str">
        <f aca="false">IFERROR(IF(BI529="","",BI529*INDEX('00 - Lists'!$M$2:$M$11,MATCH(L529,'00 - Lists'!$L$2:$L$11,0))/100000),"")</f>
        <v/>
      </c>
      <c r="BS529" s="36" t="str">
        <f aca="false">IF(O529="","",IF(O529&gt;=20,"Yes","No"))</f>
        <v/>
      </c>
      <c r="BT529" s="36" t="str">
        <f aca="false">IF(O529="","",IF(O529&gt;=30,"Yes","No"))</f>
        <v/>
      </c>
      <c r="BU529" s="36" t="str">
        <f aca="false">IF(O529="","",IF(O529&gt;=75,"Yes","No"))</f>
        <v/>
      </c>
      <c r="BV529" s="36" t="str">
        <f aca="false">IF(O529="","",IF(O529&gt;=100,"Yes","No"))</f>
        <v/>
      </c>
      <c r="BW529" s="36" t="str">
        <f aca="false">IF(O529="","",IF(O529&gt;=150,"Yes","No"))</f>
        <v/>
      </c>
      <c r="BX529" s="36" t="str">
        <f aca="false">IF(O529="","",IF(O529&gt;=200,"Yes","No"))</f>
        <v/>
      </c>
      <c r="BY529" s="36" t="str">
        <f aca="false">IF(Q529="","",IF(Q529&gt;=150000,"Yes","No"))</f>
        <v/>
      </c>
      <c r="BZ529" s="36" t="str">
        <f aca="false">IF(Q529="","",IF(Q529&gt;=200000,"Yes","No"))</f>
        <v/>
      </c>
      <c r="CA529" s="36" t="str">
        <f aca="false">IF(Q529="","",IF(Q529&gt;=250000,"Yes","No"))</f>
        <v/>
      </c>
      <c r="CB529" s="36" t="str">
        <f aca="false">IF(Q529="","",IF(Q529&gt;=300000,"Yes","No"))</f>
        <v/>
      </c>
      <c r="CC529" s="37"/>
      <c r="CD529" s="36" t="str">
        <f aca="true">IF(B529="","",IF(TODAY()-B529&lt;=7,"🟢 0-7d",IF(TODAY()-B529&lt;=30,"🟡 8-30d",IF(TODAY()-B529&lt;=60,"🟠 31-60d","🔴 60d+"))))</f>
        <v/>
      </c>
      <c r="CE529" s="36" t="str">
        <f aca="false">IF(G529="","",IF(G529&lt;&gt;"USA","N/A - Not USA Role",IF(J529="Yes",IF(OR(F529="Intern",F529="New Grad"),"🟡 Possible","🟢 Strong"),IF(J529="No","🔴 Difficult","⚪ Unknown"))))</f>
        <v/>
      </c>
      <c r="CF529" s="37"/>
      <c r="CG529" s="37"/>
      <c r="CH529" s="38"/>
      <c r="CI529" s="38"/>
      <c r="CJ529" s="38"/>
      <c r="CK529" s="38"/>
    </row>
    <row r="530" customFormat="false" ht="15" hidden="false" customHeight="true" outlineLevel="0" collapsed="false">
      <c r="A530" s="26" t="str">
        <f aca="false">IF($C530="","",ROW()-3)</f>
        <v/>
      </c>
      <c r="B530" s="27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9"/>
      <c r="N530" s="29"/>
      <c r="O530" s="30" t="str">
        <f aca="false">IFERROR(IF(M530="","",M530*INDEX('00 - Lists'!$M$2:$M$11,MATCH(L530,'00 - Lists'!$L$2:$L$11,0))/100000),"")</f>
        <v/>
      </c>
      <c r="P530" s="30" t="str">
        <f aca="false">IFERROR(IF(N530="","",N530*INDEX('00 - Lists'!$M$2:$M$11,MATCH(L530,'00 - Lists'!$L$2:$L$11,0))/100000),"")</f>
        <v/>
      </c>
      <c r="Q530" s="31" t="str">
        <f aca="false">IFERROR(IF(M530="","",M530*INDEX('00 - Lists'!$N$2:$N$11,MATCH(L530,'00 - Lists'!$L$2:$L$11,0))),"")</f>
        <v/>
      </c>
      <c r="R530" s="31" t="str">
        <f aca="false">IFERROR(IF(N530="","",N530*INDEX('00 - Lists'!$N$2:$N$11,MATCH(L530,'00 - Lists'!$L$2:$L$11,0))),"")</f>
        <v/>
      </c>
      <c r="S530" s="32" t="str">
        <f aca="false">IF(O530="","",IF(O530&gt;=50,"Yes","No"))</f>
        <v/>
      </c>
      <c r="T530" s="32" t="str">
        <f aca="false">IF(Q530="","",IF(Q530&gt;=100000,"Yes","No"))</f>
        <v/>
      </c>
      <c r="U530" s="28"/>
      <c r="V530" s="28"/>
      <c r="W530" s="28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J530" s="34" t="str">
        <f aca="false">IF(OR($BD530&lt;&gt;"",$BF530&lt;&gt;"",$BH530&lt;&gt;""),"Yes","No")</f>
        <v>No</v>
      </c>
      <c r="BK530" s="35" t="str">
        <f aca="false">IFERROR(IF(BD530="","",BD530*INDEX('00 - Lists'!$M$2:$M$11,MATCH(L530,'00 - Lists'!$L$2:$L$11,0))/100000),"")</f>
        <v/>
      </c>
      <c r="BL530" s="35" t="str">
        <f aca="false">IFERROR(IF(BE530="","",BE530*INDEX('00 - Lists'!$M$2:$M$11,MATCH(L530,'00 - Lists'!$L$2:$L$11,0))/100000),"")</f>
        <v/>
      </c>
      <c r="BM530" s="35" t="str">
        <f aca="false">IFERROR(IF(BF530="","",BF530*INDEX('00 - Lists'!$M$2:$M$11,MATCH(L530,'00 - Lists'!$L$2:$L$11,0))/100000),"")</f>
        <v/>
      </c>
      <c r="BN530" s="35" t="str">
        <f aca="false">IFERROR(IF(BG530="","",BG530*INDEX('00 - Lists'!$M$2:$M$11,MATCH(L530,'00 - Lists'!$L$2:$L$11,0))/100000),"")</f>
        <v/>
      </c>
      <c r="BO530" s="35" t="str">
        <f aca="false">IFERROR(IF(BH530="","",BH530*INDEX('00 - Lists'!$M$2:$M$11,MATCH(L530,'00 - Lists'!$L$2:$L$11,0))/100000),"")</f>
        <v/>
      </c>
      <c r="BP530" s="35" t="str">
        <f aca="false">IFERROR(IF(BI530="","",BI530*INDEX('00 - Lists'!$M$2:$M$11,MATCH(L530,'00 - Lists'!$L$2:$L$11,0))/100000),"")</f>
        <v/>
      </c>
      <c r="BS530" s="36" t="str">
        <f aca="false">IF(O530="","",IF(O530&gt;=20,"Yes","No"))</f>
        <v/>
      </c>
      <c r="BT530" s="36" t="str">
        <f aca="false">IF(O530="","",IF(O530&gt;=30,"Yes","No"))</f>
        <v/>
      </c>
      <c r="BU530" s="36" t="str">
        <f aca="false">IF(O530="","",IF(O530&gt;=75,"Yes","No"))</f>
        <v/>
      </c>
      <c r="BV530" s="36" t="str">
        <f aca="false">IF(O530="","",IF(O530&gt;=100,"Yes","No"))</f>
        <v/>
      </c>
      <c r="BW530" s="36" t="str">
        <f aca="false">IF(O530="","",IF(O530&gt;=150,"Yes","No"))</f>
        <v/>
      </c>
      <c r="BX530" s="36" t="str">
        <f aca="false">IF(O530="","",IF(O530&gt;=200,"Yes","No"))</f>
        <v/>
      </c>
      <c r="BY530" s="36" t="str">
        <f aca="false">IF(Q530="","",IF(Q530&gt;=150000,"Yes","No"))</f>
        <v/>
      </c>
      <c r="BZ530" s="36" t="str">
        <f aca="false">IF(Q530="","",IF(Q530&gt;=200000,"Yes","No"))</f>
        <v/>
      </c>
      <c r="CA530" s="36" t="str">
        <f aca="false">IF(Q530="","",IF(Q530&gt;=250000,"Yes","No"))</f>
        <v/>
      </c>
      <c r="CB530" s="36" t="str">
        <f aca="false">IF(Q530="","",IF(Q530&gt;=300000,"Yes","No"))</f>
        <v/>
      </c>
      <c r="CC530" s="37"/>
      <c r="CD530" s="36" t="str">
        <f aca="true">IF(B530="","",IF(TODAY()-B530&lt;=7,"🟢 0-7d",IF(TODAY()-B530&lt;=30,"🟡 8-30d",IF(TODAY()-B530&lt;=60,"🟠 31-60d","🔴 60d+"))))</f>
        <v/>
      </c>
      <c r="CE530" s="36" t="str">
        <f aca="false">IF(G530="","",IF(G530&lt;&gt;"USA","N/A - Not USA Role",IF(J530="Yes",IF(OR(F530="Intern",F530="New Grad"),"🟡 Possible","🟢 Strong"),IF(J530="No","🔴 Difficult","⚪ Unknown"))))</f>
        <v/>
      </c>
      <c r="CF530" s="37"/>
      <c r="CG530" s="37"/>
      <c r="CH530" s="38"/>
      <c r="CI530" s="38"/>
      <c r="CJ530" s="38"/>
      <c r="CK530" s="38"/>
    </row>
    <row r="531" customFormat="false" ht="15" hidden="false" customHeight="true" outlineLevel="0" collapsed="false">
      <c r="A531" s="26" t="str">
        <f aca="false">IF($C531="","",ROW()-3)</f>
        <v/>
      </c>
      <c r="B531" s="27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9"/>
      <c r="N531" s="29"/>
      <c r="O531" s="30" t="str">
        <f aca="false">IFERROR(IF(M531="","",M531*INDEX('00 - Lists'!$M$2:$M$11,MATCH(L531,'00 - Lists'!$L$2:$L$11,0))/100000),"")</f>
        <v/>
      </c>
      <c r="P531" s="30" t="str">
        <f aca="false">IFERROR(IF(N531="","",N531*INDEX('00 - Lists'!$M$2:$M$11,MATCH(L531,'00 - Lists'!$L$2:$L$11,0))/100000),"")</f>
        <v/>
      </c>
      <c r="Q531" s="31" t="str">
        <f aca="false">IFERROR(IF(M531="","",M531*INDEX('00 - Lists'!$N$2:$N$11,MATCH(L531,'00 - Lists'!$L$2:$L$11,0))),"")</f>
        <v/>
      </c>
      <c r="R531" s="31" t="str">
        <f aca="false">IFERROR(IF(N531="","",N531*INDEX('00 - Lists'!$N$2:$N$11,MATCH(L531,'00 - Lists'!$L$2:$L$11,0))),"")</f>
        <v/>
      </c>
      <c r="S531" s="32" t="str">
        <f aca="false">IF(O531="","",IF(O531&gt;=50,"Yes","No"))</f>
        <v/>
      </c>
      <c r="T531" s="32" t="str">
        <f aca="false">IF(Q531="","",IF(Q531&gt;=100000,"Yes","No"))</f>
        <v/>
      </c>
      <c r="U531" s="28"/>
      <c r="V531" s="28"/>
      <c r="W531" s="28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J531" s="34" t="str">
        <f aca="false">IF(OR($BD531&lt;&gt;"",$BF531&lt;&gt;"",$BH531&lt;&gt;""),"Yes","No")</f>
        <v>No</v>
      </c>
      <c r="BK531" s="35" t="str">
        <f aca="false">IFERROR(IF(BD531="","",BD531*INDEX('00 - Lists'!$M$2:$M$11,MATCH(L531,'00 - Lists'!$L$2:$L$11,0))/100000),"")</f>
        <v/>
      </c>
      <c r="BL531" s="35" t="str">
        <f aca="false">IFERROR(IF(BE531="","",BE531*INDEX('00 - Lists'!$M$2:$M$11,MATCH(L531,'00 - Lists'!$L$2:$L$11,0))/100000),"")</f>
        <v/>
      </c>
      <c r="BM531" s="35" t="str">
        <f aca="false">IFERROR(IF(BF531="","",BF531*INDEX('00 - Lists'!$M$2:$M$11,MATCH(L531,'00 - Lists'!$L$2:$L$11,0))/100000),"")</f>
        <v/>
      </c>
      <c r="BN531" s="35" t="str">
        <f aca="false">IFERROR(IF(BG531="","",BG531*INDEX('00 - Lists'!$M$2:$M$11,MATCH(L531,'00 - Lists'!$L$2:$L$11,0))/100000),"")</f>
        <v/>
      </c>
      <c r="BO531" s="35" t="str">
        <f aca="false">IFERROR(IF(BH531="","",BH531*INDEX('00 - Lists'!$M$2:$M$11,MATCH(L531,'00 - Lists'!$L$2:$L$11,0))/100000),"")</f>
        <v/>
      </c>
      <c r="BP531" s="35" t="str">
        <f aca="false">IFERROR(IF(BI531="","",BI531*INDEX('00 - Lists'!$M$2:$M$11,MATCH(L531,'00 - Lists'!$L$2:$L$11,0))/100000),"")</f>
        <v/>
      </c>
      <c r="BS531" s="36" t="str">
        <f aca="false">IF(O531="","",IF(O531&gt;=20,"Yes","No"))</f>
        <v/>
      </c>
      <c r="BT531" s="36" t="str">
        <f aca="false">IF(O531="","",IF(O531&gt;=30,"Yes","No"))</f>
        <v/>
      </c>
      <c r="BU531" s="36" t="str">
        <f aca="false">IF(O531="","",IF(O531&gt;=75,"Yes","No"))</f>
        <v/>
      </c>
      <c r="BV531" s="36" t="str">
        <f aca="false">IF(O531="","",IF(O531&gt;=100,"Yes","No"))</f>
        <v/>
      </c>
      <c r="BW531" s="36" t="str">
        <f aca="false">IF(O531="","",IF(O531&gt;=150,"Yes","No"))</f>
        <v/>
      </c>
      <c r="BX531" s="36" t="str">
        <f aca="false">IF(O531="","",IF(O531&gt;=200,"Yes","No"))</f>
        <v/>
      </c>
      <c r="BY531" s="36" t="str">
        <f aca="false">IF(Q531="","",IF(Q531&gt;=150000,"Yes","No"))</f>
        <v/>
      </c>
      <c r="BZ531" s="36" t="str">
        <f aca="false">IF(Q531="","",IF(Q531&gt;=200000,"Yes","No"))</f>
        <v/>
      </c>
      <c r="CA531" s="36" t="str">
        <f aca="false">IF(Q531="","",IF(Q531&gt;=250000,"Yes","No"))</f>
        <v/>
      </c>
      <c r="CB531" s="36" t="str">
        <f aca="false">IF(Q531="","",IF(Q531&gt;=300000,"Yes","No"))</f>
        <v/>
      </c>
      <c r="CC531" s="37"/>
      <c r="CD531" s="36" t="str">
        <f aca="true">IF(B531="","",IF(TODAY()-B531&lt;=7,"🟢 0-7d",IF(TODAY()-B531&lt;=30,"🟡 8-30d",IF(TODAY()-B531&lt;=60,"🟠 31-60d","🔴 60d+"))))</f>
        <v/>
      </c>
      <c r="CE531" s="36" t="str">
        <f aca="false">IF(G531="","",IF(G531&lt;&gt;"USA","N/A - Not USA Role",IF(J531="Yes",IF(OR(F531="Intern",F531="New Grad"),"🟡 Possible","🟢 Strong"),IF(J531="No","🔴 Difficult","⚪ Unknown"))))</f>
        <v/>
      </c>
      <c r="CF531" s="37"/>
      <c r="CG531" s="37"/>
      <c r="CH531" s="38"/>
      <c r="CI531" s="38"/>
      <c r="CJ531" s="38"/>
      <c r="CK531" s="38"/>
    </row>
    <row r="532" customFormat="false" ht="15" hidden="false" customHeight="true" outlineLevel="0" collapsed="false">
      <c r="A532" s="26" t="str">
        <f aca="false">IF($C532="","",ROW()-3)</f>
        <v/>
      </c>
      <c r="B532" s="27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9"/>
      <c r="N532" s="29"/>
      <c r="O532" s="30" t="str">
        <f aca="false">IFERROR(IF(M532="","",M532*INDEX('00 - Lists'!$M$2:$M$11,MATCH(L532,'00 - Lists'!$L$2:$L$11,0))/100000),"")</f>
        <v/>
      </c>
      <c r="P532" s="30" t="str">
        <f aca="false">IFERROR(IF(N532="","",N532*INDEX('00 - Lists'!$M$2:$M$11,MATCH(L532,'00 - Lists'!$L$2:$L$11,0))/100000),"")</f>
        <v/>
      </c>
      <c r="Q532" s="31" t="str">
        <f aca="false">IFERROR(IF(M532="","",M532*INDEX('00 - Lists'!$N$2:$N$11,MATCH(L532,'00 - Lists'!$L$2:$L$11,0))),"")</f>
        <v/>
      </c>
      <c r="R532" s="31" t="str">
        <f aca="false">IFERROR(IF(N532="","",N532*INDEX('00 - Lists'!$N$2:$N$11,MATCH(L532,'00 - Lists'!$L$2:$L$11,0))),"")</f>
        <v/>
      </c>
      <c r="S532" s="32" t="str">
        <f aca="false">IF(O532="","",IF(O532&gt;=50,"Yes","No"))</f>
        <v/>
      </c>
      <c r="T532" s="32" t="str">
        <f aca="false">IF(Q532="","",IF(Q532&gt;=100000,"Yes","No"))</f>
        <v/>
      </c>
      <c r="U532" s="28"/>
      <c r="V532" s="28"/>
      <c r="W532" s="28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J532" s="34" t="str">
        <f aca="false">IF(OR($BD532&lt;&gt;"",$BF532&lt;&gt;"",$BH532&lt;&gt;""),"Yes","No")</f>
        <v>No</v>
      </c>
      <c r="BK532" s="35" t="str">
        <f aca="false">IFERROR(IF(BD532="","",BD532*INDEX('00 - Lists'!$M$2:$M$11,MATCH(L532,'00 - Lists'!$L$2:$L$11,0))/100000),"")</f>
        <v/>
      </c>
      <c r="BL532" s="35" t="str">
        <f aca="false">IFERROR(IF(BE532="","",BE532*INDEX('00 - Lists'!$M$2:$M$11,MATCH(L532,'00 - Lists'!$L$2:$L$11,0))/100000),"")</f>
        <v/>
      </c>
      <c r="BM532" s="35" t="str">
        <f aca="false">IFERROR(IF(BF532="","",BF532*INDEX('00 - Lists'!$M$2:$M$11,MATCH(L532,'00 - Lists'!$L$2:$L$11,0))/100000),"")</f>
        <v/>
      </c>
      <c r="BN532" s="35" t="str">
        <f aca="false">IFERROR(IF(BG532="","",BG532*INDEX('00 - Lists'!$M$2:$M$11,MATCH(L532,'00 - Lists'!$L$2:$L$11,0))/100000),"")</f>
        <v/>
      </c>
      <c r="BO532" s="35" t="str">
        <f aca="false">IFERROR(IF(BH532="","",BH532*INDEX('00 - Lists'!$M$2:$M$11,MATCH(L532,'00 - Lists'!$L$2:$L$11,0))/100000),"")</f>
        <v/>
      </c>
      <c r="BP532" s="35" t="str">
        <f aca="false">IFERROR(IF(BI532="","",BI532*INDEX('00 - Lists'!$M$2:$M$11,MATCH(L532,'00 - Lists'!$L$2:$L$11,0))/100000),"")</f>
        <v/>
      </c>
      <c r="BS532" s="36" t="str">
        <f aca="false">IF(O532="","",IF(O532&gt;=20,"Yes","No"))</f>
        <v/>
      </c>
      <c r="BT532" s="36" t="str">
        <f aca="false">IF(O532="","",IF(O532&gt;=30,"Yes","No"))</f>
        <v/>
      </c>
      <c r="BU532" s="36" t="str">
        <f aca="false">IF(O532="","",IF(O532&gt;=75,"Yes","No"))</f>
        <v/>
      </c>
      <c r="BV532" s="36" t="str">
        <f aca="false">IF(O532="","",IF(O532&gt;=100,"Yes","No"))</f>
        <v/>
      </c>
      <c r="BW532" s="36" t="str">
        <f aca="false">IF(O532="","",IF(O532&gt;=150,"Yes","No"))</f>
        <v/>
      </c>
      <c r="BX532" s="36" t="str">
        <f aca="false">IF(O532="","",IF(O532&gt;=200,"Yes","No"))</f>
        <v/>
      </c>
      <c r="BY532" s="36" t="str">
        <f aca="false">IF(Q532="","",IF(Q532&gt;=150000,"Yes","No"))</f>
        <v/>
      </c>
      <c r="BZ532" s="36" t="str">
        <f aca="false">IF(Q532="","",IF(Q532&gt;=200000,"Yes","No"))</f>
        <v/>
      </c>
      <c r="CA532" s="36" t="str">
        <f aca="false">IF(Q532="","",IF(Q532&gt;=250000,"Yes","No"))</f>
        <v/>
      </c>
      <c r="CB532" s="36" t="str">
        <f aca="false">IF(Q532="","",IF(Q532&gt;=300000,"Yes","No"))</f>
        <v/>
      </c>
      <c r="CC532" s="37"/>
      <c r="CD532" s="36" t="str">
        <f aca="true">IF(B532="","",IF(TODAY()-B532&lt;=7,"🟢 0-7d",IF(TODAY()-B532&lt;=30,"🟡 8-30d",IF(TODAY()-B532&lt;=60,"🟠 31-60d","🔴 60d+"))))</f>
        <v/>
      </c>
      <c r="CE532" s="36" t="str">
        <f aca="false">IF(G532="","",IF(G532&lt;&gt;"USA","N/A - Not USA Role",IF(J532="Yes",IF(OR(F532="Intern",F532="New Grad"),"🟡 Possible","🟢 Strong"),IF(J532="No","🔴 Difficult","⚪ Unknown"))))</f>
        <v/>
      </c>
      <c r="CF532" s="37"/>
      <c r="CG532" s="37"/>
      <c r="CH532" s="38"/>
      <c r="CI532" s="38"/>
      <c r="CJ532" s="38"/>
      <c r="CK532" s="38"/>
    </row>
    <row r="533" customFormat="false" ht="15" hidden="false" customHeight="true" outlineLevel="0" collapsed="false">
      <c r="A533" s="26" t="str">
        <f aca="false">IF($C533="","",ROW()-3)</f>
        <v/>
      </c>
      <c r="B533" s="27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9"/>
      <c r="N533" s="29"/>
      <c r="O533" s="30" t="str">
        <f aca="false">IFERROR(IF(M533="","",M533*INDEX('00 - Lists'!$M$2:$M$11,MATCH(L533,'00 - Lists'!$L$2:$L$11,0))/100000),"")</f>
        <v/>
      </c>
      <c r="P533" s="30" t="str">
        <f aca="false">IFERROR(IF(N533="","",N533*INDEX('00 - Lists'!$M$2:$M$11,MATCH(L533,'00 - Lists'!$L$2:$L$11,0))/100000),"")</f>
        <v/>
      </c>
      <c r="Q533" s="31" t="str">
        <f aca="false">IFERROR(IF(M533="","",M533*INDEX('00 - Lists'!$N$2:$N$11,MATCH(L533,'00 - Lists'!$L$2:$L$11,0))),"")</f>
        <v/>
      </c>
      <c r="R533" s="31" t="str">
        <f aca="false">IFERROR(IF(N533="","",N533*INDEX('00 - Lists'!$N$2:$N$11,MATCH(L533,'00 - Lists'!$L$2:$L$11,0))),"")</f>
        <v/>
      </c>
      <c r="S533" s="32" t="str">
        <f aca="false">IF(O533="","",IF(O533&gt;=50,"Yes","No"))</f>
        <v/>
      </c>
      <c r="T533" s="32" t="str">
        <f aca="false">IF(Q533="","",IF(Q533&gt;=100000,"Yes","No"))</f>
        <v/>
      </c>
      <c r="U533" s="28"/>
      <c r="V533" s="28"/>
      <c r="W533" s="28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J533" s="34" t="str">
        <f aca="false">IF(OR($BD533&lt;&gt;"",$BF533&lt;&gt;"",$BH533&lt;&gt;""),"Yes","No")</f>
        <v>No</v>
      </c>
      <c r="BK533" s="35" t="str">
        <f aca="false">IFERROR(IF(BD533="","",BD533*INDEX('00 - Lists'!$M$2:$M$11,MATCH(L533,'00 - Lists'!$L$2:$L$11,0))/100000),"")</f>
        <v/>
      </c>
      <c r="BL533" s="35" t="str">
        <f aca="false">IFERROR(IF(BE533="","",BE533*INDEX('00 - Lists'!$M$2:$M$11,MATCH(L533,'00 - Lists'!$L$2:$L$11,0))/100000),"")</f>
        <v/>
      </c>
      <c r="BM533" s="35" t="str">
        <f aca="false">IFERROR(IF(BF533="","",BF533*INDEX('00 - Lists'!$M$2:$M$11,MATCH(L533,'00 - Lists'!$L$2:$L$11,0))/100000),"")</f>
        <v/>
      </c>
      <c r="BN533" s="35" t="str">
        <f aca="false">IFERROR(IF(BG533="","",BG533*INDEX('00 - Lists'!$M$2:$M$11,MATCH(L533,'00 - Lists'!$L$2:$L$11,0))/100000),"")</f>
        <v/>
      </c>
      <c r="BO533" s="35" t="str">
        <f aca="false">IFERROR(IF(BH533="","",BH533*INDEX('00 - Lists'!$M$2:$M$11,MATCH(L533,'00 - Lists'!$L$2:$L$11,0))/100000),"")</f>
        <v/>
      </c>
      <c r="BP533" s="35" t="str">
        <f aca="false">IFERROR(IF(BI533="","",BI533*INDEX('00 - Lists'!$M$2:$M$11,MATCH(L533,'00 - Lists'!$L$2:$L$11,0))/100000),"")</f>
        <v/>
      </c>
      <c r="BS533" s="36" t="str">
        <f aca="false">IF(O533="","",IF(O533&gt;=20,"Yes","No"))</f>
        <v/>
      </c>
      <c r="BT533" s="36" t="str">
        <f aca="false">IF(O533="","",IF(O533&gt;=30,"Yes","No"))</f>
        <v/>
      </c>
      <c r="BU533" s="36" t="str">
        <f aca="false">IF(O533="","",IF(O533&gt;=75,"Yes","No"))</f>
        <v/>
      </c>
      <c r="BV533" s="36" t="str">
        <f aca="false">IF(O533="","",IF(O533&gt;=100,"Yes","No"))</f>
        <v/>
      </c>
      <c r="BW533" s="36" t="str">
        <f aca="false">IF(O533="","",IF(O533&gt;=150,"Yes","No"))</f>
        <v/>
      </c>
      <c r="BX533" s="36" t="str">
        <f aca="false">IF(O533="","",IF(O533&gt;=200,"Yes","No"))</f>
        <v/>
      </c>
      <c r="BY533" s="36" t="str">
        <f aca="false">IF(Q533="","",IF(Q533&gt;=150000,"Yes","No"))</f>
        <v/>
      </c>
      <c r="BZ533" s="36" t="str">
        <f aca="false">IF(Q533="","",IF(Q533&gt;=200000,"Yes","No"))</f>
        <v/>
      </c>
      <c r="CA533" s="36" t="str">
        <f aca="false">IF(Q533="","",IF(Q533&gt;=250000,"Yes","No"))</f>
        <v/>
      </c>
      <c r="CB533" s="36" t="str">
        <f aca="false">IF(Q533="","",IF(Q533&gt;=300000,"Yes","No"))</f>
        <v/>
      </c>
      <c r="CC533" s="37"/>
      <c r="CD533" s="36" t="str">
        <f aca="true">IF(B533="","",IF(TODAY()-B533&lt;=7,"🟢 0-7d",IF(TODAY()-B533&lt;=30,"🟡 8-30d",IF(TODAY()-B533&lt;=60,"🟠 31-60d","🔴 60d+"))))</f>
        <v/>
      </c>
      <c r="CE533" s="36" t="str">
        <f aca="false">IF(G533="","",IF(G533&lt;&gt;"USA","N/A - Not USA Role",IF(J533="Yes",IF(OR(F533="Intern",F533="New Grad"),"🟡 Possible","🟢 Strong"),IF(J533="No","🔴 Difficult","⚪ Unknown"))))</f>
        <v/>
      </c>
      <c r="CF533" s="37"/>
      <c r="CG533" s="37"/>
      <c r="CH533" s="38"/>
      <c r="CI533" s="38"/>
      <c r="CJ533" s="38"/>
      <c r="CK533" s="38"/>
    </row>
    <row r="534" customFormat="false" ht="15" hidden="false" customHeight="true" outlineLevel="0" collapsed="false">
      <c r="A534" s="26" t="str">
        <f aca="false">IF($C534="","",ROW()-3)</f>
        <v/>
      </c>
      <c r="B534" s="27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9"/>
      <c r="N534" s="29"/>
      <c r="O534" s="30" t="str">
        <f aca="false">IFERROR(IF(M534="","",M534*INDEX('00 - Lists'!$M$2:$M$11,MATCH(L534,'00 - Lists'!$L$2:$L$11,0))/100000),"")</f>
        <v/>
      </c>
      <c r="P534" s="30" t="str">
        <f aca="false">IFERROR(IF(N534="","",N534*INDEX('00 - Lists'!$M$2:$M$11,MATCH(L534,'00 - Lists'!$L$2:$L$11,0))/100000),"")</f>
        <v/>
      </c>
      <c r="Q534" s="31" t="str">
        <f aca="false">IFERROR(IF(M534="","",M534*INDEX('00 - Lists'!$N$2:$N$11,MATCH(L534,'00 - Lists'!$L$2:$L$11,0))),"")</f>
        <v/>
      </c>
      <c r="R534" s="31" t="str">
        <f aca="false">IFERROR(IF(N534="","",N534*INDEX('00 - Lists'!$N$2:$N$11,MATCH(L534,'00 - Lists'!$L$2:$L$11,0))),"")</f>
        <v/>
      </c>
      <c r="S534" s="32" t="str">
        <f aca="false">IF(O534="","",IF(O534&gt;=50,"Yes","No"))</f>
        <v/>
      </c>
      <c r="T534" s="32" t="str">
        <f aca="false">IF(Q534="","",IF(Q534&gt;=100000,"Yes","No"))</f>
        <v/>
      </c>
      <c r="U534" s="28"/>
      <c r="V534" s="28"/>
      <c r="W534" s="28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J534" s="34" t="str">
        <f aca="false">IF(OR($BD534&lt;&gt;"",$BF534&lt;&gt;"",$BH534&lt;&gt;""),"Yes","No")</f>
        <v>No</v>
      </c>
      <c r="BK534" s="35" t="str">
        <f aca="false">IFERROR(IF(BD534="","",BD534*INDEX('00 - Lists'!$M$2:$M$11,MATCH(L534,'00 - Lists'!$L$2:$L$11,0))/100000),"")</f>
        <v/>
      </c>
      <c r="BL534" s="35" t="str">
        <f aca="false">IFERROR(IF(BE534="","",BE534*INDEX('00 - Lists'!$M$2:$M$11,MATCH(L534,'00 - Lists'!$L$2:$L$11,0))/100000),"")</f>
        <v/>
      </c>
      <c r="BM534" s="35" t="str">
        <f aca="false">IFERROR(IF(BF534="","",BF534*INDEX('00 - Lists'!$M$2:$M$11,MATCH(L534,'00 - Lists'!$L$2:$L$11,0))/100000),"")</f>
        <v/>
      </c>
      <c r="BN534" s="35" t="str">
        <f aca="false">IFERROR(IF(BG534="","",BG534*INDEX('00 - Lists'!$M$2:$M$11,MATCH(L534,'00 - Lists'!$L$2:$L$11,0))/100000),"")</f>
        <v/>
      </c>
      <c r="BO534" s="35" t="str">
        <f aca="false">IFERROR(IF(BH534="","",BH534*INDEX('00 - Lists'!$M$2:$M$11,MATCH(L534,'00 - Lists'!$L$2:$L$11,0))/100000),"")</f>
        <v/>
      </c>
      <c r="BP534" s="35" t="str">
        <f aca="false">IFERROR(IF(BI534="","",BI534*INDEX('00 - Lists'!$M$2:$M$11,MATCH(L534,'00 - Lists'!$L$2:$L$11,0))/100000),"")</f>
        <v/>
      </c>
      <c r="BS534" s="36" t="str">
        <f aca="false">IF(O534="","",IF(O534&gt;=20,"Yes","No"))</f>
        <v/>
      </c>
      <c r="BT534" s="36" t="str">
        <f aca="false">IF(O534="","",IF(O534&gt;=30,"Yes","No"))</f>
        <v/>
      </c>
      <c r="BU534" s="36" t="str">
        <f aca="false">IF(O534="","",IF(O534&gt;=75,"Yes","No"))</f>
        <v/>
      </c>
      <c r="BV534" s="36" t="str">
        <f aca="false">IF(O534="","",IF(O534&gt;=100,"Yes","No"))</f>
        <v/>
      </c>
      <c r="BW534" s="36" t="str">
        <f aca="false">IF(O534="","",IF(O534&gt;=150,"Yes","No"))</f>
        <v/>
      </c>
      <c r="BX534" s="36" t="str">
        <f aca="false">IF(O534="","",IF(O534&gt;=200,"Yes","No"))</f>
        <v/>
      </c>
      <c r="BY534" s="36" t="str">
        <f aca="false">IF(Q534="","",IF(Q534&gt;=150000,"Yes","No"))</f>
        <v/>
      </c>
      <c r="BZ534" s="36" t="str">
        <f aca="false">IF(Q534="","",IF(Q534&gt;=200000,"Yes","No"))</f>
        <v/>
      </c>
      <c r="CA534" s="36" t="str">
        <f aca="false">IF(Q534="","",IF(Q534&gt;=250000,"Yes","No"))</f>
        <v/>
      </c>
      <c r="CB534" s="36" t="str">
        <f aca="false">IF(Q534="","",IF(Q534&gt;=300000,"Yes","No"))</f>
        <v/>
      </c>
      <c r="CC534" s="37"/>
      <c r="CD534" s="36" t="str">
        <f aca="true">IF(B534="","",IF(TODAY()-B534&lt;=7,"🟢 0-7d",IF(TODAY()-B534&lt;=30,"🟡 8-30d",IF(TODAY()-B534&lt;=60,"🟠 31-60d","🔴 60d+"))))</f>
        <v/>
      </c>
      <c r="CE534" s="36" t="str">
        <f aca="false">IF(G534="","",IF(G534&lt;&gt;"USA","N/A - Not USA Role",IF(J534="Yes",IF(OR(F534="Intern",F534="New Grad"),"🟡 Possible","🟢 Strong"),IF(J534="No","🔴 Difficult","⚪ Unknown"))))</f>
        <v/>
      </c>
      <c r="CF534" s="37"/>
      <c r="CG534" s="37"/>
      <c r="CH534" s="38"/>
      <c r="CI534" s="38"/>
      <c r="CJ534" s="38"/>
      <c r="CK534" s="38"/>
    </row>
    <row r="535" customFormat="false" ht="15" hidden="false" customHeight="true" outlineLevel="0" collapsed="false">
      <c r="A535" s="26" t="str">
        <f aca="false">IF($C535="","",ROW()-3)</f>
        <v/>
      </c>
      <c r="B535" s="27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9"/>
      <c r="N535" s="29"/>
      <c r="O535" s="30" t="str">
        <f aca="false">IFERROR(IF(M535="","",M535*INDEX('00 - Lists'!$M$2:$M$11,MATCH(L535,'00 - Lists'!$L$2:$L$11,0))/100000),"")</f>
        <v/>
      </c>
      <c r="P535" s="30" t="str">
        <f aca="false">IFERROR(IF(N535="","",N535*INDEX('00 - Lists'!$M$2:$M$11,MATCH(L535,'00 - Lists'!$L$2:$L$11,0))/100000),"")</f>
        <v/>
      </c>
      <c r="Q535" s="31" t="str">
        <f aca="false">IFERROR(IF(M535="","",M535*INDEX('00 - Lists'!$N$2:$N$11,MATCH(L535,'00 - Lists'!$L$2:$L$11,0))),"")</f>
        <v/>
      </c>
      <c r="R535" s="31" t="str">
        <f aca="false">IFERROR(IF(N535="","",N535*INDEX('00 - Lists'!$N$2:$N$11,MATCH(L535,'00 - Lists'!$L$2:$L$11,0))),"")</f>
        <v/>
      </c>
      <c r="S535" s="32" t="str">
        <f aca="false">IF(O535="","",IF(O535&gt;=50,"Yes","No"))</f>
        <v/>
      </c>
      <c r="T535" s="32" t="str">
        <f aca="false">IF(Q535="","",IF(Q535&gt;=100000,"Yes","No"))</f>
        <v/>
      </c>
      <c r="U535" s="28"/>
      <c r="V535" s="28"/>
      <c r="W535" s="28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J535" s="34" t="str">
        <f aca="false">IF(OR($BD535&lt;&gt;"",$BF535&lt;&gt;"",$BH535&lt;&gt;""),"Yes","No")</f>
        <v>No</v>
      </c>
      <c r="BK535" s="35" t="str">
        <f aca="false">IFERROR(IF(BD535="","",BD535*INDEX('00 - Lists'!$M$2:$M$11,MATCH(L535,'00 - Lists'!$L$2:$L$11,0))/100000),"")</f>
        <v/>
      </c>
      <c r="BL535" s="35" t="str">
        <f aca="false">IFERROR(IF(BE535="","",BE535*INDEX('00 - Lists'!$M$2:$M$11,MATCH(L535,'00 - Lists'!$L$2:$L$11,0))/100000),"")</f>
        <v/>
      </c>
      <c r="BM535" s="35" t="str">
        <f aca="false">IFERROR(IF(BF535="","",BF535*INDEX('00 - Lists'!$M$2:$M$11,MATCH(L535,'00 - Lists'!$L$2:$L$11,0))/100000),"")</f>
        <v/>
      </c>
      <c r="BN535" s="35" t="str">
        <f aca="false">IFERROR(IF(BG535="","",BG535*INDEX('00 - Lists'!$M$2:$M$11,MATCH(L535,'00 - Lists'!$L$2:$L$11,0))/100000),"")</f>
        <v/>
      </c>
      <c r="BO535" s="35" t="str">
        <f aca="false">IFERROR(IF(BH535="","",BH535*INDEX('00 - Lists'!$M$2:$M$11,MATCH(L535,'00 - Lists'!$L$2:$L$11,0))/100000),"")</f>
        <v/>
      </c>
      <c r="BP535" s="35" t="str">
        <f aca="false">IFERROR(IF(BI535="","",BI535*INDEX('00 - Lists'!$M$2:$M$11,MATCH(L535,'00 - Lists'!$L$2:$L$11,0))/100000),"")</f>
        <v/>
      </c>
      <c r="BS535" s="36" t="str">
        <f aca="false">IF(O535="","",IF(O535&gt;=20,"Yes","No"))</f>
        <v/>
      </c>
      <c r="BT535" s="36" t="str">
        <f aca="false">IF(O535="","",IF(O535&gt;=30,"Yes","No"))</f>
        <v/>
      </c>
      <c r="BU535" s="36" t="str">
        <f aca="false">IF(O535="","",IF(O535&gt;=75,"Yes","No"))</f>
        <v/>
      </c>
      <c r="BV535" s="36" t="str">
        <f aca="false">IF(O535="","",IF(O535&gt;=100,"Yes","No"))</f>
        <v/>
      </c>
      <c r="BW535" s="36" t="str">
        <f aca="false">IF(O535="","",IF(O535&gt;=150,"Yes","No"))</f>
        <v/>
      </c>
      <c r="BX535" s="36" t="str">
        <f aca="false">IF(O535="","",IF(O535&gt;=200,"Yes","No"))</f>
        <v/>
      </c>
      <c r="BY535" s="36" t="str">
        <f aca="false">IF(Q535="","",IF(Q535&gt;=150000,"Yes","No"))</f>
        <v/>
      </c>
      <c r="BZ535" s="36" t="str">
        <f aca="false">IF(Q535="","",IF(Q535&gt;=200000,"Yes","No"))</f>
        <v/>
      </c>
      <c r="CA535" s="36" t="str">
        <f aca="false">IF(Q535="","",IF(Q535&gt;=250000,"Yes","No"))</f>
        <v/>
      </c>
      <c r="CB535" s="36" t="str">
        <f aca="false">IF(Q535="","",IF(Q535&gt;=300000,"Yes","No"))</f>
        <v/>
      </c>
      <c r="CC535" s="37"/>
      <c r="CD535" s="36" t="str">
        <f aca="true">IF(B535="","",IF(TODAY()-B535&lt;=7,"🟢 0-7d",IF(TODAY()-B535&lt;=30,"🟡 8-30d",IF(TODAY()-B535&lt;=60,"🟠 31-60d","🔴 60d+"))))</f>
        <v/>
      </c>
      <c r="CE535" s="36" t="str">
        <f aca="false">IF(G535="","",IF(G535&lt;&gt;"USA","N/A - Not USA Role",IF(J535="Yes",IF(OR(F535="Intern",F535="New Grad"),"🟡 Possible","🟢 Strong"),IF(J535="No","🔴 Difficult","⚪ Unknown"))))</f>
        <v/>
      </c>
      <c r="CF535" s="37"/>
      <c r="CG535" s="37"/>
      <c r="CH535" s="38"/>
      <c r="CI535" s="38"/>
      <c r="CJ535" s="38"/>
      <c r="CK535" s="38"/>
    </row>
    <row r="536" customFormat="false" ht="15" hidden="false" customHeight="true" outlineLevel="0" collapsed="false">
      <c r="A536" s="26" t="str">
        <f aca="false">IF($C536="","",ROW()-3)</f>
        <v/>
      </c>
      <c r="B536" s="27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9"/>
      <c r="N536" s="29"/>
      <c r="O536" s="30" t="str">
        <f aca="false">IFERROR(IF(M536="","",M536*INDEX('00 - Lists'!$M$2:$M$11,MATCH(L536,'00 - Lists'!$L$2:$L$11,0))/100000),"")</f>
        <v/>
      </c>
      <c r="P536" s="30" t="str">
        <f aca="false">IFERROR(IF(N536="","",N536*INDEX('00 - Lists'!$M$2:$M$11,MATCH(L536,'00 - Lists'!$L$2:$L$11,0))/100000),"")</f>
        <v/>
      </c>
      <c r="Q536" s="31" t="str">
        <f aca="false">IFERROR(IF(M536="","",M536*INDEX('00 - Lists'!$N$2:$N$11,MATCH(L536,'00 - Lists'!$L$2:$L$11,0))),"")</f>
        <v/>
      </c>
      <c r="R536" s="31" t="str">
        <f aca="false">IFERROR(IF(N536="","",N536*INDEX('00 - Lists'!$N$2:$N$11,MATCH(L536,'00 - Lists'!$L$2:$L$11,0))),"")</f>
        <v/>
      </c>
      <c r="S536" s="32" t="str">
        <f aca="false">IF(O536="","",IF(O536&gt;=50,"Yes","No"))</f>
        <v/>
      </c>
      <c r="T536" s="32" t="str">
        <f aca="false">IF(Q536="","",IF(Q536&gt;=100000,"Yes","No"))</f>
        <v/>
      </c>
      <c r="U536" s="28"/>
      <c r="V536" s="28"/>
      <c r="W536" s="28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J536" s="34" t="str">
        <f aca="false">IF(OR($BD536&lt;&gt;"",$BF536&lt;&gt;"",$BH536&lt;&gt;""),"Yes","No")</f>
        <v>No</v>
      </c>
      <c r="BK536" s="35" t="str">
        <f aca="false">IFERROR(IF(BD536="","",BD536*INDEX('00 - Lists'!$M$2:$M$11,MATCH(L536,'00 - Lists'!$L$2:$L$11,0))/100000),"")</f>
        <v/>
      </c>
      <c r="BL536" s="35" t="str">
        <f aca="false">IFERROR(IF(BE536="","",BE536*INDEX('00 - Lists'!$M$2:$M$11,MATCH(L536,'00 - Lists'!$L$2:$L$11,0))/100000),"")</f>
        <v/>
      </c>
      <c r="BM536" s="35" t="str">
        <f aca="false">IFERROR(IF(BF536="","",BF536*INDEX('00 - Lists'!$M$2:$M$11,MATCH(L536,'00 - Lists'!$L$2:$L$11,0))/100000),"")</f>
        <v/>
      </c>
      <c r="BN536" s="35" t="str">
        <f aca="false">IFERROR(IF(BG536="","",BG536*INDEX('00 - Lists'!$M$2:$M$11,MATCH(L536,'00 - Lists'!$L$2:$L$11,0))/100000),"")</f>
        <v/>
      </c>
      <c r="BO536" s="35" t="str">
        <f aca="false">IFERROR(IF(BH536="","",BH536*INDEX('00 - Lists'!$M$2:$M$11,MATCH(L536,'00 - Lists'!$L$2:$L$11,0))/100000),"")</f>
        <v/>
      </c>
      <c r="BP536" s="35" t="str">
        <f aca="false">IFERROR(IF(BI536="","",BI536*INDEX('00 - Lists'!$M$2:$M$11,MATCH(L536,'00 - Lists'!$L$2:$L$11,0))/100000),"")</f>
        <v/>
      </c>
      <c r="BS536" s="36" t="str">
        <f aca="false">IF(O536="","",IF(O536&gt;=20,"Yes","No"))</f>
        <v/>
      </c>
      <c r="BT536" s="36" t="str">
        <f aca="false">IF(O536="","",IF(O536&gt;=30,"Yes","No"))</f>
        <v/>
      </c>
      <c r="BU536" s="36" t="str">
        <f aca="false">IF(O536="","",IF(O536&gt;=75,"Yes","No"))</f>
        <v/>
      </c>
      <c r="BV536" s="36" t="str">
        <f aca="false">IF(O536="","",IF(O536&gt;=100,"Yes","No"))</f>
        <v/>
      </c>
      <c r="BW536" s="36" t="str">
        <f aca="false">IF(O536="","",IF(O536&gt;=150,"Yes","No"))</f>
        <v/>
      </c>
      <c r="BX536" s="36" t="str">
        <f aca="false">IF(O536="","",IF(O536&gt;=200,"Yes","No"))</f>
        <v/>
      </c>
      <c r="BY536" s="36" t="str">
        <f aca="false">IF(Q536="","",IF(Q536&gt;=150000,"Yes","No"))</f>
        <v/>
      </c>
      <c r="BZ536" s="36" t="str">
        <f aca="false">IF(Q536="","",IF(Q536&gt;=200000,"Yes","No"))</f>
        <v/>
      </c>
      <c r="CA536" s="36" t="str">
        <f aca="false">IF(Q536="","",IF(Q536&gt;=250000,"Yes","No"))</f>
        <v/>
      </c>
      <c r="CB536" s="36" t="str">
        <f aca="false">IF(Q536="","",IF(Q536&gt;=300000,"Yes","No"))</f>
        <v/>
      </c>
      <c r="CC536" s="37"/>
      <c r="CD536" s="36" t="str">
        <f aca="true">IF(B536="","",IF(TODAY()-B536&lt;=7,"🟢 0-7d",IF(TODAY()-B536&lt;=30,"🟡 8-30d",IF(TODAY()-B536&lt;=60,"🟠 31-60d","🔴 60d+"))))</f>
        <v/>
      </c>
      <c r="CE536" s="36" t="str">
        <f aca="false">IF(G536="","",IF(G536&lt;&gt;"USA","N/A - Not USA Role",IF(J536="Yes",IF(OR(F536="Intern",F536="New Grad"),"🟡 Possible","🟢 Strong"),IF(J536="No","🔴 Difficult","⚪ Unknown"))))</f>
        <v/>
      </c>
      <c r="CF536" s="37"/>
      <c r="CG536" s="37"/>
      <c r="CH536" s="38"/>
      <c r="CI536" s="38"/>
      <c r="CJ536" s="38"/>
      <c r="CK536" s="38"/>
    </row>
    <row r="537" customFormat="false" ht="15" hidden="false" customHeight="true" outlineLevel="0" collapsed="false">
      <c r="A537" s="26" t="str">
        <f aca="false">IF($C537="","",ROW()-3)</f>
        <v/>
      </c>
      <c r="B537" s="27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9"/>
      <c r="N537" s="29"/>
      <c r="O537" s="30" t="str">
        <f aca="false">IFERROR(IF(M537="","",M537*INDEX('00 - Lists'!$M$2:$M$11,MATCH(L537,'00 - Lists'!$L$2:$L$11,0))/100000),"")</f>
        <v/>
      </c>
      <c r="P537" s="30" t="str">
        <f aca="false">IFERROR(IF(N537="","",N537*INDEX('00 - Lists'!$M$2:$M$11,MATCH(L537,'00 - Lists'!$L$2:$L$11,0))/100000),"")</f>
        <v/>
      </c>
      <c r="Q537" s="31" t="str">
        <f aca="false">IFERROR(IF(M537="","",M537*INDEX('00 - Lists'!$N$2:$N$11,MATCH(L537,'00 - Lists'!$L$2:$L$11,0))),"")</f>
        <v/>
      </c>
      <c r="R537" s="31" t="str">
        <f aca="false">IFERROR(IF(N537="","",N537*INDEX('00 - Lists'!$N$2:$N$11,MATCH(L537,'00 - Lists'!$L$2:$L$11,0))),"")</f>
        <v/>
      </c>
      <c r="S537" s="32" t="str">
        <f aca="false">IF(O537="","",IF(O537&gt;=50,"Yes","No"))</f>
        <v/>
      </c>
      <c r="T537" s="32" t="str">
        <f aca="false">IF(Q537="","",IF(Q537&gt;=100000,"Yes","No"))</f>
        <v/>
      </c>
      <c r="U537" s="28"/>
      <c r="V537" s="28"/>
      <c r="W537" s="28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J537" s="34" t="str">
        <f aca="false">IF(OR($BD537&lt;&gt;"",$BF537&lt;&gt;"",$BH537&lt;&gt;""),"Yes","No")</f>
        <v>No</v>
      </c>
      <c r="BK537" s="35" t="str">
        <f aca="false">IFERROR(IF(BD537="","",BD537*INDEX('00 - Lists'!$M$2:$M$11,MATCH(L537,'00 - Lists'!$L$2:$L$11,0))/100000),"")</f>
        <v/>
      </c>
      <c r="BL537" s="35" t="str">
        <f aca="false">IFERROR(IF(BE537="","",BE537*INDEX('00 - Lists'!$M$2:$M$11,MATCH(L537,'00 - Lists'!$L$2:$L$11,0))/100000),"")</f>
        <v/>
      </c>
      <c r="BM537" s="35" t="str">
        <f aca="false">IFERROR(IF(BF537="","",BF537*INDEX('00 - Lists'!$M$2:$M$11,MATCH(L537,'00 - Lists'!$L$2:$L$11,0))/100000),"")</f>
        <v/>
      </c>
      <c r="BN537" s="35" t="str">
        <f aca="false">IFERROR(IF(BG537="","",BG537*INDEX('00 - Lists'!$M$2:$M$11,MATCH(L537,'00 - Lists'!$L$2:$L$11,0))/100000),"")</f>
        <v/>
      </c>
      <c r="BO537" s="35" t="str">
        <f aca="false">IFERROR(IF(BH537="","",BH537*INDEX('00 - Lists'!$M$2:$M$11,MATCH(L537,'00 - Lists'!$L$2:$L$11,0))/100000),"")</f>
        <v/>
      </c>
      <c r="BP537" s="35" t="str">
        <f aca="false">IFERROR(IF(BI537="","",BI537*INDEX('00 - Lists'!$M$2:$M$11,MATCH(L537,'00 - Lists'!$L$2:$L$11,0))/100000),"")</f>
        <v/>
      </c>
      <c r="BS537" s="36" t="str">
        <f aca="false">IF(O537="","",IF(O537&gt;=20,"Yes","No"))</f>
        <v/>
      </c>
      <c r="BT537" s="36" t="str">
        <f aca="false">IF(O537="","",IF(O537&gt;=30,"Yes","No"))</f>
        <v/>
      </c>
      <c r="BU537" s="36" t="str">
        <f aca="false">IF(O537="","",IF(O537&gt;=75,"Yes","No"))</f>
        <v/>
      </c>
      <c r="BV537" s="36" t="str">
        <f aca="false">IF(O537="","",IF(O537&gt;=100,"Yes","No"))</f>
        <v/>
      </c>
      <c r="BW537" s="36" t="str">
        <f aca="false">IF(O537="","",IF(O537&gt;=150,"Yes","No"))</f>
        <v/>
      </c>
      <c r="BX537" s="36" t="str">
        <f aca="false">IF(O537="","",IF(O537&gt;=200,"Yes","No"))</f>
        <v/>
      </c>
      <c r="BY537" s="36" t="str">
        <f aca="false">IF(Q537="","",IF(Q537&gt;=150000,"Yes","No"))</f>
        <v/>
      </c>
      <c r="BZ537" s="36" t="str">
        <f aca="false">IF(Q537="","",IF(Q537&gt;=200000,"Yes","No"))</f>
        <v/>
      </c>
      <c r="CA537" s="36" t="str">
        <f aca="false">IF(Q537="","",IF(Q537&gt;=250000,"Yes","No"))</f>
        <v/>
      </c>
      <c r="CB537" s="36" t="str">
        <f aca="false">IF(Q537="","",IF(Q537&gt;=300000,"Yes","No"))</f>
        <v/>
      </c>
      <c r="CC537" s="37"/>
      <c r="CD537" s="36" t="str">
        <f aca="true">IF(B537="","",IF(TODAY()-B537&lt;=7,"🟢 0-7d",IF(TODAY()-B537&lt;=30,"🟡 8-30d",IF(TODAY()-B537&lt;=60,"🟠 31-60d","🔴 60d+"))))</f>
        <v/>
      </c>
      <c r="CE537" s="36" t="str">
        <f aca="false">IF(G537="","",IF(G537&lt;&gt;"USA","N/A - Not USA Role",IF(J537="Yes",IF(OR(F537="Intern",F537="New Grad"),"🟡 Possible","🟢 Strong"),IF(J537="No","🔴 Difficult","⚪ Unknown"))))</f>
        <v/>
      </c>
      <c r="CF537" s="37"/>
      <c r="CG537" s="37"/>
      <c r="CH537" s="38"/>
      <c r="CI537" s="38"/>
      <c r="CJ537" s="38"/>
      <c r="CK537" s="38"/>
    </row>
    <row r="538" customFormat="false" ht="15" hidden="false" customHeight="true" outlineLevel="0" collapsed="false">
      <c r="A538" s="26" t="str">
        <f aca="false">IF($C538="","",ROW()-3)</f>
        <v/>
      </c>
      <c r="B538" s="27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9"/>
      <c r="N538" s="29"/>
      <c r="O538" s="30" t="str">
        <f aca="false">IFERROR(IF(M538="","",M538*INDEX('00 - Lists'!$M$2:$M$11,MATCH(L538,'00 - Lists'!$L$2:$L$11,0))/100000),"")</f>
        <v/>
      </c>
      <c r="P538" s="30" t="str">
        <f aca="false">IFERROR(IF(N538="","",N538*INDEX('00 - Lists'!$M$2:$M$11,MATCH(L538,'00 - Lists'!$L$2:$L$11,0))/100000),"")</f>
        <v/>
      </c>
      <c r="Q538" s="31" t="str">
        <f aca="false">IFERROR(IF(M538="","",M538*INDEX('00 - Lists'!$N$2:$N$11,MATCH(L538,'00 - Lists'!$L$2:$L$11,0))),"")</f>
        <v/>
      </c>
      <c r="R538" s="31" t="str">
        <f aca="false">IFERROR(IF(N538="","",N538*INDEX('00 - Lists'!$N$2:$N$11,MATCH(L538,'00 - Lists'!$L$2:$L$11,0))),"")</f>
        <v/>
      </c>
      <c r="S538" s="32" t="str">
        <f aca="false">IF(O538="","",IF(O538&gt;=50,"Yes","No"))</f>
        <v/>
      </c>
      <c r="T538" s="32" t="str">
        <f aca="false">IF(Q538="","",IF(Q538&gt;=100000,"Yes","No"))</f>
        <v/>
      </c>
      <c r="U538" s="28"/>
      <c r="V538" s="28"/>
      <c r="W538" s="28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J538" s="34" t="str">
        <f aca="false">IF(OR($BD538&lt;&gt;"",$BF538&lt;&gt;"",$BH538&lt;&gt;""),"Yes","No")</f>
        <v>No</v>
      </c>
      <c r="BK538" s="35" t="str">
        <f aca="false">IFERROR(IF(BD538="","",BD538*INDEX('00 - Lists'!$M$2:$M$11,MATCH(L538,'00 - Lists'!$L$2:$L$11,0))/100000),"")</f>
        <v/>
      </c>
      <c r="BL538" s="35" t="str">
        <f aca="false">IFERROR(IF(BE538="","",BE538*INDEX('00 - Lists'!$M$2:$M$11,MATCH(L538,'00 - Lists'!$L$2:$L$11,0))/100000),"")</f>
        <v/>
      </c>
      <c r="BM538" s="35" t="str">
        <f aca="false">IFERROR(IF(BF538="","",BF538*INDEX('00 - Lists'!$M$2:$M$11,MATCH(L538,'00 - Lists'!$L$2:$L$11,0))/100000),"")</f>
        <v/>
      </c>
      <c r="BN538" s="35" t="str">
        <f aca="false">IFERROR(IF(BG538="","",BG538*INDEX('00 - Lists'!$M$2:$M$11,MATCH(L538,'00 - Lists'!$L$2:$L$11,0))/100000),"")</f>
        <v/>
      </c>
      <c r="BO538" s="35" t="str">
        <f aca="false">IFERROR(IF(BH538="","",BH538*INDEX('00 - Lists'!$M$2:$M$11,MATCH(L538,'00 - Lists'!$L$2:$L$11,0))/100000),"")</f>
        <v/>
      </c>
      <c r="BP538" s="35" t="str">
        <f aca="false">IFERROR(IF(BI538="","",BI538*INDEX('00 - Lists'!$M$2:$M$11,MATCH(L538,'00 - Lists'!$L$2:$L$11,0))/100000),"")</f>
        <v/>
      </c>
      <c r="BS538" s="36" t="str">
        <f aca="false">IF(O538="","",IF(O538&gt;=20,"Yes","No"))</f>
        <v/>
      </c>
      <c r="BT538" s="36" t="str">
        <f aca="false">IF(O538="","",IF(O538&gt;=30,"Yes","No"))</f>
        <v/>
      </c>
      <c r="BU538" s="36" t="str">
        <f aca="false">IF(O538="","",IF(O538&gt;=75,"Yes","No"))</f>
        <v/>
      </c>
      <c r="BV538" s="36" t="str">
        <f aca="false">IF(O538="","",IF(O538&gt;=100,"Yes","No"))</f>
        <v/>
      </c>
      <c r="BW538" s="36" t="str">
        <f aca="false">IF(O538="","",IF(O538&gt;=150,"Yes","No"))</f>
        <v/>
      </c>
      <c r="BX538" s="36" t="str">
        <f aca="false">IF(O538="","",IF(O538&gt;=200,"Yes","No"))</f>
        <v/>
      </c>
      <c r="BY538" s="36" t="str">
        <f aca="false">IF(Q538="","",IF(Q538&gt;=150000,"Yes","No"))</f>
        <v/>
      </c>
      <c r="BZ538" s="36" t="str">
        <f aca="false">IF(Q538="","",IF(Q538&gt;=200000,"Yes","No"))</f>
        <v/>
      </c>
      <c r="CA538" s="36" t="str">
        <f aca="false">IF(Q538="","",IF(Q538&gt;=250000,"Yes","No"))</f>
        <v/>
      </c>
      <c r="CB538" s="36" t="str">
        <f aca="false">IF(Q538="","",IF(Q538&gt;=300000,"Yes","No"))</f>
        <v/>
      </c>
      <c r="CC538" s="37"/>
      <c r="CD538" s="36" t="str">
        <f aca="true">IF(B538="","",IF(TODAY()-B538&lt;=7,"🟢 0-7d",IF(TODAY()-B538&lt;=30,"🟡 8-30d",IF(TODAY()-B538&lt;=60,"🟠 31-60d","🔴 60d+"))))</f>
        <v/>
      </c>
      <c r="CE538" s="36" t="str">
        <f aca="false">IF(G538="","",IF(G538&lt;&gt;"USA","N/A - Not USA Role",IF(J538="Yes",IF(OR(F538="Intern",F538="New Grad"),"🟡 Possible","🟢 Strong"),IF(J538="No","🔴 Difficult","⚪ Unknown"))))</f>
        <v/>
      </c>
      <c r="CF538" s="37"/>
      <c r="CG538" s="37"/>
      <c r="CH538" s="38"/>
      <c r="CI538" s="38"/>
      <c r="CJ538" s="38"/>
      <c r="CK538" s="38"/>
    </row>
    <row r="539" customFormat="false" ht="15" hidden="false" customHeight="true" outlineLevel="0" collapsed="false">
      <c r="A539" s="26" t="str">
        <f aca="false">IF($C539="","",ROW()-3)</f>
        <v/>
      </c>
      <c r="B539" s="27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9"/>
      <c r="N539" s="29"/>
      <c r="O539" s="30" t="str">
        <f aca="false">IFERROR(IF(M539="","",M539*INDEX('00 - Lists'!$M$2:$M$11,MATCH(L539,'00 - Lists'!$L$2:$L$11,0))/100000),"")</f>
        <v/>
      </c>
      <c r="P539" s="30" t="str">
        <f aca="false">IFERROR(IF(N539="","",N539*INDEX('00 - Lists'!$M$2:$M$11,MATCH(L539,'00 - Lists'!$L$2:$L$11,0))/100000),"")</f>
        <v/>
      </c>
      <c r="Q539" s="31" t="str">
        <f aca="false">IFERROR(IF(M539="","",M539*INDEX('00 - Lists'!$N$2:$N$11,MATCH(L539,'00 - Lists'!$L$2:$L$11,0))),"")</f>
        <v/>
      </c>
      <c r="R539" s="31" t="str">
        <f aca="false">IFERROR(IF(N539="","",N539*INDEX('00 - Lists'!$N$2:$N$11,MATCH(L539,'00 - Lists'!$L$2:$L$11,0))),"")</f>
        <v/>
      </c>
      <c r="S539" s="32" t="str">
        <f aca="false">IF(O539="","",IF(O539&gt;=50,"Yes","No"))</f>
        <v/>
      </c>
      <c r="T539" s="32" t="str">
        <f aca="false">IF(Q539="","",IF(Q539&gt;=100000,"Yes","No"))</f>
        <v/>
      </c>
      <c r="U539" s="28"/>
      <c r="V539" s="28"/>
      <c r="W539" s="28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J539" s="34" t="str">
        <f aca="false">IF(OR($BD539&lt;&gt;"",$BF539&lt;&gt;"",$BH539&lt;&gt;""),"Yes","No")</f>
        <v>No</v>
      </c>
      <c r="BK539" s="35" t="str">
        <f aca="false">IFERROR(IF(BD539="","",BD539*INDEX('00 - Lists'!$M$2:$M$11,MATCH(L539,'00 - Lists'!$L$2:$L$11,0))/100000),"")</f>
        <v/>
      </c>
      <c r="BL539" s="35" t="str">
        <f aca="false">IFERROR(IF(BE539="","",BE539*INDEX('00 - Lists'!$M$2:$M$11,MATCH(L539,'00 - Lists'!$L$2:$L$11,0))/100000),"")</f>
        <v/>
      </c>
      <c r="BM539" s="35" t="str">
        <f aca="false">IFERROR(IF(BF539="","",BF539*INDEX('00 - Lists'!$M$2:$M$11,MATCH(L539,'00 - Lists'!$L$2:$L$11,0))/100000),"")</f>
        <v/>
      </c>
      <c r="BN539" s="35" t="str">
        <f aca="false">IFERROR(IF(BG539="","",BG539*INDEX('00 - Lists'!$M$2:$M$11,MATCH(L539,'00 - Lists'!$L$2:$L$11,0))/100000),"")</f>
        <v/>
      </c>
      <c r="BO539" s="35" t="str">
        <f aca="false">IFERROR(IF(BH539="","",BH539*INDEX('00 - Lists'!$M$2:$M$11,MATCH(L539,'00 - Lists'!$L$2:$L$11,0))/100000),"")</f>
        <v/>
      </c>
      <c r="BP539" s="35" t="str">
        <f aca="false">IFERROR(IF(BI539="","",BI539*INDEX('00 - Lists'!$M$2:$M$11,MATCH(L539,'00 - Lists'!$L$2:$L$11,0))/100000),"")</f>
        <v/>
      </c>
      <c r="BS539" s="36" t="str">
        <f aca="false">IF(O539="","",IF(O539&gt;=20,"Yes","No"))</f>
        <v/>
      </c>
      <c r="BT539" s="36" t="str">
        <f aca="false">IF(O539="","",IF(O539&gt;=30,"Yes","No"))</f>
        <v/>
      </c>
      <c r="BU539" s="36" t="str">
        <f aca="false">IF(O539="","",IF(O539&gt;=75,"Yes","No"))</f>
        <v/>
      </c>
      <c r="BV539" s="36" t="str">
        <f aca="false">IF(O539="","",IF(O539&gt;=100,"Yes","No"))</f>
        <v/>
      </c>
      <c r="BW539" s="36" t="str">
        <f aca="false">IF(O539="","",IF(O539&gt;=150,"Yes","No"))</f>
        <v/>
      </c>
      <c r="BX539" s="36" t="str">
        <f aca="false">IF(O539="","",IF(O539&gt;=200,"Yes","No"))</f>
        <v/>
      </c>
      <c r="BY539" s="36" t="str">
        <f aca="false">IF(Q539="","",IF(Q539&gt;=150000,"Yes","No"))</f>
        <v/>
      </c>
      <c r="BZ539" s="36" t="str">
        <f aca="false">IF(Q539="","",IF(Q539&gt;=200000,"Yes","No"))</f>
        <v/>
      </c>
      <c r="CA539" s="36" t="str">
        <f aca="false">IF(Q539="","",IF(Q539&gt;=250000,"Yes","No"))</f>
        <v/>
      </c>
      <c r="CB539" s="36" t="str">
        <f aca="false">IF(Q539="","",IF(Q539&gt;=300000,"Yes","No"))</f>
        <v/>
      </c>
      <c r="CC539" s="37"/>
      <c r="CD539" s="36" t="str">
        <f aca="true">IF(B539="","",IF(TODAY()-B539&lt;=7,"🟢 0-7d",IF(TODAY()-B539&lt;=30,"🟡 8-30d",IF(TODAY()-B539&lt;=60,"🟠 31-60d","🔴 60d+"))))</f>
        <v/>
      </c>
      <c r="CE539" s="36" t="str">
        <f aca="false">IF(G539="","",IF(G539&lt;&gt;"USA","N/A - Not USA Role",IF(J539="Yes",IF(OR(F539="Intern",F539="New Grad"),"🟡 Possible","🟢 Strong"),IF(J539="No","🔴 Difficult","⚪ Unknown"))))</f>
        <v/>
      </c>
      <c r="CF539" s="37"/>
      <c r="CG539" s="37"/>
      <c r="CH539" s="38"/>
      <c r="CI539" s="38"/>
      <c r="CJ539" s="38"/>
      <c r="CK539" s="38"/>
    </row>
    <row r="540" customFormat="false" ht="15" hidden="false" customHeight="true" outlineLevel="0" collapsed="false">
      <c r="A540" s="26" t="str">
        <f aca="false">IF($C540="","",ROW()-3)</f>
        <v/>
      </c>
      <c r="B540" s="27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9"/>
      <c r="N540" s="29"/>
      <c r="O540" s="30" t="str">
        <f aca="false">IFERROR(IF(M540="","",M540*INDEX('00 - Lists'!$M$2:$M$11,MATCH(L540,'00 - Lists'!$L$2:$L$11,0))/100000),"")</f>
        <v/>
      </c>
      <c r="P540" s="30" t="str">
        <f aca="false">IFERROR(IF(N540="","",N540*INDEX('00 - Lists'!$M$2:$M$11,MATCH(L540,'00 - Lists'!$L$2:$L$11,0))/100000),"")</f>
        <v/>
      </c>
      <c r="Q540" s="31" t="str">
        <f aca="false">IFERROR(IF(M540="","",M540*INDEX('00 - Lists'!$N$2:$N$11,MATCH(L540,'00 - Lists'!$L$2:$L$11,0))),"")</f>
        <v/>
      </c>
      <c r="R540" s="31" t="str">
        <f aca="false">IFERROR(IF(N540="","",N540*INDEX('00 - Lists'!$N$2:$N$11,MATCH(L540,'00 - Lists'!$L$2:$L$11,0))),"")</f>
        <v/>
      </c>
      <c r="S540" s="32" t="str">
        <f aca="false">IF(O540="","",IF(O540&gt;=50,"Yes","No"))</f>
        <v/>
      </c>
      <c r="T540" s="32" t="str">
        <f aca="false">IF(Q540="","",IF(Q540&gt;=100000,"Yes","No"))</f>
        <v/>
      </c>
      <c r="U540" s="28"/>
      <c r="V540" s="28"/>
      <c r="W540" s="28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J540" s="34" t="str">
        <f aca="false">IF(OR($BD540&lt;&gt;"",$BF540&lt;&gt;"",$BH540&lt;&gt;""),"Yes","No")</f>
        <v>No</v>
      </c>
      <c r="BK540" s="35" t="str">
        <f aca="false">IFERROR(IF(BD540="","",BD540*INDEX('00 - Lists'!$M$2:$M$11,MATCH(L540,'00 - Lists'!$L$2:$L$11,0))/100000),"")</f>
        <v/>
      </c>
      <c r="BL540" s="35" t="str">
        <f aca="false">IFERROR(IF(BE540="","",BE540*INDEX('00 - Lists'!$M$2:$M$11,MATCH(L540,'00 - Lists'!$L$2:$L$11,0))/100000),"")</f>
        <v/>
      </c>
      <c r="BM540" s="35" t="str">
        <f aca="false">IFERROR(IF(BF540="","",BF540*INDEX('00 - Lists'!$M$2:$M$11,MATCH(L540,'00 - Lists'!$L$2:$L$11,0))/100000),"")</f>
        <v/>
      </c>
      <c r="BN540" s="35" t="str">
        <f aca="false">IFERROR(IF(BG540="","",BG540*INDEX('00 - Lists'!$M$2:$M$11,MATCH(L540,'00 - Lists'!$L$2:$L$11,0))/100000),"")</f>
        <v/>
      </c>
      <c r="BO540" s="35" t="str">
        <f aca="false">IFERROR(IF(BH540="","",BH540*INDEX('00 - Lists'!$M$2:$M$11,MATCH(L540,'00 - Lists'!$L$2:$L$11,0))/100000),"")</f>
        <v/>
      </c>
      <c r="BP540" s="35" t="str">
        <f aca="false">IFERROR(IF(BI540="","",BI540*INDEX('00 - Lists'!$M$2:$M$11,MATCH(L540,'00 - Lists'!$L$2:$L$11,0))/100000),"")</f>
        <v/>
      </c>
      <c r="BS540" s="36" t="str">
        <f aca="false">IF(O540="","",IF(O540&gt;=20,"Yes","No"))</f>
        <v/>
      </c>
      <c r="BT540" s="36" t="str">
        <f aca="false">IF(O540="","",IF(O540&gt;=30,"Yes","No"))</f>
        <v/>
      </c>
      <c r="BU540" s="36" t="str">
        <f aca="false">IF(O540="","",IF(O540&gt;=75,"Yes","No"))</f>
        <v/>
      </c>
      <c r="BV540" s="36" t="str">
        <f aca="false">IF(O540="","",IF(O540&gt;=100,"Yes","No"))</f>
        <v/>
      </c>
      <c r="BW540" s="36" t="str">
        <f aca="false">IF(O540="","",IF(O540&gt;=150,"Yes","No"))</f>
        <v/>
      </c>
      <c r="BX540" s="36" t="str">
        <f aca="false">IF(O540="","",IF(O540&gt;=200,"Yes","No"))</f>
        <v/>
      </c>
      <c r="BY540" s="36" t="str">
        <f aca="false">IF(Q540="","",IF(Q540&gt;=150000,"Yes","No"))</f>
        <v/>
      </c>
      <c r="BZ540" s="36" t="str">
        <f aca="false">IF(Q540="","",IF(Q540&gt;=200000,"Yes","No"))</f>
        <v/>
      </c>
      <c r="CA540" s="36" t="str">
        <f aca="false">IF(Q540="","",IF(Q540&gt;=250000,"Yes","No"))</f>
        <v/>
      </c>
      <c r="CB540" s="36" t="str">
        <f aca="false">IF(Q540="","",IF(Q540&gt;=300000,"Yes","No"))</f>
        <v/>
      </c>
      <c r="CC540" s="37"/>
      <c r="CD540" s="36" t="str">
        <f aca="true">IF(B540="","",IF(TODAY()-B540&lt;=7,"🟢 0-7d",IF(TODAY()-B540&lt;=30,"🟡 8-30d",IF(TODAY()-B540&lt;=60,"🟠 31-60d","🔴 60d+"))))</f>
        <v/>
      </c>
      <c r="CE540" s="36" t="str">
        <f aca="false">IF(G540="","",IF(G540&lt;&gt;"USA","N/A - Not USA Role",IF(J540="Yes",IF(OR(F540="Intern",F540="New Grad"),"🟡 Possible","🟢 Strong"),IF(J540="No","🔴 Difficult","⚪ Unknown"))))</f>
        <v/>
      </c>
      <c r="CF540" s="37"/>
      <c r="CG540" s="37"/>
      <c r="CH540" s="38"/>
      <c r="CI540" s="38"/>
      <c r="CJ540" s="38"/>
      <c r="CK540" s="38"/>
    </row>
    <row r="541" customFormat="false" ht="15" hidden="false" customHeight="true" outlineLevel="0" collapsed="false">
      <c r="A541" s="26" t="str">
        <f aca="false">IF($C541="","",ROW()-3)</f>
        <v/>
      </c>
      <c r="B541" s="27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9"/>
      <c r="N541" s="29"/>
      <c r="O541" s="30" t="str">
        <f aca="false">IFERROR(IF(M541="","",M541*INDEX('00 - Lists'!$M$2:$M$11,MATCH(L541,'00 - Lists'!$L$2:$L$11,0))/100000),"")</f>
        <v/>
      </c>
      <c r="P541" s="30" t="str">
        <f aca="false">IFERROR(IF(N541="","",N541*INDEX('00 - Lists'!$M$2:$M$11,MATCH(L541,'00 - Lists'!$L$2:$L$11,0))/100000),"")</f>
        <v/>
      </c>
      <c r="Q541" s="31" t="str">
        <f aca="false">IFERROR(IF(M541="","",M541*INDEX('00 - Lists'!$N$2:$N$11,MATCH(L541,'00 - Lists'!$L$2:$L$11,0))),"")</f>
        <v/>
      </c>
      <c r="R541" s="31" t="str">
        <f aca="false">IFERROR(IF(N541="","",N541*INDEX('00 - Lists'!$N$2:$N$11,MATCH(L541,'00 - Lists'!$L$2:$L$11,0))),"")</f>
        <v/>
      </c>
      <c r="S541" s="32" t="str">
        <f aca="false">IF(O541="","",IF(O541&gt;=50,"Yes","No"))</f>
        <v/>
      </c>
      <c r="T541" s="32" t="str">
        <f aca="false">IF(Q541="","",IF(Q541&gt;=100000,"Yes","No"))</f>
        <v/>
      </c>
      <c r="U541" s="28"/>
      <c r="V541" s="28"/>
      <c r="W541" s="28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J541" s="34" t="str">
        <f aca="false">IF(OR($BD541&lt;&gt;"",$BF541&lt;&gt;"",$BH541&lt;&gt;""),"Yes","No")</f>
        <v>No</v>
      </c>
      <c r="BK541" s="35" t="str">
        <f aca="false">IFERROR(IF(BD541="","",BD541*INDEX('00 - Lists'!$M$2:$M$11,MATCH(L541,'00 - Lists'!$L$2:$L$11,0))/100000),"")</f>
        <v/>
      </c>
      <c r="BL541" s="35" t="str">
        <f aca="false">IFERROR(IF(BE541="","",BE541*INDEX('00 - Lists'!$M$2:$M$11,MATCH(L541,'00 - Lists'!$L$2:$L$11,0))/100000),"")</f>
        <v/>
      </c>
      <c r="BM541" s="35" t="str">
        <f aca="false">IFERROR(IF(BF541="","",BF541*INDEX('00 - Lists'!$M$2:$M$11,MATCH(L541,'00 - Lists'!$L$2:$L$11,0))/100000),"")</f>
        <v/>
      </c>
      <c r="BN541" s="35" t="str">
        <f aca="false">IFERROR(IF(BG541="","",BG541*INDEX('00 - Lists'!$M$2:$M$11,MATCH(L541,'00 - Lists'!$L$2:$L$11,0))/100000),"")</f>
        <v/>
      </c>
      <c r="BO541" s="35" t="str">
        <f aca="false">IFERROR(IF(BH541="","",BH541*INDEX('00 - Lists'!$M$2:$M$11,MATCH(L541,'00 - Lists'!$L$2:$L$11,0))/100000),"")</f>
        <v/>
      </c>
      <c r="BP541" s="35" t="str">
        <f aca="false">IFERROR(IF(BI541="","",BI541*INDEX('00 - Lists'!$M$2:$M$11,MATCH(L541,'00 - Lists'!$L$2:$L$11,0))/100000),"")</f>
        <v/>
      </c>
      <c r="BS541" s="36" t="str">
        <f aca="false">IF(O541="","",IF(O541&gt;=20,"Yes","No"))</f>
        <v/>
      </c>
      <c r="BT541" s="36" t="str">
        <f aca="false">IF(O541="","",IF(O541&gt;=30,"Yes","No"))</f>
        <v/>
      </c>
      <c r="BU541" s="36" t="str">
        <f aca="false">IF(O541="","",IF(O541&gt;=75,"Yes","No"))</f>
        <v/>
      </c>
      <c r="BV541" s="36" t="str">
        <f aca="false">IF(O541="","",IF(O541&gt;=100,"Yes","No"))</f>
        <v/>
      </c>
      <c r="BW541" s="36" t="str">
        <f aca="false">IF(O541="","",IF(O541&gt;=150,"Yes","No"))</f>
        <v/>
      </c>
      <c r="BX541" s="36" t="str">
        <f aca="false">IF(O541="","",IF(O541&gt;=200,"Yes","No"))</f>
        <v/>
      </c>
      <c r="BY541" s="36" t="str">
        <f aca="false">IF(Q541="","",IF(Q541&gt;=150000,"Yes","No"))</f>
        <v/>
      </c>
      <c r="BZ541" s="36" t="str">
        <f aca="false">IF(Q541="","",IF(Q541&gt;=200000,"Yes","No"))</f>
        <v/>
      </c>
      <c r="CA541" s="36" t="str">
        <f aca="false">IF(Q541="","",IF(Q541&gt;=250000,"Yes","No"))</f>
        <v/>
      </c>
      <c r="CB541" s="36" t="str">
        <f aca="false">IF(Q541="","",IF(Q541&gt;=300000,"Yes","No"))</f>
        <v/>
      </c>
      <c r="CC541" s="37"/>
      <c r="CD541" s="36" t="str">
        <f aca="true">IF(B541="","",IF(TODAY()-B541&lt;=7,"🟢 0-7d",IF(TODAY()-B541&lt;=30,"🟡 8-30d",IF(TODAY()-B541&lt;=60,"🟠 31-60d","🔴 60d+"))))</f>
        <v/>
      </c>
      <c r="CE541" s="36" t="str">
        <f aca="false">IF(G541="","",IF(G541&lt;&gt;"USA","N/A - Not USA Role",IF(J541="Yes",IF(OR(F541="Intern",F541="New Grad"),"🟡 Possible","🟢 Strong"),IF(J541="No","🔴 Difficult","⚪ Unknown"))))</f>
        <v/>
      </c>
      <c r="CF541" s="37"/>
      <c r="CG541" s="37"/>
      <c r="CH541" s="38"/>
      <c r="CI541" s="38"/>
      <c r="CJ541" s="38"/>
      <c r="CK541" s="38"/>
    </row>
    <row r="542" customFormat="false" ht="15" hidden="false" customHeight="true" outlineLevel="0" collapsed="false">
      <c r="A542" s="26" t="str">
        <f aca="false">IF($C542="","",ROW()-3)</f>
        <v/>
      </c>
      <c r="B542" s="27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9"/>
      <c r="N542" s="29"/>
      <c r="O542" s="30" t="str">
        <f aca="false">IFERROR(IF(M542="","",M542*INDEX('00 - Lists'!$M$2:$M$11,MATCH(L542,'00 - Lists'!$L$2:$L$11,0))/100000),"")</f>
        <v/>
      </c>
      <c r="P542" s="30" t="str">
        <f aca="false">IFERROR(IF(N542="","",N542*INDEX('00 - Lists'!$M$2:$M$11,MATCH(L542,'00 - Lists'!$L$2:$L$11,0))/100000),"")</f>
        <v/>
      </c>
      <c r="Q542" s="31" t="str">
        <f aca="false">IFERROR(IF(M542="","",M542*INDEX('00 - Lists'!$N$2:$N$11,MATCH(L542,'00 - Lists'!$L$2:$L$11,0))),"")</f>
        <v/>
      </c>
      <c r="R542" s="31" t="str">
        <f aca="false">IFERROR(IF(N542="","",N542*INDEX('00 - Lists'!$N$2:$N$11,MATCH(L542,'00 - Lists'!$L$2:$L$11,0))),"")</f>
        <v/>
      </c>
      <c r="S542" s="32" t="str">
        <f aca="false">IF(O542="","",IF(O542&gt;=50,"Yes","No"))</f>
        <v/>
      </c>
      <c r="T542" s="32" t="str">
        <f aca="false">IF(Q542="","",IF(Q542&gt;=100000,"Yes","No"))</f>
        <v/>
      </c>
      <c r="U542" s="28"/>
      <c r="V542" s="28"/>
      <c r="W542" s="28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J542" s="34" t="str">
        <f aca="false">IF(OR($BD542&lt;&gt;"",$BF542&lt;&gt;"",$BH542&lt;&gt;""),"Yes","No")</f>
        <v>No</v>
      </c>
      <c r="BK542" s="35" t="str">
        <f aca="false">IFERROR(IF(BD542="","",BD542*INDEX('00 - Lists'!$M$2:$M$11,MATCH(L542,'00 - Lists'!$L$2:$L$11,0))/100000),"")</f>
        <v/>
      </c>
      <c r="BL542" s="35" t="str">
        <f aca="false">IFERROR(IF(BE542="","",BE542*INDEX('00 - Lists'!$M$2:$M$11,MATCH(L542,'00 - Lists'!$L$2:$L$11,0))/100000),"")</f>
        <v/>
      </c>
      <c r="BM542" s="35" t="str">
        <f aca="false">IFERROR(IF(BF542="","",BF542*INDEX('00 - Lists'!$M$2:$M$11,MATCH(L542,'00 - Lists'!$L$2:$L$11,0))/100000),"")</f>
        <v/>
      </c>
      <c r="BN542" s="35" t="str">
        <f aca="false">IFERROR(IF(BG542="","",BG542*INDEX('00 - Lists'!$M$2:$M$11,MATCH(L542,'00 - Lists'!$L$2:$L$11,0))/100000),"")</f>
        <v/>
      </c>
      <c r="BO542" s="35" t="str">
        <f aca="false">IFERROR(IF(BH542="","",BH542*INDEX('00 - Lists'!$M$2:$M$11,MATCH(L542,'00 - Lists'!$L$2:$L$11,0))/100000),"")</f>
        <v/>
      </c>
      <c r="BP542" s="35" t="str">
        <f aca="false">IFERROR(IF(BI542="","",BI542*INDEX('00 - Lists'!$M$2:$M$11,MATCH(L542,'00 - Lists'!$L$2:$L$11,0))/100000),"")</f>
        <v/>
      </c>
      <c r="BS542" s="36" t="str">
        <f aca="false">IF(O542="","",IF(O542&gt;=20,"Yes","No"))</f>
        <v/>
      </c>
      <c r="BT542" s="36" t="str">
        <f aca="false">IF(O542="","",IF(O542&gt;=30,"Yes","No"))</f>
        <v/>
      </c>
      <c r="BU542" s="36" t="str">
        <f aca="false">IF(O542="","",IF(O542&gt;=75,"Yes","No"))</f>
        <v/>
      </c>
      <c r="BV542" s="36" t="str">
        <f aca="false">IF(O542="","",IF(O542&gt;=100,"Yes","No"))</f>
        <v/>
      </c>
      <c r="BW542" s="36" t="str">
        <f aca="false">IF(O542="","",IF(O542&gt;=150,"Yes","No"))</f>
        <v/>
      </c>
      <c r="BX542" s="36" t="str">
        <f aca="false">IF(O542="","",IF(O542&gt;=200,"Yes","No"))</f>
        <v/>
      </c>
      <c r="BY542" s="36" t="str">
        <f aca="false">IF(Q542="","",IF(Q542&gt;=150000,"Yes","No"))</f>
        <v/>
      </c>
      <c r="BZ542" s="36" t="str">
        <f aca="false">IF(Q542="","",IF(Q542&gt;=200000,"Yes","No"))</f>
        <v/>
      </c>
      <c r="CA542" s="36" t="str">
        <f aca="false">IF(Q542="","",IF(Q542&gt;=250000,"Yes","No"))</f>
        <v/>
      </c>
      <c r="CB542" s="36" t="str">
        <f aca="false">IF(Q542="","",IF(Q542&gt;=300000,"Yes","No"))</f>
        <v/>
      </c>
      <c r="CC542" s="37"/>
      <c r="CD542" s="36" t="str">
        <f aca="true">IF(B542="","",IF(TODAY()-B542&lt;=7,"🟢 0-7d",IF(TODAY()-B542&lt;=30,"🟡 8-30d",IF(TODAY()-B542&lt;=60,"🟠 31-60d","🔴 60d+"))))</f>
        <v/>
      </c>
      <c r="CE542" s="36" t="str">
        <f aca="false">IF(G542="","",IF(G542&lt;&gt;"USA","N/A - Not USA Role",IF(J542="Yes",IF(OR(F542="Intern",F542="New Grad"),"🟡 Possible","🟢 Strong"),IF(J542="No","🔴 Difficult","⚪ Unknown"))))</f>
        <v/>
      </c>
      <c r="CF542" s="37"/>
      <c r="CG542" s="37"/>
      <c r="CH542" s="38"/>
      <c r="CI542" s="38"/>
      <c r="CJ542" s="38"/>
      <c r="CK542" s="38"/>
    </row>
    <row r="543" customFormat="false" ht="15" hidden="false" customHeight="true" outlineLevel="0" collapsed="false">
      <c r="A543" s="26" t="str">
        <f aca="false">IF($C543="","",ROW()-3)</f>
        <v/>
      </c>
      <c r="B543" s="27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9"/>
      <c r="N543" s="29"/>
      <c r="O543" s="30" t="str">
        <f aca="false">IFERROR(IF(M543="","",M543*INDEX('00 - Lists'!$M$2:$M$11,MATCH(L543,'00 - Lists'!$L$2:$L$11,0))/100000),"")</f>
        <v/>
      </c>
      <c r="P543" s="30" t="str">
        <f aca="false">IFERROR(IF(N543="","",N543*INDEX('00 - Lists'!$M$2:$M$11,MATCH(L543,'00 - Lists'!$L$2:$L$11,0))/100000),"")</f>
        <v/>
      </c>
      <c r="Q543" s="31" t="str">
        <f aca="false">IFERROR(IF(M543="","",M543*INDEX('00 - Lists'!$N$2:$N$11,MATCH(L543,'00 - Lists'!$L$2:$L$11,0))),"")</f>
        <v/>
      </c>
      <c r="R543" s="31" t="str">
        <f aca="false">IFERROR(IF(N543="","",N543*INDEX('00 - Lists'!$N$2:$N$11,MATCH(L543,'00 - Lists'!$L$2:$L$11,0))),"")</f>
        <v/>
      </c>
      <c r="S543" s="32" t="str">
        <f aca="false">IF(O543="","",IF(O543&gt;=50,"Yes","No"))</f>
        <v/>
      </c>
      <c r="T543" s="32" t="str">
        <f aca="false">IF(Q543="","",IF(Q543&gt;=100000,"Yes","No"))</f>
        <v/>
      </c>
      <c r="U543" s="28"/>
      <c r="V543" s="28"/>
      <c r="W543" s="28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J543" s="34" t="str">
        <f aca="false">IF(OR($BD543&lt;&gt;"",$BF543&lt;&gt;"",$BH543&lt;&gt;""),"Yes","No")</f>
        <v>No</v>
      </c>
      <c r="BK543" s="35" t="str">
        <f aca="false">IFERROR(IF(BD543="","",BD543*INDEX('00 - Lists'!$M$2:$M$11,MATCH(L543,'00 - Lists'!$L$2:$L$11,0))/100000),"")</f>
        <v/>
      </c>
      <c r="BL543" s="35" t="str">
        <f aca="false">IFERROR(IF(BE543="","",BE543*INDEX('00 - Lists'!$M$2:$M$11,MATCH(L543,'00 - Lists'!$L$2:$L$11,0))/100000),"")</f>
        <v/>
      </c>
      <c r="BM543" s="35" t="str">
        <f aca="false">IFERROR(IF(BF543="","",BF543*INDEX('00 - Lists'!$M$2:$M$11,MATCH(L543,'00 - Lists'!$L$2:$L$11,0))/100000),"")</f>
        <v/>
      </c>
      <c r="BN543" s="35" t="str">
        <f aca="false">IFERROR(IF(BG543="","",BG543*INDEX('00 - Lists'!$M$2:$M$11,MATCH(L543,'00 - Lists'!$L$2:$L$11,0))/100000),"")</f>
        <v/>
      </c>
      <c r="BO543" s="35" t="str">
        <f aca="false">IFERROR(IF(BH543="","",BH543*INDEX('00 - Lists'!$M$2:$M$11,MATCH(L543,'00 - Lists'!$L$2:$L$11,0))/100000),"")</f>
        <v/>
      </c>
      <c r="BP543" s="35" t="str">
        <f aca="false">IFERROR(IF(BI543="","",BI543*INDEX('00 - Lists'!$M$2:$M$11,MATCH(L543,'00 - Lists'!$L$2:$L$11,0))/100000),"")</f>
        <v/>
      </c>
      <c r="BS543" s="36" t="str">
        <f aca="false">IF(O543="","",IF(O543&gt;=20,"Yes","No"))</f>
        <v/>
      </c>
      <c r="BT543" s="36" t="str">
        <f aca="false">IF(O543="","",IF(O543&gt;=30,"Yes","No"))</f>
        <v/>
      </c>
      <c r="BU543" s="36" t="str">
        <f aca="false">IF(O543="","",IF(O543&gt;=75,"Yes","No"))</f>
        <v/>
      </c>
      <c r="BV543" s="36" t="str">
        <f aca="false">IF(O543="","",IF(O543&gt;=100,"Yes","No"))</f>
        <v/>
      </c>
      <c r="BW543" s="36" t="str">
        <f aca="false">IF(O543="","",IF(O543&gt;=150,"Yes","No"))</f>
        <v/>
      </c>
      <c r="BX543" s="36" t="str">
        <f aca="false">IF(O543="","",IF(O543&gt;=200,"Yes","No"))</f>
        <v/>
      </c>
      <c r="BY543" s="36" t="str">
        <f aca="false">IF(Q543="","",IF(Q543&gt;=150000,"Yes","No"))</f>
        <v/>
      </c>
      <c r="BZ543" s="36" t="str">
        <f aca="false">IF(Q543="","",IF(Q543&gt;=200000,"Yes","No"))</f>
        <v/>
      </c>
      <c r="CA543" s="36" t="str">
        <f aca="false">IF(Q543="","",IF(Q543&gt;=250000,"Yes","No"))</f>
        <v/>
      </c>
      <c r="CB543" s="36" t="str">
        <f aca="false">IF(Q543="","",IF(Q543&gt;=300000,"Yes","No"))</f>
        <v/>
      </c>
      <c r="CC543" s="37"/>
      <c r="CD543" s="36" t="str">
        <f aca="true">IF(B543="","",IF(TODAY()-B543&lt;=7,"🟢 0-7d",IF(TODAY()-B543&lt;=30,"🟡 8-30d",IF(TODAY()-B543&lt;=60,"🟠 31-60d","🔴 60d+"))))</f>
        <v/>
      </c>
      <c r="CE543" s="36" t="str">
        <f aca="false">IF(G543="","",IF(G543&lt;&gt;"USA","N/A - Not USA Role",IF(J543="Yes",IF(OR(F543="Intern",F543="New Grad"),"🟡 Possible","🟢 Strong"),IF(J543="No","🔴 Difficult","⚪ Unknown"))))</f>
        <v/>
      </c>
      <c r="CF543" s="37"/>
      <c r="CG543" s="37"/>
      <c r="CH543" s="38"/>
      <c r="CI543" s="38"/>
      <c r="CJ543" s="38"/>
      <c r="CK543" s="38"/>
    </row>
    <row r="544" customFormat="false" ht="15" hidden="false" customHeight="true" outlineLevel="0" collapsed="false">
      <c r="A544" s="26" t="str">
        <f aca="false">IF($C544="","",ROW()-3)</f>
        <v/>
      </c>
      <c r="B544" s="27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9"/>
      <c r="N544" s="29"/>
      <c r="O544" s="30" t="str">
        <f aca="false">IFERROR(IF(M544="","",M544*INDEX('00 - Lists'!$M$2:$M$11,MATCH(L544,'00 - Lists'!$L$2:$L$11,0))/100000),"")</f>
        <v/>
      </c>
      <c r="P544" s="30" t="str">
        <f aca="false">IFERROR(IF(N544="","",N544*INDEX('00 - Lists'!$M$2:$M$11,MATCH(L544,'00 - Lists'!$L$2:$L$11,0))/100000),"")</f>
        <v/>
      </c>
      <c r="Q544" s="31" t="str">
        <f aca="false">IFERROR(IF(M544="","",M544*INDEX('00 - Lists'!$N$2:$N$11,MATCH(L544,'00 - Lists'!$L$2:$L$11,0))),"")</f>
        <v/>
      </c>
      <c r="R544" s="31" t="str">
        <f aca="false">IFERROR(IF(N544="","",N544*INDEX('00 - Lists'!$N$2:$N$11,MATCH(L544,'00 - Lists'!$L$2:$L$11,0))),"")</f>
        <v/>
      </c>
      <c r="S544" s="32" t="str">
        <f aca="false">IF(O544="","",IF(O544&gt;=50,"Yes","No"))</f>
        <v/>
      </c>
      <c r="T544" s="32" t="str">
        <f aca="false">IF(Q544="","",IF(Q544&gt;=100000,"Yes","No"))</f>
        <v/>
      </c>
      <c r="U544" s="28"/>
      <c r="V544" s="28"/>
      <c r="W544" s="28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J544" s="34" t="str">
        <f aca="false">IF(OR($BD544&lt;&gt;"",$BF544&lt;&gt;"",$BH544&lt;&gt;""),"Yes","No")</f>
        <v>No</v>
      </c>
      <c r="BK544" s="35" t="str">
        <f aca="false">IFERROR(IF(BD544="","",BD544*INDEX('00 - Lists'!$M$2:$M$11,MATCH(L544,'00 - Lists'!$L$2:$L$11,0))/100000),"")</f>
        <v/>
      </c>
      <c r="BL544" s="35" t="str">
        <f aca="false">IFERROR(IF(BE544="","",BE544*INDEX('00 - Lists'!$M$2:$M$11,MATCH(L544,'00 - Lists'!$L$2:$L$11,0))/100000),"")</f>
        <v/>
      </c>
      <c r="BM544" s="35" t="str">
        <f aca="false">IFERROR(IF(BF544="","",BF544*INDEX('00 - Lists'!$M$2:$M$11,MATCH(L544,'00 - Lists'!$L$2:$L$11,0))/100000),"")</f>
        <v/>
      </c>
      <c r="BN544" s="35" t="str">
        <f aca="false">IFERROR(IF(BG544="","",BG544*INDEX('00 - Lists'!$M$2:$M$11,MATCH(L544,'00 - Lists'!$L$2:$L$11,0))/100000),"")</f>
        <v/>
      </c>
      <c r="BO544" s="35" t="str">
        <f aca="false">IFERROR(IF(BH544="","",BH544*INDEX('00 - Lists'!$M$2:$M$11,MATCH(L544,'00 - Lists'!$L$2:$L$11,0))/100000),"")</f>
        <v/>
      </c>
      <c r="BP544" s="35" t="str">
        <f aca="false">IFERROR(IF(BI544="","",BI544*INDEX('00 - Lists'!$M$2:$M$11,MATCH(L544,'00 - Lists'!$L$2:$L$11,0))/100000),"")</f>
        <v/>
      </c>
      <c r="BS544" s="36" t="str">
        <f aca="false">IF(O544="","",IF(O544&gt;=20,"Yes","No"))</f>
        <v/>
      </c>
      <c r="BT544" s="36" t="str">
        <f aca="false">IF(O544="","",IF(O544&gt;=30,"Yes","No"))</f>
        <v/>
      </c>
      <c r="BU544" s="36" t="str">
        <f aca="false">IF(O544="","",IF(O544&gt;=75,"Yes","No"))</f>
        <v/>
      </c>
      <c r="BV544" s="36" t="str">
        <f aca="false">IF(O544="","",IF(O544&gt;=100,"Yes","No"))</f>
        <v/>
      </c>
      <c r="BW544" s="36" t="str">
        <f aca="false">IF(O544="","",IF(O544&gt;=150,"Yes","No"))</f>
        <v/>
      </c>
      <c r="BX544" s="36" t="str">
        <f aca="false">IF(O544="","",IF(O544&gt;=200,"Yes","No"))</f>
        <v/>
      </c>
      <c r="BY544" s="36" t="str">
        <f aca="false">IF(Q544="","",IF(Q544&gt;=150000,"Yes","No"))</f>
        <v/>
      </c>
      <c r="BZ544" s="36" t="str">
        <f aca="false">IF(Q544="","",IF(Q544&gt;=200000,"Yes","No"))</f>
        <v/>
      </c>
      <c r="CA544" s="36" t="str">
        <f aca="false">IF(Q544="","",IF(Q544&gt;=250000,"Yes","No"))</f>
        <v/>
      </c>
      <c r="CB544" s="36" t="str">
        <f aca="false">IF(Q544="","",IF(Q544&gt;=300000,"Yes","No"))</f>
        <v/>
      </c>
      <c r="CC544" s="37"/>
      <c r="CD544" s="36" t="str">
        <f aca="true">IF(B544="","",IF(TODAY()-B544&lt;=7,"🟢 0-7d",IF(TODAY()-B544&lt;=30,"🟡 8-30d",IF(TODAY()-B544&lt;=60,"🟠 31-60d","🔴 60d+"))))</f>
        <v/>
      </c>
      <c r="CE544" s="36" t="str">
        <f aca="false">IF(G544="","",IF(G544&lt;&gt;"USA","N/A - Not USA Role",IF(J544="Yes",IF(OR(F544="Intern",F544="New Grad"),"🟡 Possible","🟢 Strong"),IF(J544="No","🔴 Difficult","⚪ Unknown"))))</f>
        <v/>
      </c>
      <c r="CF544" s="37"/>
      <c r="CG544" s="37"/>
      <c r="CH544" s="38"/>
      <c r="CI544" s="38"/>
      <c r="CJ544" s="38"/>
      <c r="CK544" s="38"/>
    </row>
    <row r="545" customFormat="false" ht="15" hidden="false" customHeight="true" outlineLevel="0" collapsed="false">
      <c r="A545" s="26" t="str">
        <f aca="false">IF($C545="","",ROW()-3)</f>
        <v/>
      </c>
      <c r="B545" s="27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9"/>
      <c r="N545" s="29"/>
      <c r="O545" s="30" t="str">
        <f aca="false">IFERROR(IF(M545="","",M545*INDEX('00 - Lists'!$M$2:$M$11,MATCH(L545,'00 - Lists'!$L$2:$L$11,0))/100000),"")</f>
        <v/>
      </c>
      <c r="P545" s="30" t="str">
        <f aca="false">IFERROR(IF(N545="","",N545*INDEX('00 - Lists'!$M$2:$M$11,MATCH(L545,'00 - Lists'!$L$2:$L$11,0))/100000),"")</f>
        <v/>
      </c>
      <c r="Q545" s="31" t="str">
        <f aca="false">IFERROR(IF(M545="","",M545*INDEX('00 - Lists'!$N$2:$N$11,MATCH(L545,'00 - Lists'!$L$2:$L$11,0))),"")</f>
        <v/>
      </c>
      <c r="R545" s="31" t="str">
        <f aca="false">IFERROR(IF(N545="","",N545*INDEX('00 - Lists'!$N$2:$N$11,MATCH(L545,'00 - Lists'!$L$2:$L$11,0))),"")</f>
        <v/>
      </c>
      <c r="S545" s="32" t="str">
        <f aca="false">IF(O545="","",IF(O545&gt;=50,"Yes","No"))</f>
        <v/>
      </c>
      <c r="T545" s="32" t="str">
        <f aca="false">IF(Q545="","",IF(Q545&gt;=100000,"Yes","No"))</f>
        <v/>
      </c>
      <c r="U545" s="28"/>
      <c r="V545" s="28"/>
      <c r="W545" s="28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J545" s="34" t="str">
        <f aca="false">IF(OR($BD545&lt;&gt;"",$BF545&lt;&gt;"",$BH545&lt;&gt;""),"Yes","No")</f>
        <v>No</v>
      </c>
      <c r="BK545" s="35" t="str">
        <f aca="false">IFERROR(IF(BD545="","",BD545*INDEX('00 - Lists'!$M$2:$M$11,MATCH(L545,'00 - Lists'!$L$2:$L$11,0))/100000),"")</f>
        <v/>
      </c>
      <c r="BL545" s="35" t="str">
        <f aca="false">IFERROR(IF(BE545="","",BE545*INDEX('00 - Lists'!$M$2:$M$11,MATCH(L545,'00 - Lists'!$L$2:$L$11,0))/100000),"")</f>
        <v/>
      </c>
      <c r="BM545" s="35" t="str">
        <f aca="false">IFERROR(IF(BF545="","",BF545*INDEX('00 - Lists'!$M$2:$M$11,MATCH(L545,'00 - Lists'!$L$2:$L$11,0))/100000),"")</f>
        <v/>
      </c>
      <c r="BN545" s="35" t="str">
        <f aca="false">IFERROR(IF(BG545="","",BG545*INDEX('00 - Lists'!$M$2:$M$11,MATCH(L545,'00 - Lists'!$L$2:$L$11,0))/100000),"")</f>
        <v/>
      </c>
      <c r="BO545" s="35" t="str">
        <f aca="false">IFERROR(IF(BH545="","",BH545*INDEX('00 - Lists'!$M$2:$M$11,MATCH(L545,'00 - Lists'!$L$2:$L$11,0))/100000),"")</f>
        <v/>
      </c>
      <c r="BP545" s="35" t="str">
        <f aca="false">IFERROR(IF(BI545="","",BI545*INDEX('00 - Lists'!$M$2:$M$11,MATCH(L545,'00 - Lists'!$L$2:$L$11,0))/100000),"")</f>
        <v/>
      </c>
      <c r="BS545" s="36" t="str">
        <f aca="false">IF(O545="","",IF(O545&gt;=20,"Yes","No"))</f>
        <v/>
      </c>
      <c r="BT545" s="36" t="str">
        <f aca="false">IF(O545="","",IF(O545&gt;=30,"Yes","No"))</f>
        <v/>
      </c>
      <c r="BU545" s="36" t="str">
        <f aca="false">IF(O545="","",IF(O545&gt;=75,"Yes","No"))</f>
        <v/>
      </c>
      <c r="BV545" s="36" t="str">
        <f aca="false">IF(O545="","",IF(O545&gt;=100,"Yes","No"))</f>
        <v/>
      </c>
      <c r="BW545" s="36" t="str">
        <f aca="false">IF(O545="","",IF(O545&gt;=150,"Yes","No"))</f>
        <v/>
      </c>
      <c r="BX545" s="36" t="str">
        <f aca="false">IF(O545="","",IF(O545&gt;=200,"Yes","No"))</f>
        <v/>
      </c>
      <c r="BY545" s="36" t="str">
        <f aca="false">IF(Q545="","",IF(Q545&gt;=150000,"Yes","No"))</f>
        <v/>
      </c>
      <c r="BZ545" s="36" t="str">
        <f aca="false">IF(Q545="","",IF(Q545&gt;=200000,"Yes","No"))</f>
        <v/>
      </c>
      <c r="CA545" s="36" t="str">
        <f aca="false">IF(Q545="","",IF(Q545&gt;=250000,"Yes","No"))</f>
        <v/>
      </c>
      <c r="CB545" s="36" t="str">
        <f aca="false">IF(Q545="","",IF(Q545&gt;=300000,"Yes","No"))</f>
        <v/>
      </c>
      <c r="CC545" s="37"/>
      <c r="CD545" s="36" t="str">
        <f aca="true">IF(B545="","",IF(TODAY()-B545&lt;=7,"🟢 0-7d",IF(TODAY()-B545&lt;=30,"🟡 8-30d",IF(TODAY()-B545&lt;=60,"🟠 31-60d","🔴 60d+"))))</f>
        <v/>
      </c>
      <c r="CE545" s="36" t="str">
        <f aca="false">IF(G545="","",IF(G545&lt;&gt;"USA","N/A - Not USA Role",IF(J545="Yes",IF(OR(F545="Intern",F545="New Grad"),"🟡 Possible","🟢 Strong"),IF(J545="No","🔴 Difficult","⚪ Unknown"))))</f>
        <v/>
      </c>
      <c r="CF545" s="37"/>
      <c r="CG545" s="37"/>
      <c r="CH545" s="38"/>
      <c r="CI545" s="38"/>
      <c r="CJ545" s="38"/>
      <c r="CK545" s="38"/>
    </row>
    <row r="546" customFormat="false" ht="15" hidden="false" customHeight="true" outlineLevel="0" collapsed="false">
      <c r="A546" s="26" t="str">
        <f aca="false">IF($C546="","",ROW()-3)</f>
        <v/>
      </c>
      <c r="B546" s="27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9"/>
      <c r="N546" s="29"/>
      <c r="O546" s="30" t="str">
        <f aca="false">IFERROR(IF(M546="","",M546*INDEX('00 - Lists'!$M$2:$M$11,MATCH(L546,'00 - Lists'!$L$2:$L$11,0))/100000),"")</f>
        <v/>
      </c>
      <c r="P546" s="30" t="str">
        <f aca="false">IFERROR(IF(N546="","",N546*INDEX('00 - Lists'!$M$2:$M$11,MATCH(L546,'00 - Lists'!$L$2:$L$11,0))/100000),"")</f>
        <v/>
      </c>
      <c r="Q546" s="31" t="str">
        <f aca="false">IFERROR(IF(M546="","",M546*INDEX('00 - Lists'!$N$2:$N$11,MATCH(L546,'00 - Lists'!$L$2:$L$11,0))),"")</f>
        <v/>
      </c>
      <c r="R546" s="31" t="str">
        <f aca="false">IFERROR(IF(N546="","",N546*INDEX('00 - Lists'!$N$2:$N$11,MATCH(L546,'00 - Lists'!$L$2:$L$11,0))),"")</f>
        <v/>
      </c>
      <c r="S546" s="32" t="str">
        <f aca="false">IF(O546="","",IF(O546&gt;=50,"Yes","No"))</f>
        <v/>
      </c>
      <c r="T546" s="32" t="str">
        <f aca="false">IF(Q546="","",IF(Q546&gt;=100000,"Yes","No"))</f>
        <v/>
      </c>
      <c r="U546" s="28"/>
      <c r="V546" s="28"/>
      <c r="W546" s="28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J546" s="34" t="str">
        <f aca="false">IF(OR($BD546&lt;&gt;"",$BF546&lt;&gt;"",$BH546&lt;&gt;""),"Yes","No")</f>
        <v>No</v>
      </c>
      <c r="BK546" s="35" t="str">
        <f aca="false">IFERROR(IF(BD546="","",BD546*INDEX('00 - Lists'!$M$2:$M$11,MATCH(L546,'00 - Lists'!$L$2:$L$11,0))/100000),"")</f>
        <v/>
      </c>
      <c r="BL546" s="35" t="str">
        <f aca="false">IFERROR(IF(BE546="","",BE546*INDEX('00 - Lists'!$M$2:$M$11,MATCH(L546,'00 - Lists'!$L$2:$L$11,0))/100000),"")</f>
        <v/>
      </c>
      <c r="BM546" s="35" t="str">
        <f aca="false">IFERROR(IF(BF546="","",BF546*INDEX('00 - Lists'!$M$2:$M$11,MATCH(L546,'00 - Lists'!$L$2:$L$11,0))/100000),"")</f>
        <v/>
      </c>
      <c r="BN546" s="35" t="str">
        <f aca="false">IFERROR(IF(BG546="","",BG546*INDEX('00 - Lists'!$M$2:$M$11,MATCH(L546,'00 - Lists'!$L$2:$L$11,0))/100000),"")</f>
        <v/>
      </c>
      <c r="BO546" s="35" t="str">
        <f aca="false">IFERROR(IF(BH546="","",BH546*INDEX('00 - Lists'!$M$2:$M$11,MATCH(L546,'00 - Lists'!$L$2:$L$11,0))/100000),"")</f>
        <v/>
      </c>
      <c r="BP546" s="35" t="str">
        <f aca="false">IFERROR(IF(BI546="","",BI546*INDEX('00 - Lists'!$M$2:$M$11,MATCH(L546,'00 - Lists'!$L$2:$L$11,0))/100000),"")</f>
        <v/>
      </c>
      <c r="BS546" s="36" t="str">
        <f aca="false">IF(O546="","",IF(O546&gt;=20,"Yes","No"))</f>
        <v/>
      </c>
      <c r="BT546" s="36" t="str">
        <f aca="false">IF(O546="","",IF(O546&gt;=30,"Yes","No"))</f>
        <v/>
      </c>
      <c r="BU546" s="36" t="str">
        <f aca="false">IF(O546="","",IF(O546&gt;=75,"Yes","No"))</f>
        <v/>
      </c>
      <c r="BV546" s="36" t="str">
        <f aca="false">IF(O546="","",IF(O546&gt;=100,"Yes","No"))</f>
        <v/>
      </c>
      <c r="BW546" s="36" t="str">
        <f aca="false">IF(O546="","",IF(O546&gt;=150,"Yes","No"))</f>
        <v/>
      </c>
      <c r="BX546" s="36" t="str">
        <f aca="false">IF(O546="","",IF(O546&gt;=200,"Yes","No"))</f>
        <v/>
      </c>
      <c r="BY546" s="36" t="str">
        <f aca="false">IF(Q546="","",IF(Q546&gt;=150000,"Yes","No"))</f>
        <v/>
      </c>
      <c r="BZ546" s="36" t="str">
        <f aca="false">IF(Q546="","",IF(Q546&gt;=200000,"Yes","No"))</f>
        <v/>
      </c>
      <c r="CA546" s="36" t="str">
        <f aca="false">IF(Q546="","",IF(Q546&gt;=250000,"Yes","No"))</f>
        <v/>
      </c>
      <c r="CB546" s="36" t="str">
        <f aca="false">IF(Q546="","",IF(Q546&gt;=300000,"Yes","No"))</f>
        <v/>
      </c>
      <c r="CC546" s="37"/>
      <c r="CD546" s="36" t="str">
        <f aca="true">IF(B546="","",IF(TODAY()-B546&lt;=7,"🟢 0-7d",IF(TODAY()-B546&lt;=30,"🟡 8-30d",IF(TODAY()-B546&lt;=60,"🟠 31-60d","🔴 60d+"))))</f>
        <v/>
      </c>
      <c r="CE546" s="36" t="str">
        <f aca="false">IF(G546="","",IF(G546&lt;&gt;"USA","N/A - Not USA Role",IF(J546="Yes",IF(OR(F546="Intern",F546="New Grad"),"🟡 Possible","🟢 Strong"),IF(J546="No","🔴 Difficult","⚪ Unknown"))))</f>
        <v/>
      </c>
      <c r="CF546" s="37"/>
      <c r="CG546" s="37"/>
      <c r="CH546" s="38"/>
      <c r="CI546" s="38"/>
      <c r="CJ546" s="38"/>
      <c r="CK546" s="38"/>
    </row>
    <row r="547" customFormat="false" ht="15" hidden="false" customHeight="true" outlineLevel="0" collapsed="false">
      <c r="A547" s="26" t="str">
        <f aca="false">IF($C547="","",ROW()-3)</f>
        <v/>
      </c>
      <c r="B547" s="27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9"/>
      <c r="N547" s="29"/>
      <c r="O547" s="30" t="str">
        <f aca="false">IFERROR(IF(M547="","",M547*INDEX('00 - Lists'!$M$2:$M$11,MATCH(L547,'00 - Lists'!$L$2:$L$11,0))/100000),"")</f>
        <v/>
      </c>
      <c r="P547" s="30" t="str">
        <f aca="false">IFERROR(IF(N547="","",N547*INDEX('00 - Lists'!$M$2:$M$11,MATCH(L547,'00 - Lists'!$L$2:$L$11,0))/100000),"")</f>
        <v/>
      </c>
      <c r="Q547" s="31" t="str">
        <f aca="false">IFERROR(IF(M547="","",M547*INDEX('00 - Lists'!$N$2:$N$11,MATCH(L547,'00 - Lists'!$L$2:$L$11,0))),"")</f>
        <v/>
      </c>
      <c r="R547" s="31" t="str">
        <f aca="false">IFERROR(IF(N547="","",N547*INDEX('00 - Lists'!$N$2:$N$11,MATCH(L547,'00 - Lists'!$L$2:$L$11,0))),"")</f>
        <v/>
      </c>
      <c r="S547" s="32" t="str">
        <f aca="false">IF(O547="","",IF(O547&gt;=50,"Yes","No"))</f>
        <v/>
      </c>
      <c r="T547" s="32" t="str">
        <f aca="false">IF(Q547="","",IF(Q547&gt;=100000,"Yes","No"))</f>
        <v/>
      </c>
      <c r="U547" s="28"/>
      <c r="V547" s="28"/>
      <c r="W547" s="28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J547" s="34" t="str">
        <f aca="false">IF(OR($BD547&lt;&gt;"",$BF547&lt;&gt;"",$BH547&lt;&gt;""),"Yes","No")</f>
        <v>No</v>
      </c>
      <c r="BK547" s="35" t="str">
        <f aca="false">IFERROR(IF(BD547="","",BD547*INDEX('00 - Lists'!$M$2:$M$11,MATCH(L547,'00 - Lists'!$L$2:$L$11,0))/100000),"")</f>
        <v/>
      </c>
      <c r="BL547" s="35" t="str">
        <f aca="false">IFERROR(IF(BE547="","",BE547*INDEX('00 - Lists'!$M$2:$M$11,MATCH(L547,'00 - Lists'!$L$2:$L$11,0))/100000),"")</f>
        <v/>
      </c>
      <c r="BM547" s="35" t="str">
        <f aca="false">IFERROR(IF(BF547="","",BF547*INDEX('00 - Lists'!$M$2:$M$11,MATCH(L547,'00 - Lists'!$L$2:$L$11,0))/100000),"")</f>
        <v/>
      </c>
      <c r="BN547" s="35" t="str">
        <f aca="false">IFERROR(IF(BG547="","",BG547*INDEX('00 - Lists'!$M$2:$M$11,MATCH(L547,'00 - Lists'!$L$2:$L$11,0))/100000),"")</f>
        <v/>
      </c>
      <c r="BO547" s="35" t="str">
        <f aca="false">IFERROR(IF(BH547="","",BH547*INDEX('00 - Lists'!$M$2:$M$11,MATCH(L547,'00 - Lists'!$L$2:$L$11,0))/100000),"")</f>
        <v/>
      </c>
      <c r="BP547" s="35" t="str">
        <f aca="false">IFERROR(IF(BI547="","",BI547*INDEX('00 - Lists'!$M$2:$M$11,MATCH(L547,'00 - Lists'!$L$2:$L$11,0))/100000),"")</f>
        <v/>
      </c>
      <c r="BS547" s="36" t="str">
        <f aca="false">IF(O547="","",IF(O547&gt;=20,"Yes","No"))</f>
        <v/>
      </c>
      <c r="BT547" s="36" t="str">
        <f aca="false">IF(O547="","",IF(O547&gt;=30,"Yes","No"))</f>
        <v/>
      </c>
      <c r="BU547" s="36" t="str">
        <f aca="false">IF(O547="","",IF(O547&gt;=75,"Yes","No"))</f>
        <v/>
      </c>
      <c r="BV547" s="36" t="str">
        <f aca="false">IF(O547="","",IF(O547&gt;=100,"Yes","No"))</f>
        <v/>
      </c>
      <c r="BW547" s="36" t="str">
        <f aca="false">IF(O547="","",IF(O547&gt;=150,"Yes","No"))</f>
        <v/>
      </c>
      <c r="BX547" s="36" t="str">
        <f aca="false">IF(O547="","",IF(O547&gt;=200,"Yes","No"))</f>
        <v/>
      </c>
      <c r="BY547" s="36" t="str">
        <f aca="false">IF(Q547="","",IF(Q547&gt;=150000,"Yes","No"))</f>
        <v/>
      </c>
      <c r="BZ547" s="36" t="str">
        <f aca="false">IF(Q547="","",IF(Q547&gt;=200000,"Yes","No"))</f>
        <v/>
      </c>
      <c r="CA547" s="36" t="str">
        <f aca="false">IF(Q547="","",IF(Q547&gt;=250000,"Yes","No"))</f>
        <v/>
      </c>
      <c r="CB547" s="36" t="str">
        <f aca="false">IF(Q547="","",IF(Q547&gt;=300000,"Yes","No"))</f>
        <v/>
      </c>
      <c r="CC547" s="37"/>
      <c r="CD547" s="36" t="str">
        <f aca="true">IF(B547="","",IF(TODAY()-B547&lt;=7,"🟢 0-7d",IF(TODAY()-B547&lt;=30,"🟡 8-30d",IF(TODAY()-B547&lt;=60,"🟠 31-60d","🔴 60d+"))))</f>
        <v/>
      </c>
      <c r="CE547" s="36" t="str">
        <f aca="false">IF(G547="","",IF(G547&lt;&gt;"USA","N/A - Not USA Role",IF(J547="Yes",IF(OR(F547="Intern",F547="New Grad"),"🟡 Possible","🟢 Strong"),IF(J547="No","🔴 Difficult","⚪ Unknown"))))</f>
        <v/>
      </c>
      <c r="CF547" s="37"/>
      <c r="CG547" s="37"/>
      <c r="CH547" s="38"/>
      <c r="CI547" s="38"/>
      <c r="CJ547" s="38"/>
      <c r="CK547" s="38"/>
    </row>
    <row r="548" customFormat="false" ht="15" hidden="false" customHeight="true" outlineLevel="0" collapsed="false">
      <c r="A548" s="26" t="str">
        <f aca="false">IF($C548="","",ROW()-3)</f>
        <v/>
      </c>
      <c r="B548" s="27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9"/>
      <c r="N548" s="29"/>
      <c r="O548" s="30" t="str">
        <f aca="false">IFERROR(IF(M548="","",M548*INDEX('00 - Lists'!$M$2:$M$11,MATCH(L548,'00 - Lists'!$L$2:$L$11,0))/100000),"")</f>
        <v/>
      </c>
      <c r="P548" s="30" t="str">
        <f aca="false">IFERROR(IF(N548="","",N548*INDEX('00 - Lists'!$M$2:$M$11,MATCH(L548,'00 - Lists'!$L$2:$L$11,0))/100000),"")</f>
        <v/>
      </c>
      <c r="Q548" s="31" t="str">
        <f aca="false">IFERROR(IF(M548="","",M548*INDEX('00 - Lists'!$N$2:$N$11,MATCH(L548,'00 - Lists'!$L$2:$L$11,0))),"")</f>
        <v/>
      </c>
      <c r="R548" s="31" t="str">
        <f aca="false">IFERROR(IF(N548="","",N548*INDEX('00 - Lists'!$N$2:$N$11,MATCH(L548,'00 - Lists'!$L$2:$L$11,0))),"")</f>
        <v/>
      </c>
      <c r="S548" s="32" t="str">
        <f aca="false">IF(O548="","",IF(O548&gt;=50,"Yes","No"))</f>
        <v/>
      </c>
      <c r="T548" s="32" t="str">
        <f aca="false">IF(Q548="","",IF(Q548&gt;=100000,"Yes","No"))</f>
        <v/>
      </c>
      <c r="U548" s="28"/>
      <c r="V548" s="28"/>
      <c r="W548" s="28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J548" s="34" t="str">
        <f aca="false">IF(OR($BD548&lt;&gt;"",$BF548&lt;&gt;"",$BH548&lt;&gt;""),"Yes","No")</f>
        <v>No</v>
      </c>
      <c r="BK548" s="35" t="str">
        <f aca="false">IFERROR(IF(BD548="","",BD548*INDEX('00 - Lists'!$M$2:$M$11,MATCH(L548,'00 - Lists'!$L$2:$L$11,0))/100000),"")</f>
        <v/>
      </c>
      <c r="BL548" s="35" t="str">
        <f aca="false">IFERROR(IF(BE548="","",BE548*INDEX('00 - Lists'!$M$2:$M$11,MATCH(L548,'00 - Lists'!$L$2:$L$11,0))/100000),"")</f>
        <v/>
      </c>
      <c r="BM548" s="35" t="str">
        <f aca="false">IFERROR(IF(BF548="","",BF548*INDEX('00 - Lists'!$M$2:$M$11,MATCH(L548,'00 - Lists'!$L$2:$L$11,0))/100000),"")</f>
        <v/>
      </c>
      <c r="BN548" s="35" t="str">
        <f aca="false">IFERROR(IF(BG548="","",BG548*INDEX('00 - Lists'!$M$2:$M$11,MATCH(L548,'00 - Lists'!$L$2:$L$11,0))/100000),"")</f>
        <v/>
      </c>
      <c r="BO548" s="35" t="str">
        <f aca="false">IFERROR(IF(BH548="","",BH548*INDEX('00 - Lists'!$M$2:$M$11,MATCH(L548,'00 - Lists'!$L$2:$L$11,0))/100000),"")</f>
        <v/>
      </c>
      <c r="BP548" s="35" t="str">
        <f aca="false">IFERROR(IF(BI548="","",BI548*INDEX('00 - Lists'!$M$2:$M$11,MATCH(L548,'00 - Lists'!$L$2:$L$11,0))/100000),"")</f>
        <v/>
      </c>
      <c r="BS548" s="36" t="str">
        <f aca="false">IF(O548="","",IF(O548&gt;=20,"Yes","No"))</f>
        <v/>
      </c>
      <c r="BT548" s="36" t="str">
        <f aca="false">IF(O548="","",IF(O548&gt;=30,"Yes","No"))</f>
        <v/>
      </c>
      <c r="BU548" s="36" t="str">
        <f aca="false">IF(O548="","",IF(O548&gt;=75,"Yes","No"))</f>
        <v/>
      </c>
      <c r="BV548" s="36" t="str">
        <f aca="false">IF(O548="","",IF(O548&gt;=100,"Yes","No"))</f>
        <v/>
      </c>
      <c r="BW548" s="36" t="str">
        <f aca="false">IF(O548="","",IF(O548&gt;=150,"Yes","No"))</f>
        <v/>
      </c>
      <c r="BX548" s="36" t="str">
        <f aca="false">IF(O548="","",IF(O548&gt;=200,"Yes","No"))</f>
        <v/>
      </c>
      <c r="BY548" s="36" t="str">
        <f aca="false">IF(Q548="","",IF(Q548&gt;=150000,"Yes","No"))</f>
        <v/>
      </c>
      <c r="BZ548" s="36" t="str">
        <f aca="false">IF(Q548="","",IF(Q548&gt;=200000,"Yes","No"))</f>
        <v/>
      </c>
      <c r="CA548" s="36" t="str">
        <f aca="false">IF(Q548="","",IF(Q548&gt;=250000,"Yes","No"))</f>
        <v/>
      </c>
      <c r="CB548" s="36" t="str">
        <f aca="false">IF(Q548="","",IF(Q548&gt;=300000,"Yes","No"))</f>
        <v/>
      </c>
      <c r="CC548" s="37"/>
      <c r="CD548" s="36" t="str">
        <f aca="true">IF(B548="","",IF(TODAY()-B548&lt;=7,"🟢 0-7d",IF(TODAY()-B548&lt;=30,"🟡 8-30d",IF(TODAY()-B548&lt;=60,"🟠 31-60d","🔴 60d+"))))</f>
        <v/>
      </c>
      <c r="CE548" s="36" t="str">
        <f aca="false">IF(G548="","",IF(G548&lt;&gt;"USA","N/A - Not USA Role",IF(J548="Yes",IF(OR(F548="Intern",F548="New Grad"),"🟡 Possible","🟢 Strong"),IF(J548="No","🔴 Difficult","⚪ Unknown"))))</f>
        <v/>
      </c>
      <c r="CF548" s="37"/>
      <c r="CG548" s="37"/>
      <c r="CH548" s="38"/>
      <c r="CI548" s="38"/>
      <c r="CJ548" s="38"/>
      <c r="CK548" s="38"/>
    </row>
    <row r="549" customFormat="false" ht="15" hidden="false" customHeight="true" outlineLevel="0" collapsed="false">
      <c r="A549" s="26" t="str">
        <f aca="false">IF($C549="","",ROW()-3)</f>
        <v/>
      </c>
      <c r="B549" s="27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9"/>
      <c r="N549" s="29"/>
      <c r="O549" s="30" t="str">
        <f aca="false">IFERROR(IF(M549="","",M549*INDEX('00 - Lists'!$M$2:$M$11,MATCH(L549,'00 - Lists'!$L$2:$L$11,0))/100000),"")</f>
        <v/>
      </c>
      <c r="P549" s="30" t="str">
        <f aca="false">IFERROR(IF(N549="","",N549*INDEX('00 - Lists'!$M$2:$M$11,MATCH(L549,'00 - Lists'!$L$2:$L$11,0))/100000),"")</f>
        <v/>
      </c>
      <c r="Q549" s="31" t="str">
        <f aca="false">IFERROR(IF(M549="","",M549*INDEX('00 - Lists'!$N$2:$N$11,MATCH(L549,'00 - Lists'!$L$2:$L$11,0))),"")</f>
        <v/>
      </c>
      <c r="R549" s="31" t="str">
        <f aca="false">IFERROR(IF(N549="","",N549*INDEX('00 - Lists'!$N$2:$N$11,MATCH(L549,'00 - Lists'!$L$2:$L$11,0))),"")</f>
        <v/>
      </c>
      <c r="S549" s="32" t="str">
        <f aca="false">IF(O549="","",IF(O549&gt;=50,"Yes","No"))</f>
        <v/>
      </c>
      <c r="T549" s="32" t="str">
        <f aca="false">IF(Q549="","",IF(Q549&gt;=100000,"Yes","No"))</f>
        <v/>
      </c>
      <c r="U549" s="28"/>
      <c r="V549" s="28"/>
      <c r="W549" s="28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J549" s="34" t="str">
        <f aca="false">IF(OR($BD549&lt;&gt;"",$BF549&lt;&gt;"",$BH549&lt;&gt;""),"Yes","No")</f>
        <v>No</v>
      </c>
      <c r="BK549" s="35" t="str">
        <f aca="false">IFERROR(IF(BD549="","",BD549*INDEX('00 - Lists'!$M$2:$M$11,MATCH(L549,'00 - Lists'!$L$2:$L$11,0))/100000),"")</f>
        <v/>
      </c>
      <c r="BL549" s="35" t="str">
        <f aca="false">IFERROR(IF(BE549="","",BE549*INDEX('00 - Lists'!$M$2:$M$11,MATCH(L549,'00 - Lists'!$L$2:$L$11,0))/100000),"")</f>
        <v/>
      </c>
      <c r="BM549" s="35" t="str">
        <f aca="false">IFERROR(IF(BF549="","",BF549*INDEX('00 - Lists'!$M$2:$M$11,MATCH(L549,'00 - Lists'!$L$2:$L$11,0))/100000),"")</f>
        <v/>
      </c>
      <c r="BN549" s="35" t="str">
        <f aca="false">IFERROR(IF(BG549="","",BG549*INDEX('00 - Lists'!$M$2:$M$11,MATCH(L549,'00 - Lists'!$L$2:$L$11,0))/100000),"")</f>
        <v/>
      </c>
      <c r="BO549" s="35" t="str">
        <f aca="false">IFERROR(IF(BH549="","",BH549*INDEX('00 - Lists'!$M$2:$M$11,MATCH(L549,'00 - Lists'!$L$2:$L$11,0))/100000),"")</f>
        <v/>
      </c>
      <c r="BP549" s="35" t="str">
        <f aca="false">IFERROR(IF(BI549="","",BI549*INDEX('00 - Lists'!$M$2:$M$11,MATCH(L549,'00 - Lists'!$L$2:$L$11,0))/100000),"")</f>
        <v/>
      </c>
      <c r="BS549" s="36" t="str">
        <f aca="false">IF(O549="","",IF(O549&gt;=20,"Yes","No"))</f>
        <v/>
      </c>
      <c r="BT549" s="36" t="str">
        <f aca="false">IF(O549="","",IF(O549&gt;=30,"Yes","No"))</f>
        <v/>
      </c>
      <c r="BU549" s="36" t="str">
        <f aca="false">IF(O549="","",IF(O549&gt;=75,"Yes","No"))</f>
        <v/>
      </c>
      <c r="BV549" s="36" t="str">
        <f aca="false">IF(O549="","",IF(O549&gt;=100,"Yes","No"))</f>
        <v/>
      </c>
      <c r="BW549" s="36" t="str">
        <f aca="false">IF(O549="","",IF(O549&gt;=150,"Yes","No"))</f>
        <v/>
      </c>
      <c r="BX549" s="36" t="str">
        <f aca="false">IF(O549="","",IF(O549&gt;=200,"Yes","No"))</f>
        <v/>
      </c>
      <c r="BY549" s="36" t="str">
        <f aca="false">IF(Q549="","",IF(Q549&gt;=150000,"Yes","No"))</f>
        <v/>
      </c>
      <c r="BZ549" s="36" t="str">
        <f aca="false">IF(Q549="","",IF(Q549&gt;=200000,"Yes","No"))</f>
        <v/>
      </c>
      <c r="CA549" s="36" t="str">
        <f aca="false">IF(Q549="","",IF(Q549&gt;=250000,"Yes","No"))</f>
        <v/>
      </c>
      <c r="CB549" s="36" t="str">
        <f aca="false">IF(Q549="","",IF(Q549&gt;=300000,"Yes","No"))</f>
        <v/>
      </c>
      <c r="CC549" s="37"/>
      <c r="CD549" s="36" t="str">
        <f aca="true">IF(B549="","",IF(TODAY()-B549&lt;=7,"🟢 0-7d",IF(TODAY()-B549&lt;=30,"🟡 8-30d",IF(TODAY()-B549&lt;=60,"🟠 31-60d","🔴 60d+"))))</f>
        <v/>
      </c>
      <c r="CE549" s="36" t="str">
        <f aca="false">IF(G549="","",IF(G549&lt;&gt;"USA","N/A - Not USA Role",IF(J549="Yes",IF(OR(F549="Intern",F549="New Grad"),"🟡 Possible","🟢 Strong"),IF(J549="No","🔴 Difficult","⚪ Unknown"))))</f>
        <v/>
      </c>
      <c r="CF549" s="37"/>
      <c r="CG549" s="37"/>
      <c r="CH549" s="38"/>
      <c r="CI549" s="38"/>
      <c r="CJ549" s="38"/>
      <c r="CK549" s="38"/>
    </row>
    <row r="550" customFormat="false" ht="15" hidden="false" customHeight="true" outlineLevel="0" collapsed="false">
      <c r="A550" s="26" t="str">
        <f aca="false">IF($C550="","",ROW()-3)</f>
        <v/>
      </c>
      <c r="B550" s="27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9"/>
      <c r="N550" s="29"/>
      <c r="O550" s="30" t="str">
        <f aca="false">IFERROR(IF(M550="","",M550*INDEX('00 - Lists'!$M$2:$M$11,MATCH(L550,'00 - Lists'!$L$2:$L$11,0))/100000),"")</f>
        <v/>
      </c>
      <c r="P550" s="30" t="str">
        <f aca="false">IFERROR(IF(N550="","",N550*INDEX('00 - Lists'!$M$2:$M$11,MATCH(L550,'00 - Lists'!$L$2:$L$11,0))/100000),"")</f>
        <v/>
      </c>
      <c r="Q550" s="31" t="str">
        <f aca="false">IFERROR(IF(M550="","",M550*INDEX('00 - Lists'!$N$2:$N$11,MATCH(L550,'00 - Lists'!$L$2:$L$11,0))),"")</f>
        <v/>
      </c>
      <c r="R550" s="31" t="str">
        <f aca="false">IFERROR(IF(N550="","",N550*INDEX('00 - Lists'!$N$2:$N$11,MATCH(L550,'00 - Lists'!$L$2:$L$11,0))),"")</f>
        <v/>
      </c>
      <c r="S550" s="32" t="str">
        <f aca="false">IF(O550="","",IF(O550&gt;=50,"Yes","No"))</f>
        <v/>
      </c>
      <c r="T550" s="32" t="str">
        <f aca="false">IF(Q550="","",IF(Q550&gt;=100000,"Yes","No"))</f>
        <v/>
      </c>
      <c r="U550" s="28"/>
      <c r="V550" s="28"/>
      <c r="W550" s="28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J550" s="34" t="str">
        <f aca="false">IF(OR($BD550&lt;&gt;"",$BF550&lt;&gt;"",$BH550&lt;&gt;""),"Yes","No")</f>
        <v>No</v>
      </c>
      <c r="BK550" s="35" t="str">
        <f aca="false">IFERROR(IF(BD550="","",BD550*INDEX('00 - Lists'!$M$2:$M$11,MATCH(L550,'00 - Lists'!$L$2:$L$11,0))/100000),"")</f>
        <v/>
      </c>
      <c r="BL550" s="35" t="str">
        <f aca="false">IFERROR(IF(BE550="","",BE550*INDEX('00 - Lists'!$M$2:$M$11,MATCH(L550,'00 - Lists'!$L$2:$L$11,0))/100000),"")</f>
        <v/>
      </c>
      <c r="BM550" s="35" t="str">
        <f aca="false">IFERROR(IF(BF550="","",BF550*INDEX('00 - Lists'!$M$2:$M$11,MATCH(L550,'00 - Lists'!$L$2:$L$11,0))/100000),"")</f>
        <v/>
      </c>
      <c r="BN550" s="35" t="str">
        <f aca="false">IFERROR(IF(BG550="","",BG550*INDEX('00 - Lists'!$M$2:$M$11,MATCH(L550,'00 - Lists'!$L$2:$L$11,0))/100000),"")</f>
        <v/>
      </c>
      <c r="BO550" s="35" t="str">
        <f aca="false">IFERROR(IF(BH550="","",BH550*INDEX('00 - Lists'!$M$2:$M$11,MATCH(L550,'00 - Lists'!$L$2:$L$11,0))/100000),"")</f>
        <v/>
      </c>
      <c r="BP550" s="35" t="str">
        <f aca="false">IFERROR(IF(BI550="","",BI550*INDEX('00 - Lists'!$M$2:$M$11,MATCH(L550,'00 - Lists'!$L$2:$L$11,0))/100000),"")</f>
        <v/>
      </c>
      <c r="BS550" s="36" t="str">
        <f aca="false">IF(O550="","",IF(O550&gt;=20,"Yes","No"))</f>
        <v/>
      </c>
      <c r="BT550" s="36" t="str">
        <f aca="false">IF(O550="","",IF(O550&gt;=30,"Yes","No"))</f>
        <v/>
      </c>
      <c r="BU550" s="36" t="str">
        <f aca="false">IF(O550="","",IF(O550&gt;=75,"Yes","No"))</f>
        <v/>
      </c>
      <c r="BV550" s="36" t="str">
        <f aca="false">IF(O550="","",IF(O550&gt;=100,"Yes","No"))</f>
        <v/>
      </c>
      <c r="BW550" s="36" t="str">
        <f aca="false">IF(O550="","",IF(O550&gt;=150,"Yes","No"))</f>
        <v/>
      </c>
      <c r="BX550" s="36" t="str">
        <f aca="false">IF(O550="","",IF(O550&gt;=200,"Yes","No"))</f>
        <v/>
      </c>
      <c r="BY550" s="36" t="str">
        <f aca="false">IF(Q550="","",IF(Q550&gt;=150000,"Yes","No"))</f>
        <v/>
      </c>
      <c r="BZ550" s="36" t="str">
        <f aca="false">IF(Q550="","",IF(Q550&gt;=200000,"Yes","No"))</f>
        <v/>
      </c>
      <c r="CA550" s="36" t="str">
        <f aca="false">IF(Q550="","",IF(Q550&gt;=250000,"Yes","No"))</f>
        <v/>
      </c>
      <c r="CB550" s="36" t="str">
        <f aca="false">IF(Q550="","",IF(Q550&gt;=300000,"Yes","No"))</f>
        <v/>
      </c>
      <c r="CC550" s="37"/>
      <c r="CD550" s="36" t="str">
        <f aca="true">IF(B550="","",IF(TODAY()-B550&lt;=7,"🟢 0-7d",IF(TODAY()-B550&lt;=30,"🟡 8-30d",IF(TODAY()-B550&lt;=60,"🟠 31-60d","🔴 60d+"))))</f>
        <v/>
      </c>
      <c r="CE550" s="36" t="str">
        <f aca="false">IF(G550="","",IF(G550&lt;&gt;"USA","N/A - Not USA Role",IF(J550="Yes",IF(OR(F550="Intern",F550="New Grad"),"🟡 Possible","🟢 Strong"),IF(J550="No","🔴 Difficult","⚪ Unknown"))))</f>
        <v/>
      </c>
      <c r="CF550" s="37"/>
      <c r="CG550" s="37"/>
      <c r="CH550" s="38"/>
      <c r="CI550" s="38"/>
      <c r="CJ550" s="38"/>
      <c r="CK550" s="38"/>
    </row>
    <row r="551" customFormat="false" ht="15" hidden="false" customHeight="true" outlineLevel="0" collapsed="false">
      <c r="A551" s="26" t="str">
        <f aca="false">IF($C551="","",ROW()-3)</f>
        <v/>
      </c>
      <c r="B551" s="27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9"/>
      <c r="N551" s="29"/>
      <c r="O551" s="30" t="str">
        <f aca="false">IFERROR(IF(M551="","",M551*INDEX('00 - Lists'!$M$2:$M$11,MATCH(L551,'00 - Lists'!$L$2:$L$11,0))/100000),"")</f>
        <v/>
      </c>
      <c r="P551" s="30" t="str">
        <f aca="false">IFERROR(IF(N551="","",N551*INDEX('00 - Lists'!$M$2:$M$11,MATCH(L551,'00 - Lists'!$L$2:$L$11,0))/100000),"")</f>
        <v/>
      </c>
      <c r="Q551" s="31" t="str">
        <f aca="false">IFERROR(IF(M551="","",M551*INDEX('00 - Lists'!$N$2:$N$11,MATCH(L551,'00 - Lists'!$L$2:$L$11,0))),"")</f>
        <v/>
      </c>
      <c r="R551" s="31" t="str">
        <f aca="false">IFERROR(IF(N551="","",N551*INDEX('00 - Lists'!$N$2:$N$11,MATCH(L551,'00 - Lists'!$L$2:$L$11,0))),"")</f>
        <v/>
      </c>
      <c r="S551" s="32" t="str">
        <f aca="false">IF(O551="","",IF(O551&gt;=50,"Yes","No"))</f>
        <v/>
      </c>
      <c r="T551" s="32" t="str">
        <f aca="false">IF(Q551="","",IF(Q551&gt;=100000,"Yes","No"))</f>
        <v/>
      </c>
      <c r="U551" s="28"/>
      <c r="V551" s="28"/>
      <c r="W551" s="28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J551" s="34" t="str">
        <f aca="false">IF(OR($BD551&lt;&gt;"",$BF551&lt;&gt;"",$BH551&lt;&gt;""),"Yes","No")</f>
        <v>No</v>
      </c>
      <c r="BK551" s="35" t="str">
        <f aca="false">IFERROR(IF(BD551="","",BD551*INDEX('00 - Lists'!$M$2:$M$11,MATCH(L551,'00 - Lists'!$L$2:$L$11,0))/100000),"")</f>
        <v/>
      </c>
      <c r="BL551" s="35" t="str">
        <f aca="false">IFERROR(IF(BE551="","",BE551*INDEX('00 - Lists'!$M$2:$M$11,MATCH(L551,'00 - Lists'!$L$2:$L$11,0))/100000),"")</f>
        <v/>
      </c>
      <c r="BM551" s="35" t="str">
        <f aca="false">IFERROR(IF(BF551="","",BF551*INDEX('00 - Lists'!$M$2:$M$11,MATCH(L551,'00 - Lists'!$L$2:$L$11,0))/100000),"")</f>
        <v/>
      </c>
      <c r="BN551" s="35" t="str">
        <f aca="false">IFERROR(IF(BG551="","",BG551*INDEX('00 - Lists'!$M$2:$M$11,MATCH(L551,'00 - Lists'!$L$2:$L$11,0))/100000),"")</f>
        <v/>
      </c>
      <c r="BO551" s="35" t="str">
        <f aca="false">IFERROR(IF(BH551="","",BH551*INDEX('00 - Lists'!$M$2:$M$11,MATCH(L551,'00 - Lists'!$L$2:$L$11,0))/100000),"")</f>
        <v/>
      </c>
      <c r="BP551" s="35" t="str">
        <f aca="false">IFERROR(IF(BI551="","",BI551*INDEX('00 - Lists'!$M$2:$M$11,MATCH(L551,'00 - Lists'!$L$2:$L$11,0))/100000),"")</f>
        <v/>
      </c>
      <c r="BS551" s="36" t="str">
        <f aca="false">IF(O551="","",IF(O551&gt;=20,"Yes","No"))</f>
        <v/>
      </c>
      <c r="BT551" s="36" t="str">
        <f aca="false">IF(O551="","",IF(O551&gt;=30,"Yes","No"))</f>
        <v/>
      </c>
      <c r="BU551" s="36" t="str">
        <f aca="false">IF(O551="","",IF(O551&gt;=75,"Yes","No"))</f>
        <v/>
      </c>
      <c r="BV551" s="36" t="str">
        <f aca="false">IF(O551="","",IF(O551&gt;=100,"Yes","No"))</f>
        <v/>
      </c>
      <c r="BW551" s="36" t="str">
        <f aca="false">IF(O551="","",IF(O551&gt;=150,"Yes","No"))</f>
        <v/>
      </c>
      <c r="BX551" s="36" t="str">
        <f aca="false">IF(O551="","",IF(O551&gt;=200,"Yes","No"))</f>
        <v/>
      </c>
      <c r="BY551" s="36" t="str">
        <f aca="false">IF(Q551="","",IF(Q551&gt;=150000,"Yes","No"))</f>
        <v/>
      </c>
      <c r="BZ551" s="36" t="str">
        <f aca="false">IF(Q551="","",IF(Q551&gt;=200000,"Yes","No"))</f>
        <v/>
      </c>
      <c r="CA551" s="36" t="str">
        <f aca="false">IF(Q551="","",IF(Q551&gt;=250000,"Yes","No"))</f>
        <v/>
      </c>
      <c r="CB551" s="36" t="str">
        <f aca="false">IF(Q551="","",IF(Q551&gt;=300000,"Yes","No"))</f>
        <v/>
      </c>
      <c r="CC551" s="37"/>
      <c r="CD551" s="36" t="str">
        <f aca="true">IF(B551="","",IF(TODAY()-B551&lt;=7,"🟢 0-7d",IF(TODAY()-B551&lt;=30,"🟡 8-30d",IF(TODAY()-B551&lt;=60,"🟠 31-60d","🔴 60d+"))))</f>
        <v/>
      </c>
      <c r="CE551" s="36" t="str">
        <f aca="false">IF(G551="","",IF(G551&lt;&gt;"USA","N/A - Not USA Role",IF(J551="Yes",IF(OR(F551="Intern",F551="New Grad"),"🟡 Possible","🟢 Strong"),IF(J551="No","🔴 Difficult","⚪ Unknown"))))</f>
        <v/>
      </c>
      <c r="CF551" s="37"/>
      <c r="CG551" s="37"/>
      <c r="CH551" s="38"/>
      <c r="CI551" s="38"/>
      <c r="CJ551" s="38"/>
      <c r="CK551" s="38"/>
    </row>
    <row r="552" customFormat="false" ht="15" hidden="false" customHeight="true" outlineLevel="0" collapsed="false">
      <c r="A552" s="26" t="str">
        <f aca="false">IF($C552="","",ROW()-3)</f>
        <v/>
      </c>
      <c r="B552" s="27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9"/>
      <c r="N552" s="29"/>
      <c r="O552" s="30" t="str">
        <f aca="false">IFERROR(IF(M552="","",M552*INDEX('00 - Lists'!$M$2:$M$11,MATCH(L552,'00 - Lists'!$L$2:$L$11,0))/100000),"")</f>
        <v/>
      </c>
      <c r="P552" s="30" t="str">
        <f aca="false">IFERROR(IF(N552="","",N552*INDEX('00 - Lists'!$M$2:$M$11,MATCH(L552,'00 - Lists'!$L$2:$L$11,0))/100000),"")</f>
        <v/>
      </c>
      <c r="Q552" s="31" t="str">
        <f aca="false">IFERROR(IF(M552="","",M552*INDEX('00 - Lists'!$N$2:$N$11,MATCH(L552,'00 - Lists'!$L$2:$L$11,0))),"")</f>
        <v/>
      </c>
      <c r="R552" s="31" t="str">
        <f aca="false">IFERROR(IF(N552="","",N552*INDEX('00 - Lists'!$N$2:$N$11,MATCH(L552,'00 - Lists'!$L$2:$L$11,0))),"")</f>
        <v/>
      </c>
      <c r="S552" s="32" t="str">
        <f aca="false">IF(O552="","",IF(O552&gt;=50,"Yes","No"))</f>
        <v/>
      </c>
      <c r="T552" s="32" t="str">
        <f aca="false">IF(Q552="","",IF(Q552&gt;=100000,"Yes","No"))</f>
        <v/>
      </c>
      <c r="U552" s="28"/>
      <c r="V552" s="28"/>
      <c r="W552" s="28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J552" s="34" t="str">
        <f aca="false">IF(OR($BD552&lt;&gt;"",$BF552&lt;&gt;"",$BH552&lt;&gt;""),"Yes","No")</f>
        <v>No</v>
      </c>
      <c r="BK552" s="35" t="str">
        <f aca="false">IFERROR(IF(BD552="","",BD552*INDEX('00 - Lists'!$M$2:$M$11,MATCH(L552,'00 - Lists'!$L$2:$L$11,0))/100000),"")</f>
        <v/>
      </c>
      <c r="BL552" s="35" t="str">
        <f aca="false">IFERROR(IF(BE552="","",BE552*INDEX('00 - Lists'!$M$2:$M$11,MATCH(L552,'00 - Lists'!$L$2:$L$11,0))/100000),"")</f>
        <v/>
      </c>
      <c r="BM552" s="35" t="str">
        <f aca="false">IFERROR(IF(BF552="","",BF552*INDEX('00 - Lists'!$M$2:$M$11,MATCH(L552,'00 - Lists'!$L$2:$L$11,0))/100000),"")</f>
        <v/>
      </c>
      <c r="BN552" s="35" t="str">
        <f aca="false">IFERROR(IF(BG552="","",BG552*INDEX('00 - Lists'!$M$2:$M$11,MATCH(L552,'00 - Lists'!$L$2:$L$11,0))/100000),"")</f>
        <v/>
      </c>
      <c r="BO552" s="35" t="str">
        <f aca="false">IFERROR(IF(BH552="","",BH552*INDEX('00 - Lists'!$M$2:$M$11,MATCH(L552,'00 - Lists'!$L$2:$L$11,0))/100000),"")</f>
        <v/>
      </c>
      <c r="BP552" s="35" t="str">
        <f aca="false">IFERROR(IF(BI552="","",BI552*INDEX('00 - Lists'!$M$2:$M$11,MATCH(L552,'00 - Lists'!$L$2:$L$11,0))/100000),"")</f>
        <v/>
      </c>
      <c r="BS552" s="36" t="str">
        <f aca="false">IF(O552="","",IF(O552&gt;=20,"Yes","No"))</f>
        <v/>
      </c>
      <c r="BT552" s="36" t="str">
        <f aca="false">IF(O552="","",IF(O552&gt;=30,"Yes","No"))</f>
        <v/>
      </c>
      <c r="BU552" s="36" t="str">
        <f aca="false">IF(O552="","",IF(O552&gt;=75,"Yes","No"))</f>
        <v/>
      </c>
      <c r="BV552" s="36" t="str">
        <f aca="false">IF(O552="","",IF(O552&gt;=100,"Yes","No"))</f>
        <v/>
      </c>
      <c r="BW552" s="36" t="str">
        <f aca="false">IF(O552="","",IF(O552&gt;=150,"Yes","No"))</f>
        <v/>
      </c>
      <c r="BX552" s="36" t="str">
        <f aca="false">IF(O552="","",IF(O552&gt;=200,"Yes","No"))</f>
        <v/>
      </c>
      <c r="BY552" s="36" t="str">
        <f aca="false">IF(Q552="","",IF(Q552&gt;=150000,"Yes","No"))</f>
        <v/>
      </c>
      <c r="BZ552" s="36" t="str">
        <f aca="false">IF(Q552="","",IF(Q552&gt;=200000,"Yes","No"))</f>
        <v/>
      </c>
      <c r="CA552" s="36" t="str">
        <f aca="false">IF(Q552="","",IF(Q552&gt;=250000,"Yes","No"))</f>
        <v/>
      </c>
      <c r="CB552" s="36" t="str">
        <f aca="false">IF(Q552="","",IF(Q552&gt;=300000,"Yes","No"))</f>
        <v/>
      </c>
      <c r="CC552" s="37"/>
      <c r="CD552" s="36" t="str">
        <f aca="true">IF(B552="","",IF(TODAY()-B552&lt;=7,"🟢 0-7d",IF(TODAY()-B552&lt;=30,"🟡 8-30d",IF(TODAY()-B552&lt;=60,"🟠 31-60d","🔴 60d+"))))</f>
        <v/>
      </c>
      <c r="CE552" s="36" t="str">
        <f aca="false">IF(G552="","",IF(G552&lt;&gt;"USA","N/A - Not USA Role",IF(J552="Yes",IF(OR(F552="Intern",F552="New Grad"),"🟡 Possible","🟢 Strong"),IF(J552="No","🔴 Difficult","⚪ Unknown"))))</f>
        <v/>
      </c>
      <c r="CF552" s="37"/>
      <c r="CG552" s="37"/>
      <c r="CH552" s="38"/>
      <c r="CI552" s="38"/>
      <c r="CJ552" s="38"/>
      <c r="CK552" s="38"/>
    </row>
    <row r="553" customFormat="false" ht="15" hidden="false" customHeight="true" outlineLevel="0" collapsed="false">
      <c r="A553" s="26" t="str">
        <f aca="false">IF($C553="","",ROW()-3)</f>
        <v/>
      </c>
      <c r="B553" s="27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9"/>
      <c r="N553" s="29"/>
      <c r="O553" s="30" t="str">
        <f aca="false">IFERROR(IF(M553="","",M553*INDEX('00 - Lists'!$M$2:$M$11,MATCH(L553,'00 - Lists'!$L$2:$L$11,0))/100000),"")</f>
        <v/>
      </c>
      <c r="P553" s="30" t="str">
        <f aca="false">IFERROR(IF(N553="","",N553*INDEX('00 - Lists'!$M$2:$M$11,MATCH(L553,'00 - Lists'!$L$2:$L$11,0))/100000),"")</f>
        <v/>
      </c>
      <c r="Q553" s="31" t="str">
        <f aca="false">IFERROR(IF(M553="","",M553*INDEX('00 - Lists'!$N$2:$N$11,MATCH(L553,'00 - Lists'!$L$2:$L$11,0))),"")</f>
        <v/>
      </c>
      <c r="R553" s="31" t="str">
        <f aca="false">IFERROR(IF(N553="","",N553*INDEX('00 - Lists'!$N$2:$N$11,MATCH(L553,'00 - Lists'!$L$2:$L$11,0))),"")</f>
        <v/>
      </c>
      <c r="S553" s="32" t="str">
        <f aca="false">IF(O553="","",IF(O553&gt;=50,"Yes","No"))</f>
        <v/>
      </c>
      <c r="T553" s="32" t="str">
        <f aca="false">IF(Q553="","",IF(Q553&gt;=100000,"Yes","No"))</f>
        <v/>
      </c>
      <c r="U553" s="28"/>
      <c r="V553" s="28"/>
      <c r="W553" s="28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J553" s="34" t="str">
        <f aca="false">IF(OR($BD553&lt;&gt;"",$BF553&lt;&gt;"",$BH553&lt;&gt;""),"Yes","No")</f>
        <v>No</v>
      </c>
      <c r="BK553" s="35" t="str">
        <f aca="false">IFERROR(IF(BD553="","",BD553*INDEX('00 - Lists'!$M$2:$M$11,MATCH(L553,'00 - Lists'!$L$2:$L$11,0))/100000),"")</f>
        <v/>
      </c>
      <c r="BL553" s="35" t="str">
        <f aca="false">IFERROR(IF(BE553="","",BE553*INDEX('00 - Lists'!$M$2:$M$11,MATCH(L553,'00 - Lists'!$L$2:$L$11,0))/100000),"")</f>
        <v/>
      </c>
      <c r="BM553" s="35" t="str">
        <f aca="false">IFERROR(IF(BF553="","",BF553*INDEX('00 - Lists'!$M$2:$M$11,MATCH(L553,'00 - Lists'!$L$2:$L$11,0))/100000),"")</f>
        <v/>
      </c>
      <c r="BN553" s="35" t="str">
        <f aca="false">IFERROR(IF(BG553="","",BG553*INDEX('00 - Lists'!$M$2:$M$11,MATCH(L553,'00 - Lists'!$L$2:$L$11,0))/100000),"")</f>
        <v/>
      </c>
      <c r="BO553" s="35" t="str">
        <f aca="false">IFERROR(IF(BH553="","",BH553*INDEX('00 - Lists'!$M$2:$M$11,MATCH(L553,'00 - Lists'!$L$2:$L$11,0))/100000),"")</f>
        <v/>
      </c>
      <c r="BP553" s="35" t="str">
        <f aca="false">IFERROR(IF(BI553="","",BI553*INDEX('00 - Lists'!$M$2:$M$11,MATCH(L553,'00 - Lists'!$L$2:$L$11,0))/100000),"")</f>
        <v/>
      </c>
      <c r="BS553" s="36" t="str">
        <f aca="false">IF(O553="","",IF(O553&gt;=20,"Yes","No"))</f>
        <v/>
      </c>
      <c r="BT553" s="36" t="str">
        <f aca="false">IF(O553="","",IF(O553&gt;=30,"Yes","No"))</f>
        <v/>
      </c>
      <c r="BU553" s="36" t="str">
        <f aca="false">IF(O553="","",IF(O553&gt;=75,"Yes","No"))</f>
        <v/>
      </c>
      <c r="BV553" s="36" t="str">
        <f aca="false">IF(O553="","",IF(O553&gt;=100,"Yes","No"))</f>
        <v/>
      </c>
      <c r="BW553" s="36" t="str">
        <f aca="false">IF(O553="","",IF(O553&gt;=150,"Yes","No"))</f>
        <v/>
      </c>
      <c r="BX553" s="36" t="str">
        <f aca="false">IF(O553="","",IF(O553&gt;=200,"Yes","No"))</f>
        <v/>
      </c>
      <c r="BY553" s="36" t="str">
        <f aca="false">IF(Q553="","",IF(Q553&gt;=150000,"Yes","No"))</f>
        <v/>
      </c>
      <c r="BZ553" s="36" t="str">
        <f aca="false">IF(Q553="","",IF(Q553&gt;=200000,"Yes","No"))</f>
        <v/>
      </c>
      <c r="CA553" s="36" t="str">
        <f aca="false">IF(Q553="","",IF(Q553&gt;=250000,"Yes","No"))</f>
        <v/>
      </c>
      <c r="CB553" s="36" t="str">
        <f aca="false">IF(Q553="","",IF(Q553&gt;=300000,"Yes","No"))</f>
        <v/>
      </c>
      <c r="CC553" s="37"/>
      <c r="CD553" s="36" t="str">
        <f aca="true">IF(B553="","",IF(TODAY()-B553&lt;=7,"🟢 0-7d",IF(TODAY()-B553&lt;=30,"🟡 8-30d",IF(TODAY()-B553&lt;=60,"🟠 31-60d","🔴 60d+"))))</f>
        <v/>
      </c>
      <c r="CE553" s="36" t="str">
        <f aca="false">IF(G553="","",IF(G553&lt;&gt;"USA","N/A - Not USA Role",IF(J553="Yes",IF(OR(F553="Intern",F553="New Grad"),"🟡 Possible","🟢 Strong"),IF(J553="No","🔴 Difficult","⚪ Unknown"))))</f>
        <v/>
      </c>
      <c r="CF553" s="37"/>
      <c r="CG553" s="37"/>
      <c r="CH553" s="38"/>
      <c r="CI553" s="38"/>
      <c r="CJ553" s="38"/>
      <c r="CK553" s="38"/>
    </row>
    <row r="554" customFormat="false" ht="15" hidden="false" customHeight="true" outlineLevel="0" collapsed="false">
      <c r="A554" s="26" t="str">
        <f aca="false">IF($C554="","",ROW()-3)</f>
        <v/>
      </c>
      <c r="B554" s="27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9"/>
      <c r="N554" s="29"/>
      <c r="O554" s="30" t="str">
        <f aca="false">IFERROR(IF(M554="","",M554*INDEX('00 - Lists'!$M$2:$M$11,MATCH(L554,'00 - Lists'!$L$2:$L$11,0))/100000),"")</f>
        <v/>
      </c>
      <c r="P554" s="30" t="str">
        <f aca="false">IFERROR(IF(N554="","",N554*INDEX('00 - Lists'!$M$2:$M$11,MATCH(L554,'00 - Lists'!$L$2:$L$11,0))/100000),"")</f>
        <v/>
      </c>
      <c r="Q554" s="31" t="str">
        <f aca="false">IFERROR(IF(M554="","",M554*INDEX('00 - Lists'!$N$2:$N$11,MATCH(L554,'00 - Lists'!$L$2:$L$11,0))),"")</f>
        <v/>
      </c>
      <c r="R554" s="31" t="str">
        <f aca="false">IFERROR(IF(N554="","",N554*INDEX('00 - Lists'!$N$2:$N$11,MATCH(L554,'00 - Lists'!$L$2:$L$11,0))),"")</f>
        <v/>
      </c>
      <c r="S554" s="32" t="str">
        <f aca="false">IF(O554="","",IF(O554&gt;=50,"Yes","No"))</f>
        <v/>
      </c>
      <c r="T554" s="32" t="str">
        <f aca="false">IF(Q554="","",IF(Q554&gt;=100000,"Yes","No"))</f>
        <v/>
      </c>
      <c r="U554" s="28"/>
      <c r="V554" s="28"/>
      <c r="W554" s="28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J554" s="34" t="str">
        <f aca="false">IF(OR($BD554&lt;&gt;"",$BF554&lt;&gt;"",$BH554&lt;&gt;""),"Yes","No")</f>
        <v>No</v>
      </c>
      <c r="BK554" s="35" t="str">
        <f aca="false">IFERROR(IF(BD554="","",BD554*INDEX('00 - Lists'!$M$2:$M$11,MATCH(L554,'00 - Lists'!$L$2:$L$11,0))/100000),"")</f>
        <v/>
      </c>
      <c r="BL554" s="35" t="str">
        <f aca="false">IFERROR(IF(BE554="","",BE554*INDEX('00 - Lists'!$M$2:$M$11,MATCH(L554,'00 - Lists'!$L$2:$L$11,0))/100000),"")</f>
        <v/>
      </c>
      <c r="BM554" s="35" t="str">
        <f aca="false">IFERROR(IF(BF554="","",BF554*INDEX('00 - Lists'!$M$2:$M$11,MATCH(L554,'00 - Lists'!$L$2:$L$11,0))/100000),"")</f>
        <v/>
      </c>
      <c r="BN554" s="35" t="str">
        <f aca="false">IFERROR(IF(BG554="","",BG554*INDEX('00 - Lists'!$M$2:$M$11,MATCH(L554,'00 - Lists'!$L$2:$L$11,0))/100000),"")</f>
        <v/>
      </c>
      <c r="BO554" s="35" t="str">
        <f aca="false">IFERROR(IF(BH554="","",BH554*INDEX('00 - Lists'!$M$2:$M$11,MATCH(L554,'00 - Lists'!$L$2:$L$11,0))/100000),"")</f>
        <v/>
      </c>
      <c r="BP554" s="35" t="str">
        <f aca="false">IFERROR(IF(BI554="","",BI554*INDEX('00 - Lists'!$M$2:$M$11,MATCH(L554,'00 - Lists'!$L$2:$L$11,0))/100000),"")</f>
        <v/>
      </c>
      <c r="BS554" s="36" t="str">
        <f aca="false">IF(O554="","",IF(O554&gt;=20,"Yes","No"))</f>
        <v/>
      </c>
      <c r="BT554" s="36" t="str">
        <f aca="false">IF(O554="","",IF(O554&gt;=30,"Yes","No"))</f>
        <v/>
      </c>
      <c r="BU554" s="36" t="str">
        <f aca="false">IF(O554="","",IF(O554&gt;=75,"Yes","No"))</f>
        <v/>
      </c>
      <c r="BV554" s="36" t="str">
        <f aca="false">IF(O554="","",IF(O554&gt;=100,"Yes","No"))</f>
        <v/>
      </c>
      <c r="BW554" s="36" t="str">
        <f aca="false">IF(O554="","",IF(O554&gt;=150,"Yes","No"))</f>
        <v/>
      </c>
      <c r="BX554" s="36" t="str">
        <f aca="false">IF(O554="","",IF(O554&gt;=200,"Yes","No"))</f>
        <v/>
      </c>
      <c r="BY554" s="36" t="str">
        <f aca="false">IF(Q554="","",IF(Q554&gt;=150000,"Yes","No"))</f>
        <v/>
      </c>
      <c r="BZ554" s="36" t="str">
        <f aca="false">IF(Q554="","",IF(Q554&gt;=200000,"Yes","No"))</f>
        <v/>
      </c>
      <c r="CA554" s="36" t="str">
        <f aca="false">IF(Q554="","",IF(Q554&gt;=250000,"Yes","No"))</f>
        <v/>
      </c>
      <c r="CB554" s="36" t="str">
        <f aca="false">IF(Q554="","",IF(Q554&gt;=300000,"Yes","No"))</f>
        <v/>
      </c>
      <c r="CC554" s="37"/>
      <c r="CD554" s="36" t="str">
        <f aca="true">IF(B554="","",IF(TODAY()-B554&lt;=7,"🟢 0-7d",IF(TODAY()-B554&lt;=30,"🟡 8-30d",IF(TODAY()-B554&lt;=60,"🟠 31-60d","🔴 60d+"))))</f>
        <v/>
      </c>
      <c r="CE554" s="36" t="str">
        <f aca="false">IF(G554="","",IF(G554&lt;&gt;"USA","N/A - Not USA Role",IF(J554="Yes",IF(OR(F554="Intern",F554="New Grad"),"🟡 Possible","🟢 Strong"),IF(J554="No","🔴 Difficult","⚪ Unknown"))))</f>
        <v/>
      </c>
      <c r="CF554" s="37"/>
      <c r="CG554" s="37"/>
      <c r="CH554" s="38"/>
      <c r="CI554" s="38"/>
      <c r="CJ554" s="38"/>
      <c r="CK554" s="38"/>
    </row>
    <row r="555" customFormat="false" ht="15" hidden="false" customHeight="true" outlineLevel="0" collapsed="false">
      <c r="A555" s="26" t="str">
        <f aca="false">IF($C555="","",ROW()-3)</f>
        <v/>
      </c>
      <c r="B555" s="27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9"/>
      <c r="N555" s="29"/>
      <c r="O555" s="30" t="str">
        <f aca="false">IFERROR(IF(M555="","",M555*INDEX('00 - Lists'!$M$2:$M$11,MATCH(L555,'00 - Lists'!$L$2:$L$11,0))/100000),"")</f>
        <v/>
      </c>
      <c r="P555" s="30" t="str">
        <f aca="false">IFERROR(IF(N555="","",N555*INDEX('00 - Lists'!$M$2:$M$11,MATCH(L555,'00 - Lists'!$L$2:$L$11,0))/100000),"")</f>
        <v/>
      </c>
      <c r="Q555" s="31" t="str">
        <f aca="false">IFERROR(IF(M555="","",M555*INDEX('00 - Lists'!$N$2:$N$11,MATCH(L555,'00 - Lists'!$L$2:$L$11,0))),"")</f>
        <v/>
      </c>
      <c r="R555" s="31" t="str">
        <f aca="false">IFERROR(IF(N555="","",N555*INDEX('00 - Lists'!$N$2:$N$11,MATCH(L555,'00 - Lists'!$L$2:$L$11,0))),"")</f>
        <v/>
      </c>
      <c r="S555" s="32" t="str">
        <f aca="false">IF(O555="","",IF(O555&gt;=50,"Yes","No"))</f>
        <v/>
      </c>
      <c r="T555" s="32" t="str">
        <f aca="false">IF(Q555="","",IF(Q555&gt;=100000,"Yes","No"))</f>
        <v/>
      </c>
      <c r="U555" s="28"/>
      <c r="V555" s="28"/>
      <c r="W555" s="28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J555" s="34" t="str">
        <f aca="false">IF(OR($BD555&lt;&gt;"",$BF555&lt;&gt;"",$BH555&lt;&gt;""),"Yes","No")</f>
        <v>No</v>
      </c>
      <c r="BK555" s="35" t="str">
        <f aca="false">IFERROR(IF(BD555="","",BD555*INDEX('00 - Lists'!$M$2:$M$11,MATCH(L555,'00 - Lists'!$L$2:$L$11,0))/100000),"")</f>
        <v/>
      </c>
      <c r="BL555" s="35" t="str">
        <f aca="false">IFERROR(IF(BE555="","",BE555*INDEX('00 - Lists'!$M$2:$M$11,MATCH(L555,'00 - Lists'!$L$2:$L$11,0))/100000),"")</f>
        <v/>
      </c>
      <c r="BM555" s="35" t="str">
        <f aca="false">IFERROR(IF(BF555="","",BF555*INDEX('00 - Lists'!$M$2:$M$11,MATCH(L555,'00 - Lists'!$L$2:$L$11,0))/100000),"")</f>
        <v/>
      </c>
      <c r="BN555" s="35" t="str">
        <f aca="false">IFERROR(IF(BG555="","",BG555*INDEX('00 - Lists'!$M$2:$M$11,MATCH(L555,'00 - Lists'!$L$2:$L$11,0))/100000),"")</f>
        <v/>
      </c>
      <c r="BO555" s="35" t="str">
        <f aca="false">IFERROR(IF(BH555="","",BH555*INDEX('00 - Lists'!$M$2:$M$11,MATCH(L555,'00 - Lists'!$L$2:$L$11,0))/100000),"")</f>
        <v/>
      </c>
      <c r="BP555" s="35" t="str">
        <f aca="false">IFERROR(IF(BI555="","",BI555*INDEX('00 - Lists'!$M$2:$M$11,MATCH(L555,'00 - Lists'!$L$2:$L$11,0))/100000),"")</f>
        <v/>
      </c>
      <c r="BS555" s="36" t="str">
        <f aca="false">IF(O555="","",IF(O555&gt;=20,"Yes","No"))</f>
        <v/>
      </c>
      <c r="BT555" s="36" t="str">
        <f aca="false">IF(O555="","",IF(O555&gt;=30,"Yes","No"))</f>
        <v/>
      </c>
      <c r="BU555" s="36" t="str">
        <f aca="false">IF(O555="","",IF(O555&gt;=75,"Yes","No"))</f>
        <v/>
      </c>
      <c r="BV555" s="36" t="str">
        <f aca="false">IF(O555="","",IF(O555&gt;=100,"Yes","No"))</f>
        <v/>
      </c>
      <c r="BW555" s="36" t="str">
        <f aca="false">IF(O555="","",IF(O555&gt;=150,"Yes","No"))</f>
        <v/>
      </c>
      <c r="BX555" s="36" t="str">
        <f aca="false">IF(O555="","",IF(O555&gt;=200,"Yes","No"))</f>
        <v/>
      </c>
      <c r="BY555" s="36" t="str">
        <f aca="false">IF(Q555="","",IF(Q555&gt;=150000,"Yes","No"))</f>
        <v/>
      </c>
      <c r="BZ555" s="36" t="str">
        <f aca="false">IF(Q555="","",IF(Q555&gt;=200000,"Yes","No"))</f>
        <v/>
      </c>
      <c r="CA555" s="36" t="str">
        <f aca="false">IF(Q555="","",IF(Q555&gt;=250000,"Yes","No"))</f>
        <v/>
      </c>
      <c r="CB555" s="36" t="str">
        <f aca="false">IF(Q555="","",IF(Q555&gt;=300000,"Yes","No"))</f>
        <v/>
      </c>
      <c r="CC555" s="37"/>
      <c r="CD555" s="36" t="str">
        <f aca="true">IF(B555="","",IF(TODAY()-B555&lt;=7,"🟢 0-7d",IF(TODAY()-B555&lt;=30,"🟡 8-30d",IF(TODAY()-B555&lt;=60,"🟠 31-60d","🔴 60d+"))))</f>
        <v/>
      </c>
      <c r="CE555" s="36" t="str">
        <f aca="false">IF(G555="","",IF(G555&lt;&gt;"USA","N/A - Not USA Role",IF(J555="Yes",IF(OR(F555="Intern",F555="New Grad"),"🟡 Possible","🟢 Strong"),IF(J555="No","🔴 Difficult","⚪ Unknown"))))</f>
        <v/>
      </c>
      <c r="CF555" s="37"/>
      <c r="CG555" s="37"/>
      <c r="CH555" s="38"/>
      <c r="CI555" s="38"/>
      <c r="CJ555" s="38"/>
      <c r="CK555" s="38"/>
    </row>
    <row r="556" customFormat="false" ht="15" hidden="false" customHeight="true" outlineLevel="0" collapsed="false">
      <c r="A556" s="26" t="str">
        <f aca="false">IF($C556="","",ROW()-3)</f>
        <v/>
      </c>
      <c r="B556" s="27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9"/>
      <c r="N556" s="29"/>
      <c r="O556" s="30" t="str">
        <f aca="false">IFERROR(IF(M556="","",M556*INDEX('00 - Lists'!$M$2:$M$11,MATCH(L556,'00 - Lists'!$L$2:$L$11,0))/100000),"")</f>
        <v/>
      </c>
      <c r="P556" s="30" t="str">
        <f aca="false">IFERROR(IF(N556="","",N556*INDEX('00 - Lists'!$M$2:$M$11,MATCH(L556,'00 - Lists'!$L$2:$L$11,0))/100000),"")</f>
        <v/>
      </c>
      <c r="Q556" s="31" t="str">
        <f aca="false">IFERROR(IF(M556="","",M556*INDEX('00 - Lists'!$N$2:$N$11,MATCH(L556,'00 - Lists'!$L$2:$L$11,0))),"")</f>
        <v/>
      </c>
      <c r="R556" s="31" t="str">
        <f aca="false">IFERROR(IF(N556="","",N556*INDEX('00 - Lists'!$N$2:$N$11,MATCH(L556,'00 - Lists'!$L$2:$L$11,0))),"")</f>
        <v/>
      </c>
      <c r="S556" s="32" t="str">
        <f aca="false">IF(O556="","",IF(O556&gt;=50,"Yes","No"))</f>
        <v/>
      </c>
      <c r="T556" s="32" t="str">
        <f aca="false">IF(Q556="","",IF(Q556&gt;=100000,"Yes","No"))</f>
        <v/>
      </c>
      <c r="U556" s="28"/>
      <c r="V556" s="28"/>
      <c r="W556" s="28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J556" s="34" t="str">
        <f aca="false">IF(OR($BD556&lt;&gt;"",$BF556&lt;&gt;"",$BH556&lt;&gt;""),"Yes","No")</f>
        <v>No</v>
      </c>
      <c r="BK556" s="35" t="str">
        <f aca="false">IFERROR(IF(BD556="","",BD556*INDEX('00 - Lists'!$M$2:$M$11,MATCH(L556,'00 - Lists'!$L$2:$L$11,0))/100000),"")</f>
        <v/>
      </c>
      <c r="BL556" s="35" t="str">
        <f aca="false">IFERROR(IF(BE556="","",BE556*INDEX('00 - Lists'!$M$2:$M$11,MATCH(L556,'00 - Lists'!$L$2:$L$11,0))/100000),"")</f>
        <v/>
      </c>
      <c r="BM556" s="35" t="str">
        <f aca="false">IFERROR(IF(BF556="","",BF556*INDEX('00 - Lists'!$M$2:$M$11,MATCH(L556,'00 - Lists'!$L$2:$L$11,0))/100000),"")</f>
        <v/>
      </c>
      <c r="BN556" s="35" t="str">
        <f aca="false">IFERROR(IF(BG556="","",BG556*INDEX('00 - Lists'!$M$2:$M$11,MATCH(L556,'00 - Lists'!$L$2:$L$11,0))/100000),"")</f>
        <v/>
      </c>
      <c r="BO556" s="35" t="str">
        <f aca="false">IFERROR(IF(BH556="","",BH556*INDEX('00 - Lists'!$M$2:$M$11,MATCH(L556,'00 - Lists'!$L$2:$L$11,0))/100000),"")</f>
        <v/>
      </c>
      <c r="BP556" s="35" t="str">
        <f aca="false">IFERROR(IF(BI556="","",BI556*INDEX('00 - Lists'!$M$2:$M$11,MATCH(L556,'00 - Lists'!$L$2:$L$11,0))/100000),"")</f>
        <v/>
      </c>
      <c r="BS556" s="36" t="str">
        <f aca="false">IF(O556="","",IF(O556&gt;=20,"Yes","No"))</f>
        <v/>
      </c>
      <c r="BT556" s="36" t="str">
        <f aca="false">IF(O556="","",IF(O556&gt;=30,"Yes","No"))</f>
        <v/>
      </c>
      <c r="BU556" s="36" t="str">
        <f aca="false">IF(O556="","",IF(O556&gt;=75,"Yes","No"))</f>
        <v/>
      </c>
      <c r="BV556" s="36" t="str">
        <f aca="false">IF(O556="","",IF(O556&gt;=100,"Yes","No"))</f>
        <v/>
      </c>
      <c r="BW556" s="36" t="str">
        <f aca="false">IF(O556="","",IF(O556&gt;=150,"Yes","No"))</f>
        <v/>
      </c>
      <c r="BX556" s="36" t="str">
        <f aca="false">IF(O556="","",IF(O556&gt;=200,"Yes","No"))</f>
        <v/>
      </c>
      <c r="BY556" s="36" t="str">
        <f aca="false">IF(Q556="","",IF(Q556&gt;=150000,"Yes","No"))</f>
        <v/>
      </c>
      <c r="BZ556" s="36" t="str">
        <f aca="false">IF(Q556="","",IF(Q556&gt;=200000,"Yes","No"))</f>
        <v/>
      </c>
      <c r="CA556" s="36" t="str">
        <f aca="false">IF(Q556="","",IF(Q556&gt;=250000,"Yes","No"))</f>
        <v/>
      </c>
      <c r="CB556" s="36" t="str">
        <f aca="false">IF(Q556="","",IF(Q556&gt;=300000,"Yes","No"))</f>
        <v/>
      </c>
      <c r="CC556" s="37"/>
      <c r="CD556" s="36" t="str">
        <f aca="true">IF(B556="","",IF(TODAY()-B556&lt;=7,"🟢 0-7d",IF(TODAY()-B556&lt;=30,"🟡 8-30d",IF(TODAY()-B556&lt;=60,"🟠 31-60d","🔴 60d+"))))</f>
        <v/>
      </c>
      <c r="CE556" s="36" t="str">
        <f aca="false">IF(G556="","",IF(G556&lt;&gt;"USA","N/A - Not USA Role",IF(J556="Yes",IF(OR(F556="Intern",F556="New Grad"),"🟡 Possible","🟢 Strong"),IF(J556="No","🔴 Difficult","⚪ Unknown"))))</f>
        <v/>
      </c>
      <c r="CF556" s="37"/>
      <c r="CG556" s="37"/>
      <c r="CH556" s="38"/>
      <c r="CI556" s="38"/>
      <c r="CJ556" s="38"/>
      <c r="CK556" s="38"/>
    </row>
    <row r="557" customFormat="false" ht="15" hidden="false" customHeight="true" outlineLevel="0" collapsed="false">
      <c r="A557" s="26" t="str">
        <f aca="false">IF($C557="","",ROW()-3)</f>
        <v/>
      </c>
      <c r="B557" s="27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9"/>
      <c r="N557" s="29"/>
      <c r="O557" s="30" t="str">
        <f aca="false">IFERROR(IF(M557="","",M557*INDEX('00 - Lists'!$M$2:$M$11,MATCH(L557,'00 - Lists'!$L$2:$L$11,0))/100000),"")</f>
        <v/>
      </c>
      <c r="P557" s="30" t="str">
        <f aca="false">IFERROR(IF(N557="","",N557*INDEX('00 - Lists'!$M$2:$M$11,MATCH(L557,'00 - Lists'!$L$2:$L$11,0))/100000),"")</f>
        <v/>
      </c>
      <c r="Q557" s="31" t="str">
        <f aca="false">IFERROR(IF(M557="","",M557*INDEX('00 - Lists'!$N$2:$N$11,MATCH(L557,'00 - Lists'!$L$2:$L$11,0))),"")</f>
        <v/>
      </c>
      <c r="R557" s="31" t="str">
        <f aca="false">IFERROR(IF(N557="","",N557*INDEX('00 - Lists'!$N$2:$N$11,MATCH(L557,'00 - Lists'!$L$2:$L$11,0))),"")</f>
        <v/>
      </c>
      <c r="S557" s="32" t="str">
        <f aca="false">IF(O557="","",IF(O557&gt;=50,"Yes","No"))</f>
        <v/>
      </c>
      <c r="T557" s="32" t="str">
        <f aca="false">IF(Q557="","",IF(Q557&gt;=100000,"Yes","No"))</f>
        <v/>
      </c>
      <c r="U557" s="28"/>
      <c r="V557" s="28"/>
      <c r="W557" s="28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J557" s="34" t="str">
        <f aca="false">IF(OR($BD557&lt;&gt;"",$BF557&lt;&gt;"",$BH557&lt;&gt;""),"Yes","No")</f>
        <v>No</v>
      </c>
      <c r="BK557" s="35" t="str">
        <f aca="false">IFERROR(IF(BD557="","",BD557*INDEX('00 - Lists'!$M$2:$M$11,MATCH(L557,'00 - Lists'!$L$2:$L$11,0))/100000),"")</f>
        <v/>
      </c>
      <c r="BL557" s="35" t="str">
        <f aca="false">IFERROR(IF(BE557="","",BE557*INDEX('00 - Lists'!$M$2:$M$11,MATCH(L557,'00 - Lists'!$L$2:$L$11,0))/100000),"")</f>
        <v/>
      </c>
      <c r="BM557" s="35" t="str">
        <f aca="false">IFERROR(IF(BF557="","",BF557*INDEX('00 - Lists'!$M$2:$M$11,MATCH(L557,'00 - Lists'!$L$2:$L$11,0))/100000),"")</f>
        <v/>
      </c>
      <c r="BN557" s="35" t="str">
        <f aca="false">IFERROR(IF(BG557="","",BG557*INDEX('00 - Lists'!$M$2:$M$11,MATCH(L557,'00 - Lists'!$L$2:$L$11,0))/100000),"")</f>
        <v/>
      </c>
      <c r="BO557" s="35" t="str">
        <f aca="false">IFERROR(IF(BH557="","",BH557*INDEX('00 - Lists'!$M$2:$M$11,MATCH(L557,'00 - Lists'!$L$2:$L$11,0))/100000),"")</f>
        <v/>
      </c>
      <c r="BP557" s="35" t="str">
        <f aca="false">IFERROR(IF(BI557="","",BI557*INDEX('00 - Lists'!$M$2:$M$11,MATCH(L557,'00 - Lists'!$L$2:$L$11,0))/100000),"")</f>
        <v/>
      </c>
      <c r="BS557" s="36" t="str">
        <f aca="false">IF(O557="","",IF(O557&gt;=20,"Yes","No"))</f>
        <v/>
      </c>
      <c r="BT557" s="36" t="str">
        <f aca="false">IF(O557="","",IF(O557&gt;=30,"Yes","No"))</f>
        <v/>
      </c>
      <c r="BU557" s="36" t="str">
        <f aca="false">IF(O557="","",IF(O557&gt;=75,"Yes","No"))</f>
        <v/>
      </c>
      <c r="BV557" s="36" t="str">
        <f aca="false">IF(O557="","",IF(O557&gt;=100,"Yes","No"))</f>
        <v/>
      </c>
      <c r="BW557" s="36" t="str">
        <f aca="false">IF(O557="","",IF(O557&gt;=150,"Yes","No"))</f>
        <v/>
      </c>
      <c r="BX557" s="36" t="str">
        <f aca="false">IF(O557="","",IF(O557&gt;=200,"Yes","No"))</f>
        <v/>
      </c>
      <c r="BY557" s="36" t="str">
        <f aca="false">IF(Q557="","",IF(Q557&gt;=150000,"Yes","No"))</f>
        <v/>
      </c>
      <c r="BZ557" s="36" t="str">
        <f aca="false">IF(Q557="","",IF(Q557&gt;=200000,"Yes","No"))</f>
        <v/>
      </c>
      <c r="CA557" s="36" t="str">
        <f aca="false">IF(Q557="","",IF(Q557&gt;=250000,"Yes","No"))</f>
        <v/>
      </c>
      <c r="CB557" s="36" t="str">
        <f aca="false">IF(Q557="","",IF(Q557&gt;=300000,"Yes","No"))</f>
        <v/>
      </c>
      <c r="CC557" s="37"/>
      <c r="CD557" s="36" t="str">
        <f aca="true">IF(B557="","",IF(TODAY()-B557&lt;=7,"🟢 0-7d",IF(TODAY()-B557&lt;=30,"🟡 8-30d",IF(TODAY()-B557&lt;=60,"🟠 31-60d","🔴 60d+"))))</f>
        <v/>
      </c>
      <c r="CE557" s="36" t="str">
        <f aca="false">IF(G557="","",IF(G557&lt;&gt;"USA","N/A - Not USA Role",IF(J557="Yes",IF(OR(F557="Intern",F557="New Grad"),"🟡 Possible","🟢 Strong"),IF(J557="No","🔴 Difficult","⚪ Unknown"))))</f>
        <v/>
      </c>
      <c r="CF557" s="37"/>
      <c r="CG557" s="37"/>
      <c r="CH557" s="38"/>
      <c r="CI557" s="38"/>
      <c r="CJ557" s="38"/>
      <c r="CK557" s="38"/>
    </row>
    <row r="558" customFormat="false" ht="15" hidden="false" customHeight="true" outlineLevel="0" collapsed="false">
      <c r="A558" s="26" t="str">
        <f aca="false">IF($C558="","",ROW()-3)</f>
        <v/>
      </c>
      <c r="B558" s="27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9"/>
      <c r="N558" s="29"/>
      <c r="O558" s="30" t="str">
        <f aca="false">IFERROR(IF(M558="","",M558*INDEX('00 - Lists'!$M$2:$M$11,MATCH(L558,'00 - Lists'!$L$2:$L$11,0))/100000),"")</f>
        <v/>
      </c>
      <c r="P558" s="30" t="str">
        <f aca="false">IFERROR(IF(N558="","",N558*INDEX('00 - Lists'!$M$2:$M$11,MATCH(L558,'00 - Lists'!$L$2:$L$11,0))/100000),"")</f>
        <v/>
      </c>
      <c r="Q558" s="31" t="str">
        <f aca="false">IFERROR(IF(M558="","",M558*INDEX('00 - Lists'!$N$2:$N$11,MATCH(L558,'00 - Lists'!$L$2:$L$11,0))),"")</f>
        <v/>
      </c>
      <c r="R558" s="31" t="str">
        <f aca="false">IFERROR(IF(N558="","",N558*INDEX('00 - Lists'!$N$2:$N$11,MATCH(L558,'00 - Lists'!$L$2:$L$11,0))),"")</f>
        <v/>
      </c>
      <c r="S558" s="32" t="str">
        <f aca="false">IF(O558="","",IF(O558&gt;=50,"Yes","No"))</f>
        <v/>
      </c>
      <c r="T558" s="32" t="str">
        <f aca="false">IF(Q558="","",IF(Q558&gt;=100000,"Yes","No"))</f>
        <v/>
      </c>
      <c r="U558" s="28"/>
      <c r="V558" s="28"/>
      <c r="W558" s="28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J558" s="34" t="str">
        <f aca="false">IF(OR($BD558&lt;&gt;"",$BF558&lt;&gt;"",$BH558&lt;&gt;""),"Yes","No")</f>
        <v>No</v>
      </c>
      <c r="BK558" s="35" t="str">
        <f aca="false">IFERROR(IF(BD558="","",BD558*INDEX('00 - Lists'!$M$2:$M$11,MATCH(L558,'00 - Lists'!$L$2:$L$11,0))/100000),"")</f>
        <v/>
      </c>
      <c r="BL558" s="35" t="str">
        <f aca="false">IFERROR(IF(BE558="","",BE558*INDEX('00 - Lists'!$M$2:$M$11,MATCH(L558,'00 - Lists'!$L$2:$L$11,0))/100000),"")</f>
        <v/>
      </c>
      <c r="BM558" s="35" t="str">
        <f aca="false">IFERROR(IF(BF558="","",BF558*INDEX('00 - Lists'!$M$2:$M$11,MATCH(L558,'00 - Lists'!$L$2:$L$11,0))/100000),"")</f>
        <v/>
      </c>
      <c r="BN558" s="35" t="str">
        <f aca="false">IFERROR(IF(BG558="","",BG558*INDEX('00 - Lists'!$M$2:$M$11,MATCH(L558,'00 - Lists'!$L$2:$L$11,0))/100000),"")</f>
        <v/>
      </c>
      <c r="BO558" s="35" t="str">
        <f aca="false">IFERROR(IF(BH558="","",BH558*INDEX('00 - Lists'!$M$2:$M$11,MATCH(L558,'00 - Lists'!$L$2:$L$11,0))/100000),"")</f>
        <v/>
      </c>
      <c r="BP558" s="35" t="str">
        <f aca="false">IFERROR(IF(BI558="","",BI558*INDEX('00 - Lists'!$M$2:$M$11,MATCH(L558,'00 - Lists'!$L$2:$L$11,0))/100000),"")</f>
        <v/>
      </c>
      <c r="BS558" s="36" t="str">
        <f aca="false">IF(O558="","",IF(O558&gt;=20,"Yes","No"))</f>
        <v/>
      </c>
      <c r="BT558" s="36" t="str">
        <f aca="false">IF(O558="","",IF(O558&gt;=30,"Yes","No"))</f>
        <v/>
      </c>
      <c r="BU558" s="36" t="str">
        <f aca="false">IF(O558="","",IF(O558&gt;=75,"Yes","No"))</f>
        <v/>
      </c>
      <c r="BV558" s="36" t="str">
        <f aca="false">IF(O558="","",IF(O558&gt;=100,"Yes","No"))</f>
        <v/>
      </c>
      <c r="BW558" s="36" t="str">
        <f aca="false">IF(O558="","",IF(O558&gt;=150,"Yes","No"))</f>
        <v/>
      </c>
      <c r="BX558" s="36" t="str">
        <f aca="false">IF(O558="","",IF(O558&gt;=200,"Yes","No"))</f>
        <v/>
      </c>
      <c r="BY558" s="36" t="str">
        <f aca="false">IF(Q558="","",IF(Q558&gt;=150000,"Yes","No"))</f>
        <v/>
      </c>
      <c r="BZ558" s="36" t="str">
        <f aca="false">IF(Q558="","",IF(Q558&gt;=200000,"Yes","No"))</f>
        <v/>
      </c>
      <c r="CA558" s="36" t="str">
        <f aca="false">IF(Q558="","",IF(Q558&gt;=250000,"Yes","No"))</f>
        <v/>
      </c>
      <c r="CB558" s="36" t="str">
        <f aca="false">IF(Q558="","",IF(Q558&gt;=300000,"Yes","No"))</f>
        <v/>
      </c>
      <c r="CC558" s="37"/>
      <c r="CD558" s="36" t="str">
        <f aca="true">IF(B558="","",IF(TODAY()-B558&lt;=7,"🟢 0-7d",IF(TODAY()-B558&lt;=30,"🟡 8-30d",IF(TODAY()-B558&lt;=60,"🟠 31-60d","🔴 60d+"))))</f>
        <v/>
      </c>
      <c r="CE558" s="36" t="str">
        <f aca="false">IF(G558="","",IF(G558&lt;&gt;"USA","N/A - Not USA Role",IF(J558="Yes",IF(OR(F558="Intern",F558="New Grad"),"🟡 Possible","🟢 Strong"),IF(J558="No","🔴 Difficult","⚪ Unknown"))))</f>
        <v/>
      </c>
      <c r="CF558" s="37"/>
      <c r="CG558" s="37"/>
      <c r="CH558" s="38"/>
      <c r="CI558" s="38"/>
      <c r="CJ558" s="38"/>
      <c r="CK558" s="38"/>
    </row>
    <row r="559" customFormat="false" ht="15" hidden="false" customHeight="true" outlineLevel="0" collapsed="false">
      <c r="A559" s="26" t="str">
        <f aca="false">IF($C559="","",ROW()-3)</f>
        <v/>
      </c>
      <c r="B559" s="27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9"/>
      <c r="N559" s="29"/>
      <c r="O559" s="30" t="str">
        <f aca="false">IFERROR(IF(M559="","",M559*INDEX('00 - Lists'!$M$2:$M$11,MATCH(L559,'00 - Lists'!$L$2:$L$11,0))/100000),"")</f>
        <v/>
      </c>
      <c r="P559" s="30" t="str">
        <f aca="false">IFERROR(IF(N559="","",N559*INDEX('00 - Lists'!$M$2:$M$11,MATCH(L559,'00 - Lists'!$L$2:$L$11,0))/100000),"")</f>
        <v/>
      </c>
      <c r="Q559" s="31" t="str">
        <f aca="false">IFERROR(IF(M559="","",M559*INDEX('00 - Lists'!$N$2:$N$11,MATCH(L559,'00 - Lists'!$L$2:$L$11,0))),"")</f>
        <v/>
      </c>
      <c r="R559" s="31" t="str">
        <f aca="false">IFERROR(IF(N559="","",N559*INDEX('00 - Lists'!$N$2:$N$11,MATCH(L559,'00 - Lists'!$L$2:$L$11,0))),"")</f>
        <v/>
      </c>
      <c r="S559" s="32" t="str">
        <f aca="false">IF(O559="","",IF(O559&gt;=50,"Yes","No"))</f>
        <v/>
      </c>
      <c r="T559" s="32" t="str">
        <f aca="false">IF(Q559="","",IF(Q559&gt;=100000,"Yes","No"))</f>
        <v/>
      </c>
      <c r="U559" s="28"/>
      <c r="V559" s="28"/>
      <c r="W559" s="28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J559" s="34" t="str">
        <f aca="false">IF(OR($BD559&lt;&gt;"",$BF559&lt;&gt;"",$BH559&lt;&gt;""),"Yes","No")</f>
        <v>No</v>
      </c>
      <c r="BK559" s="35" t="str">
        <f aca="false">IFERROR(IF(BD559="","",BD559*INDEX('00 - Lists'!$M$2:$M$11,MATCH(L559,'00 - Lists'!$L$2:$L$11,0))/100000),"")</f>
        <v/>
      </c>
      <c r="BL559" s="35" t="str">
        <f aca="false">IFERROR(IF(BE559="","",BE559*INDEX('00 - Lists'!$M$2:$M$11,MATCH(L559,'00 - Lists'!$L$2:$L$11,0))/100000),"")</f>
        <v/>
      </c>
      <c r="BM559" s="35" t="str">
        <f aca="false">IFERROR(IF(BF559="","",BF559*INDEX('00 - Lists'!$M$2:$M$11,MATCH(L559,'00 - Lists'!$L$2:$L$11,0))/100000),"")</f>
        <v/>
      </c>
      <c r="BN559" s="35" t="str">
        <f aca="false">IFERROR(IF(BG559="","",BG559*INDEX('00 - Lists'!$M$2:$M$11,MATCH(L559,'00 - Lists'!$L$2:$L$11,0))/100000),"")</f>
        <v/>
      </c>
      <c r="BO559" s="35" t="str">
        <f aca="false">IFERROR(IF(BH559="","",BH559*INDEX('00 - Lists'!$M$2:$M$11,MATCH(L559,'00 - Lists'!$L$2:$L$11,0))/100000),"")</f>
        <v/>
      </c>
      <c r="BP559" s="35" t="str">
        <f aca="false">IFERROR(IF(BI559="","",BI559*INDEX('00 - Lists'!$M$2:$M$11,MATCH(L559,'00 - Lists'!$L$2:$L$11,0))/100000),"")</f>
        <v/>
      </c>
      <c r="BS559" s="36" t="str">
        <f aca="false">IF(O559="","",IF(O559&gt;=20,"Yes","No"))</f>
        <v/>
      </c>
      <c r="BT559" s="36" t="str">
        <f aca="false">IF(O559="","",IF(O559&gt;=30,"Yes","No"))</f>
        <v/>
      </c>
      <c r="BU559" s="36" t="str">
        <f aca="false">IF(O559="","",IF(O559&gt;=75,"Yes","No"))</f>
        <v/>
      </c>
      <c r="BV559" s="36" t="str">
        <f aca="false">IF(O559="","",IF(O559&gt;=100,"Yes","No"))</f>
        <v/>
      </c>
      <c r="BW559" s="36" t="str">
        <f aca="false">IF(O559="","",IF(O559&gt;=150,"Yes","No"))</f>
        <v/>
      </c>
      <c r="BX559" s="36" t="str">
        <f aca="false">IF(O559="","",IF(O559&gt;=200,"Yes","No"))</f>
        <v/>
      </c>
      <c r="BY559" s="36" t="str">
        <f aca="false">IF(Q559="","",IF(Q559&gt;=150000,"Yes","No"))</f>
        <v/>
      </c>
      <c r="BZ559" s="36" t="str">
        <f aca="false">IF(Q559="","",IF(Q559&gt;=200000,"Yes","No"))</f>
        <v/>
      </c>
      <c r="CA559" s="36" t="str">
        <f aca="false">IF(Q559="","",IF(Q559&gt;=250000,"Yes","No"))</f>
        <v/>
      </c>
      <c r="CB559" s="36" t="str">
        <f aca="false">IF(Q559="","",IF(Q559&gt;=300000,"Yes","No"))</f>
        <v/>
      </c>
      <c r="CC559" s="37"/>
      <c r="CD559" s="36" t="str">
        <f aca="true">IF(B559="","",IF(TODAY()-B559&lt;=7,"🟢 0-7d",IF(TODAY()-B559&lt;=30,"🟡 8-30d",IF(TODAY()-B559&lt;=60,"🟠 31-60d","🔴 60d+"))))</f>
        <v/>
      </c>
      <c r="CE559" s="36" t="str">
        <f aca="false">IF(G559="","",IF(G559&lt;&gt;"USA","N/A - Not USA Role",IF(J559="Yes",IF(OR(F559="Intern",F559="New Grad"),"🟡 Possible","🟢 Strong"),IF(J559="No","🔴 Difficult","⚪ Unknown"))))</f>
        <v/>
      </c>
      <c r="CF559" s="37"/>
      <c r="CG559" s="37"/>
      <c r="CH559" s="38"/>
      <c r="CI559" s="38"/>
      <c r="CJ559" s="38"/>
      <c r="CK559" s="38"/>
    </row>
    <row r="560" customFormat="false" ht="15" hidden="false" customHeight="true" outlineLevel="0" collapsed="false">
      <c r="A560" s="26" t="str">
        <f aca="false">IF($C560="","",ROW()-3)</f>
        <v/>
      </c>
      <c r="B560" s="27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9"/>
      <c r="N560" s="29"/>
      <c r="O560" s="30" t="str">
        <f aca="false">IFERROR(IF(M560="","",M560*INDEX('00 - Lists'!$M$2:$M$11,MATCH(L560,'00 - Lists'!$L$2:$L$11,0))/100000),"")</f>
        <v/>
      </c>
      <c r="P560" s="30" t="str">
        <f aca="false">IFERROR(IF(N560="","",N560*INDEX('00 - Lists'!$M$2:$M$11,MATCH(L560,'00 - Lists'!$L$2:$L$11,0))/100000),"")</f>
        <v/>
      </c>
      <c r="Q560" s="31" t="str">
        <f aca="false">IFERROR(IF(M560="","",M560*INDEX('00 - Lists'!$N$2:$N$11,MATCH(L560,'00 - Lists'!$L$2:$L$11,0))),"")</f>
        <v/>
      </c>
      <c r="R560" s="31" t="str">
        <f aca="false">IFERROR(IF(N560="","",N560*INDEX('00 - Lists'!$N$2:$N$11,MATCH(L560,'00 - Lists'!$L$2:$L$11,0))),"")</f>
        <v/>
      </c>
      <c r="S560" s="32" t="str">
        <f aca="false">IF(O560="","",IF(O560&gt;=50,"Yes","No"))</f>
        <v/>
      </c>
      <c r="T560" s="32" t="str">
        <f aca="false">IF(Q560="","",IF(Q560&gt;=100000,"Yes","No"))</f>
        <v/>
      </c>
      <c r="U560" s="28"/>
      <c r="V560" s="28"/>
      <c r="W560" s="28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J560" s="34" t="str">
        <f aca="false">IF(OR($BD560&lt;&gt;"",$BF560&lt;&gt;"",$BH560&lt;&gt;""),"Yes","No")</f>
        <v>No</v>
      </c>
      <c r="BK560" s="35" t="str">
        <f aca="false">IFERROR(IF(BD560="","",BD560*INDEX('00 - Lists'!$M$2:$M$11,MATCH(L560,'00 - Lists'!$L$2:$L$11,0))/100000),"")</f>
        <v/>
      </c>
      <c r="BL560" s="35" t="str">
        <f aca="false">IFERROR(IF(BE560="","",BE560*INDEX('00 - Lists'!$M$2:$M$11,MATCH(L560,'00 - Lists'!$L$2:$L$11,0))/100000),"")</f>
        <v/>
      </c>
      <c r="BM560" s="35" t="str">
        <f aca="false">IFERROR(IF(BF560="","",BF560*INDEX('00 - Lists'!$M$2:$M$11,MATCH(L560,'00 - Lists'!$L$2:$L$11,0))/100000),"")</f>
        <v/>
      </c>
      <c r="BN560" s="35" t="str">
        <f aca="false">IFERROR(IF(BG560="","",BG560*INDEX('00 - Lists'!$M$2:$M$11,MATCH(L560,'00 - Lists'!$L$2:$L$11,0))/100000),"")</f>
        <v/>
      </c>
      <c r="BO560" s="35" t="str">
        <f aca="false">IFERROR(IF(BH560="","",BH560*INDEX('00 - Lists'!$M$2:$M$11,MATCH(L560,'00 - Lists'!$L$2:$L$11,0))/100000),"")</f>
        <v/>
      </c>
      <c r="BP560" s="35" t="str">
        <f aca="false">IFERROR(IF(BI560="","",BI560*INDEX('00 - Lists'!$M$2:$M$11,MATCH(L560,'00 - Lists'!$L$2:$L$11,0))/100000),"")</f>
        <v/>
      </c>
      <c r="BS560" s="36" t="str">
        <f aca="false">IF(O560="","",IF(O560&gt;=20,"Yes","No"))</f>
        <v/>
      </c>
      <c r="BT560" s="36" t="str">
        <f aca="false">IF(O560="","",IF(O560&gt;=30,"Yes","No"))</f>
        <v/>
      </c>
      <c r="BU560" s="36" t="str">
        <f aca="false">IF(O560="","",IF(O560&gt;=75,"Yes","No"))</f>
        <v/>
      </c>
      <c r="BV560" s="36" t="str">
        <f aca="false">IF(O560="","",IF(O560&gt;=100,"Yes","No"))</f>
        <v/>
      </c>
      <c r="BW560" s="36" t="str">
        <f aca="false">IF(O560="","",IF(O560&gt;=150,"Yes","No"))</f>
        <v/>
      </c>
      <c r="BX560" s="36" t="str">
        <f aca="false">IF(O560="","",IF(O560&gt;=200,"Yes","No"))</f>
        <v/>
      </c>
      <c r="BY560" s="36" t="str">
        <f aca="false">IF(Q560="","",IF(Q560&gt;=150000,"Yes","No"))</f>
        <v/>
      </c>
      <c r="BZ560" s="36" t="str">
        <f aca="false">IF(Q560="","",IF(Q560&gt;=200000,"Yes","No"))</f>
        <v/>
      </c>
      <c r="CA560" s="36" t="str">
        <f aca="false">IF(Q560="","",IF(Q560&gt;=250000,"Yes","No"))</f>
        <v/>
      </c>
      <c r="CB560" s="36" t="str">
        <f aca="false">IF(Q560="","",IF(Q560&gt;=300000,"Yes","No"))</f>
        <v/>
      </c>
      <c r="CC560" s="37"/>
      <c r="CD560" s="36" t="str">
        <f aca="true">IF(B560="","",IF(TODAY()-B560&lt;=7,"🟢 0-7d",IF(TODAY()-B560&lt;=30,"🟡 8-30d",IF(TODAY()-B560&lt;=60,"🟠 31-60d","🔴 60d+"))))</f>
        <v/>
      </c>
      <c r="CE560" s="36" t="str">
        <f aca="false">IF(G560="","",IF(G560&lt;&gt;"USA","N/A - Not USA Role",IF(J560="Yes",IF(OR(F560="Intern",F560="New Grad"),"🟡 Possible","🟢 Strong"),IF(J560="No","🔴 Difficult","⚪ Unknown"))))</f>
        <v/>
      </c>
      <c r="CF560" s="37"/>
      <c r="CG560" s="37"/>
      <c r="CH560" s="38"/>
      <c r="CI560" s="38"/>
      <c r="CJ560" s="38"/>
      <c r="CK560" s="38"/>
    </row>
    <row r="561" customFormat="false" ht="15" hidden="false" customHeight="true" outlineLevel="0" collapsed="false">
      <c r="A561" s="26" t="str">
        <f aca="false">IF($C561="","",ROW()-3)</f>
        <v/>
      </c>
      <c r="B561" s="27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9"/>
      <c r="N561" s="29"/>
      <c r="O561" s="30" t="str">
        <f aca="false">IFERROR(IF(M561="","",M561*INDEX('00 - Lists'!$M$2:$M$11,MATCH(L561,'00 - Lists'!$L$2:$L$11,0))/100000),"")</f>
        <v/>
      </c>
      <c r="P561" s="30" t="str">
        <f aca="false">IFERROR(IF(N561="","",N561*INDEX('00 - Lists'!$M$2:$M$11,MATCH(L561,'00 - Lists'!$L$2:$L$11,0))/100000),"")</f>
        <v/>
      </c>
      <c r="Q561" s="31" t="str">
        <f aca="false">IFERROR(IF(M561="","",M561*INDEX('00 - Lists'!$N$2:$N$11,MATCH(L561,'00 - Lists'!$L$2:$L$11,0))),"")</f>
        <v/>
      </c>
      <c r="R561" s="31" t="str">
        <f aca="false">IFERROR(IF(N561="","",N561*INDEX('00 - Lists'!$N$2:$N$11,MATCH(L561,'00 - Lists'!$L$2:$L$11,0))),"")</f>
        <v/>
      </c>
      <c r="S561" s="32" t="str">
        <f aca="false">IF(O561="","",IF(O561&gt;=50,"Yes","No"))</f>
        <v/>
      </c>
      <c r="T561" s="32" t="str">
        <f aca="false">IF(Q561="","",IF(Q561&gt;=100000,"Yes","No"))</f>
        <v/>
      </c>
      <c r="U561" s="28"/>
      <c r="V561" s="28"/>
      <c r="W561" s="28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J561" s="34" t="str">
        <f aca="false">IF(OR($BD561&lt;&gt;"",$BF561&lt;&gt;"",$BH561&lt;&gt;""),"Yes","No")</f>
        <v>No</v>
      </c>
      <c r="BK561" s="35" t="str">
        <f aca="false">IFERROR(IF(BD561="","",BD561*INDEX('00 - Lists'!$M$2:$M$11,MATCH(L561,'00 - Lists'!$L$2:$L$11,0))/100000),"")</f>
        <v/>
      </c>
      <c r="BL561" s="35" t="str">
        <f aca="false">IFERROR(IF(BE561="","",BE561*INDEX('00 - Lists'!$M$2:$M$11,MATCH(L561,'00 - Lists'!$L$2:$L$11,0))/100000),"")</f>
        <v/>
      </c>
      <c r="BM561" s="35" t="str">
        <f aca="false">IFERROR(IF(BF561="","",BF561*INDEX('00 - Lists'!$M$2:$M$11,MATCH(L561,'00 - Lists'!$L$2:$L$11,0))/100000),"")</f>
        <v/>
      </c>
      <c r="BN561" s="35" t="str">
        <f aca="false">IFERROR(IF(BG561="","",BG561*INDEX('00 - Lists'!$M$2:$M$11,MATCH(L561,'00 - Lists'!$L$2:$L$11,0))/100000),"")</f>
        <v/>
      </c>
      <c r="BO561" s="35" t="str">
        <f aca="false">IFERROR(IF(BH561="","",BH561*INDEX('00 - Lists'!$M$2:$M$11,MATCH(L561,'00 - Lists'!$L$2:$L$11,0))/100000),"")</f>
        <v/>
      </c>
      <c r="BP561" s="35" t="str">
        <f aca="false">IFERROR(IF(BI561="","",BI561*INDEX('00 - Lists'!$M$2:$M$11,MATCH(L561,'00 - Lists'!$L$2:$L$11,0))/100000),"")</f>
        <v/>
      </c>
      <c r="BS561" s="36" t="str">
        <f aca="false">IF(O561="","",IF(O561&gt;=20,"Yes","No"))</f>
        <v/>
      </c>
      <c r="BT561" s="36" t="str">
        <f aca="false">IF(O561="","",IF(O561&gt;=30,"Yes","No"))</f>
        <v/>
      </c>
      <c r="BU561" s="36" t="str">
        <f aca="false">IF(O561="","",IF(O561&gt;=75,"Yes","No"))</f>
        <v/>
      </c>
      <c r="BV561" s="36" t="str">
        <f aca="false">IF(O561="","",IF(O561&gt;=100,"Yes","No"))</f>
        <v/>
      </c>
      <c r="BW561" s="36" t="str">
        <f aca="false">IF(O561="","",IF(O561&gt;=150,"Yes","No"))</f>
        <v/>
      </c>
      <c r="BX561" s="36" t="str">
        <f aca="false">IF(O561="","",IF(O561&gt;=200,"Yes","No"))</f>
        <v/>
      </c>
      <c r="BY561" s="36" t="str">
        <f aca="false">IF(Q561="","",IF(Q561&gt;=150000,"Yes","No"))</f>
        <v/>
      </c>
      <c r="BZ561" s="36" t="str">
        <f aca="false">IF(Q561="","",IF(Q561&gt;=200000,"Yes","No"))</f>
        <v/>
      </c>
      <c r="CA561" s="36" t="str">
        <f aca="false">IF(Q561="","",IF(Q561&gt;=250000,"Yes","No"))</f>
        <v/>
      </c>
      <c r="CB561" s="36" t="str">
        <f aca="false">IF(Q561="","",IF(Q561&gt;=300000,"Yes","No"))</f>
        <v/>
      </c>
      <c r="CC561" s="37"/>
      <c r="CD561" s="36" t="str">
        <f aca="true">IF(B561="","",IF(TODAY()-B561&lt;=7,"🟢 0-7d",IF(TODAY()-B561&lt;=30,"🟡 8-30d",IF(TODAY()-B561&lt;=60,"🟠 31-60d","🔴 60d+"))))</f>
        <v/>
      </c>
      <c r="CE561" s="36" t="str">
        <f aca="false">IF(G561="","",IF(G561&lt;&gt;"USA","N/A - Not USA Role",IF(J561="Yes",IF(OR(F561="Intern",F561="New Grad"),"🟡 Possible","🟢 Strong"),IF(J561="No","🔴 Difficult","⚪ Unknown"))))</f>
        <v/>
      </c>
      <c r="CF561" s="37"/>
      <c r="CG561" s="37"/>
      <c r="CH561" s="38"/>
      <c r="CI561" s="38"/>
      <c r="CJ561" s="38"/>
      <c r="CK561" s="38"/>
    </row>
    <row r="562" customFormat="false" ht="15" hidden="false" customHeight="true" outlineLevel="0" collapsed="false">
      <c r="A562" s="26" t="str">
        <f aca="false">IF($C562="","",ROW()-3)</f>
        <v/>
      </c>
      <c r="B562" s="27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9"/>
      <c r="N562" s="29"/>
      <c r="O562" s="30" t="str">
        <f aca="false">IFERROR(IF(M562="","",M562*INDEX('00 - Lists'!$M$2:$M$11,MATCH(L562,'00 - Lists'!$L$2:$L$11,0))/100000),"")</f>
        <v/>
      </c>
      <c r="P562" s="30" t="str">
        <f aca="false">IFERROR(IF(N562="","",N562*INDEX('00 - Lists'!$M$2:$M$11,MATCH(L562,'00 - Lists'!$L$2:$L$11,0))/100000),"")</f>
        <v/>
      </c>
      <c r="Q562" s="31" t="str">
        <f aca="false">IFERROR(IF(M562="","",M562*INDEX('00 - Lists'!$N$2:$N$11,MATCH(L562,'00 - Lists'!$L$2:$L$11,0))),"")</f>
        <v/>
      </c>
      <c r="R562" s="31" t="str">
        <f aca="false">IFERROR(IF(N562="","",N562*INDEX('00 - Lists'!$N$2:$N$11,MATCH(L562,'00 - Lists'!$L$2:$L$11,0))),"")</f>
        <v/>
      </c>
      <c r="S562" s="32" t="str">
        <f aca="false">IF(O562="","",IF(O562&gt;=50,"Yes","No"))</f>
        <v/>
      </c>
      <c r="T562" s="32" t="str">
        <f aca="false">IF(Q562="","",IF(Q562&gt;=100000,"Yes","No"))</f>
        <v/>
      </c>
      <c r="U562" s="28"/>
      <c r="V562" s="28"/>
      <c r="W562" s="28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J562" s="34" t="str">
        <f aca="false">IF(OR($BD562&lt;&gt;"",$BF562&lt;&gt;"",$BH562&lt;&gt;""),"Yes","No")</f>
        <v>No</v>
      </c>
      <c r="BK562" s="35" t="str">
        <f aca="false">IFERROR(IF(BD562="","",BD562*INDEX('00 - Lists'!$M$2:$M$11,MATCH(L562,'00 - Lists'!$L$2:$L$11,0))/100000),"")</f>
        <v/>
      </c>
      <c r="BL562" s="35" t="str">
        <f aca="false">IFERROR(IF(BE562="","",BE562*INDEX('00 - Lists'!$M$2:$M$11,MATCH(L562,'00 - Lists'!$L$2:$L$11,0))/100000),"")</f>
        <v/>
      </c>
      <c r="BM562" s="35" t="str">
        <f aca="false">IFERROR(IF(BF562="","",BF562*INDEX('00 - Lists'!$M$2:$M$11,MATCH(L562,'00 - Lists'!$L$2:$L$11,0))/100000),"")</f>
        <v/>
      </c>
      <c r="BN562" s="35" t="str">
        <f aca="false">IFERROR(IF(BG562="","",BG562*INDEX('00 - Lists'!$M$2:$M$11,MATCH(L562,'00 - Lists'!$L$2:$L$11,0))/100000),"")</f>
        <v/>
      </c>
      <c r="BO562" s="35" t="str">
        <f aca="false">IFERROR(IF(BH562="","",BH562*INDEX('00 - Lists'!$M$2:$M$11,MATCH(L562,'00 - Lists'!$L$2:$L$11,0))/100000),"")</f>
        <v/>
      </c>
      <c r="BP562" s="35" t="str">
        <f aca="false">IFERROR(IF(BI562="","",BI562*INDEX('00 - Lists'!$M$2:$M$11,MATCH(L562,'00 - Lists'!$L$2:$L$11,0))/100000),"")</f>
        <v/>
      </c>
      <c r="BS562" s="36" t="str">
        <f aca="false">IF(O562="","",IF(O562&gt;=20,"Yes","No"))</f>
        <v/>
      </c>
      <c r="BT562" s="36" t="str">
        <f aca="false">IF(O562="","",IF(O562&gt;=30,"Yes","No"))</f>
        <v/>
      </c>
      <c r="BU562" s="36" t="str">
        <f aca="false">IF(O562="","",IF(O562&gt;=75,"Yes","No"))</f>
        <v/>
      </c>
      <c r="BV562" s="36" t="str">
        <f aca="false">IF(O562="","",IF(O562&gt;=100,"Yes","No"))</f>
        <v/>
      </c>
      <c r="BW562" s="36" t="str">
        <f aca="false">IF(O562="","",IF(O562&gt;=150,"Yes","No"))</f>
        <v/>
      </c>
      <c r="BX562" s="36" t="str">
        <f aca="false">IF(O562="","",IF(O562&gt;=200,"Yes","No"))</f>
        <v/>
      </c>
      <c r="BY562" s="36" t="str">
        <f aca="false">IF(Q562="","",IF(Q562&gt;=150000,"Yes","No"))</f>
        <v/>
      </c>
      <c r="BZ562" s="36" t="str">
        <f aca="false">IF(Q562="","",IF(Q562&gt;=200000,"Yes","No"))</f>
        <v/>
      </c>
      <c r="CA562" s="36" t="str">
        <f aca="false">IF(Q562="","",IF(Q562&gt;=250000,"Yes","No"))</f>
        <v/>
      </c>
      <c r="CB562" s="36" t="str">
        <f aca="false">IF(Q562="","",IF(Q562&gt;=300000,"Yes","No"))</f>
        <v/>
      </c>
      <c r="CC562" s="37"/>
      <c r="CD562" s="36" t="str">
        <f aca="true">IF(B562="","",IF(TODAY()-B562&lt;=7,"🟢 0-7d",IF(TODAY()-B562&lt;=30,"🟡 8-30d",IF(TODAY()-B562&lt;=60,"🟠 31-60d","🔴 60d+"))))</f>
        <v/>
      </c>
      <c r="CE562" s="36" t="str">
        <f aca="false">IF(G562="","",IF(G562&lt;&gt;"USA","N/A - Not USA Role",IF(J562="Yes",IF(OR(F562="Intern",F562="New Grad"),"🟡 Possible","🟢 Strong"),IF(J562="No","🔴 Difficult","⚪ Unknown"))))</f>
        <v/>
      </c>
      <c r="CF562" s="37"/>
      <c r="CG562" s="37"/>
      <c r="CH562" s="38"/>
      <c r="CI562" s="38"/>
      <c r="CJ562" s="38"/>
      <c r="CK562" s="38"/>
    </row>
    <row r="563" customFormat="false" ht="15" hidden="false" customHeight="true" outlineLevel="0" collapsed="false">
      <c r="A563" s="26" t="str">
        <f aca="false">IF($C563="","",ROW()-3)</f>
        <v/>
      </c>
      <c r="B563" s="27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9"/>
      <c r="N563" s="29"/>
      <c r="O563" s="30" t="str">
        <f aca="false">IFERROR(IF(M563="","",M563*INDEX('00 - Lists'!$M$2:$M$11,MATCH(L563,'00 - Lists'!$L$2:$L$11,0))/100000),"")</f>
        <v/>
      </c>
      <c r="P563" s="30" t="str">
        <f aca="false">IFERROR(IF(N563="","",N563*INDEX('00 - Lists'!$M$2:$M$11,MATCH(L563,'00 - Lists'!$L$2:$L$11,0))/100000),"")</f>
        <v/>
      </c>
      <c r="Q563" s="31" t="str">
        <f aca="false">IFERROR(IF(M563="","",M563*INDEX('00 - Lists'!$N$2:$N$11,MATCH(L563,'00 - Lists'!$L$2:$L$11,0))),"")</f>
        <v/>
      </c>
      <c r="R563" s="31" t="str">
        <f aca="false">IFERROR(IF(N563="","",N563*INDEX('00 - Lists'!$N$2:$N$11,MATCH(L563,'00 - Lists'!$L$2:$L$11,0))),"")</f>
        <v/>
      </c>
      <c r="S563" s="32" t="str">
        <f aca="false">IF(O563="","",IF(O563&gt;=50,"Yes","No"))</f>
        <v/>
      </c>
      <c r="T563" s="32" t="str">
        <f aca="false">IF(Q563="","",IF(Q563&gt;=100000,"Yes","No"))</f>
        <v/>
      </c>
      <c r="U563" s="28"/>
      <c r="V563" s="28"/>
      <c r="W563" s="28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J563" s="34" t="str">
        <f aca="false">IF(OR($BD563&lt;&gt;"",$BF563&lt;&gt;"",$BH563&lt;&gt;""),"Yes","No")</f>
        <v>No</v>
      </c>
      <c r="BK563" s="35" t="str">
        <f aca="false">IFERROR(IF(BD563="","",BD563*INDEX('00 - Lists'!$M$2:$M$11,MATCH(L563,'00 - Lists'!$L$2:$L$11,0))/100000),"")</f>
        <v/>
      </c>
      <c r="BL563" s="35" t="str">
        <f aca="false">IFERROR(IF(BE563="","",BE563*INDEX('00 - Lists'!$M$2:$M$11,MATCH(L563,'00 - Lists'!$L$2:$L$11,0))/100000),"")</f>
        <v/>
      </c>
      <c r="BM563" s="35" t="str">
        <f aca="false">IFERROR(IF(BF563="","",BF563*INDEX('00 - Lists'!$M$2:$M$11,MATCH(L563,'00 - Lists'!$L$2:$L$11,0))/100000),"")</f>
        <v/>
      </c>
      <c r="BN563" s="35" t="str">
        <f aca="false">IFERROR(IF(BG563="","",BG563*INDEX('00 - Lists'!$M$2:$M$11,MATCH(L563,'00 - Lists'!$L$2:$L$11,0))/100000),"")</f>
        <v/>
      </c>
      <c r="BO563" s="35" t="str">
        <f aca="false">IFERROR(IF(BH563="","",BH563*INDEX('00 - Lists'!$M$2:$M$11,MATCH(L563,'00 - Lists'!$L$2:$L$11,0))/100000),"")</f>
        <v/>
      </c>
      <c r="BP563" s="35" t="str">
        <f aca="false">IFERROR(IF(BI563="","",BI563*INDEX('00 - Lists'!$M$2:$M$11,MATCH(L563,'00 - Lists'!$L$2:$L$11,0))/100000),"")</f>
        <v/>
      </c>
      <c r="BS563" s="36" t="str">
        <f aca="false">IF(O563="","",IF(O563&gt;=20,"Yes","No"))</f>
        <v/>
      </c>
      <c r="BT563" s="36" t="str">
        <f aca="false">IF(O563="","",IF(O563&gt;=30,"Yes","No"))</f>
        <v/>
      </c>
      <c r="BU563" s="36" t="str">
        <f aca="false">IF(O563="","",IF(O563&gt;=75,"Yes","No"))</f>
        <v/>
      </c>
      <c r="BV563" s="36" t="str">
        <f aca="false">IF(O563="","",IF(O563&gt;=100,"Yes","No"))</f>
        <v/>
      </c>
      <c r="BW563" s="36" t="str">
        <f aca="false">IF(O563="","",IF(O563&gt;=150,"Yes","No"))</f>
        <v/>
      </c>
      <c r="BX563" s="36" t="str">
        <f aca="false">IF(O563="","",IF(O563&gt;=200,"Yes","No"))</f>
        <v/>
      </c>
      <c r="BY563" s="36" t="str">
        <f aca="false">IF(Q563="","",IF(Q563&gt;=150000,"Yes","No"))</f>
        <v/>
      </c>
      <c r="BZ563" s="36" t="str">
        <f aca="false">IF(Q563="","",IF(Q563&gt;=200000,"Yes","No"))</f>
        <v/>
      </c>
      <c r="CA563" s="36" t="str">
        <f aca="false">IF(Q563="","",IF(Q563&gt;=250000,"Yes","No"))</f>
        <v/>
      </c>
      <c r="CB563" s="36" t="str">
        <f aca="false">IF(Q563="","",IF(Q563&gt;=300000,"Yes","No"))</f>
        <v/>
      </c>
      <c r="CC563" s="37"/>
      <c r="CD563" s="36" t="str">
        <f aca="true">IF(B563="","",IF(TODAY()-B563&lt;=7,"🟢 0-7d",IF(TODAY()-B563&lt;=30,"🟡 8-30d",IF(TODAY()-B563&lt;=60,"🟠 31-60d","🔴 60d+"))))</f>
        <v/>
      </c>
      <c r="CE563" s="36" t="str">
        <f aca="false">IF(G563="","",IF(G563&lt;&gt;"USA","N/A - Not USA Role",IF(J563="Yes",IF(OR(F563="Intern",F563="New Grad"),"🟡 Possible","🟢 Strong"),IF(J563="No","🔴 Difficult","⚪ Unknown"))))</f>
        <v/>
      </c>
      <c r="CF563" s="37"/>
      <c r="CG563" s="37"/>
      <c r="CH563" s="38"/>
      <c r="CI563" s="38"/>
      <c r="CJ563" s="38"/>
      <c r="CK563" s="38"/>
    </row>
    <row r="564" customFormat="false" ht="15" hidden="false" customHeight="true" outlineLevel="0" collapsed="false">
      <c r="A564" s="26" t="str">
        <f aca="false">IF($C564="","",ROW()-3)</f>
        <v/>
      </c>
      <c r="B564" s="27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9"/>
      <c r="N564" s="29"/>
      <c r="O564" s="30" t="str">
        <f aca="false">IFERROR(IF(M564="","",M564*INDEX('00 - Lists'!$M$2:$M$11,MATCH(L564,'00 - Lists'!$L$2:$L$11,0))/100000),"")</f>
        <v/>
      </c>
      <c r="P564" s="30" t="str">
        <f aca="false">IFERROR(IF(N564="","",N564*INDEX('00 - Lists'!$M$2:$M$11,MATCH(L564,'00 - Lists'!$L$2:$L$11,0))/100000),"")</f>
        <v/>
      </c>
      <c r="Q564" s="31" t="str">
        <f aca="false">IFERROR(IF(M564="","",M564*INDEX('00 - Lists'!$N$2:$N$11,MATCH(L564,'00 - Lists'!$L$2:$L$11,0))),"")</f>
        <v/>
      </c>
      <c r="R564" s="31" t="str">
        <f aca="false">IFERROR(IF(N564="","",N564*INDEX('00 - Lists'!$N$2:$N$11,MATCH(L564,'00 - Lists'!$L$2:$L$11,0))),"")</f>
        <v/>
      </c>
      <c r="S564" s="32" t="str">
        <f aca="false">IF(O564="","",IF(O564&gt;=50,"Yes","No"))</f>
        <v/>
      </c>
      <c r="T564" s="32" t="str">
        <f aca="false">IF(Q564="","",IF(Q564&gt;=100000,"Yes","No"))</f>
        <v/>
      </c>
      <c r="U564" s="28"/>
      <c r="V564" s="28"/>
      <c r="W564" s="28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J564" s="34" t="str">
        <f aca="false">IF(OR($BD564&lt;&gt;"",$BF564&lt;&gt;"",$BH564&lt;&gt;""),"Yes","No")</f>
        <v>No</v>
      </c>
      <c r="BK564" s="35" t="str">
        <f aca="false">IFERROR(IF(BD564="","",BD564*INDEX('00 - Lists'!$M$2:$M$11,MATCH(L564,'00 - Lists'!$L$2:$L$11,0))/100000),"")</f>
        <v/>
      </c>
      <c r="BL564" s="35" t="str">
        <f aca="false">IFERROR(IF(BE564="","",BE564*INDEX('00 - Lists'!$M$2:$M$11,MATCH(L564,'00 - Lists'!$L$2:$L$11,0))/100000),"")</f>
        <v/>
      </c>
      <c r="BM564" s="35" t="str">
        <f aca="false">IFERROR(IF(BF564="","",BF564*INDEX('00 - Lists'!$M$2:$M$11,MATCH(L564,'00 - Lists'!$L$2:$L$11,0))/100000),"")</f>
        <v/>
      </c>
      <c r="BN564" s="35" t="str">
        <f aca="false">IFERROR(IF(BG564="","",BG564*INDEX('00 - Lists'!$M$2:$M$11,MATCH(L564,'00 - Lists'!$L$2:$L$11,0))/100000),"")</f>
        <v/>
      </c>
      <c r="BO564" s="35" t="str">
        <f aca="false">IFERROR(IF(BH564="","",BH564*INDEX('00 - Lists'!$M$2:$M$11,MATCH(L564,'00 - Lists'!$L$2:$L$11,0))/100000),"")</f>
        <v/>
      </c>
      <c r="BP564" s="35" t="str">
        <f aca="false">IFERROR(IF(BI564="","",BI564*INDEX('00 - Lists'!$M$2:$M$11,MATCH(L564,'00 - Lists'!$L$2:$L$11,0))/100000),"")</f>
        <v/>
      </c>
      <c r="BS564" s="36" t="str">
        <f aca="false">IF(O564="","",IF(O564&gt;=20,"Yes","No"))</f>
        <v/>
      </c>
      <c r="BT564" s="36" t="str">
        <f aca="false">IF(O564="","",IF(O564&gt;=30,"Yes","No"))</f>
        <v/>
      </c>
      <c r="BU564" s="36" t="str">
        <f aca="false">IF(O564="","",IF(O564&gt;=75,"Yes","No"))</f>
        <v/>
      </c>
      <c r="BV564" s="36" t="str">
        <f aca="false">IF(O564="","",IF(O564&gt;=100,"Yes","No"))</f>
        <v/>
      </c>
      <c r="BW564" s="36" t="str">
        <f aca="false">IF(O564="","",IF(O564&gt;=150,"Yes","No"))</f>
        <v/>
      </c>
      <c r="BX564" s="36" t="str">
        <f aca="false">IF(O564="","",IF(O564&gt;=200,"Yes","No"))</f>
        <v/>
      </c>
      <c r="BY564" s="36" t="str">
        <f aca="false">IF(Q564="","",IF(Q564&gt;=150000,"Yes","No"))</f>
        <v/>
      </c>
      <c r="BZ564" s="36" t="str">
        <f aca="false">IF(Q564="","",IF(Q564&gt;=200000,"Yes","No"))</f>
        <v/>
      </c>
      <c r="CA564" s="36" t="str">
        <f aca="false">IF(Q564="","",IF(Q564&gt;=250000,"Yes","No"))</f>
        <v/>
      </c>
      <c r="CB564" s="36" t="str">
        <f aca="false">IF(Q564="","",IF(Q564&gt;=300000,"Yes","No"))</f>
        <v/>
      </c>
      <c r="CC564" s="37"/>
      <c r="CD564" s="36" t="str">
        <f aca="true">IF(B564="","",IF(TODAY()-B564&lt;=7,"🟢 0-7d",IF(TODAY()-B564&lt;=30,"🟡 8-30d",IF(TODAY()-B564&lt;=60,"🟠 31-60d","🔴 60d+"))))</f>
        <v/>
      </c>
      <c r="CE564" s="36" t="str">
        <f aca="false">IF(G564="","",IF(G564&lt;&gt;"USA","N/A - Not USA Role",IF(J564="Yes",IF(OR(F564="Intern",F564="New Grad"),"🟡 Possible","🟢 Strong"),IF(J564="No","🔴 Difficult","⚪ Unknown"))))</f>
        <v/>
      </c>
      <c r="CF564" s="37"/>
      <c r="CG564" s="37"/>
      <c r="CH564" s="38"/>
      <c r="CI564" s="38"/>
      <c r="CJ564" s="38"/>
      <c r="CK564" s="38"/>
    </row>
    <row r="565" customFormat="false" ht="15" hidden="false" customHeight="true" outlineLevel="0" collapsed="false">
      <c r="A565" s="26" t="str">
        <f aca="false">IF($C565="","",ROW()-3)</f>
        <v/>
      </c>
      <c r="B565" s="27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9"/>
      <c r="N565" s="29"/>
      <c r="O565" s="30" t="str">
        <f aca="false">IFERROR(IF(M565="","",M565*INDEX('00 - Lists'!$M$2:$M$11,MATCH(L565,'00 - Lists'!$L$2:$L$11,0))/100000),"")</f>
        <v/>
      </c>
      <c r="P565" s="30" t="str">
        <f aca="false">IFERROR(IF(N565="","",N565*INDEX('00 - Lists'!$M$2:$M$11,MATCH(L565,'00 - Lists'!$L$2:$L$11,0))/100000),"")</f>
        <v/>
      </c>
      <c r="Q565" s="31" t="str">
        <f aca="false">IFERROR(IF(M565="","",M565*INDEX('00 - Lists'!$N$2:$N$11,MATCH(L565,'00 - Lists'!$L$2:$L$11,0))),"")</f>
        <v/>
      </c>
      <c r="R565" s="31" t="str">
        <f aca="false">IFERROR(IF(N565="","",N565*INDEX('00 - Lists'!$N$2:$N$11,MATCH(L565,'00 - Lists'!$L$2:$L$11,0))),"")</f>
        <v/>
      </c>
      <c r="S565" s="32" t="str">
        <f aca="false">IF(O565="","",IF(O565&gt;=50,"Yes","No"))</f>
        <v/>
      </c>
      <c r="T565" s="32" t="str">
        <f aca="false">IF(Q565="","",IF(Q565&gt;=100000,"Yes","No"))</f>
        <v/>
      </c>
      <c r="U565" s="28"/>
      <c r="V565" s="28"/>
      <c r="W565" s="28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J565" s="34" t="str">
        <f aca="false">IF(OR($BD565&lt;&gt;"",$BF565&lt;&gt;"",$BH565&lt;&gt;""),"Yes","No")</f>
        <v>No</v>
      </c>
      <c r="BK565" s="35" t="str">
        <f aca="false">IFERROR(IF(BD565="","",BD565*INDEX('00 - Lists'!$M$2:$M$11,MATCH(L565,'00 - Lists'!$L$2:$L$11,0))/100000),"")</f>
        <v/>
      </c>
      <c r="BL565" s="35" t="str">
        <f aca="false">IFERROR(IF(BE565="","",BE565*INDEX('00 - Lists'!$M$2:$M$11,MATCH(L565,'00 - Lists'!$L$2:$L$11,0))/100000),"")</f>
        <v/>
      </c>
      <c r="BM565" s="35" t="str">
        <f aca="false">IFERROR(IF(BF565="","",BF565*INDEX('00 - Lists'!$M$2:$M$11,MATCH(L565,'00 - Lists'!$L$2:$L$11,0))/100000),"")</f>
        <v/>
      </c>
      <c r="BN565" s="35" t="str">
        <f aca="false">IFERROR(IF(BG565="","",BG565*INDEX('00 - Lists'!$M$2:$M$11,MATCH(L565,'00 - Lists'!$L$2:$L$11,0))/100000),"")</f>
        <v/>
      </c>
      <c r="BO565" s="35" t="str">
        <f aca="false">IFERROR(IF(BH565="","",BH565*INDEX('00 - Lists'!$M$2:$M$11,MATCH(L565,'00 - Lists'!$L$2:$L$11,0))/100000),"")</f>
        <v/>
      </c>
      <c r="BP565" s="35" t="str">
        <f aca="false">IFERROR(IF(BI565="","",BI565*INDEX('00 - Lists'!$M$2:$M$11,MATCH(L565,'00 - Lists'!$L$2:$L$11,0))/100000),"")</f>
        <v/>
      </c>
      <c r="BS565" s="36" t="str">
        <f aca="false">IF(O565="","",IF(O565&gt;=20,"Yes","No"))</f>
        <v/>
      </c>
      <c r="BT565" s="36" t="str">
        <f aca="false">IF(O565="","",IF(O565&gt;=30,"Yes","No"))</f>
        <v/>
      </c>
      <c r="BU565" s="36" t="str">
        <f aca="false">IF(O565="","",IF(O565&gt;=75,"Yes","No"))</f>
        <v/>
      </c>
      <c r="BV565" s="36" t="str">
        <f aca="false">IF(O565="","",IF(O565&gt;=100,"Yes","No"))</f>
        <v/>
      </c>
      <c r="BW565" s="36" t="str">
        <f aca="false">IF(O565="","",IF(O565&gt;=150,"Yes","No"))</f>
        <v/>
      </c>
      <c r="BX565" s="36" t="str">
        <f aca="false">IF(O565="","",IF(O565&gt;=200,"Yes","No"))</f>
        <v/>
      </c>
      <c r="BY565" s="36" t="str">
        <f aca="false">IF(Q565="","",IF(Q565&gt;=150000,"Yes","No"))</f>
        <v/>
      </c>
      <c r="BZ565" s="36" t="str">
        <f aca="false">IF(Q565="","",IF(Q565&gt;=200000,"Yes","No"))</f>
        <v/>
      </c>
      <c r="CA565" s="36" t="str">
        <f aca="false">IF(Q565="","",IF(Q565&gt;=250000,"Yes","No"))</f>
        <v/>
      </c>
      <c r="CB565" s="36" t="str">
        <f aca="false">IF(Q565="","",IF(Q565&gt;=300000,"Yes","No"))</f>
        <v/>
      </c>
      <c r="CC565" s="37"/>
      <c r="CD565" s="36" t="str">
        <f aca="true">IF(B565="","",IF(TODAY()-B565&lt;=7,"🟢 0-7d",IF(TODAY()-B565&lt;=30,"🟡 8-30d",IF(TODAY()-B565&lt;=60,"🟠 31-60d","🔴 60d+"))))</f>
        <v/>
      </c>
      <c r="CE565" s="36" t="str">
        <f aca="false">IF(G565="","",IF(G565&lt;&gt;"USA","N/A - Not USA Role",IF(J565="Yes",IF(OR(F565="Intern",F565="New Grad"),"🟡 Possible","🟢 Strong"),IF(J565="No","🔴 Difficult","⚪ Unknown"))))</f>
        <v/>
      </c>
      <c r="CF565" s="37"/>
      <c r="CG565" s="37"/>
      <c r="CH565" s="38"/>
      <c r="CI565" s="38"/>
      <c r="CJ565" s="38"/>
      <c r="CK565" s="38"/>
    </row>
    <row r="566" customFormat="false" ht="15" hidden="false" customHeight="true" outlineLevel="0" collapsed="false">
      <c r="A566" s="26" t="str">
        <f aca="false">IF($C566="","",ROW()-3)</f>
        <v/>
      </c>
      <c r="B566" s="27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9"/>
      <c r="N566" s="29"/>
      <c r="O566" s="30" t="str">
        <f aca="false">IFERROR(IF(M566="","",M566*INDEX('00 - Lists'!$M$2:$M$11,MATCH(L566,'00 - Lists'!$L$2:$L$11,0))/100000),"")</f>
        <v/>
      </c>
      <c r="P566" s="30" t="str">
        <f aca="false">IFERROR(IF(N566="","",N566*INDEX('00 - Lists'!$M$2:$M$11,MATCH(L566,'00 - Lists'!$L$2:$L$11,0))/100000),"")</f>
        <v/>
      </c>
      <c r="Q566" s="31" t="str">
        <f aca="false">IFERROR(IF(M566="","",M566*INDEX('00 - Lists'!$N$2:$N$11,MATCH(L566,'00 - Lists'!$L$2:$L$11,0))),"")</f>
        <v/>
      </c>
      <c r="R566" s="31" t="str">
        <f aca="false">IFERROR(IF(N566="","",N566*INDEX('00 - Lists'!$N$2:$N$11,MATCH(L566,'00 - Lists'!$L$2:$L$11,0))),"")</f>
        <v/>
      </c>
      <c r="S566" s="32" t="str">
        <f aca="false">IF(O566="","",IF(O566&gt;=50,"Yes","No"))</f>
        <v/>
      </c>
      <c r="T566" s="32" t="str">
        <f aca="false">IF(Q566="","",IF(Q566&gt;=100000,"Yes","No"))</f>
        <v/>
      </c>
      <c r="U566" s="28"/>
      <c r="V566" s="28"/>
      <c r="W566" s="28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J566" s="34" t="str">
        <f aca="false">IF(OR($BD566&lt;&gt;"",$BF566&lt;&gt;"",$BH566&lt;&gt;""),"Yes","No")</f>
        <v>No</v>
      </c>
      <c r="BK566" s="35" t="str">
        <f aca="false">IFERROR(IF(BD566="","",BD566*INDEX('00 - Lists'!$M$2:$M$11,MATCH(L566,'00 - Lists'!$L$2:$L$11,0))/100000),"")</f>
        <v/>
      </c>
      <c r="BL566" s="35" t="str">
        <f aca="false">IFERROR(IF(BE566="","",BE566*INDEX('00 - Lists'!$M$2:$M$11,MATCH(L566,'00 - Lists'!$L$2:$L$11,0))/100000),"")</f>
        <v/>
      </c>
      <c r="BM566" s="35" t="str">
        <f aca="false">IFERROR(IF(BF566="","",BF566*INDEX('00 - Lists'!$M$2:$M$11,MATCH(L566,'00 - Lists'!$L$2:$L$11,0))/100000),"")</f>
        <v/>
      </c>
      <c r="BN566" s="35" t="str">
        <f aca="false">IFERROR(IF(BG566="","",BG566*INDEX('00 - Lists'!$M$2:$M$11,MATCH(L566,'00 - Lists'!$L$2:$L$11,0))/100000),"")</f>
        <v/>
      </c>
      <c r="BO566" s="35" t="str">
        <f aca="false">IFERROR(IF(BH566="","",BH566*INDEX('00 - Lists'!$M$2:$M$11,MATCH(L566,'00 - Lists'!$L$2:$L$11,0))/100000),"")</f>
        <v/>
      </c>
      <c r="BP566" s="35" t="str">
        <f aca="false">IFERROR(IF(BI566="","",BI566*INDEX('00 - Lists'!$M$2:$M$11,MATCH(L566,'00 - Lists'!$L$2:$L$11,0))/100000),"")</f>
        <v/>
      </c>
      <c r="BS566" s="36" t="str">
        <f aca="false">IF(O566="","",IF(O566&gt;=20,"Yes","No"))</f>
        <v/>
      </c>
      <c r="BT566" s="36" t="str">
        <f aca="false">IF(O566="","",IF(O566&gt;=30,"Yes","No"))</f>
        <v/>
      </c>
      <c r="BU566" s="36" t="str">
        <f aca="false">IF(O566="","",IF(O566&gt;=75,"Yes","No"))</f>
        <v/>
      </c>
      <c r="BV566" s="36" t="str">
        <f aca="false">IF(O566="","",IF(O566&gt;=100,"Yes","No"))</f>
        <v/>
      </c>
      <c r="BW566" s="36" t="str">
        <f aca="false">IF(O566="","",IF(O566&gt;=150,"Yes","No"))</f>
        <v/>
      </c>
      <c r="BX566" s="36" t="str">
        <f aca="false">IF(O566="","",IF(O566&gt;=200,"Yes","No"))</f>
        <v/>
      </c>
      <c r="BY566" s="36" t="str">
        <f aca="false">IF(Q566="","",IF(Q566&gt;=150000,"Yes","No"))</f>
        <v/>
      </c>
      <c r="BZ566" s="36" t="str">
        <f aca="false">IF(Q566="","",IF(Q566&gt;=200000,"Yes","No"))</f>
        <v/>
      </c>
      <c r="CA566" s="36" t="str">
        <f aca="false">IF(Q566="","",IF(Q566&gt;=250000,"Yes","No"))</f>
        <v/>
      </c>
      <c r="CB566" s="36" t="str">
        <f aca="false">IF(Q566="","",IF(Q566&gt;=300000,"Yes","No"))</f>
        <v/>
      </c>
      <c r="CC566" s="37"/>
      <c r="CD566" s="36" t="str">
        <f aca="true">IF(B566="","",IF(TODAY()-B566&lt;=7,"🟢 0-7d",IF(TODAY()-B566&lt;=30,"🟡 8-30d",IF(TODAY()-B566&lt;=60,"🟠 31-60d","🔴 60d+"))))</f>
        <v/>
      </c>
      <c r="CE566" s="36" t="str">
        <f aca="false">IF(G566="","",IF(G566&lt;&gt;"USA","N/A - Not USA Role",IF(J566="Yes",IF(OR(F566="Intern",F566="New Grad"),"🟡 Possible","🟢 Strong"),IF(J566="No","🔴 Difficult","⚪ Unknown"))))</f>
        <v/>
      </c>
      <c r="CF566" s="37"/>
      <c r="CG566" s="37"/>
      <c r="CH566" s="38"/>
      <c r="CI566" s="38"/>
      <c r="CJ566" s="38"/>
      <c r="CK566" s="38"/>
    </row>
    <row r="567" customFormat="false" ht="15" hidden="false" customHeight="true" outlineLevel="0" collapsed="false">
      <c r="A567" s="26" t="str">
        <f aca="false">IF($C567="","",ROW()-3)</f>
        <v/>
      </c>
      <c r="B567" s="27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9"/>
      <c r="N567" s="29"/>
      <c r="O567" s="30" t="str">
        <f aca="false">IFERROR(IF(M567="","",M567*INDEX('00 - Lists'!$M$2:$M$11,MATCH(L567,'00 - Lists'!$L$2:$L$11,0))/100000),"")</f>
        <v/>
      </c>
      <c r="P567" s="30" t="str">
        <f aca="false">IFERROR(IF(N567="","",N567*INDEX('00 - Lists'!$M$2:$M$11,MATCH(L567,'00 - Lists'!$L$2:$L$11,0))/100000),"")</f>
        <v/>
      </c>
      <c r="Q567" s="31" t="str">
        <f aca="false">IFERROR(IF(M567="","",M567*INDEX('00 - Lists'!$N$2:$N$11,MATCH(L567,'00 - Lists'!$L$2:$L$11,0))),"")</f>
        <v/>
      </c>
      <c r="R567" s="31" t="str">
        <f aca="false">IFERROR(IF(N567="","",N567*INDEX('00 - Lists'!$N$2:$N$11,MATCH(L567,'00 - Lists'!$L$2:$L$11,0))),"")</f>
        <v/>
      </c>
      <c r="S567" s="32" t="str">
        <f aca="false">IF(O567="","",IF(O567&gt;=50,"Yes","No"))</f>
        <v/>
      </c>
      <c r="T567" s="32" t="str">
        <f aca="false">IF(Q567="","",IF(Q567&gt;=100000,"Yes","No"))</f>
        <v/>
      </c>
      <c r="U567" s="28"/>
      <c r="V567" s="28"/>
      <c r="W567" s="28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J567" s="34" t="str">
        <f aca="false">IF(OR($BD567&lt;&gt;"",$BF567&lt;&gt;"",$BH567&lt;&gt;""),"Yes","No")</f>
        <v>No</v>
      </c>
      <c r="BK567" s="35" t="str">
        <f aca="false">IFERROR(IF(BD567="","",BD567*INDEX('00 - Lists'!$M$2:$M$11,MATCH(L567,'00 - Lists'!$L$2:$L$11,0))/100000),"")</f>
        <v/>
      </c>
      <c r="BL567" s="35" t="str">
        <f aca="false">IFERROR(IF(BE567="","",BE567*INDEX('00 - Lists'!$M$2:$M$11,MATCH(L567,'00 - Lists'!$L$2:$L$11,0))/100000),"")</f>
        <v/>
      </c>
      <c r="BM567" s="35" t="str">
        <f aca="false">IFERROR(IF(BF567="","",BF567*INDEX('00 - Lists'!$M$2:$M$11,MATCH(L567,'00 - Lists'!$L$2:$L$11,0))/100000),"")</f>
        <v/>
      </c>
      <c r="BN567" s="35" t="str">
        <f aca="false">IFERROR(IF(BG567="","",BG567*INDEX('00 - Lists'!$M$2:$M$11,MATCH(L567,'00 - Lists'!$L$2:$L$11,0))/100000),"")</f>
        <v/>
      </c>
      <c r="BO567" s="35" t="str">
        <f aca="false">IFERROR(IF(BH567="","",BH567*INDEX('00 - Lists'!$M$2:$M$11,MATCH(L567,'00 - Lists'!$L$2:$L$11,0))/100000),"")</f>
        <v/>
      </c>
      <c r="BP567" s="35" t="str">
        <f aca="false">IFERROR(IF(BI567="","",BI567*INDEX('00 - Lists'!$M$2:$M$11,MATCH(L567,'00 - Lists'!$L$2:$L$11,0))/100000),"")</f>
        <v/>
      </c>
      <c r="BS567" s="36" t="str">
        <f aca="false">IF(O567="","",IF(O567&gt;=20,"Yes","No"))</f>
        <v/>
      </c>
      <c r="BT567" s="36" t="str">
        <f aca="false">IF(O567="","",IF(O567&gt;=30,"Yes","No"))</f>
        <v/>
      </c>
      <c r="BU567" s="36" t="str">
        <f aca="false">IF(O567="","",IF(O567&gt;=75,"Yes","No"))</f>
        <v/>
      </c>
      <c r="BV567" s="36" t="str">
        <f aca="false">IF(O567="","",IF(O567&gt;=100,"Yes","No"))</f>
        <v/>
      </c>
      <c r="BW567" s="36" t="str">
        <f aca="false">IF(O567="","",IF(O567&gt;=150,"Yes","No"))</f>
        <v/>
      </c>
      <c r="BX567" s="36" t="str">
        <f aca="false">IF(O567="","",IF(O567&gt;=200,"Yes","No"))</f>
        <v/>
      </c>
      <c r="BY567" s="36" t="str">
        <f aca="false">IF(Q567="","",IF(Q567&gt;=150000,"Yes","No"))</f>
        <v/>
      </c>
      <c r="BZ567" s="36" t="str">
        <f aca="false">IF(Q567="","",IF(Q567&gt;=200000,"Yes","No"))</f>
        <v/>
      </c>
      <c r="CA567" s="36" t="str">
        <f aca="false">IF(Q567="","",IF(Q567&gt;=250000,"Yes","No"))</f>
        <v/>
      </c>
      <c r="CB567" s="36" t="str">
        <f aca="false">IF(Q567="","",IF(Q567&gt;=300000,"Yes","No"))</f>
        <v/>
      </c>
      <c r="CC567" s="37"/>
      <c r="CD567" s="36" t="str">
        <f aca="true">IF(B567="","",IF(TODAY()-B567&lt;=7,"🟢 0-7d",IF(TODAY()-B567&lt;=30,"🟡 8-30d",IF(TODAY()-B567&lt;=60,"🟠 31-60d","🔴 60d+"))))</f>
        <v/>
      </c>
      <c r="CE567" s="36" t="str">
        <f aca="false">IF(G567="","",IF(G567&lt;&gt;"USA","N/A - Not USA Role",IF(J567="Yes",IF(OR(F567="Intern",F567="New Grad"),"🟡 Possible","🟢 Strong"),IF(J567="No","🔴 Difficult","⚪ Unknown"))))</f>
        <v/>
      </c>
      <c r="CF567" s="37"/>
      <c r="CG567" s="37"/>
      <c r="CH567" s="38"/>
      <c r="CI567" s="38"/>
      <c r="CJ567" s="38"/>
      <c r="CK567" s="38"/>
    </row>
    <row r="568" customFormat="false" ht="15" hidden="false" customHeight="true" outlineLevel="0" collapsed="false">
      <c r="A568" s="26" t="str">
        <f aca="false">IF($C568="","",ROW()-3)</f>
        <v/>
      </c>
      <c r="B568" s="27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9"/>
      <c r="N568" s="29"/>
      <c r="O568" s="30" t="str">
        <f aca="false">IFERROR(IF(M568="","",M568*INDEX('00 - Lists'!$M$2:$M$11,MATCH(L568,'00 - Lists'!$L$2:$L$11,0))/100000),"")</f>
        <v/>
      </c>
      <c r="P568" s="30" t="str">
        <f aca="false">IFERROR(IF(N568="","",N568*INDEX('00 - Lists'!$M$2:$M$11,MATCH(L568,'00 - Lists'!$L$2:$L$11,0))/100000),"")</f>
        <v/>
      </c>
      <c r="Q568" s="31" t="str">
        <f aca="false">IFERROR(IF(M568="","",M568*INDEX('00 - Lists'!$N$2:$N$11,MATCH(L568,'00 - Lists'!$L$2:$L$11,0))),"")</f>
        <v/>
      </c>
      <c r="R568" s="31" t="str">
        <f aca="false">IFERROR(IF(N568="","",N568*INDEX('00 - Lists'!$N$2:$N$11,MATCH(L568,'00 - Lists'!$L$2:$L$11,0))),"")</f>
        <v/>
      </c>
      <c r="S568" s="32" t="str">
        <f aca="false">IF(O568="","",IF(O568&gt;=50,"Yes","No"))</f>
        <v/>
      </c>
      <c r="T568" s="32" t="str">
        <f aca="false">IF(Q568="","",IF(Q568&gt;=100000,"Yes","No"))</f>
        <v/>
      </c>
      <c r="U568" s="28"/>
      <c r="V568" s="28"/>
      <c r="W568" s="28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J568" s="34" t="str">
        <f aca="false">IF(OR($BD568&lt;&gt;"",$BF568&lt;&gt;"",$BH568&lt;&gt;""),"Yes","No")</f>
        <v>No</v>
      </c>
      <c r="BK568" s="35" t="str">
        <f aca="false">IFERROR(IF(BD568="","",BD568*INDEX('00 - Lists'!$M$2:$M$11,MATCH(L568,'00 - Lists'!$L$2:$L$11,0))/100000),"")</f>
        <v/>
      </c>
      <c r="BL568" s="35" t="str">
        <f aca="false">IFERROR(IF(BE568="","",BE568*INDEX('00 - Lists'!$M$2:$M$11,MATCH(L568,'00 - Lists'!$L$2:$L$11,0))/100000),"")</f>
        <v/>
      </c>
      <c r="BM568" s="35" t="str">
        <f aca="false">IFERROR(IF(BF568="","",BF568*INDEX('00 - Lists'!$M$2:$M$11,MATCH(L568,'00 - Lists'!$L$2:$L$11,0))/100000),"")</f>
        <v/>
      </c>
      <c r="BN568" s="35" t="str">
        <f aca="false">IFERROR(IF(BG568="","",BG568*INDEX('00 - Lists'!$M$2:$M$11,MATCH(L568,'00 - Lists'!$L$2:$L$11,0))/100000),"")</f>
        <v/>
      </c>
      <c r="BO568" s="35" t="str">
        <f aca="false">IFERROR(IF(BH568="","",BH568*INDEX('00 - Lists'!$M$2:$M$11,MATCH(L568,'00 - Lists'!$L$2:$L$11,0))/100000),"")</f>
        <v/>
      </c>
      <c r="BP568" s="35" t="str">
        <f aca="false">IFERROR(IF(BI568="","",BI568*INDEX('00 - Lists'!$M$2:$M$11,MATCH(L568,'00 - Lists'!$L$2:$L$11,0))/100000),"")</f>
        <v/>
      </c>
      <c r="BS568" s="36" t="str">
        <f aca="false">IF(O568="","",IF(O568&gt;=20,"Yes","No"))</f>
        <v/>
      </c>
      <c r="BT568" s="36" t="str">
        <f aca="false">IF(O568="","",IF(O568&gt;=30,"Yes","No"))</f>
        <v/>
      </c>
      <c r="BU568" s="36" t="str">
        <f aca="false">IF(O568="","",IF(O568&gt;=75,"Yes","No"))</f>
        <v/>
      </c>
      <c r="BV568" s="36" t="str">
        <f aca="false">IF(O568="","",IF(O568&gt;=100,"Yes","No"))</f>
        <v/>
      </c>
      <c r="BW568" s="36" t="str">
        <f aca="false">IF(O568="","",IF(O568&gt;=150,"Yes","No"))</f>
        <v/>
      </c>
      <c r="BX568" s="36" t="str">
        <f aca="false">IF(O568="","",IF(O568&gt;=200,"Yes","No"))</f>
        <v/>
      </c>
      <c r="BY568" s="36" t="str">
        <f aca="false">IF(Q568="","",IF(Q568&gt;=150000,"Yes","No"))</f>
        <v/>
      </c>
      <c r="BZ568" s="36" t="str">
        <f aca="false">IF(Q568="","",IF(Q568&gt;=200000,"Yes","No"))</f>
        <v/>
      </c>
      <c r="CA568" s="36" t="str">
        <f aca="false">IF(Q568="","",IF(Q568&gt;=250000,"Yes","No"))</f>
        <v/>
      </c>
      <c r="CB568" s="36" t="str">
        <f aca="false">IF(Q568="","",IF(Q568&gt;=300000,"Yes","No"))</f>
        <v/>
      </c>
      <c r="CC568" s="37"/>
      <c r="CD568" s="36" t="str">
        <f aca="true">IF(B568="","",IF(TODAY()-B568&lt;=7,"🟢 0-7d",IF(TODAY()-B568&lt;=30,"🟡 8-30d",IF(TODAY()-B568&lt;=60,"🟠 31-60d","🔴 60d+"))))</f>
        <v/>
      </c>
      <c r="CE568" s="36" t="str">
        <f aca="false">IF(G568="","",IF(G568&lt;&gt;"USA","N/A - Not USA Role",IF(J568="Yes",IF(OR(F568="Intern",F568="New Grad"),"🟡 Possible","🟢 Strong"),IF(J568="No","🔴 Difficult","⚪ Unknown"))))</f>
        <v/>
      </c>
      <c r="CF568" s="37"/>
      <c r="CG568" s="37"/>
      <c r="CH568" s="38"/>
      <c r="CI568" s="38"/>
      <c r="CJ568" s="38"/>
      <c r="CK568" s="38"/>
    </row>
    <row r="569" customFormat="false" ht="15" hidden="false" customHeight="true" outlineLevel="0" collapsed="false">
      <c r="A569" s="26" t="str">
        <f aca="false">IF($C569="","",ROW()-3)</f>
        <v/>
      </c>
      <c r="B569" s="27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9"/>
      <c r="N569" s="29"/>
      <c r="O569" s="30" t="str">
        <f aca="false">IFERROR(IF(M569="","",M569*INDEX('00 - Lists'!$M$2:$M$11,MATCH(L569,'00 - Lists'!$L$2:$L$11,0))/100000),"")</f>
        <v/>
      </c>
      <c r="P569" s="30" t="str">
        <f aca="false">IFERROR(IF(N569="","",N569*INDEX('00 - Lists'!$M$2:$M$11,MATCH(L569,'00 - Lists'!$L$2:$L$11,0))/100000),"")</f>
        <v/>
      </c>
      <c r="Q569" s="31" t="str">
        <f aca="false">IFERROR(IF(M569="","",M569*INDEX('00 - Lists'!$N$2:$N$11,MATCH(L569,'00 - Lists'!$L$2:$L$11,0))),"")</f>
        <v/>
      </c>
      <c r="R569" s="31" t="str">
        <f aca="false">IFERROR(IF(N569="","",N569*INDEX('00 - Lists'!$N$2:$N$11,MATCH(L569,'00 - Lists'!$L$2:$L$11,0))),"")</f>
        <v/>
      </c>
      <c r="S569" s="32" t="str">
        <f aca="false">IF(O569="","",IF(O569&gt;=50,"Yes","No"))</f>
        <v/>
      </c>
      <c r="T569" s="32" t="str">
        <f aca="false">IF(Q569="","",IF(Q569&gt;=100000,"Yes","No"))</f>
        <v/>
      </c>
      <c r="U569" s="28"/>
      <c r="V569" s="28"/>
      <c r="W569" s="28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J569" s="34" t="str">
        <f aca="false">IF(OR($BD569&lt;&gt;"",$BF569&lt;&gt;"",$BH569&lt;&gt;""),"Yes","No")</f>
        <v>No</v>
      </c>
      <c r="BK569" s="35" t="str">
        <f aca="false">IFERROR(IF(BD569="","",BD569*INDEX('00 - Lists'!$M$2:$M$11,MATCH(L569,'00 - Lists'!$L$2:$L$11,0))/100000),"")</f>
        <v/>
      </c>
      <c r="BL569" s="35" t="str">
        <f aca="false">IFERROR(IF(BE569="","",BE569*INDEX('00 - Lists'!$M$2:$M$11,MATCH(L569,'00 - Lists'!$L$2:$L$11,0))/100000),"")</f>
        <v/>
      </c>
      <c r="BM569" s="35" t="str">
        <f aca="false">IFERROR(IF(BF569="","",BF569*INDEX('00 - Lists'!$M$2:$M$11,MATCH(L569,'00 - Lists'!$L$2:$L$11,0))/100000),"")</f>
        <v/>
      </c>
      <c r="BN569" s="35" t="str">
        <f aca="false">IFERROR(IF(BG569="","",BG569*INDEX('00 - Lists'!$M$2:$M$11,MATCH(L569,'00 - Lists'!$L$2:$L$11,0))/100000),"")</f>
        <v/>
      </c>
      <c r="BO569" s="35" t="str">
        <f aca="false">IFERROR(IF(BH569="","",BH569*INDEX('00 - Lists'!$M$2:$M$11,MATCH(L569,'00 - Lists'!$L$2:$L$11,0))/100000),"")</f>
        <v/>
      </c>
      <c r="BP569" s="35" t="str">
        <f aca="false">IFERROR(IF(BI569="","",BI569*INDEX('00 - Lists'!$M$2:$M$11,MATCH(L569,'00 - Lists'!$L$2:$L$11,0))/100000),"")</f>
        <v/>
      </c>
      <c r="BS569" s="36" t="str">
        <f aca="false">IF(O569="","",IF(O569&gt;=20,"Yes","No"))</f>
        <v/>
      </c>
      <c r="BT569" s="36" t="str">
        <f aca="false">IF(O569="","",IF(O569&gt;=30,"Yes","No"))</f>
        <v/>
      </c>
      <c r="BU569" s="36" t="str">
        <f aca="false">IF(O569="","",IF(O569&gt;=75,"Yes","No"))</f>
        <v/>
      </c>
      <c r="BV569" s="36" t="str">
        <f aca="false">IF(O569="","",IF(O569&gt;=100,"Yes","No"))</f>
        <v/>
      </c>
      <c r="BW569" s="36" t="str">
        <f aca="false">IF(O569="","",IF(O569&gt;=150,"Yes","No"))</f>
        <v/>
      </c>
      <c r="BX569" s="36" t="str">
        <f aca="false">IF(O569="","",IF(O569&gt;=200,"Yes","No"))</f>
        <v/>
      </c>
      <c r="BY569" s="36" t="str">
        <f aca="false">IF(Q569="","",IF(Q569&gt;=150000,"Yes","No"))</f>
        <v/>
      </c>
      <c r="BZ569" s="36" t="str">
        <f aca="false">IF(Q569="","",IF(Q569&gt;=200000,"Yes","No"))</f>
        <v/>
      </c>
      <c r="CA569" s="36" t="str">
        <f aca="false">IF(Q569="","",IF(Q569&gt;=250000,"Yes","No"))</f>
        <v/>
      </c>
      <c r="CB569" s="36" t="str">
        <f aca="false">IF(Q569="","",IF(Q569&gt;=300000,"Yes","No"))</f>
        <v/>
      </c>
      <c r="CC569" s="37"/>
      <c r="CD569" s="36" t="str">
        <f aca="true">IF(B569="","",IF(TODAY()-B569&lt;=7,"🟢 0-7d",IF(TODAY()-B569&lt;=30,"🟡 8-30d",IF(TODAY()-B569&lt;=60,"🟠 31-60d","🔴 60d+"))))</f>
        <v/>
      </c>
      <c r="CE569" s="36" t="str">
        <f aca="false">IF(G569="","",IF(G569&lt;&gt;"USA","N/A - Not USA Role",IF(J569="Yes",IF(OR(F569="Intern",F569="New Grad"),"🟡 Possible","🟢 Strong"),IF(J569="No","🔴 Difficult","⚪ Unknown"))))</f>
        <v/>
      </c>
      <c r="CF569" s="37"/>
      <c r="CG569" s="37"/>
      <c r="CH569" s="38"/>
      <c r="CI569" s="38"/>
      <c r="CJ569" s="38"/>
      <c r="CK569" s="38"/>
    </row>
    <row r="570" customFormat="false" ht="15" hidden="false" customHeight="true" outlineLevel="0" collapsed="false">
      <c r="A570" s="26" t="str">
        <f aca="false">IF($C570="","",ROW()-3)</f>
        <v/>
      </c>
      <c r="B570" s="27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9"/>
      <c r="N570" s="29"/>
      <c r="O570" s="30" t="str">
        <f aca="false">IFERROR(IF(M570="","",M570*INDEX('00 - Lists'!$M$2:$M$11,MATCH(L570,'00 - Lists'!$L$2:$L$11,0))/100000),"")</f>
        <v/>
      </c>
      <c r="P570" s="30" t="str">
        <f aca="false">IFERROR(IF(N570="","",N570*INDEX('00 - Lists'!$M$2:$M$11,MATCH(L570,'00 - Lists'!$L$2:$L$11,0))/100000),"")</f>
        <v/>
      </c>
      <c r="Q570" s="31" t="str">
        <f aca="false">IFERROR(IF(M570="","",M570*INDEX('00 - Lists'!$N$2:$N$11,MATCH(L570,'00 - Lists'!$L$2:$L$11,0))),"")</f>
        <v/>
      </c>
      <c r="R570" s="31" t="str">
        <f aca="false">IFERROR(IF(N570="","",N570*INDEX('00 - Lists'!$N$2:$N$11,MATCH(L570,'00 - Lists'!$L$2:$L$11,0))),"")</f>
        <v/>
      </c>
      <c r="S570" s="32" t="str">
        <f aca="false">IF(O570="","",IF(O570&gt;=50,"Yes","No"))</f>
        <v/>
      </c>
      <c r="T570" s="32" t="str">
        <f aca="false">IF(Q570="","",IF(Q570&gt;=100000,"Yes","No"))</f>
        <v/>
      </c>
      <c r="U570" s="28"/>
      <c r="V570" s="28"/>
      <c r="W570" s="28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J570" s="34" t="str">
        <f aca="false">IF(OR($BD570&lt;&gt;"",$BF570&lt;&gt;"",$BH570&lt;&gt;""),"Yes","No")</f>
        <v>No</v>
      </c>
      <c r="BK570" s="35" t="str">
        <f aca="false">IFERROR(IF(BD570="","",BD570*INDEX('00 - Lists'!$M$2:$M$11,MATCH(L570,'00 - Lists'!$L$2:$L$11,0))/100000),"")</f>
        <v/>
      </c>
      <c r="BL570" s="35" t="str">
        <f aca="false">IFERROR(IF(BE570="","",BE570*INDEX('00 - Lists'!$M$2:$M$11,MATCH(L570,'00 - Lists'!$L$2:$L$11,0))/100000),"")</f>
        <v/>
      </c>
      <c r="BM570" s="35" t="str">
        <f aca="false">IFERROR(IF(BF570="","",BF570*INDEX('00 - Lists'!$M$2:$M$11,MATCH(L570,'00 - Lists'!$L$2:$L$11,0))/100000),"")</f>
        <v/>
      </c>
      <c r="BN570" s="35" t="str">
        <f aca="false">IFERROR(IF(BG570="","",BG570*INDEX('00 - Lists'!$M$2:$M$11,MATCH(L570,'00 - Lists'!$L$2:$L$11,0))/100000),"")</f>
        <v/>
      </c>
      <c r="BO570" s="35" t="str">
        <f aca="false">IFERROR(IF(BH570="","",BH570*INDEX('00 - Lists'!$M$2:$M$11,MATCH(L570,'00 - Lists'!$L$2:$L$11,0))/100000),"")</f>
        <v/>
      </c>
      <c r="BP570" s="35" t="str">
        <f aca="false">IFERROR(IF(BI570="","",BI570*INDEX('00 - Lists'!$M$2:$M$11,MATCH(L570,'00 - Lists'!$L$2:$L$11,0))/100000),"")</f>
        <v/>
      </c>
      <c r="BS570" s="36" t="str">
        <f aca="false">IF(O570="","",IF(O570&gt;=20,"Yes","No"))</f>
        <v/>
      </c>
      <c r="BT570" s="36" t="str">
        <f aca="false">IF(O570="","",IF(O570&gt;=30,"Yes","No"))</f>
        <v/>
      </c>
      <c r="BU570" s="36" t="str">
        <f aca="false">IF(O570="","",IF(O570&gt;=75,"Yes","No"))</f>
        <v/>
      </c>
      <c r="BV570" s="36" t="str">
        <f aca="false">IF(O570="","",IF(O570&gt;=100,"Yes","No"))</f>
        <v/>
      </c>
      <c r="BW570" s="36" t="str">
        <f aca="false">IF(O570="","",IF(O570&gt;=150,"Yes","No"))</f>
        <v/>
      </c>
      <c r="BX570" s="36" t="str">
        <f aca="false">IF(O570="","",IF(O570&gt;=200,"Yes","No"))</f>
        <v/>
      </c>
      <c r="BY570" s="36" t="str">
        <f aca="false">IF(Q570="","",IF(Q570&gt;=150000,"Yes","No"))</f>
        <v/>
      </c>
      <c r="BZ570" s="36" t="str">
        <f aca="false">IF(Q570="","",IF(Q570&gt;=200000,"Yes","No"))</f>
        <v/>
      </c>
      <c r="CA570" s="36" t="str">
        <f aca="false">IF(Q570="","",IF(Q570&gt;=250000,"Yes","No"))</f>
        <v/>
      </c>
      <c r="CB570" s="36" t="str">
        <f aca="false">IF(Q570="","",IF(Q570&gt;=300000,"Yes","No"))</f>
        <v/>
      </c>
      <c r="CC570" s="37"/>
      <c r="CD570" s="36" t="str">
        <f aca="true">IF(B570="","",IF(TODAY()-B570&lt;=7,"🟢 0-7d",IF(TODAY()-B570&lt;=30,"🟡 8-30d",IF(TODAY()-B570&lt;=60,"🟠 31-60d","🔴 60d+"))))</f>
        <v/>
      </c>
      <c r="CE570" s="36" t="str">
        <f aca="false">IF(G570="","",IF(G570&lt;&gt;"USA","N/A - Not USA Role",IF(J570="Yes",IF(OR(F570="Intern",F570="New Grad"),"🟡 Possible","🟢 Strong"),IF(J570="No","🔴 Difficult","⚪ Unknown"))))</f>
        <v/>
      </c>
      <c r="CF570" s="37"/>
      <c r="CG570" s="37"/>
      <c r="CH570" s="38"/>
      <c r="CI570" s="38"/>
      <c r="CJ570" s="38"/>
      <c r="CK570" s="38"/>
    </row>
    <row r="571" customFormat="false" ht="15" hidden="false" customHeight="true" outlineLevel="0" collapsed="false">
      <c r="A571" s="26" t="str">
        <f aca="false">IF($C571="","",ROW()-3)</f>
        <v/>
      </c>
      <c r="B571" s="27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9"/>
      <c r="N571" s="29"/>
      <c r="O571" s="30" t="str">
        <f aca="false">IFERROR(IF(M571="","",M571*INDEX('00 - Lists'!$M$2:$M$11,MATCH(L571,'00 - Lists'!$L$2:$L$11,0))/100000),"")</f>
        <v/>
      </c>
      <c r="P571" s="30" t="str">
        <f aca="false">IFERROR(IF(N571="","",N571*INDEX('00 - Lists'!$M$2:$M$11,MATCH(L571,'00 - Lists'!$L$2:$L$11,0))/100000),"")</f>
        <v/>
      </c>
      <c r="Q571" s="31" t="str">
        <f aca="false">IFERROR(IF(M571="","",M571*INDEX('00 - Lists'!$N$2:$N$11,MATCH(L571,'00 - Lists'!$L$2:$L$11,0))),"")</f>
        <v/>
      </c>
      <c r="R571" s="31" t="str">
        <f aca="false">IFERROR(IF(N571="","",N571*INDEX('00 - Lists'!$N$2:$N$11,MATCH(L571,'00 - Lists'!$L$2:$L$11,0))),"")</f>
        <v/>
      </c>
      <c r="S571" s="32" t="str">
        <f aca="false">IF(O571="","",IF(O571&gt;=50,"Yes","No"))</f>
        <v/>
      </c>
      <c r="T571" s="32" t="str">
        <f aca="false">IF(Q571="","",IF(Q571&gt;=100000,"Yes","No"))</f>
        <v/>
      </c>
      <c r="U571" s="28"/>
      <c r="V571" s="28"/>
      <c r="W571" s="28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J571" s="34" t="str">
        <f aca="false">IF(OR($BD571&lt;&gt;"",$BF571&lt;&gt;"",$BH571&lt;&gt;""),"Yes","No")</f>
        <v>No</v>
      </c>
      <c r="BK571" s="35" t="str">
        <f aca="false">IFERROR(IF(BD571="","",BD571*INDEX('00 - Lists'!$M$2:$M$11,MATCH(L571,'00 - Lists'!$L$2:$L$11,0))/100000),"")</f>
        <v/>
      </c>
      <c r="BL571" s="35" t="str">
        <f aca="false">IFERROR(IF(BE571="","",BE571*INDEX('00 - Lists'!$M$2:$M$11,MATCH(L571,'00 - Lists'!$L$2:$L$11,0))/100000),"")</f>
        <v/>
      </c>
      <c r="BM571" s="35" t="str">
        <f aca="false">IFERROR(IF(BF571="","",BF571*INDEX('00 - Lists'!$M$2:$M$11,MATCH(L571,'00 - Lists'!$L$2:$L$11,0))/100000),"")</f>
        <v/>
      </c>
      <c r="BN571" s="35" t="str">
        <f aca="false">IFERROR(IF(BG571="","",BG571*INDEX('00 - Lists'!$M$2:$M$11,MATCH(L571,'00 - Lists'!$L$2:$L$11,0))/100000),"")</f>
        <v/>
      </c>
      <c r="BO571" s="35" t="str">
        <f aca="false">IFERROR(IF(BH571="","",BH571*INDEX('00 - Lists'!$M$2:$M$11,MATCH(L571,'00 - Lists'!$L$2:$L$11,0))/100000),"")</f>
        <v/>
      </c>
      <c r="BP571" s="35" t="str">
        <f aca="false">IFERROR(IF(BI571="","",BI571*INDEX('00 - Lists'!$M$2:$M$11,MATCH(L571,'00 - Lists'!$L$2:$L$11,0))/100000),"")</f>
        <v/>
      </c>
      <c r="BS571" s="36" t="str">
        <f aca="false">IF(O571="","",IF(O571&gt;=20,"Yes","No"))</f>
        <v/>
      </c>
      <c r="BT571" s="36" t="str">
        <f aca="false">IF(O571="","",IF(O571&gt;=30,"Yes","No"))</f>
        <v/>
      </c>
      <c r="BU571" s="36" t="str">
        <f aca="false">IF(O571="","",IF(O571&gt;=75,"Yes","No"))</f>
        <v/>
      </c>
      <c r="BV571" s="36" t="str">
        <f aca="false">IF(O571="","",IF(O571&gt;=100,"Yes","No"))</f>
        <v/>
      </c>
      <c r="BW571" s="36" t="str">
        <f aca="false">IF(O571="","",IF(O571&gt;=150,"Yes","No"))</f>
        <v/>
      </c>
      <c r="BX571" s="36" t="str">
        <f aca="false">IF(O571="","",IF(O571&gt;=200,"Yes","No"))</f>
        <v/>
      </c>
      <c r="BY571" s="36" t="str">
        <f aca="false">IF(Q571="","",IF(Q571&gt;=150000,"Yes","No"))</f>
        <v/>
      </c>
      <c r="BZ571" s="36" t="str">
        <f aca="false">IF(Q571="","",IF(Q571&gt;=200000,"Yes","No"))</f>
        <v/>
      </c>
      <c r="CA571" s="36" t="str">
        <f aca="false">IF(Q571="","",IF(Q571&gt;=250000,"Yes","No"))</f>
        <v/>
      </c>
      <c r="CB571" s="36" t="str">
        <f aca="false">IF(Q571="","",IF(Q571&gt;=300000,"Yes","No"))</f>
        <v/>
      </c>
      <c r="CC571" s="37"/>
      <c r="CD571" s="36" t="str">
        <f aca="true">IF(B571="","",IF(TODAY()-B571&lt;=7,"🟢 0-7d",IF(TODAY()-B571&lt;=30,"🟡 8-30d",IF(TODAY()-B571&lt;=60,"🟠 31-60d","🔴 60d+"))))</f>
        <v/>
      </c>
      <c r="CE571" s="36" t="str">
        <f aca="false">IF(G571="","",IF(G571&lt;&gt;"USA","N/A - Not USA Role",IF(J571="Yes",IF(OR(F571="Intern",F571="New Grad"),"🟡 Possible","🟢 Strong"),IF(J571="No","🔴 Difficult","⚪ Unknown"))))</f>
        <v/>
      </c>
      <c r="CF571" s="37"/>
      <c r="CG571" s="37"/>
      <c r="CH571" s="38"/>
      <c r="CI571" s="38"/>
      <c r="CJ571" s="38"/>
      <c r="CK571" s="38"/>
    </row>
    <row r="572" customFormat="false" ht="15" hidden="false" customHeight="true" outlineLevel="0" collapsed="false">
      <c r="A572" s="26" t="str">
        <f aca="false">IF($C572="","",ROW()-3)</f>
        <v/>
      </c>
      <c r="B572" s="27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9"/>
      <c r="N572" s="29"/>
      <c r="O572" s="30" t="str">
        <f aca="false">IFERROR(IF(M572="","",M572*INDEX('00 - Lists'!$M$2:$M$11,MATCH(L572,'00 - Lists'!$L$2:$L$11,0))/100000),"")</f>
        <v/>
      </c>
      <c r="P572" s="30" t="str">
        <f aca="false">IFERROR(IF(N572="","",N572*INDEX('00 - Lists'!$M$2:$M$11,MATCH(L572,'00 - Lists'!$L$2:$L$11,0))/100000),"")</f>
        <v/>
      </c>
      <c r="Q572" s="31" t="str">
        <f aca="false">IFERROR(IF(M572="","",M572*INDEX('00 - Lists'!$N$2:$N$11,MATCH(L572,'00 - Lists'!$L$2:$L$11,0))),"")</f>
        <v/>
      </c>
      <c r="R572" s="31" t="str">
        <f aca="false">IFERROR(IF(N572="","",N572*INDEX('00 - Lists'!$N$2:$N$11,MATCH(L572,'00 - Lists'!$L$2:$L$11,0))),"")</f>
        <v/>
      </c>
      <c r="S572" s="32" t="str">
        <f aca="false">IF(O572="","",IF(O572&gt;=50,"Yes","No"))</f>
        <v/>
      </c>
      <c r="T572" s="32" t="str">
        <f aca="false">IF(Q572="","",IF(Q572&gt;=100000,"Yes","No"))</f>
        <v/>
      </c>
      <c r="U572" s="28"/>
      <c r="V572" s="28"/>
      <c r="W572" s="28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J572" s="34" t="str">
        <f aca="false">IF(OR($BD572&lt;&gt;"",$BF572&lt;&gt;"",$BH572&lt;&gt;""),"Yes","No")</f>
        <v>No</v>
      </c>
      <c r="BK572" s="35" t="str">
        <f aca="false">IFERROR(IF(BD572="","",BD572*INDEX('00 - Lists'!$M$2:$M$11,MATCH(L572,'00 - Lists'!$L$2:$L$11,0))/100000),"")</f>
        <v/>
      </c>
      <c r="BL572" s="35" t="str">
        <f aca="false">IFERROR(IF(BE572="","",BE572*INDEX('00 - Lists'!$M$2:$M$11,MATCH(L572,'00 - Lists'!$L$2:$L$11,0))/100000),"")</f>
        <v/>
      </c>
      <c r="BM572" s="35" t="str">
        <f aca="false">IFERROR(IF(BF572="","",BF572*INDEX('00 - Lists'!$M$2:$M$11,MATCH(L572,'00 - Lists'!$L$2:$L$11,0))/100000),"")</f>
        <v/>
      </c>
      <c r="BN572" s="35" t="str">
        <f aca="false">IFERROR(IF(BG572="","",BG572*INDEX('00 - Lists'!$M$2:$M$11,MATCH(L572,'00 - Lists'!$L$2:$L$11,0))/100000),"")</f>
        <v/>
      </c>
      <c r="BO572" s="35" t="str">
        <f aca="false">IFERROR(IF(BH572="","",BH572*INDEX('00 - Lists'!$M$2:$M$11,MATCH(L572,'00 - Lists'!$L$2:$L$11,0))/100000),"")</f>
        <v/>
      </c>
      <c r="BP572" s="35" t="str">
        <f aca="false">IFERROR(IF(BI572="","",BI572*INDEX('00 - Lists'!$M$2:$M$11,MATCH(L572,'00 - Lists'!$L$2:$L$11,0))/100000),"")</f>
        <v/>
      </c>
      <c r="BS572" s="36" t="str">
        <f aca="false">IF(O572="","",IF(O572&gt;=20,"Yes","No"))</f>
        <v/>
      </c>
      <c r="BT572" s="36" t="str">
        <f aca="false">IF(O572="","",IF(O572&gt;=30,"Yes","No"))</f>
        <v/>
      </c>
      <c r="BU572" s="36" t="str">
        <f aca="false">IF(O572="","",IF(O572&gt;=75,"Yes","No"))</f>
        <v/>
      </c>
      <c r="BV572" s="36" t="str">
        <f aca="false">IF(O572="","",IF(O572&gt;=100,"Yes","No"))</f>
        <v/>
      </c>
      <c r="BW572" s="36" t="str">
        <f aca="false">IF(O572="","",IF(O572&gt;=150,"Yes","No"))</f>
        <v/>
      </c>
      <c r="BX572" s="36" t="str">
        <f aca="false">IF(O572="","",IF(O572&gt;=200,"Yes","No"))</f>
        <v/>
      </c>
      <c r="BY572" s="36" t="str">
        <f aca="false">IF(Q572="","",IF(Q572&gt;=150000,"Yes","No"))</f>
        <v/>
      </c>
      <c r="BZ572" s="36" t="str">
        <f aca="false">IF(Q572="","",IF(Q572&gt;=200000,"Yes","No"))</f>
        <v/>
      </c>
      <c r="CA572" s="36" t="str">
        <f aca="false">IF(Q572="","",IF(Q572&gt;=250000,"Yes","No"))</f>
        <v/>
      </c>
      <c r="CB572" s="36" t="str">
        <f aca="false">IF(Q572="","",IF(Q572&gt;=300000,"Yes","No"))</f>
        <v/>
      </c>
      <c r="CC572" s="37"/>
      <c r="CD572" s="36" t="str">
        <f aca="true">IF(B572="","",IF(TODAY()-B572&lt;=7,"🟢 0-7d",IF(TODAY()-B572&lt;=30,"🟡 8-30d",IF(TODAY()-B572&lt;=60,"🟠 31-60d","🔴 60d+"))))</f>
        <v/>
      </c>
      <c r="CE572" s="36" t="str">
        <f aca="false">IF(G572="","",IF(G572&lt;&gt;"USA","N/A - Not USA Role",IF(J572="Yes",IF(OR(F572="Intern",F572="New Grad"),"🟡 Possible","🟢 Strong"),IF(J572="No","🔴 Difficult","⚪ Unknown"))))</f>
        <v/>
      </c>
      <c r="CF572" s="37"/>
      <c r="CG572" s="37"/>
      <c r="CH572" s="38"/>
      <c r="CI572" s="38"/>
      <c r="CJ572" s="38"/>
      <c r="CK572" s="38"/>
    </row>
    <row r="573" customFormat="false" ht="15" hidden="false" customHeight="true" outlineLevel="0" collapsed="false">
      <c r="A573" s="26" t="str">
        <f aca="false">IF($C573="","",ROW()-3)</f>
        <v/>
      </c>
      <c r="B573" s="27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9"/>
      <c r="N573" s="29"/>
      <c r="O573" s="30" t="str">
        <f aca="false">IFERROR(IF(M573="","",M573*INDEX('00 - Lists'!$M$2:$M$11,MATCH(L573,'00 - Lists'!$L$2:$L$11,0))/100000),"")</f>
        <v/>
      </c>
      <c r="P573" s="30" t="str">
        <f aca="false">IFERROR(IF(N573="","",N573*INDEX('00 - Lists'!$M$2:$M$11,MATCH(L573,'00 - Lists'!$L$2:$L$11,0))/100000),"")</f>
        <v/>
      </c>
      <c r="Q573" s="31" t="str">
        <f aca="false">IFERROR(IF(M573="","",M573*INDEX('00 - Lists'!$N$2:$N$11,MATCH(L573,'00 - Lists'!$L$2:$L$11,0))),"")</f>
        <v/>
      </c>
      <c r="R573" s="31" t="str">
        <f aca="false">IFERROR(IF(N573="","",N573*INDEX('00 - Lists'!$N$2:$N$11,MATCH(L573,'00 - Lists'!$L$2:$L$11,0))),"")</f>
        <v/>
      </c>
      <c r="S573" s="32" t="str">
        <f aca="false">IF(O573="","",IF(O573&gt;=50,"Yes","No"))</f>
        <v/>
      </c>
      <c r="T573" s="32" t="str">
        <f aca="false">IF(Q573="","",IF(Q573&gt;=100000,"Yes","No"))</f>
        <v/>
      </c>
      <c r="U573" s="28"/>
      <c r="V573" s="28"/>
      <c r="W573" s="28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J573" s="34" t="str">
        <f aca="false">IF(OR($BD573&lt;&gt;"",$BF573&lt;&gt;"",$BH573&lt;&gt;""),"Yes","No")</f>
        <v>No</v>
      </c>
      <c r="BK573" s="35" t="str">
        <f aca="false">IFERROR(IF(BD573="","",BD573*INDEX('00 - Lists'!$M$2:$M$11,MATCH(L573,'00 - Lists'!$L$2:$L$11,0))/100000),"")</f>
        <v/>
      </c>
      <c r="BL573" s="35" t="str">
        <f aca="false">IFERROR(IF(BE573="","",BE573*INDEX('00 - Lists'!$M$2:$M$11,MATCH(L573,'00 - Lists'!$L$2:$L$11,0))/100000),"")</f>
        <v/>
      </c>
      <c r="BM573" s="35" t="str">
        <f aca="false">IFERROR(IF(BF573="","",BF573*INDEX('00 - Lists'!$M$2:$M$11,MATCH(L573,'00 - Lists'!$L$2:$L$11,0))/100000),"")</f>
        <v/>
      </c>
      <c r="BN573" s="35" t="str">
        <f aca="false">IFERROR(IF(BG573="","",BG573*INDEX('00 - Lists'!$M$2:$M$11,MATCH(L573,'00 - Lists'!$L$2:$L$11,0))/100000),"")</f>
        <v/>
      </c>
      <c r="BO573" s="35" t="str">
        <f aca="false">IFERROR(IF(BH573="","",BH573*INDEX('00 - Lists'!$M$2:$M$11,MATCH(L573,'00 - Lists'!$L$2:$L$11,0))/100000),"")</f>
        <v/>
      </c>
      <c r="BP573" s="35" t="str">
        <f aca="false">IFERROR(IF(BI573="","",BI573*INDEX('00 - Lists'!$M$2:$M$11,MATCH(L573,'00 - Lists'!$L$2:$L$11,0))/100000),"")</f>
        <v/>
      </c>
      <c r="BS573" s="36" t="str">
        <f aca="false">IF(O573="","",IF(O573&gt;=20,"Yes","No"))</f>
        <v/>
      </c>
      <c r="BT573" s="36" t="str">
        <f aca="false">IF(O573="","",IF(O573&gt;=30,"Yes","No"))</f>
        <v/>
      </c>
      <c r="BU573" s="36" t="str">
        <f aca="false">IF(O573="","",IF(O573&gt;=75,"Yes","No"))</f>
        <v/>
      </c>
      <c r="BV573" s="36" t="str">
        <f aca="false">IF(O573="","",IF(O573&gt;=100,"Yes","No"))</f>
        <v/>
      </c>
      <c r="BW573" s="36" t="str">
        <f aca="false">IF(O573="","",IF(O573&gt;=150,"Yes","No"))</f>
        <v/>
      </c>
      <c r="BX573" s="36" t="str">
        <f aca="false">IF(O573="","",IF(O573&gt;=200,"Yes","No"))</f>
        <v/>
      </c>
      <c r="BY573" s="36" t="str">
        <f aca="false">IF(Q573="","",IF(Q573&gt;=150000,"Yes","No"))</f>
        <v/>
      </c>
      <c r="BZ573" s="36" t="str">
        <f aca="false">IF(Q573="","",IF(Q573&gt;=200000,"Yes","No"))</f>
        <v/>
      </c>
      <c r="CA573" s="36" t="str">
        <f aca="false">IF(Q573="","",IF(Q573&gt;=250000,"Yes","No"))</f>
        <v/>
      </c>
      <c r="CB573" s="36" t="str">
        <f aca="false">IF(Q573="","",IF(Q573&gt;=300000,"Yes","No"))</f>
        <v/>
      </c>
      <c r="CC573" s="37"/>
      <c r="CD573" s="36" t="str">
        <f aca="true">IF(B573="","",IF(TODAY()-B573&lt;=7,"🟢 0-7d",IF(TODAY()-B573&lt;=30,"🟡 8-30d",IF(TODAY()-B573&lt;=60,"🟠 31-60d","🔴 60d+"))))</f>
        <v/>
      </c>
      <c r="CE573" s="36" t="str">
        <f aca="false">IF(G573="","",IF(G573&lt;&gt;"USA","N/A - Not USA Role",IF(J573="Yes",IF(OR(F573="Intern",F573="New Grad"),"🟡 Possible","🟢 Strong"),IF(J573="No","🔴 Difficult","⚪ Unknown"))))</f>
        <v/>
      </c>
      <c r="CF573" s="37"/>
      <c r="CG573" s="37"/>
      <c r="CH573" s="38"/>
      <c r="CI573" s="38"/>
      <c r="CJ573" s="38"/>
      <c r="CK573" s="38"/>
    </row>
    <row r="574" customFormat="false" ht="15" hidden="false" customHeight="true" outlineLevel="0" collapsed="false">
      <c r="A574" s="26" t="str">
        <f aca="false">IF($C574="","",ROW()-3)</f>
        <v/>
      </c>
      <c r="B574" s="27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9"/>
      <c r="N574" s="29"/>
      <c r="O574" s="30" t="str">
        <f aca="false">IFERROR(IF(M574="","",M574*INDEX('00 - Lists'!$M$2:$M$11,MATCH(L574,'00 - Lists'!$L$2:$L$11,0))/100000),"")</f>
        <v/>
      </c>
      <c r="P574" s="30" t="str">
        <f aca="false">IFERROR(IF(N574="","",N574*INDEX('00 - Lists'!$M$2:$M$11,MATCH(L574,'00 - Lists'!$L$2:$L$11,0))/100000),"")</f>
        <v/>
      </c>
      <c r="Q574" s="31" t="str">
        <f aca="false">IFERROR(IF(M574="","",M574*INDEX('00 - Lists'!$N$2:$N$11,MATCH(L574,'00 - Lists'!$L$2:$L$11,0))),"")</f>
        <v/>
      </c>
      <c r="R574" s="31" t="str">
        <f aca="false">IFERROR(IF(N574="","",N574*INDEX('00 - Lists'!$N$2:$N$11,MATCH(L574,'00 - Lists'!$L$2:$L$11,0))),"")</f>
        <v/>
      </c>
      <c r="S574" s="32" t="str">
        <f aca="false">IF(O574="","",IF(O574&gt;=50,"Yes","No"))</f>
        <v/>
      </c>
      <c r="T574" s="32" t="str">
        <f aca="false">IF(Q574="","",IF(Q574&gt;=100000,"Yes","No"))</f>
        <v/>
      </c>
      <c r="U574" s="28"/>
      <c r="V574" s="28"/>
      <c r="W574" s="28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J574" s="34" t="str">
        <f aca="false">IF(OR($BD574&lt;&gt;"",$BF574&lt;&gt;"",$BH574&lt;&gt;""),"Yes","No")</f>
        <v>No</v>
      </c>
      <c r="BK574" s="35" t="str">
        <f aca="false">IFERROR(IF(BD574="","",BD574*INDEX('00 - Lists'!$M$2:$M$11,MATCH(L574,'00 - Lists'!$L$2:$L$11,0))/100000),"")</f>
        <v/>
      </c>
      <c r="BL574" s="35" t="str">
        <f aca="false">IFERROR(IF(BE574="","",BE574*INDEX('00 - Lists'!$M$2:$M$11,MATCH(L574,'00 - Lists'!$L$2:$L$11,0))/100000),"")</f>
        <v/>
      </c>
      <c r="BM574" s="35" t="str">
        <f aca="false">IFERROR(IF(BF574="","",BF574*INDEX('00 - Lists'!$M$2:$M$11,MATCH(L574,'00 - Lists'!$L$2:$L$11,0))/100000),"")</f>
        <v/>
      </c>
      <c r="BN574" s="35" t="str">
        <f aca="false">IFERROR(IF(BG574="","",BG574*INDEX('00 - Lists'!$M$2:$M$11,MATCH(L574,'00 - Lists'!$L$2:$L$11,0))/100000),"")</f>
        <v/>
      </c>
      <c r="BO574" s="35" t="str">
        <f aca="false">IFERROR(IF(BH574="","",BH574*INDEX('00 - Lists'!$M$2:$M$11,MATCH(L574,'00 - Lists'!$L$2:$L$11,0))/100000),"")</f>
        <v/>
      </c>
      <c r="BP574" s="35" t="str">
        <f aca="false">IFERROR(IF(BI574="","",BI574*INDEX('00 - Lists'!$M$2:$M$11,MATCH(L574,'00 - Lists'!$L$2:$L$11,0))/100000),"")</f>
        <v/>
      </c>
      <c r="BS574" s="36" t="str">
        <f aca="false">IF(O574="","",IF(O574&gt;=20,"Yes","No"))</f>
        <v/>
      </c>
      <c r="BT574" s="36" t="str">
        <f aca="false">IF(O574="","",IF(O574&gt;=30,"Yes","No"))</f>
        <v/>
      </c>
      <c r="BU574" s="36" t="str">
        <f aca="false">IF(O574="","",IF(O574&gt;=75,"Yes","No"))</f>
        <v/>
      </c>
      <c r="BV574" s="36" t="str">
        <f aca="false">IF(O574="","",IF(O574&gt;=100,"Yes","No"))</f>
        <v/>
      </c>
      <c r="BW574" s="36" t="str">
        <f aca="false">IF(O574="","",IF(O574&gt;=150,"Yes","No"))</f>
        <v/>
      </c>
      <c r="BX574" s="36" t="str">
        <f aca="false">IF(O574="","",IF(O574&gt;=200,"Yes","No"))</f>
        <v/>
      </c>
      <c r="BY574" s="36" t="str">
        <f aca="false">IF(Q574="","",IF(Q574&gt;=150000,"Yes","No"))</f>
        <v/>
      </c>
      <c r="BZ574" s="36" t="str">
        <f aca="false">IF(Q574="","",IF(Q574&gt;=200000,"Yes","No"))</f>
        <v/>
      </c>
      <c r="CA574" s="36" t="str">
        <f aca="false">IF(Q574="","",IF(Q574&gt;=250000,"Yes","No"))</f>
        <v/>
      </c>
      <c r="CB574" s="36" t="str">
        <f aca="false">IF(Q574="","",IF(Q574&gt;=300000,"Yes","No"))</f>
        <v/>
      </c>
      <c r="CC574" s="37"/>
      <c r="CD574" s="36" t="str">
        <f aca="true">IF(B574="","",IF(TODAY()-B574&lt;=7,"🟢 0-7d",IF(TODAY()-B574&lt;=30,"🟡 8-30d",IF(TODAY()-B574&lt;=60,"🟠 31-60d","🔴 60d+"))))</f>
        <v/>
      </c>
      <c r="CE574" s="36" t="str">
        <f aca="false">IF(G574="","",IF(G574&lt;&gt;"USA","N/A - Not USA Role",IF(J574="Yes",IF(OR(F574="Intern",F574="New Grad"),"🟡 Possible","🟢 Strong"),IF(J574="No","🔴 Difficult","⚪ Unknown"))))</f>
        <v/>
      </c>
      <c r="CF574" s="37"/>
      <c r="CG574" s="37"/>
      <c r="CH574" s="38"/>
      <c r="CI574" s="38"/>
      <c r="CJ574" s="38"/>
      <c r="CK574" s="38"/>
    </row>
    <row r="575" customFormat="false" ht="15" hidden="false" customHeight="true" outlineLevel="0" collapsed="false">
      <c r="A575" s="26" t="str">
        <f aca="false">IF($C575="","",ROW()-3)</f>
        <v/>
      </c>
      <c r="B575" s="27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9"/>
      <c r="N575" s="29"/>
      <c r="O575" s="30" t="str">
        <f aca="false">IFERROR(IF(M575="","",M575*INDEX('00 - Lists'!$M$2:$M$11,MATCH(L575,'00 - Lists'!$L$2:$L$11,0))/100000),"")</f>
        <v/>
      </c>
      <c r="P575" s="30" t="str">
        <f aca="false">IFERROR(IF(N575="","",N575*INDEX('00 - Lists'!$M$2:$M$11,MATCH(L575,'00 - Lists'!$L$2:$L$11,0))/100000),"")</f>
        <v/>
      </c>
      <c r="Q575" s="31" t="str">
        <f aca="false">IFERROR(IF(M575="","",M575*INDEX('00 - Lists'!$N$2:$N$11,MATCH(L575,'00 - Lists'!$L$2:$L$11,0))),"")</f>
        <v/>
      </c>
      <c r="R575" s="31" t="str">
        <f aca="false">IFERROR(IF(N575="","",N575*INDEX('00 - Lists'!$N$2:$N$11,MATCH(L575,'00 - Lists'!$L$2:$L$11,0))),"")</f>
        <v/>
      </c>
      <c r="S575" s="32" t="str">
        <f aca="false">IF(O575="","",IF(O575&gt;=50,"Yes","No"))</f>
        <v/>
      </c>
      <c r="T575" s="32" t="str">
        <f aca="false">IF(Q575="","",IF(Q575&gt;=100000,"Yes","No"))</f>
        <v/>
      </c>
      <c r="U575" s="28"/>
      <c r="V575" s="28"/>
      <c r="W575" s="28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J575" s="34" t="str">
        <f aca="false">IF(OR($BD575&lt;&gt;"",$BF575&lt;&gt;"",$BH575&lt;&gt;""),"Yes","No")</f>
        <v>No</v>
      </c>
      <c r="BK575" s="35" t="str">
        <f aca="false">IFERROR(IF(BD575="","",BD575*INDEX('00 - Lists'!$M$2:$M$11,MATCH(L575,'00 - Lists'!$L$2:$L$11,0))/100000),"")</f>
        <v/>
      </c>
      <c r="BL575" s="35" t="str">
        <f aca="false">IFERROR(IF(BE575="","",BE575*INDEX('00 - Lists'!$M$2:$M$11,MATCH(L575,'00 - Lists'!$L$2:$L$11,0))/100000),"")</f>
        <v/>
      </c>
      <c r="BM575" s="35" t="str">
        <f aca="false">IFERROR(IF(BF575="","",BF575*INDEX('00 - Lists'!$M$2:$M$11,MATCH(L575,'00 - Lists'!$L$2:$L$11,0))/100000),"")</f>
        <v/>
      </c>
      <c r="BN575" s="35" t="str">
        <f aca="false">IFERROR(IF(BG575="","",BG575*INDEX('00 - Lists'!$M$2:$M$11,MATCH(L575,'00 - Lists'!$L$2:$L$11,0))/100000),"")</f>
        <v/>
      </c>
      <c r="BO575" s="35" t="str">
        <f aca="false">IFERROR(IF(BH575="","",BH575*INDEX('00 - Lists'!$M$2:$M$11,MATCH(L575,'00 - Lists'!$L$2:$L$11,0))/100000),"")</f>
        <v/>
      </c>
      <c r="BP575" s="35" t="str">
        <f aca="false">IFERROR(IF(BI575="","",BI575*INDEX('00 - Lists'!$M$2:$M$11,MATCH(L575,'00 - Lists'!$L$2:$L$11,0))/100000),"")</f>
        <v/>
      </c>
      <c r="BS575" s="36" t="str">
        <f aca="false">IF(O575="","",IF(O575&gt;=20,"Yes","No"))</f>
        <v/>
      </c>
      <c r="BT575" s="36" t="str">
        <f aca="false">IF(O575="","",IF(O575&gt;=30,"Yes","No"))</f>
        <v/>
      </c>
      <c r="BU575" s="36" t="str">
        <f aca="false">IF(O575="","",IF(O575&gt;=75,"Yes","No"))</f>
        <v/>
      </c>
      <c r="BV575" s="36" t="str">
        <f aca="false">IF(O575="","",IF(O575&gt;=100,"Yes","No"))</f>
        <v/>
      </c>
      <c r="BW575" s="36" t="str">
        <f aca="false">IF(O575="","",IF(O575&gt;=150,"Yes","No"))</f>
        <v/>
      </c>
      <c r="BX575" s="36" t="str">
        <f aca="false">IF(O575="","",IF(O575&gt;=200,"Yes","No"))</f>
        <v/>
      </c>
      <c r="BY575" s="36" t="str">
        <f aca="false">IF(Q575="","",IF(Q575&gt;=150000,"Yes","No"))</f>
        <v/>
      </c>
      <c r="BZ575" s="36" t="str">
        <f aca="false">IF(Q575="","",IF(Q575&gt;=200000,"Yes","No"))</f>
        <v/>
      </c>
      <c r="CA575" s="36" t="str">
        <f aca="false">IF(Q575="","",IF(Q575&gt;=250000,"Yes","No"))</f>
        <v/>
      </c>
      <c r="CB575" s="36" t="str">
        <f aca="false">IF(Q575="","",IF(Q575&gt;=300000,"Yes","No"))</f>
        <v/>
      </c>
      <c r="CC575" s="37"/>
      <c r="CD575" s="36" t="str">
        <f aca="true">IF(B575="","",IF(TODAY()-B575&lt;=7,"🟢 0-7d",IF(TODAY()-B575&lt;=30,"🟡 8-30d",IF(TODAY()-B575&lt;=60,"🟠 31-60d","🔴 60d+"))))</f>
        <v/>
      </c>
      <c r="CE575" s="36" t="str">
        <f aca="false">IF(G575="","",IF(G575&lt;&gt;"USA","N/A - Not USA Role",IF(J575="Yes",IF(OR(F575="Intern",F575="New Grad"),"🟡 Possible","🟢 Strong"),IF(J575="No","🔴 Difficult","⚪ Unknown"))))</f>
        <v/>
      </c>
      <c r="CF575" s="37"/>
      <c r="CG575" s="37"/>
      <c r="CH575" s="38"/>
      <c r="CI575" s="38"/>
      <c r="CJ575" s="38"/>
      <c r="CK575" s="38"/>
    </row>
    <row r="576" customFormat="false" ht="15" hidden="false" customHeight="true" outlineLevel="0" collapsed="false">
      <c r="A576" s="26" t="str">
        <f aca="false">IF($C576="","",ROW()-3)</f>
        <v/>
      </c>
      <c r="B576" s="27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9"/>
      <c r="N576" s="29"/>
      <c r="O576" s="30" t="str">
        <f aca="false">IFERROR(IF(M576="","",M576*INDEX('00 - Lists'!$M$2:$M$11,MATCH(L576,'00 - Lists'!$L$2:$L$11,0))/100000),"")</f>
        <v/>
      </c>
      <c r="P576" s="30" t="str">
        <f aca="false">IFERROR(IF(N576="","",N576*INDEX('00 - Lists'!$M$2:$M$11,MATCH(L576,'00 - Lists'!$L$2:$L$11,0))/100000),"")</f>
        <v/>
      </c>
      <c r="Q576" s="31" t="str">
        <f aca="false">IFERROR(IF(M576="","",M576*INDEX('00 - Lists'!$N$2:$N$11,MATCH(L576,'00 - Lists'!$L$2:$L$11,0))),"")</f>
        <v/>
      </c>
      <c r="R576" s="31" t="str">
        <f aca="false">IFERROR(IF(N576="","",N576*INDEX('00 - Lists'!$N$2:$N$11,MATCH(L576,'00 - Lists'!$L$2:$L$11,0))),"")</f>
        <v/>
      </c>
      <c r="S576" s="32" t="str">
        <f aca="false">IF(O576="","",IF(O576&gt;=50,"Yes","No"))</f>
        <v/>
      </c>
      <c r="T576" s="32" t="str">
        <f aca="false">IF(Q576="","",IF(Q576&gt;=100000,"Yes","No"))</f>
        <v/>
      </c>
      <c r="U576" s="28"/>
      <c r="V576" s="28"/>
      <c r="W576" s="28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J576" s="34" t="str">
        <f aca="false">IF(OR($BD576&lt;&gt;"",$BF576&lt;&gt;"",$BH576&lt;&gt;""),"Yes","No")</f>
        <v>No</v>
      </c>
      <c r="BK576" s="35" t="str">
        <f aca="false">IFERROR(IF(BD576="","",BD576*INDEX('00 - Lists'!$M$2:$M$11,MATCH(L576,'00 - Lists'!$L$2:$L$11,0))/100000),"")</f>
        <v/>
      </c>
      <c r="BL576" s="35" t="str">
        <f aca="false">IFERROR(IF(BE576="","",BE576*INDEX('00 - Lists'!$M$2:$M$11,MATCH(L576,'00 - Lists'!$L$2:$L$11,0))/100000),"")</f>
        <v/>
      </c>
      <c r="BM576" s="35" t="str">
        <f aca="false">IFERROR(IF(BF576="","",BF576*INDEX('00 - Lists'!$M$2:$M$11,MATCH(L576,'00 - Lists'!$L$2:$L$11,0))/100000),"")</f>
        <v/>
      </c>
      <c r="BN576" s="35" t="str">
        <f aca="false">IFERROR(IF(BG576="","",BG576*INDEX('00 - Lists'!$M$2:$M$11,MATCH(L576,'00 - Lists'!$L$2:$L$11,0))/100000),"")</f>
        <v/>
      </c>
      <c r="BO576" s="35" t="str">
        <f aca="false">IFERROR(IF(BH576="","",BH576*INDEX('00 - Lists'!$M$2:$M$11,MATCH(L576,'00 - Lists'!$L$2:$L$11,0))/100000),"")</f>
        <v/>
      </c>
      <c r="BP576" s="35" t="str">
        <f aca="false">IFERROR(IF(BI576="","",BI576*INDEX('00 - Lists'!$M$2:$M$11,MATCH(L576,'00 - Lists'!$L$2:$L$11,0))/100000),"")</f>
        <v/>
      </c>
      <c r="BS576" s="36" t="str">
        <f aca="false">IF(O576="","",IF(O576&gt;=20,"Yes","No"))</f>
        <v/>
      </c>
      <c r="BT576" s="36" t="str">
        <f aca="false">IF(O576="","",IF(O576&gt;=30,"Yes","No"))</f>
        <v/>
      </c>
      <c r="BU576" s="36" t="str">
        <f aca="false">IF(O576="","",IF(O576&gt;=75,"Yes","No"))</f>
        <v/>
      </c>
      <c r="BV576" s="36" t="str">
        <f aca="false">IF(O576="","",IF(O576&gt;=100,"Yes","No"))</f>
        <v/>
      </c>
      <c r="BW576" s="36" t="str">
        <f aca="false">IF(O576="","",IF(O576&gt;=150,"Yes","No"))</f>
        <v/>
      </c>
      <c r="BX576" s="36" t="str">
        <f aca="false">IF(O576="","",IF(O576&gt;=200,"Yes","No"))</f>
        <v/>
      </c>
      <c r="BY576" s="36" t="str">
        <f aca="false">IF(Q576="","",IF(Q576&gt;=150000,"Yes","No"))</f>
        <v/>
      </c>
      <c r="BZ576" s="36" t="str">
        <f aca="false">IF(Q576="","",IF(Q576&gt;=200000,"Yes","No"))</f>
        <v/>
      </c>
      <c r="CA576" s="36" t="str">
        <f aca="false">IF(Q576="","",IF(Q576&gt;=250000,"Yes","No"))</f>
        <v/>
      </c>
      <c r="CB576" s="36" t="str">
        <f aca="false">IF(Q576="","",IF(Q576&gt;=300000,"Yes","No"))</f>
        <v/>
      </c>
      <c r="CC576" s="37"/>
      <c r="CD576" s="36" t="str">
        <f aca="true">IF(B576="","",IF(TODAY()-B576&lt;=7,"🟢 0-7d",IF(TODAY()-B576&lt;=30,"🟡 8-30d",IF(TODAY()-B576&lt;=60,"🟠 31-60d","🔴 60d+"))))</f>
        <v/>
      </c>
      <c r="CE576" s="36" t="str">
        <f aca="false">IF(G576="","",IF(G576&lt;&gt;"USA","N/A - Not USA Role",IF(J576="Yes",IF(OR(F576="Intern",F576="New Grad"),"🟡 Possible","🟢 Strong"),IF(J576="No","🔴 Difficult","⚪ Unknown"))))</f>
        <v/>
      </c>
      <c r="CF576" s="37"/>
      <c r="CG576" s="37"/>
      <c r="CH576" s="38"/>
      <c r="CI576" s="38"/>
      <c r="CJ576" s="38"/>
      <c r="CK576" s="38"/>
    </row>
    <row r="577" customFormat="false" ht="15" hidden="false" customHeight="true" outlineLevel="0" collapsed="false">
      <c r="A577" s="26" t="str">
        <f aca="false">IF($C577="","",ROW()-3)</f>
        <v/>
      </c>
      <c r="B577" s="27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9"/>
      <c r="N577" s="29"/>
      <c r="O577" s="30" t="str">
        <f aca="false">IFERROR(IF(M577="","",M577*INDEX('00 - Lists'!$M$2:$M$11,MATCH(L577,'00 - Lists'!$L$2:$L$11,0))/100000),"")</f>
        <v/>
      </c>
      <c r="P577" s="30" t="str">
        <f aca="false">IFERROR(IF(N577="","",N577*INDEX('00 - Lists'!$M$2:$M$11,MATCH(L577,'00 - Lists'!$L$2:$L$11,0))/100000),"")</f>
        <v/>
      </c>
      <c r="Q577" s="31" t="str">
        <f aca="false">IFERROR(IF(M577="","",M577*INDEX('00 - Lists'!$N$2:$N$11,MATCH(L577,'00 - Lists'!$L$2:$L$11,0))),"")</f>
        <v/>
      </c>
      <c r="R577" s="31" t="str">
        <f aca="false">IFERROR(IF(N577="","",N577*INDEX('00 - Lists'!$N$2:$N$11,MATCH(L577,'00 - Lists'!$L$2:$L$11,0))),"")</f>
        <v/>
      </c>
      <c r="S577" s="32" t="str">
        <f aca="false">IF(O577="","",IF(O577&gt;=50,"Yes","No"))</f>
        <v/>
      </c>
      <c r="T577" s="32" t="str">
        <f aca="false">IF(Q577="","",IF(Q577&gt;=100000,"Yes","No"))</f>
        <v/>
      </c>
      <c r="U577" s="28"/>
      <c r="V577" s="28"/>
      <c r="W577" s="28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J577" s="34" t="str">
        <f aca="false">IF(OR($BD577&lt;&gt;"",$BF577&lt;&gt;"",$BH577&lt;&gt;""),"Yes","No")</f>
        <v>No</v>
      </c>
      <c r="BK577" s="35" t="str">
        <f aca="false">IFERROR(IF(BD577="","",BD577*INDEX('00 - Lists'!$M$2:$M$11,MATCH(L577,'00 - Lists'!$L$2:$L$11,0))/100000),"")</f>
        <v/>
      </c>
      <c r="BL577" s="35" t="str">
        <f aca="false">IFERROR(IF(BE577="","",BE577*INDEX('00 - Lists'!$M$2:$M$11,MATCH(L577,'00 - Lists'!$L$2:$L$11,0))/100000),"")</f>
        <v/>
      </c>
      <c r="BM577" s="35" t="str">
        <f aca="false">IFERROR(IF(BF577="","",BF577*INDEX('00 - Lists'!$M$2:$M$11,MATCH(L577,'00 - Lists'!$L$2:$L$11,0))/100000),"")</f>
        <v/>
      </c>
      <c r="BN577" s="35" t="str">
        <f aca="false">IFERROR(IF(BG577="","",BG577*INDEX('00 - Lists'!$M$2:$M$11,MATCH(L577,'00 - Lists'!$L$2:$L$11,0))/100000),"")</f>
        <v/>
      </c>
      <c r="BO577" s="35" t="str">
        <f aca="false">IFERROR(IF(BH577="","",BH577*INDEX('00 - Lists'!$M$2:$M$11,MATCH(L577,'00 - Lists'!$L$2:$L$11,0))/100000),"")</f>
        <v/>
      </c>
      <c r="BP577" s="35" t="str">
        <f aca="false">IFERROR(IF(BI577="","",BI577*INDEX('00 - Lists'!$M$2:$M$11,MATCH(L577,'00 - Lists'!$L$2:$L$11,0))/100000),"")</f>
        <v/>
      </c>
      <c r="BS577" s="36" t="str">
        <f aca="false">IF(O577="","",IF(O577&gt;=20,"Yes","No"))</f>
        <v/>
      </c>
      <c r="BT577" s="36" t="str">
        <f aca="false">IF(O577="","",IF(O577&gt;=30,"Yes","No"))</f>
        <v/>
      </c>
      <c r="BU577" s="36" t="str">
        <f aca="false">IF(O577="","",IF(O577&gt;=75,"Yes","No"))</f>
        <v/>
      </c>
      <c r="BV577" s="36" t="str">
        <f aca="false">IF(O577="","",IF(O577&gt;=100,"Yes","No"))</f>
        <v/>
      </c>
      <c r="BW577" s="36" t="str">
        <f aca="false">IF(O577="","",IF(O577&gt;=150,"Yes","No"))</f>
        <v/>
      </c>
      <c r="BX577" s="36" t="str">
        <f aca="false">IF(O577="","",IF(O577&gt;=200,"Yes","No"))</f>
        <v/>
      </c>
      <c r="BY577" s="36" t="str">
        <f aca="false">IF(Q577="","",IF(Q577&gt;=150000,"Yes","No"))</f>
        <v/>
      </c>
      <c r="BZ577" s="36" t="str">
        <f aca="false">IF(Q577="","",IF(Q577&gt;=200000,"Yes","No"))</f>
        <v/>
      </c>
      <c r="CA577" s="36" t="str">
        <f aca="false">IF(Q577="","",IF(Q577&gt;=250000,"Yes","No"))</f>
        <v/>
      </c>
      <c r="CB577" s="36" t="str">
        <f aca="false">IF(Q577="","",IF(Q577&gt;=300000,"Yes","No"))</f>
        <v/>
      </c>
      <c r="CC577" s="37"/>
      <c r="CD577" s="36" t="str">
        <f aca="true">IF(B577="","",IF(TODAY()-B577&lt;=7,"🟢 0-7d",IF(TODAY()-B577&lt;=30,"🟡 8-30d",IF(TODAY()-B577&lt;=60,"🟠 31-60d","🔴 60d+"))))</f>
        <v/>
      </c>
      <c r="CE577" s="36" t="str">
        <f aca="false">IF(G577="","",IF(G577&lt;&gt;"USA","N/A - Not USA Role",IF(J577="Yes",IF(OR(F577="Intern",F577="New Grad"),"🟡 Possible","🟢 Strong"),IF(J577="No","🔴 Difficult","⚪ Unknown"))))</f>
        <v/>
      </c>
      <c r="CF577" s="37"/>
      <c r="CG577" s="37"/>
      <c r="CH577" s="38"/>
      <c r="CI577" s="38"/>
      <c r="CJ577" s="38"/>
      <c r="CK577" s="38"/>
    </row>
    <row r="578" customFormat="false" ht="15" hidden="false" customHeight="true" outlineLevel="0" collapsed="false">
      <c r="A578" s="26" t="str">
        <f aca="false">IF($C578="","",ROW()-3)</f>
        <v/>
      </c>
      <c r="B578" s="27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9"/>
      <c r="N578" s="29"/>
      <c r="O578" s="30" t="str">
        <f aca="false">IFERROR(IF(M578="","",M578*INDEX('00 - Lists'!$M$2:$M$11,MATCH(L578,'00 - Lists'!$L$2:$L$11,0))/100000),"")</f>
        <v/>
      </c>
      <c r="P578" s="30" t="str">
        <f aca="false">IFERROR(IF(N578="","",N578*INDEX('00 - Lists'!$M$2:$M$11,MATCH(L578,'00 - Lists'!$L$2:$L$11,0))/100000),"")</f>
        <v/>
      </c>
      <c r="Q578" s="31" t="str">
        <f aca="false">IFERROR(IF(M578="","",M578*INDEX('00 - Lists'!$N$2:$N$11,MATCH(L578,'00 - Lists'!$L$2:$L$11,0))),"")</f>
        <v/>
      </c>
      <c r="R578" s="31" t="str">
        <f aca="false">IFERROR(IF(N578="","",N578*INDEX('00 - Lists'!$N$2:$N$11,MATCH(L578,'00 - Lists'!$L$2:$L$11,0))),"")</f>
        <v/>
      </c>
      <c r="S578" s="32" t="str">
        <f aca="false">IF(O578="","",IF(O578&gt;=50,"Yes","No"))</f>
        <v/>
      </c>
      <c r="T578" s="32" t="str">
        <f aca="false">IF(Q578="","",IF(Q578&gt;=100000,"Yes","No"))</f>
        <v/>
      </c>
      <c r="U578" s="28"/>
      <c r="V578" s="28"/>
      <c r="W578" s="28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J578" s="34" t="str">
        <f aca="false">IF(OR($BD578&lt;&gt;"",$BF578&lt;&gt;"",$BH578&lt;&gt;""),"Yes","No")</f>
        <v>No</v>
      </c>
      <c r="BK578" s="35" t="str">
        <f aca="false">IFERROR(IF(BD578="","",BD578*INDEX('00 - Lists'!$M$2:$M$11,MATCH(L578,'00 - Lists'!$L$2:$L$11,0))/100000),"")</f>
        <v/>
      </c>
      <c r="BL578" s="35" t="str">
        <f aca="false">IFERROR(IF(BE578="","",BE578*INDEX('00 - Lists'!$M$2:$M$11,MATCH(L578,'00 - Lists'!$L$2:$L$11,0))/100000),"")</f>
        <v/>
      </c>
      <c r="BM578" s="35" t="str">
        <f aca="false">IFERROR(IF(BF578="","",BF578*INDEX('00 - Lists'!$M$2:$M$11,MATCH(L578,'00 - Lists'!$L$2:$L$11,0))/100000),"")</f>
        <v/>
      </c>
      <c r="BN578" s="35" t="str">
        <f aca="false">IFERROR(IF(BG578="","",BG578*INDEX('00 - Lists'!$M$2:$M$11,MATCH(L578,'00 - Lists'!$L$2:$L$11,0))/100000),"")</f>
        <v/>
      </c>
      <c r="BO578" s="35" t="str">
        <f aca="false">IFERROR(IF(BH578="","",BH578*INDEX('00 - Lists'!$M$2:$M$11,MATCH(L578,'00 - Lists'!$L$2:$L$11,0))/100000),"")</f>
        <v/>
      </c>
      <c r="BP578" s="35" t="str">
        <f aca="false">IFERROR(IF(BI578="","",BI578*INDEX('00 - Lists'!$M$2:$M$11,MATCH(L578,'00 - Lists'!$L$2:$L$11,0))/100000),"")</f>
        <v/>
      </c>
      <c r="BS578" s="36" t="str">
        <f aca="false">IF(O578="","",IF(O578&gt;=20,"Yes","No"))</f>
        <v/>
      </c>
      <c r="BT578" s="36" t="str">
        <f aca="false">IF(O578="","",IF(O578&gt;=30,"Yes","No"))</f>
        <v/>
      </c>
      <c r="BU578" s="36" t="str">
        <f aca="false">IF(O578="","",IF(O578&gt;=75,"Yes","No"))</f>
        <v/>
      </c>
      <c r="BV578" s="36" t="str">
        <f aca="false">IF(O578="","",IF(O578&gt;=100,"Yes","No"))</f>
        <v/>
      </c>
      <c r="BW578" s="36" t="str">
        <f aca="false">IF(O578="","",IF(O578&gt;=150,"Yes","No"))</f>
        <v/>
      </c>
      <c r="BX578" s="36" t="str">
        <f aca="false">IF(O578="","",IF(O578&gt;=200,"Yes","No"))</f>
        <v/>
      </c>
      <c r="BY578" s="36" t="str">
        <f aca="false">IF(Q578="","",IF(Q578&gt;=150000,"Yes","No"))</f>
        <v/>
      </c>
      <c r="BZ578" s="36" t="str">
        <f aca="false">IF(Q578="","",IF(Q578&gt;=200000,"Yes","No"))</f>
        <v/>
      </c>
      <c r="CA578" s="36" t="str">
        <f aca="false">IF(Q578="","",IF(Q578&gt;=250000,"Yes","No"))</f>
        <v/>
      </c>
      <c r="CB578" s="36" t="str">
        <f aca="false">IF(Q578="","",IF(Q578&gt;=300000,"Yes","No"))</f>
        <v/>
      </c>
      <c r="CC578" s="37"/>
      <c r="CD578" s="36" t="str">
        <f aca="true">IF(B578="","",IF(TODAY()-B578&lt;=7,"🟢 0-7d",IF(TODAY()-B578&lt;=30,"🟡 8-30d",IF(TODAY()-B578&lt;=60,"🟠 31-60d","🔴 60d+"))))</f>
        <v/>
      </c>
      <c r="CE578" s="36" t="str">
        <f aca="false">IF(G578="","",IF(G578&lt;&gt;"USA","N/A - Not USA Role",IF(J578="Yes",IF(OR(F578="Intern",F578="New Grad"),"🟡 Possible","🟢 Strong"),IF(J578="No","🔴 Difficult","⚪ Unknown"))))</f>
        <v/>
      </c>
      <c r="CF578" s="37"/>
      <c r="CG578" s="37"/>
      <c r="CH578" s="38"/>
      <c r="CI578" s="38"/>
      <c r="CJ578" s="38"/>
      <c r="CK578" s="38"/>
    </row>
    <row r="579" customFormat="false" ht="15" hidden="false" customHeight="true" outlineLevel="0" collapsed="false">
      <c r="A579" s="26" t="str">
        <f aca="false">IF($C579="","",ROW()-3)</f>
        <v/>
      </c>
      <c r="B579" s="27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9"/>
      <c r="N579" s="29"/>
      <c r="O579" s="30" t="str">
        <f aca="false">IFERROR(IF(M579="","",M579*INDEX('00 - Lists'!$M$2:$M$11,MATCH(L579,'00 - Lists'!$L$2:$L$11,0))/100000),"")</f>
        <v/>
      </c>
      <c r="P579" s="30" t="str">
        <f aca="false">IFERROR(IF(N579="","",N579*INDEX('00 - Lists'!$M$2:$M$11,MATCH(L579,'00 - Lists'!$L$2:$L$11,0))/100000),"")</f>
        <v/>
      </c>
      <c r="Q579" s="31" t="str">
        <f aca="false">IFERROR(IF(M579="","",M579*INDEX('00 - Lists'!$N$2:$N$11,MATCH(L579,'00 - Lists'!$L$2:$L$11,0))),"")</f>
        <v/>
      </c>
      <c r="R579" s="31" t="str">
        <f aca="false">IFERROR(IF(N579="","",N579*INDEX('00 - Lists'!$N$2:$N$11,MATCH(L579,'00 - Lists'!$L$2:$L$11,0))),"")</f>
        <v/>
      </c>
      <c r="S579" s="32" t="str">
        <f aca="false">IF(O579="","",IF(O579&gt;=50,"Yes","No"))</f>
        <v/>
      </c>
      <c r="T579" s="32" t="str">
        <f aca="false">IF(Q579="","",IF(Q579&gt;=100000,"Yes","No"))</f>
        <v/>
      </c>
      <c r="U579" s="28"/>
      <c r="V579" s="28"/>
      <c r="W579" s="28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J579" s="34" t="str">
        <f aca="false">IF(OR($BD579&lt;&gt;"",$BF579&lt;&gt;"",$BH579&lt;&gt;""),"Yes","No")</f>
        <v>No</v>
      </c>
      <c r="BK579" s="35" t="str">
        <f aca="false">IFERROR(IF(BD579="","",BD579*INDEX('00 - Lists'!$M$2:$M$11,MATCH(L579,'00 - Lists'!$L$2:$L$11,0))/100000),"")</f>
        <v/>
      </c>
      <c r="BL579" s="35" t="str">
        <f aca="false">IFERROR(IF(BE579="","",BE579*INDEX('00 - Lists'!$M$2:$M$11,MATCH(L579,'00 - Lists'!$L$2:$L$11,0))/100000),"")</f>
        <v/>
      </c>
      <c r="BM579" s="35" t="str">
        <f aca="false">IFERROR(IF(BF579="","",BF579*INDEX('00 - Lists'!$M$2:$M$11,MATCH(L579,'00 - Lists'!$L$2:$L$11,0))/100000),"")</f>
        <v/>
      </c>
      <c r="BN579" s="35" t="str">
        <f aca="false">IFERROR(IF(BG579="","",BG579*INDEX('00 - Lists'!$M$2:$M$11,MATCH(L579,'00 - Lists'!$L$2:$L$11,0))/100000),"")</f>
        <v/>
      </c>
      <c r="BO579" s="35" t="str">
        <f aca="false">IFERROR(IF(BH579="","",BH579*INDEX('00 - Lists'!$M$2:$M$11,MATCH(L579,'00 - Lists'!$L$2:$L$11,0))/100000),"")</f>
        <v/>
      </c>
      <c r="BP579" s="35" t="str">
        <f aca="false">IFERROR(IF(BI579="","",BI579*INDEX('00 - Lists'!$M$2:$M$11,MATCH(L579,'00 - Lists'!$L$2:$L$11,0))/100000),"")</f>
        <v/>
      </c>
      <c r="BS579" s="36" t="str">
        <f aca="false">IF(O579="","",IF(O579&gt;=20,"Yes","No"))</f>
        <v/>
      </c>
      <c r="BT579" s="36" t="str">
        <f aca="false">IF(O579="","",IF(O579&gt;=30,"Yes","No"))</f>
        <v/>
      </c>
      <c r="BU579" s="36" t="str">
        <f aca="false">IF(O579="","",IF(O579&gt;=75,"Yes","No"))</f>
        <v/>
      </c>
      <c r="BV579" s="36" t="str">
        <f aca="false">IF(O579="","",IF(O579&gt;=100,"Yes","No"))</f>
        <v/>
      </c>
      <c r="BW579" s="36" t="str">
        <f aca="false">IF(O579="","",IF(O579&gt;=150,"Yes","No"))</f>
        <v/>
      </c>
      <c r="BX579" s="36" t="str">
        <f aca="false">IF(O579="","",IF(O579&gt;=200,"Yes","No"))</f>
        <v/>
      </c>
      <c r="BY579" s="36" t="str">
        <f aca="false">IF(Q579="","",IF(Q579&gt;=150000,"Yes","No"))</f>
        <v/>
      </c>
      <c r="BZ579" s="36" t="str">
        <f aca="false">IF(Q579="","",IF(Q579&gt;=200000,"Yes","No"))</f>
        <v/>
      </c>
      <c r="CA579" s="36" t="str">
        <f aca="false">IF(Q579="","",IF(Q579&gt;=250000,"Yes","No"))</f>
        <v/>
      </c>
      <c r="CB579" s="36" t="str">
        <f aca="false">IF(Q579="","",IF(Q579&gt;=300000,"Yes","No"))</f>
        <v/>
      </c>
      <c r="CC579" s="37"/>
      <c r="CD579" s="36" t="str">
        <f aca="true">IF(B579="","",IF(TODAY()-B579&lt;=7,"🟢 0-7d",IF(TODAY()-B579&lt;=30,"🟡 8-30d",IF(TODAY()-B579&lt;=60,"🟠 31-60d","🔴 60d+"))))</f>
        <v/>
      </c>
      <c r="CE579" s="36" t="str">
        <f aca="false">IF(G579="","",IF(G579&lt;&gt;"USA","N/A - Not USA Role",IF(J579="Yes",IF(OR(F579="Intern",F579="New Grad"),"🟡 Possible","🟢 Strong"),IF(J579="No","🔴 Difficult","⚪ Unknown"))))</f>
        <v/>
      </c>
      <c r="CF579" s="37"/>
      <c r="CG579" s="37"/>
      <c r="CH579" s="38"/>
      <c r="CI579" s="38"/>
      <c r="CJ579" s="38"/>
      <c r="CK579" s="38"/>
    </row>
    <row r="580" customFormat="false" ht="15" hidden="false" customHeight="true" outlineLevel="0" collapsed="false">
      <c r="A580" s="26" t="str">
        <f aca="false">IF($C580="","",ROW()-3)</f>
        <v/>
      </c>
      <c r="B580" s="27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9"/>
      <c r="N580" s="29"/>
      <c r="O580" s="30" t="str">
        <f aca="false">IFERROR(IF(M580="","",M580*INDEX('00 - Lists'!$M$2:$M$11,MATCH(L580,'00 - Lists'!$L$2:$L$11,0))/100000),"")</f>
        <v/>
      </c>
      <c r="P580" s="30" t="str">
        <f aca="false">IFERROR(IF(N580="","",N580*INDEX('00 - Lists'!$M$2:$M$11,MATCH(L580,'00 - Lists'!$L$2:$L$11,0))/100000),"")</f>
        <v/>
      </c>
      <c r="Q580" s="31" t="str">
        <f aca="false">IFERROR(IF(M580="","",M580*INDEX('00 - Lists'!$N$2:$N$11,MATCH(L580,'00 - Lists'!$L$2:$L$11,0))),"")</f>
        <v/>
      </c>
      <c r="R580" s="31" t="str">
        <f aca="false">IFERROR(IF(N580="","",N580*INDEX('00 - Lists'!$N$2:$N$11,MATCH(L580,'00 - Lists'!$L$2:$L$11,0))),"")</f>
        <v/>
      </c>
      <c r="S580" s="32" t="str">
        <f aca="false">IF(O580="","",IF(O580&gt;=50,"Yes","No"))</f>
        <v/>
      </c>
      <c r="T580" s="32" t="str">
        <f aca="false">IF(Q580="","",IF(Q580&gt;=100000,"Yes","No"))</f>
        <v/>
      </c>
      <c r="U580" s="28"/>
      <c r="V580" s="28"/>
      <c r="W580" s="28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J580" s="34" t="str">
        <f aca="false">IF(OR($BD580&lt;&gt;"",$BF580&lt;&gt;"",$BH580&lt;&gt;""),"Yes","No")</f>
        <v>No</v>
      </c>
      <c r="BK580" s="35" t="str">
        <f aca="false">IFERROR(IF(BD580="","",BD580*INDEX('00 - Lists'!$M$2:$M$11,MATCH(L580,'00 - Lists'!$L$2:$L$11,0))/100000),"")</f>
        <v/>
      </c>
      <c r="BL580" s="35" t="str">
        <f aca="false">IFERROR(IF(BE580="","",BE580*INDEX('00 - Lists'!$M$2:$M$11,MATCH(L580,'00 - Lists'!$L$2:$L$11,0))/100000),"")</f>
        <v/>
      </c>
      <c r="BM580" s="35" t="str">
        <f aca="false">IFERROR(IF(BF580="","",BF580*INDEX('00 - Lists'!$M$2:$M$11,MATCH(L580,'00 - Lists'!$L$2:$L$11,0))/100000),"")</f>
        <v/>
      </c>
      <c r="BN580" s="35" t="str">
        <f aca="false">IFERROR(IF(BG580="","",BG580*INDEX('00 - Lists'!$M$2:$M$11,MATCH(L580,'00 - Lists'!$L$2:$L$11,0))/100000),"")</f>
        <v/>
      </c>
      <c r="BO580" s="35" t="str">
        <f aca="false">IFERROR(IF(BH580="","",BH580*INDEX('00 - Lists'!$M$2:$M$11,MATCH(L580,'00 - Lists'!$L$2:$L$11,0))/100000),"")</f>
        <v/>
      </c>
      <c r="BP580" s="35" t="str">
        <f aca="false">IFERROR(IF(BI580="","",BI580*INDEX('00 - Lists'!$M$2:$M$11,MATCH(L580,'00 - Lists'!$L$2:$L$11,0))/100000),"")</f>
        <v/>
      </c>
      <c r="BS580" s="36" t="str">
        <f aca="false">IF(O580="","",IF(O580&gt;=20,"Yes","No"))</f>
        <v/>
      </c>
      <c r="BT580" s="36" t="str">
        <f aca="false">IF(O580="","",IF(O580&gt;=30,"Yes","No"))</f>
        <v/>
      </c>
      <c r="BU580" s="36" t="str">
        <f aca="false">IF(O580="","",IF(O580&gt;=75,"Yes","No"))</f>
        <v/>
      </c>
      <c r="BV580" s="36" t="str">
        <f aca="false">IF(O580="","",IF(O580&gt;=100,"Yes","No"))</f>
        <v/>
      </c>
      <c r="BW580" s="36" t="str">
        <f aca="false">IF(O580="","",IF(O580&gt;=150,"Yes","No"))</f>
        <v/>
      </c>
      <c r="BX580" s="36" t="str">
        <f aca="false">IF(O580="","",IF(O580&gt;=200,"Yes","No"))</f>
        <v/>
      </c>
      <c r="BY580" s="36" t="str">
        <f aca="false">IF(Q580="","",IF(Q580&gt;=150000,"Yes","No"))</f>
        <v/>
      </c>
      <c r="BZ580" s="36" t="str">
        <f aca="false">IF(Q580="","",IF(Q580&gt;=200000,"Yes","No"))</f>
        <v/>
      </c>
      <c r="CA580" s="36" t="str">
        <f aca="false">IF(Q580="","",IF(Q580&gt;=250000,"Yes","No"))</f>
        <v/>
      </c>
      <c r="CB580" s="36" t="str">
        <f aca="false">IF(Q580="","",IF(Q580&gt;=300000,"Yes","No"))</f>
        <v/>
      </c>
      <c r="CC580" s="37"/>
      <c r="CD580" s="36" t="str">
        <f aca="true">IF(B580="","",IF(TODAY()-B580&lt;=7,"🟢 0-7d",IF(TODAY()-B580&lt;=30,"🟡 8-30d",IF(TODAY()-B580&lt;=60,"🟠 31-60d","🔴 60d+"))))</f>
        <v/>
      </c>
      <c r="CE580" s="36" t="str">
        <f aca="false">IF(G580="","",IF(G580&lt;&gt;"USA","N/A - Not USA Role",IF(J580="Yes",IF(OR(F580="Intern",F580="New Grad"),"🟡 Possible","🟢 Strong"),IF(J580="No","🔴 Difficult","⚪ Unknown"))))</f>
        <v/>
      </c>
      <c r="CF580" s="37"/>
      <c r="CG580" s="37"/>
      <c r="CH580" s="38"/>
      <c r="CI580" s="38"/>
      <c r="CJ580" s="38"/>
      <c r="CK580" s="38"/>
    </row>
    <row r="581" customFormat="false" ht="15" hidden="false" customHeight="true" outlineLevel="0" collapsed="false">
      <c r="A581" s="26" t="str">
        <f aca="false">IF($C581="","",ROW()-3)</f>
        <v/>
      </c>
      <c r="B581" s="27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9"/>
      <c r="N581" s="29"/>
      <c r="O581" s="30" t="str">
        <f aca="false">IFERROR(IF(M581="","",M581*INDEX('00 - Lists'!$M$2:$M$11,MATCH(L581,'00 - Lists'!$L$2:$L$11,0))/100000),"")</f>
        <v/>
      </c>
      <c r="P581" s="30" t="str">
        <f aca="false">IFERROR(IF(N581="","",N581*INDEX('00 - Lists'!$M$2:$M$11,MATCH(L581,'00 - Lists'!$L$2:$L$11,0))/100000),"")</f>
        <v/>
      </c>
      <c r="Q581" s="31" t="str">
        <f aca="false">IFERROR(IF(M581="","",M581*INDEX('00 - Lists'!$N$2:$N$11,MATCH(L581,'00 - Lists'!$L$2:$L$11,0))),"")</f>
        <v/>
      </c>
      <c r="R581" s="31" t="str">
        <f aca="false">IFERROR(IF(N581="","",N581*INDEX('00 - Lists'!$N$2:$N$11,MATCH(L581,'00 - Lists'!$L$2:$L$11,0))),"")</f>
        <v/>
      </c>
      <c r="S581" s="32" t="str">
        <f aca="false">IF(O581="","",IF(O581&gt;=50,"Yes","No"))</f>
        <v/>
      </c>
      <c r="T581" s="32" t="str">
        <f aca="false">IF(Q581="","",IF(Q581&gt;=100000,"Yes","No"))</f>
        <v/>
      </c>
      <c r="U581" s="28"/>
      <c r="V581" s="28"/>
      <c r="W581" s="28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J581" s="34" t="str">
        <f aca="false">IF(OR($BD581&lt;&gt;"",$BF581&lt;&gt;"",$BH581&lt;&gt;""),"Yes","No")</f>
        <v>No</v>
      </c>
      <c r="BK581" s="35" t="str">
        <f aca="false">IFERROR(IF(BD581="","",BD581*INDEX('00 - Lists'!$M$2:$M$11,MATCH(L581,'00 - Lists'!$L$2:$L$11,0))/100000),"")</f>
        <v/>
      </c>
      <c r="BL581" s="35" t="str">
        <f aca="false">IFERROR(IF(BE581="","",BE581*INDEX('00 - Lists'!$M$2:$M$11,MATCH(L581,'00 - Lists'!$L$2:$L$11,0))/100000),"")</f>
        <v/>
      </c>
      <c r="BM581" s="35" t="str">
        <f aca="false">IFERROR(IF(BF581="","",BF581*INDEX('00 - Lists'!$M$2:$M$11,MATCH(L581,'00 - Lists'!$L$2:$L$11,0))/100000),"")</f>
        <v/>
      </c>
      <c r="BN581" s="35" t="str">
        <f aca="false">IFERROR(IF(BG581="","",BG581*INDEX('00 - Lists'!$M$2:$M$11,MATCH(L581,'00 - Lists'!$L$2:$L$11,0))/100000),"")</f>
        <v/>
      </c>
      <c r="BO581" s="35" t="str">
        <f aca="false">IFERROR(IF(BH581="","",BH581*INDEX('00 - Lists'!$M$2:$M$11,MATCH(L581,'00 - Lists'!$L$2:$L$11,0))/100000),"")</f>
        <v/>
      </c>
      <c r="BP581" s="35" t="str">
        <f aca="false">IFERROR(IF(BI581="","",BI581*INDEX('00 - Lists'!$M$2:$M$11,MATCH(L581,'00 - Lists'!$L$2:$L$11,0))/100000),"")</f>
        <v/>
      </c>
      <c r="BS581" s="36" t="str">
        <f aca="false">IF(O581="","",IF(O581&gt;=20,"Yes","No"))</f>
        <v/>
      </c>
      <c r="BT581" s="36" t="str">
        <f aca="false">IF(O581="","",IF(O581&gt;=30,"Yes","No"))</f>
        <v/>
      </c>
      <c r="BU581" s="36" t="str">
        <f aca="false">IF(O581="","",IF(O581&gt;=75,"Yes","No"))</f>
        <v/>
      </c>
      <c r="BV581" s="36" t="str">
        <f aca="false">IF(O581="","",IF(O581&gt;=100,"Yes","No"))</f>
        <v/>
      </c>
      <c r="BW581" s="36" t="str">
        <f aca="false">IF(O581="","",IF(O581&gt;=150,"Yes","No"))</f>
        <v/>
      </c>
      <c r="BX581" s="36" t="str">
        <f aca="false">IF(O581="","",IF(O581&gt;=200,"Yes","No"))</f>
        <v/>
      </c>
      <c r="BY581" s="36" t="str">
        <f aca="false">IF(Q581="","",IF(Q581&gt;=150000,"Yes","No"))</f>
        <v/>
      </c>
      <c r="BZ581" s="36" t="str">
        <f aca="false">IF(Q581="","",IF(Q581&gt;=200000,"Yes","No"))</f>
        <v/>
      </c>
      <c r="CA581" s="36" t="str">
        <f aca="false">IF(Q581="","",IF(Q581&gt;=250000,"Yes","No"))</f>
        <v/>
      </c>
      <c r="CB581" s="36" t="str">
        <f aca="false">IF(Q581="","",IF(Q581&gt;=300000,"Yes","No"))</f>
        <v/>
      </c>
      <c r="CC581" s="37"/>
      <c r="CD581" s="36" t="str">
        <f aca="true">IF(B581="","",IF(TODAY()-B581&lt;=7,"🟢 0-7d",IF(TODAY()-B581&lt;=30,"🟡 8-30d",IF(TODAY()-B581&lt;=60,"🟠 31-60d","🔴 60d+"))))</f>
        <v/>
      </c>
      <c r="CE581" s="36" t="str">
        <f aca="false">IF(G581="","",IF(G581&lt;&gt;"USA","N/A - Not USA Role",IF(J581="Yes",IF(OR(F581="Intern",F581="New Grad"),"🟡 Possible","🟢 Strong"),IF(J581="No","🔴 Difficult","⚪ Unknown"))))</f>
        <v/>
      </c>
      <c r="CF581" s="37"/>
      <c r="CG581" s="37"/>
      <c r="CH581" s="38"/>
      <c r="CI581" s="38"/>
      <c r="CJ581" s="38"/>
      <c r="CK581" s="38"/>
    </row>
    <row r="582" customFormat="false" ht="15" hidden="false" customHeight="true" outlineLevel="0" collapsed="false">
      <c r="A582" s="26" t="str">
        <f aca="false">IF($C582="","",ROW()-3)</f>
        <v/>
      </c>
      <c r="B582" s="27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9"/>
      <c r="N582" s="29"/>
      <c r="O582" s="30" t="str">
        <f aca="false">IFERROR(IF(M582="","",M582*INDEX('00 - Lists'!$M$2:$M$11,MATCH(L582,'00 - Lists'!$L$2:$L$11,0))/100000),"")</f>
        <v/>
      </c>
      <c r="P582" s="30" t="str">
        <f aca="false">IFERROR(IF(N582="","",N582*INDEX('00 - Lists'!$M$2:$M$11,MATCH(L582,'00 - Lists'!$L$2:$L$11,0))/100000),"")</f>
        <v/>
      </c>
      <c r="Q582" s="31" t="str">
        <f aca="false">IFERROR(IF(M582="","",M582*INDEX('00 - Lists'!$N$2:$N$11,MATCH(L582,'00 - Lists'!$L$2:$L$11,0))),"")</f>
        <v/>
      </c>
      <c r="R582" s="31" t="str">
        <f aca="false">IFERROR(IF(N582="","",N582*INDEX('00 - Lists'!$N$2:$N$11,MATCH(L582,'00 - Lists'!$L$2:$L$11,0))),"")</f>
        <v/>
      </c>
      <c r="S582" s="32" t="str">
        <f aca="false">IF(O582="","",IF(O582&gt;=50,"Yes","No"))</f>
        <v/>
      </c>
      <c r="T582" s="32" t="str">
        <f aca="false">IF(Q582="","",IF(Q582&gt;=100000,"Yes","No"))</f>
        <v/>
      </c>
      <c r="U582" s="28"/>
      <c r="V582" s="28"/>
      <c r="W582" s="28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J582" s="34" t="str">
        <f aca="false">IF(OR($BD582&lt;&gt;"",$BF582&lt;&gt;"",$BH582&lt;&gt;""),"Yes","No")</f>
        <v>No</v>
      </c>
      <c r="BK582" s="35" t="str">
        <f aca="false">IFERROR(IF(BD582="","",BD582*INDEX('00 - Lists'!$M$2:$M$11,MATCH(L582,'00 - Lists'!$L$2:$L$11,0))/100000),"")</f>
        <v/>
      </c>
      <c r="BL582" s="35" t="str">
        <f aca="false">IFERROR(IF(BE582="","",BE582*INDEX('00 - Lists'!$M$2:$M$11,MATCH(L582,'00 - Lists'!$L$2:$L$11,0))/100000),"")</f>
        <v/>
      </c>
      <c r="BM582" s="35" t="str">
        <f aca="false">IFERROR(IF(BF582="","",BF582*INDEX('00 - Lists'!$M$2:$M$11,MATCH(L582,'00 - Lists'!$L$2:$L$11,0))/100000),"")</f>
        <v/>
      </c>
      <c r="BN582" s="35" t="str">
        <f aca="false">IFERROR(IF(BG582="","",BG582*INDEX('00 - Lists'!$M$2:$M$11,MATCH(L582,'00 - Lists'!$L$2:$L$11,0))/100000),"")</f>
        <v/>
      </c>
      <c r="BO582" s="35" t="str">
        <f aca="false">IFERROR(IF(BH582="","",BH582*INDEX('00 - Lists'!$M$2:$M$11,MATCH(L582,'00 - Lists'!$L$2:$L$11,0))/100000),"")</f>
        <v/>
      </c>
      <c r="BP582" s="35" t="str">
        <f aca="false">IFERROR(IF(BI582="","",BI582*INDEX('00 - Lists'!$M$2:$M$11,MATCH(L582,'00 - Lists'!$L$2:$L$11,0))/100000),"")</f>
        <v/>
      </c>
      <c r="BS582" s="36" t="str">
        <f aca="false">IF(O582="","",IF(O582&gt;=20,"Yes","No"))</f>
        <v/>
      </c>
      <c r="BT582" s="36" t="str">
        <f aca="false">IF(O582="","",IF(O582&gt;=30,"Yes","No"))</f>
        <v/>
      </c>
      <c r="BU582" s="36" t="str">
        <f aca="false">IF(O582="","",IF(O582&gt;=75,"Yes","No"))</f>
        <v/>
      </c>
      <c r="BV582" s="36" t="str">
        <f aca="false">IF(O582="","",IF(O582&gt;=100,"Yes","No"))</f>
        <v/>
      </c>
      <c r="BW582" s="36" t="str">
        <f aca="false">IF(O582="","",IF(O582&gt;=150,"Yes","No"))</f>
        <v/>
      </c>
      <c r="BX582" s="36" t="str">
        <f aca="false">IF(O582="","",IF(O582&gt;=200,"Yes","No"))</f>
        <v/>
      </c>
      <c r="BY582" s="36" t="str">
        <f aca="false">IF(Q582="","",IF(Q582&gt;=150000,"Yes","No"))</f>
        <v/>
      </c>
      <c r="BZ582" s="36" t="str">
        <f aca="false">IF(Q582="","",IF(Q582&gt;=200000,"Yes","No"))</f>
        <v/>
      </c>
      <c r="CA582" s="36" t="str">
        <f aca="false">IF(Q582="","",IF(Q582&gt;=250000,"Yes","No"))</f>
        <v/>
      </c>
      <c r="CB582" s="36" t="str">
        <f aca="false">IF(Q582="","",IF(Q582&gt;=300000,"Yes","No"))</f>
        <v/>
      </c>
      <c r="CC582" s="37"/>
      <c r="CD582" s="36" t="str">
        <f aca="true">IF(B582="","",IF(TODAY()-B582&lt;=7,"🟢 0-7d",IF(TODAY()-B582&lt;=30,"🟡 8-30d",IF(TODAY()-B582&lt;=60,"🟠 31-60d","🔴 60d+"))))</f>
        <v/>
      </c>
      <c r="CE582" s="36" t="str">
        <f aca="false">IF(G582="","",IF(G582&lt;&gt;"USA","N/A - Not USA Role",IF(J582="Yes",IF(OR(F582="Intern",F582="New Grad"),"🟡 Possible","🟢 Strong"),IF(J582="No","🔴 Difficult","⚪ Unknown"))))</f>
        <v/>
      </c>
      <c r="CF582" s="37"/>
      <c r="CG582" s="37"/>
      <c r="CH582" s="38"/>
      <c r="CI582" s="38"/>
      <c r="CJ582" s="38"/>
      <c r="CK582" s="38"/>
    </row>
    <row r="583" customFormat="false" ht="15" hidden="false" customHeight="true" outlineLevel="0" collapsed="false">
      <c r="A583" s="26" t="str">
        <f aca="false">IF($C583="","",ROW()-3)</f>
        <v/>
      </c>
      <c r="B583" s="27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9"/>
      <c r="N583" s="29"/>
      <c r="O583" s="30" t="str">
        <f aca="false">IFERROR(IF(M583="","",M583*INDEX('00 - Lists'!$M$2:$M$11,MATCH(L583,'00 - Lists'!$L$2:$L$11,0))/100000),"")</f>
        <v/>
      </c>
      <c r="P583" s="30" t="str">
        <f aca="false">IFERROR(IF(N583="","",N583*INDEX('00 - Lists'!$M$2:$M$11,MATCH(L583,'00 - Lists'!$L$2:$L$11,0))/100000),"")</f>
        <v/>
      </c>
      <c r="Q583" s="31" t="str">
        <f aca="false">IFERROR(IF(M583="","",M583*INDEX('00 - Lists'!$N$2:$N$11,MATCH(L583,'00 - Lists'!$L$2:$L$11,0))),"")</f>
        <v/>
      </c>
      <c r="R583" s="31" t="str">
        <f aca="false">IFERROR(IF(N583="","",N583*INDEX('00 - Lists'!$N$2:$N$11,MATCH(L583,'00 - Lists'!$L$2:$L$11,0))),"")</f>
        <v/>
      </c>
      <c r="S583" s="32" t="str">
        <f aca="false">IF(O583="","",IF(O583&gt;=50,"Yes","No"))</f>
        <v/>
      </c>
      <c r="T583" s="32" t="str">
        <f aca="false">IF(Q583="","",IF(Q583&gt;=100000,"Yes","No"))</f>
        <v/>
      </c>
      <c r="U583" s="28"/>
      <c r="V583" s="28"/>
      <c r="W583" s="28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J583" s="34" t="str">
        <f aca="false">IF(OR($BD583&lt;&gt;"",$BF583&lt;&gt;"",$BH583&lt;&gt;""),"Yes","No")</f>
        <v>No</v>
      </c>
      <c r="BK583" s="35" t="str">
        <f aca="false">IFERROR(IF(BD583="","",BD583*INDEX('00 - Lists'!$M$2:$M$11,MATCH(L583,'00 - Lists'!$L$2:$L$11,0))/100000),"")</f>
        <v/>
      </c>
      <c r="BL583" s="35" t="str">
        <f aca="false">IFERROR(IF(BE583="","",BE583*INDEX('00 - Lists'!$M$2:$M$11,MATCH(L583,'00 - Lists'!$L$2:$L$11,0))/100000),"")</f>
        <v/>
      </c>
      <c r="BM583" s="35" t="str">
        <f aca="false">IFERROR(IF(BF583="","",BF583*INDEX('00 - Lists'!$M$2:$M$11,MATCH(L583,'00 - Lists'!$L$2:$L$11,0))/100000),"")</f>
        <v/>
      </c>
      <c r="BN583" s="35" t="str">
        <f aca="false">IFERROR(IF(BG583="","",BG583*INDEX('00 - Lists'!$M$2:$M$11,MATCH(L583,'00 - Lists'!$L$2:$L$11,0))/100000),"")</f>
        <v/>
      </c>
      <c r="BO583" s="35" t="str">
        <f aca="false">IFERROR(IF(BH583="","",BH583*INDEX('00 - Lists'!$M$2:$M$11,MATCH(L583,'00 - Lists'!$L$2:$L$11,0))/100000),"")</f>
        <v/>
      </c>
      <c r="BP583" s="35" t="str">
        <f aca="false">IFERROR(IF(BI583="","",BI583*INDEX('00 - Lists'!$M$2:$M$11,MATCH(L583,'00 - Lists'!$L$2:$L$11,0))/100000),"")</f>
        <v/>
      </c>
      <c r="BS583" s="36" t="str">
        <f aca="false">IF(O583="","",IF(O583&gt;=20,"Yes","No"))</f>
        <v/>
      </c>
      <c r="BT583" s="36" t="str">
        <f aca="false">IF(O583="","",IF(O583&gt;=30,"Yes","No"))</f>
        <v/>
      </c>
      <c r="BU583" s="36" t="str">
        <f aca="false">IF(O583="","",IF(O583&gt;=75,"Yes","No"))</f>
        <v/>
      </c>
      <c r="BV583" s="36" t="str">
        <f aca="false">IF(O583="","",IF(O583&gt;=100,"Yes","No"))</f>
        <v/>
      </c>
      <c r="BW583" s="36" t="str">
        <f aca="false">IF(O583="","",IF(O583&gt;=150,"Yes","No"))</f>
        <v/>
      </c>
      <c r="BX583" s="36" t="str">
        <f aca="false">IF(O583="","",IF(O583&gt;=200,"Yes","No"))</f>
        <v/>
      </c>
      <c r="BY583" s="36" t="str">
        <f aca="false">IF(Q583="","",IF(Q583&gt;=150000,"Yes","No"))</f>
        <v/>
      </c>
      <c r="BZ583" s="36" t="str">
        <f aca="false">IF(Q583="","",IF(Q583&gt;=200000,"Yes","No"))</f>
        <v/>
      </c>
      <c r="CA583" s="36" t="str">
        <f aca="false">IF(Q583="","",IF(Q583&gt;=250000,"Yes","No"))</f>
        <v/>
      </c>
      <c r="CB583" s="36" t="str">
        <f aca="false">IF(Q583="","",IF(Q583&gt;=300000,"Yes","No"))</f>
        <v/>
      </c>
      <c r="CC583" s="37"/>
      <c r="CD583" s="36" t="str">
        <f aca="true">IF(B583="","",IF(TODAY()-B583&lt;=7,"🟢 0-7d",IF(TODAY()-B583&lt;=30,"🟡 8-30d",IF(TODAY()-B583&lt;=60,"🟠 31-60d","🔴 60d+"))))</f>
        <v/>
      </c>
      <c r="CE583" s="36" t="str">
        <f aca="false">IF(G583="","",IF(G583&lt;&gt;"USA","N/A - Not USA Role",IF(J583="Yes",IF(OR(F583="Intern",F583="New Grad"),"🟡 Possible","🟢 Strong"),IF(J583="No","🔴 Difficult","⚪ Unknown"))))</f>
        <v/>
      </c>
      <c r="CF583" s="37"/>
      <c r="CG583" s="37"/>
      <c r="CH583" s="38"/>
      <c r="CI583" s="38"/>
      <c r="CJ583" s="38"/>
      <c r="CK583" s="38"/>
    </row>
    <row r="584" customFormat="false" ht="15" hidden="false" customHeight="true" outlineLevel="0" collapsed="false">
      <c r="A584" s="26" t="str">
        <f aca="false">IF($C584="","",ROW()-3)</f>
        <v/>
      </c>
      <c r="B584" s="27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9"/>
      <c r="N584" s="29"/>
      <c r="O584" s="30" t="str">
        <f aca="false">IFERROR(IF(M584="","",M584*INDEX('00 - Lists'!$M$2:$M$11,MATCH(L584,'00 - Lists'!$L$2:$L$11,0))/100000),"")</f>
        <v/>
      </c>
      <c r="P584" s="30" t="str">
        <f aca="false">IFERROR(IF(N584="","",N584*INDEX('00 - Lists'!$M$2:$M$11,MATCH(L584,'00 - Lists'!$L$2:$L$11,0))/100000),"")</f>
        <v/>
      </c>
      <c r="Q584" s="31" t="str">
        <f aca="false">IFERROR(IF(M584="","",M584*INDEX('00 - Lists'!$N$2:$N$11,MATCH(L584,'00 - Lists'!$L$2:$L$11,0))),"")</f>
        <v/>
      </c>
      <c r="R584" s="31" t="str">
        <f aca="false">IFERROR(IF(N584="","",N584*INDEX('00 - Lists'!$N$2:$N$11,MATCH(L584,'00 - Lists'!$L$2:$L$11,0))),"")</f>
        <v/>
      </c>
      <c r="S584" s="32" t="str">
        <f aca="false">IF(O584="","",IF(O584&gt;=50,"Yes","No"))</f>
        <v/>
      </c>
      <c r="T584" s="32" t="str">
        <f aca="false">IF(Q584="","",IF(Q584&gt;=100000,"Yes","No"))</f>
        <v/>
      </c>
      <c r="U584" s="28"/>
      <c r="V584" s="28"/>
      <c r="W584" s="28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J584" s="34" t="str">
        <f aca="false">IF(OR($BD584&lt;&gt;"",$BF584&lt;&gt;"",$BH584&lt;&gt;""),"Yes","No")</f>
        <v>No</v>
      </c>
      <c r="BK584" s="35" t="str">
        <f aca="false">IFERROR(IF(BD584="","",BD584*INDEX('00 - Lists'!$M$2:$M$11,MATCH(L584,'00 - Lists'!$L$2:$L$11,0))/100000),"")</f>
        <v/>
      </c>
      <c r="BL584" s="35" t="str">
        <f aca="false">IFERROR(IF(BE584="","",BE584*INDEX('00 - Lists'!$M$2:$M$11,MATCH(L584,'00 - Lists'!$L$2:$L$11,0))/100000),"")</f>
        <v/>
      </c>
      <c r="BM584" s="35" t="str">
        <f aca="false">IFERROR(IF(BF584="","",BF584*INDEX('00 - Lists'!$M$2:$M$11,MATCH(L584,'00 - Lists'!$L$2:$L$11,0))/100000),"")</f>
        <v/>
      </c>
      <c r="BN584" s="35" t="str">
        <f aca="false">IFERROR(IF(BG584="","",BG584*INDEX('00 - Lists'!$M$2:$M$11,MATCH(L584,'00 - Lists'!$L$2:$L$11,0))/100000),"")</f>
        <v/>
      </c>
      <c r="BO584" s="35" t="str">
        <f aca="false">IFERROR(IF(BH584="","",BH584*INDEX('00 - Lists'!$M$2:$M$11,MATCH(L584,'00 - Lists'!$L$2:$L$11,0))/100000),"")</f>
        <v/>
      </c>
      <c r="BP584" s="35" t="str">
        <f aca="false">IFERROR(IF(BI584="","",BI584*INDEX('00 - Lists'!$M$2:$M$11,MATCH(L584,'00 - Lists'!$L$2:$L$11,0))/100000),"")</f>
        <v/>
      </c>
      <c r="BS584" s="36" t="str">
        <f aca="false">IF(O584="","",IF(O584&gt;=20,"Yes","No"))</f>
        <v/>
      </c>
      <c r="BT584" s="36" t="str">
        <f aca="false">IF(O584="","",IF(O584&gt;=30,"Yes","No"))</f>
        <v/>
      </c>
      <c r="BU584" s="36" t="str">
        <f aca="false">IF(O584="","",IF(O584&gt;=75,"Yes","No"))</f>
        <v/>
      </c>
      <c r="BV584" s="36" t="str">
        <f aca="false">IF(O584="","",IF(O584&gt;=100,"Yes","No"))</f>
        <v/>
      </c>
      <c r="BW584" s="36" t="str">
        <f aca="false">IF(O584="","",IF(O584&gt;=150,"Yes","No"))</f>
        <v/>
      </c>
      <c r="BX584" s="36" t="str">
        <f aca="false">IF(O584="","",IF(O584&gt;=200,"Yes","No"))</f>
        <v/>
      </c>
      <c r="BY584" s="36" t="str">
        <f aca="false">IF(Q584="","",IF(Q584&gt;=150000,"Yes","No"))</f>
        <v/>
      </c>
      <c r="BZ584" s="36" t="str">
        <f aca="false">IF(Q584="","",IF(Q584&gt;=200000,"Yes","No"))</f>
        <v/>
      </c>
      <c r="CA584" s="36" t="str">
        <f aca="false">IF(Q584="","",IF(Q584&gt;=250000,"Yes","No"))</f>
        <v/>
      </c>
      <c r="CB584" s="36" t="str">
        <f aca="false">IF(Q584="","",IF(Q584&gt;=300000,"Yes","No"))</f>
        <v/>
      </c>
      <c r="CC584" s="37"/>
      <c r="CD584" s="36" t="str">
        <f aca="true">IF(B584="","",IF(TODAY()-B584&lt;=7,"🟢 0-7d",IF(TODAY()-B584&lt;=30,"🟡 8-30d",IF(TODAY()-B584&lt;=60,"🟠 31-60d","🔴 60d+"))))</f>
        <v/>
      </c>
      <c r="CE584" s="36" t="str">
        <f aca="false">IF(G584="","",IF(G584&lt;&gt;"USA","N/A - Not USA Role",IF(J584="Yes",IF(OR(F584="Intern",F584="New Grad"),"🟡 Possible","🟢 Strong"),IF(J584="No","🔴 Difficult","⚪ Unknown"))))</f>
        <v/>
      </c>
      <c r="CF584" s="37"/>
      <c r="CG584" s="37"/>
      <c r="CH584" s="38"/>
      <c r="CI584" s="38"/>
      <c r="CJ584" s="38"/>
      <c r="CK584" s="38"/>
    </row>
    <row r="585" customFormat="false" ht="15" hidden="false" customHeight="true" outlineLevel="0" collapsed="false">
      <c r="A585" s="26" t="str">
        <f aca="false">IF($C585="","",ROW()-3)</f>
        <v/>
      </c>
      <c r="B585" s="27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9"/>
      <c r="N585" s="29"/>
      <c r="O585" s="30" t="str">
        <f aca="false">IFERROR(IF(M585="","",M585*INDEX('00 - Lists'!$M$2:$M$11,MATCH(L585,'00 - Lists'!$L$2:$L$11,0))/100000),"")</f>
        <v/>
      </c>
      <c r="P585" s="30" t="str">
        <f aca="false">IFERROR(IF(N585="","",N585*INDEX('00 - Lists'!$M$2:$M$11,MATCH(L585,'00 - Lists'!$L$2:$L$11,0))/100000),"")</f>
        <v/>
      </c>
      <c r="Q585" s="31" t="str">
        <f aca="false">IFERROR(IF(M585="","",M585*INDEX('00 - Lists'!$N$2:$N$11,MATCH(L585,'00 - Lists'!$L$2:$L$11,0))),"")</f>
        <v/>
      </c>
      <c r="R585" s="31" t="str">
        <f aca="false">IFERROR(IF(N585="","",N585*INDEX('00 - Lists'!$N$2:$N$11,MATCH(L585,'00 - Lists'!$L$2:$L$11,0))),"")</f>
        <v/>
      </c>
      <c r="S585" s="32" t="str">
        <f aca="false">IF(O585="","",IF(O585&gt;=50,"Yes","No"))</f>
        <v/>
      </c>
      <c r="T585" s="32" t="str">
        <f aca="false">IF(Q585="","",IF(Q585&gt;=100000,"Yes","No"))</f>
        <v/>
      </c>
      <c r="U585" s="28"/>
      <c r="V585" s="28"/>
      <c r="W585" s="28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J585" s="34" t="str">
        <f aca="false">IF(OR($BD585&lt;&gt;"",$BF585&lt;&gt;"",$BH585&lt;&gt;""),"Yes","No")</f>
        <v>No</v>
      </c>
      <c r="BK585" s="35" t="str">
        <f aca="false">IFERROR(IF(BD585="","",BD585*INDEX('00 - Lists'!$M$2:$M$11,MATCH(L585,'00 - Lists'!$L$2:$L$11,0))/100000),"")</f>
        <v/>
      </c>
      <c r="BL585" s="35" t="str">
        <f aca="false">IFERROR(IF(BE585="","",BE585*INDEX('00 - Lists'!$M$2:$M$11,MATCH(L585,'00 - Lists'!$L$2:$L$11,0))/100000),"")</f>
        <v/>
      </c>
      <c r="BM585" s="35" t="str">
        <f aca="false">IFERROR(IF(BF585="","",BF585*INDEX('00 - Lists'!$M$2:$M$11,MATCH(L585,'00 - Lists'!$L$2:$L$11,0))/100000),"")</f>
        <v/>
      </c>
      <c r="BN585" s="35" t="str">
        <f aca="false">IFERROR(IF(BG585="","",BG585*INDEX('00 - Lists'!$M$2:$M$11,MATCH(L585,'00 - Lists'!$L$2:$L$11,0))/100000),"")</f>
        <v/>
      </c>
      <c r="BO585" s="35" t="str">
        <f aca="false">IFERROR(IF(BH585="","",BH585*INDEX('00 - Lists'!$M$2:$M$11,MATCH(L585,'00 - Lists'!$L$2:$L$11,0))/100000),"")</f>
        <v/>
      </c>
      <c r="BP585" s="35" t="str">
        <f aca="false">IFERROR(IF(BI585="","",BI585*INDEX('00 - Lists'!$M$2:$M$11,MATCH(L585,'00 - Lists'!$L$2:$L$11,0))/100000),"")</f>
        <v/>
      </c>
      <c r="BS585" s="36" t="str">
        <f aca="false">IF(O585="","",IF(O585&gt;=20,"Yes","No"))</f>
        <v/>
      </c>
      <c r="BT585" s="36" t="str">
        <f aca="false">IF(O585="","",IF(O585&gt;=30,"Yes","No"))</f>
        <v/>
      </c>
      <c r="BU585" s="36" t="str">
        <f aca="false">IF(O585="","",IF(O585&gt;=75,"Yes","No"))</f>
        <v/>
      </c>
      <c r="BV585" s="36" t="str">
        <f aca="false">IF(O585="","",IF(O585&gt;=100,"Yes","No"))</f>
        <v/>
      </c>
      <c r="BW585" s="36" t="str">
        <f aca="false">IF(O585="","",IF(O585&gt;=150,"Yes","No"))</f>
        <v/>
      </c>
      <c r="BX585" s="36" t="str">
        <f aca="false">IF(O585="","",IF(O585&gt;=200,"Yes","No"))</f>
        <v/>
      </c>
      <c r="BY585" s="36" t="str">
        <f aca="false">IF(Q585="","",IF(Q585&gt;=150000,"Yes","No"))</f>
        <v/>
      </c>
      <c r="BZ585" s="36" t="str">
        <f aca="false">IF(Q585="","",IF(Q585&gt;=200000,"Yes","No"))</f>
        <v/>
      </c>
      <c r="CA585" s="36" t="str">
        <f aca="false">IF(Q585="","",IF(Q585&gt;=250000,"Yes","No"))</f>
        <v/>
      </c>
      <c r="CB585" s="36" t="str">
        <f aca="false">IF(Q585="","",IF(Q585&gt;=300000,"Yes","No"))</f>
        <v/>
      </c>
      <c r="CC585" s="37"/>
      <c r="CD585" s="36" t="str">
        <f aca="true">IF(B585="","",IF(TODAY()-B585&lt;=7,"🟢 0-7d",IF(TODAY()-B585&lt;=30,"🟡 8-30d",IF(TODAY()-B585&lt;=60,"🟠 31-60d","🔴 60d+"))))</f>
        <v/>
      </c>
      <c r="CE585" s="36" t="str">
        <f aca="false">IF(G585="","",IF(G585&lt;&gt;"USA","N/A - Not USA Role",IF(J585="Yes",IF(OR(F585="Intern",F585="New Grad"),"🟡 Possible","🟢 Strong"),IF(J585="No","🔴 Difficult","⚪ Unknown"))))</f>
        <v/>
      </c>
      <c r="CF585" s="37"/>
      <c r="CG585" s="37"/>
      <c r="CH585" s="38"/>
      <c r="CI585" s="38"/>
      <c r="CJ585" s="38"/>
      <c r="CK585" s="38"/>
    </row>
    <row r="586" customFormat="false" ht="15" hidden="false" customHeight="true" outlineLevel="0" collapsed="false">
      <c r="A586" s="26" t="str">
        <f aca="false">IF($C586="","",ROW()-3)</f>
        <v/>
      </c>
      <c r="B586" s="27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9"/>
      <c r="N586" s="29"/>
      <c r="O586" s="30" t="str">
        <f aca="false">IFERROR(IF(M586="","",M586*INDEX('00 - Lists'!$M$2:$M$11,MATCH(L586,'00 - Lists'!$L$2:$L$11,0))/100000),"")</f>
        <v/>
      </c>
      <c r="P586" s="30" t="str">
        <f aca="false">IFERROR(IF(N586="","",N586*INDEX('00 - Lists'!$M$2:$M$11,MATCH(L586,'00 - Lists'!$L$2:$L$11,0))/100000),"")</f>
        <v/>
      </c>
      <c r="Q586" s="31" t="str">
        <f aca="false">IFERROR(IF(M586="","",M586*INDEX('00 - Lists'!$N$2:$N$11,MATCH(L586,'00 - Lists'!$L$2:$L$11,0))),"")</f>
        <v/>
      </c>
      <c r="R586" s="31" t="str">
        <f aca="false">IFERROR(IF(N586="","",N586*INDEX('00 - Lists'!$N$2:$N$11,MATCH(L586,'00 - Lists'!$L$2:$L$11,0))),"")</f>
        <v/>
      </c>
      <c r="S586" s="32" t="str">
        <f aca="false">IF(O586="","",IF(O586&gt;=50,"Yes","No"))</f>
        <v/>
      </c>
      <c r="T586" s="32" t="str">
        <f aca="false">IF(Q586="","",IF(Q586&gt;=100000,"Yes","No"))</f>
        <v/>
      </c>
      <c r="U586" s="28"/>
      <c r="V586" s="28"/>
      <c r="W586" s="28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J586" s="34" t="str">
        <f aca="false">IF(OR($BD586&lt;&gt;"",$BF586&lt;&gt;"",$BH586&lt;&gt;""),"Yes","No")</f>
        <v>No</v>
      </c>
      <c r="BK586" s="35" t="str">
        <f aca="false">IFERROR(IF(BD586="","",BD586*INDEX('00 - Lists'!$M$2:$M$11,MATCH(L586,'00 - Lists'!$L$2:$L$11,0))/100000),"")</f>
        <v/>
      </c>
      <c r="BL586" s="35" t="str">
        <f aca="false">IFERROR(IF(BE586="","",BE586*INDEX('00 - Lists'!$M$2:$M$11,MATCH(L586,'00 - Lists'!$L$2:$L$11,0))/100000),"")</f>
        <v/>
      </c>
      <c r="BM586" s="35" t="str">
        <f aca="false">IFERROR(IF(BF586="","",BF586*INDEX('00 - Lists'!$M$2:$M$11,MATCH(L586,'00 - Lists'!$L$2:$L$11,0))/100000),"")</f>
        <v/>
      </c>
      <c r="BN586" s="35" t="str">
        <f aca="false">IFERROR(IF(BG586="","",BG586*INDEX('00 - Lists'!$M$2:$M$11,MATCH(L586,'00 - Lists'!$L$2:$L$11,0))/100000),"")</f>
        <v/>
      </c>
      <c r="BO586" s="35" t="str">
        <f aca="false">IFERROR(IF(BH586="","",BH586*INDEX('00 - Lists'!$M$2:$M$11,MATCH(L586,'00 - Lists'!$L$2:$L$11,0))/100000),"")</f>
        <v/>
      </c>
      <c r="BP586" s="35" t="str">
        <f aca="false">IFERROR(IF(BI586="","",BI586*INDEX('00 - Lists'!$M$2:$M$11,MATCH(L586,'00 - Lists'!$L$2:$L$11,0))/100000),"")</f>
        <v/>
      </c>
      <c r="BS586" s="36" t="str">
        <f aca="false">IF(O586="","",IF(O586&gt;=20,"Yes","No"))</f>
        <v/>
      </c>
      <c r="BT586" s="36" t="str">
        <f aca="false">IF(O586="","",IF(O586&gt;=30,"Yes","No"))</f>
        <v/>
      </c>
      <c r="BU586" s="36" t="str">
        <f aca="false">IF(O586="","",IF(O586&gt;=75,"Yes","No"))</f>
        <v/>
      </c>
      <c r="BV586" s="36" t="str">
        <f aca="false">IF(O586="","",IF(O586&gt;=100,"Yes","No"))</f>
        <v/>
      </c>
      <c r="BW586" s="36" t="str">
        <f aca="false">IF(O586="","",IF(O586&gt;=150,"Yes","No"))</f>
        <v/>
      </c>
      <c r="BX586" s="36" t="str">
        <f aca="false">IF(O586="","",IF(O586&gt;=200,"Yes","No"))</f>
        <v/>
      </c>
      <c r="BY586" s="36" t="str">
        <f aca="false">IF(Q586="","",IF(Q586&gt;=150000,"Yes","No"))</f>
        <v/>
      </c>
      <c r="BZ586" s="36" t="str">
        <f aca="false">IF(Q586="","",IF(Q586&gt;=200000,"Yes","No"))</f>
        <v/>
      </c>
      <c r="CA586" s="36" t="str">
        <f aca="false">IF(Q586="","",IF(Q586&gt;=250000,"Yes","No"))</f>
        <v/>
      </c>
      <c r="CB586" s="36" t="str">
        <f aca="false">IF(Q586="","",IF(Q586&gt;=300000,"Yes","No"))</f>
        <v/>
      </c>
      <c r="CC586" s="37"/>
      <c r="CD586" s="36" t="str">
        <f aca="true">IF(B586="","",IF(TODAY()-B586&lt;=7,"🟢 0-7d",IF(TODAY()-B586&lt;=30,"🟡 8-30d",IF(TODAY()-B586&lt;=60,"🟠 31-60d","🔴 60d+"))))</f>
        <v/>
      </c>
      <c r="CE586" s="36" t="str">
        <f aca="false">IF(G586="","",IF(G586&lt;&gt;"USA","N/A - Not USA Role",IF(J586="Yes",IF(OR(F586="Intern",F586="New Grad"),"🟡 Possible","🟢 Strong"),IF(J586="No","🔴 Difficult","⚪ Unknown"))))</f>
        <v/>
      </c>
      <c r="CF586" s="37"/>
      <c r="CG586" s="37"/>
      <c r="CH586" s="38"/>
      <c r="CI586" s="38"/>
      <c r="CJ586" s="38"/>
      <c r="CK586" s="38"/>
    </row>
    <row r="587" customFormat="false" ht="15" hidden="false" customHeight="true" outlineLevel="0" collapsed="false">
      <c r="A587" s="26" t="str">
        <f aca="false">IF($C587="","",ROW()-3)</f>
        <v/>
      </c>
      <c r="B587" s="27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9"/>
      <c r="N587" s="29"/>
      <c r="O587" s="30" t="str">
        <f aca="false">IFERROR(IF(M587="","",M587*INDEX('00 - Lists'!$M$2:$M$11,MATCH(L587,'00 - Lists'!$L$2:$L$11,0))/100000),"")</f>
        <v/>
      </c>
      <c r="P587" s="30" t="str">
        <f aca="false">IFERROR(IF(N587="","",N587*INDEX('00 - Lists'!$M$2:$M$11,MATCH(L587,'00 - Lists'!$L$2:$L$11,0))/100000),"")</f>
        <v/>
      </c>
      <c r="Q587" s="31" t="str">
        <f aca="false">IFERROR(IF(M587="","",M587*INDEX('00 - Lists'!$N$2:$N$11,MATCH(L587,'00 - Lists'!$L$2:$L$11,0))),"")</f>
        <v/>
      </c>
      <c r="R587" s="31" t="str">
        <f aca="false">IFERROR(IF(N587="","",N587*INDEX('00 - Lists'!$N$2:$N$11,MATCH(L587,'00 - Lists'!$L$2:$L$11,0))),"")</f>
        <v/>
      </c>
      <c r="S587" s="32" t="str">
        <f aca="false">IF(O587="","",IF(O587&gt;=50,"Yes","No"))</f>
        <v/>
      </c>
      <c r="T587" s="32" t="str">
        <f aca="false">IF(Q587="","",IF(Q587&gt;=100000,"Yes","No"))</f>
        <v/>
      </c>
      <c r="U587" s="28"/>
      <c r="V587" s="28"/>
      <c r="W587" s="28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J587" s="34" t="str">
        <f aca="false">IF(OR($BD587&lt;&gt;"",$BF587&lt;&gt;"",$BH587&lt;&gt;""),"Yes","No")</f>
        <v>No</v>
      </c>
      <c r="BK587" s="35" t="str">
        <f aca="false">IFERROR(IF(BD587="","",BD587*INDEX('00 - Lists'!$M$2:$M$11,MATCH(L587,'00 - Lists'!$L$2:$L$11,0))/100000),"")</f>
        <v/>
      </c>
      <c r="BL587" s="35" t="str">
        <f aca="false">IFERROR(IF(BE587="","",BE587*INDEX('00 - Lists'!$M$2:$M$11,MATCH(L587,'00 - Lists'!$L$2:$L$11,0))/100000),"")</f>
        <v/>
      </c>
      <c r="BM587" s="35" t="str">
        <f aca="false">IFERROR(IF(BF587="","",BF587*INDEX('00 - Lists'!$M$2:$M$11,MATCH(L587,'00 - Lists'!$L$2:$L$11,0))/100000),"")</f>
        <v/>
      </c>
      <c r="BN587" s="35" t="str">
        <f aca="false">IFERROR(IF(BG587="","",BG587*INDEX('00 - Lists'!$M$2:$M$11,MATCH(L587,'00 - Lists'!$L$2:$L$11,0))/100000),"")</f>
        <v/>
      </c>
      <c r="BO587" s="35" t="str">
        <f aca="false">IFERROR(IF(BH587="","",BH587*INDEX('00 - Lists'!$M$2:$M$11,MATCH(L587,'00 - Lists'!$L$2:$L$11,0))/100000),"")</f>
        <v/>
      </c>
      <c r="BP587" s="35" t="str">
        <f aca="false">IFERROR(IF(BI587="","",BI587*INDEX('00 - Lists'!$M$2:$M$11,MATCH(L587,'00 - Lists'!$L$2:$L$11,0))/100000),"")</f>
        <v/>
      </c>
      <c r="BS587" s="36" t="str">
        <f aca="false">IF(O587="","",IF(O587&gt;=20,"Yes","No"))</f>
        <v/>
      </c>
      <c r="BT587" s="36" t="str">
        <f aca="false">IF(O587="","",IF(O587&gt;=30,"Yes","No"))</f>
        <v/>
      </c>
      <c r="BU587" s="36" t="str">
        <f aca="false">IF(O587="","",IF(O587&gt;=75,"Yes","No"))</f>
        <v/>
      </c>
      <c r="BV587" s="36" t="str">
        <f aca="false">IF(O587="","",IF(O587&gt;=100,"Yes","No"))</f>
        <v/>
      </c>
      <c r="BW587" s="36" t="str">
        <f aca="false">IF(O587="","",IF(O587&gt;=150,"Yes","No"))</f>
        <v/>
      </c>
      <c r="BX587" s="36" t="str">
        <f aca="false">IF(O587="","",IF(O587&gt;=200,"Yes","No"))</f>
        <v/>
      </c>
      <c r="BY587" s="36" t="str">
        <f aca="false">IF(Q587="","",IF(Q587&gt;=150000,"Yes","No"))</f>
        <v/>
      </c>
      <c r="BZ587" s="36" t="str">
        <f aca="false">IF(Q587="","",IF(Q587&gt;=200000,"Yes","No"))</f>
        <v/>
      </c>
      <c r="CA587" s="36" t="str">
        <f aca="false">IF(Q587="","",IF(Q587&gt;=250000,"Yes","No"))</f>
        <v/>
      </c>
      <c r="CB587" s="36" t="str">
        <f aca="false">IF(Q587="","",IF(Q587&gt;=300000,"Yes","No"))</f>
        <v/>
      </c>
      <c r="CC587" s="37"/>
      <c r="CD587" s="36" t="str">
        <f aca="true">IF(B587="","",IF(TODAY()-B587&lt;=7,"🟢 0-7d",IF(TODAY()-B587&lt;=30,"🟡 8-30d",IF(TODAY()-B587&lt;=60,"🟠 31-60d","🔴 60d+"))))</f>
        <v/>
      </c>
      <c r="CE587" s="36" t="str">
        <f aca="false">IF(G587="","",IF(G587&lt;&gt;"USA","N/A - Not USA Role",IF(J587="Yes",IF(OR(F587="Intern",F587="New Grad"),"🟡 Possible","🟢 Strong"),IF(J587="No","🔴 Difficult","⚪ Unknown"))))</f>
        <v/>
      </c>
      <c r="CF587" s="37"/>
      <c r="CG587" s="37"/>
      <c r="CH587" s="38"/>
      <c r="CI587" s="38"/>
      <c r="CJ587" s="38"/>
      <c r="CK587" s="38"/>
    </row>
    <row r="588" customFormat="false" ht="15" hidden="false" customHeight="true" outlineLevel="0" collapsed="false">
      <c r="A588" s="26" t="str">
        <f aca="false">IF($C588="","",ROW()-3)</f>
        <v/>
      </c>
      <c r="B588" s="27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9"/>
      <c r="N588" s="29"/>
      <c r="O588" s="30" t="str">
        <f aca="false">IFERROR(IF(M588="","",M588*INDEX('00 - Lists'!$M$2:$M$11,MATCH(L588,'00 - Lists'!$L$2:$L$11,0))/100000),"")</f>
        <v/>
      </c>
      <c r="P588" s="30" t="str">
        <f aca="false">IFERROR(IF(N588="","",N588*INDEX('00 - Lists'!$M$2:$M$11,MATCH(L588,'00 - Lists'!$L$2:$L$11,0))/100000),"")</f>
        <v/>
      </c>
      <c r="Q588" s="31" t="str">
        <f aca="false">IFERROR(IF(M588="","",M588*INDEX('00 - Lists'!$N$2:$N$11,MATCH(L588,'00 - Lists'!$L$2:$L$11,0))),"")</f>
        <v/>
      </c>
      <c r="R588" s="31" t="str">
        <f aca="false">IFERROR(IF(N588="","",N588*INDEX('00 - Lists'!$N$2:$N$11,MATCH(L588,'00 - Lists'!$L$2:$L$11,0))),"")</f>
        <v/>
      </c>
      <c r="S588" s="32" t="str">
        <f aca="false">IF(O588="","",IF(O588&gt;=50,"Yes","No"))</f>
        <v/>
      </c>
      <c r="T588" s="32" t="str">
        <f aca="false">IF(Q588="","",IF(Q588&gt;=100000,"Yes","No"))</f>
        <v/>
      </c>
      <c r="U588" s="28"/>
      <c r="V588" s="28"/>
      <c r="W588" s="28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J588" s="34" t="str">
        <f aca="false">IF(OR($BD588&lt;&gt;"",$BF588&lt;&gt;"",$BH588&lt;&gt;""),"Yes","No")</f>
        <v>No</v>
      </c>
      <c r="BK588" s="35" t="str">
        <f aca="false">IFERROR(IF(BD588="","",BD588*INDEX('00 - Lists'!$M$2:$M$11,MATCH(L588,'00 - Lists'!$L$2:$L$11,0))/100000),"")</f>
        <v/>
      </c>
      <c r="BL588" s="35" t="str">
        <f aca="false">IFERROR(IF(BE588="","",BE588*INDEX('00 - Lists'!$M$2:$M$11,MATCH(L588,'00 - Lists'!$L$2:$L$11,0))/100000),"")</f>
        <v/>
      </c>
      <c r="BM588" s="35" t="str">
        <f aca="false">IFERROR(IF(BF588="","",BF588*INDEX('00 - Lists'!$M$2:$M$11,MATCH(L588,'00 - Lists'!$L$2:$L$11,0))/100000),"")</f>
        <v/>
      </c>
      <c r="BN588" s="35" t="str">
        <f aca="false">IFERROR(IF(BG588="","",BG588*INDEX('00 - Lists'!$M$2:$M$11,MATCH(L588,'00 - Lists'!$L$2:$L$11,0))/100000),"")</f>
        <v/>
      </c>
      <c r="BO588" s="35" t="str">
        <f aca="false">IFERROR(IF(BH588="","",BH588*INDEX('00 - Lists'!$M$2:$M$11,MATCH(L588,'00 - Lists'!$L$2:$L$11,0))/100000),"")</f>
        <v/>
      </c>
      <c r="BP588" s="35" t="str">
        <f aca="false">IFERROR(IF(BI588="","",BI588*INDEX('00 - Lists'!$M$2:$M$11,MATCH(L588,'00 - Lists'!$L$2:$L$11,0))/100000),"")</f>
        <v/>
      </c>
      <c r="BS588" s="36" t="str">
        <f aca="false">IF(O588="","",IF(O588&gt;=20,"Yes","No"))</f>
        <v/>
      </c>
      <c r="BT588" s="36" t="str">
        <f aca="false">IF(O588="","",IF(O588&gt;=30,"Yes","No"))</f>
        <v/>
      </c>
      <c r="BU588" s="36" t="str">
        <f aca="false">IF(O588="","",IF(O588&gt;=75,"Yes","No"))</f>
        <v/>
      </c>
      <c r="BV588" s="36" t="str">
        <f aca="false">IF(O588="","",IF(O588&gt;=100,"Yes","No"))</f>
        <v/>
      </c>
      <c r="BW588" s="36" t="str">
        <f aca="false">IF(O588="","",IF(O588&gt;=150,"Yes","No"))</f>
        <v/>
      </c>
      <c r="BX588" s="36" t="str">
        <f aca="false">IF(O588="","",IF(O588&gt;=200,"Yes","No"))</f>
        <v/>
      </c>
      <c r="BY588" s="36" t="str">
        <f aca="false">IF(Q588="","",IF(Q588&gt;=150000,"Yes","No"))</f>
        <v/>
      </c>
      <c r="BZ588" s="36" t="str">
        <f aca="false">IF(Q588="","",IF(Q588&gt;=200000,"Yes","No"))</f>
        <v/>
      </c>
      <c r="CA588" s="36" t="str">
        <f aca="false">IF(Q588="","",IF(Q588&gt;=250000,"Yes","No"))</f>
        <v/>
      </c>
      <c r="CB588" s="36" t="str">
        <f aca="false">IF(Q588="","",IF(Q588&gt;=300000,"Yes","No"))</f>
        <v/>
      </c>
      <c r="CC588" s="37"/>
      <c r="CD588" s="36" t="str">
        <f aca="true">IF(B588="","",IF(TODAY()-B588&lt;=7,"🟢 0-7d",IF(TODAY()-B588&lt;=30,"🟡 8-30d",IF(TODAY()-B588&lt;=60,"🟠 31-60d","🔴 60d+"))))</f>
        <v/>
      </c>
      <c r="CE588" s="36" t="str">
        <f aca="false">IF(G588="","",IF(G588&lt;&gt;"USA","N/A - Not USA Role",IF(J588="Yes",IF(OR(F588="Intern",F588="New Grad"),"🟡 Possible","🟢 Strong"),IF(J588="No","🔴 Difficult","⚪ Unknown"))))</f>
        <v/>
      </c>
      <c r="CF588" s="37"/>
      <c r="CG588" s="37"/>
      <c r="CH588" s="38"/>
      <c r="CI588" s="38"/>
      <c r="CJ588" s="38"/>
      <c r="CK588" s="38"/>
    </row>
    <row r="589" customFormat="false" ht="15" hidden="false" customHeight="true" outlineLevel="0" collapsed="false">
      <c r="A589" s="26" t="str">
        <f aca="false">IF($C589="","",ROW()-3)</f>
        <v/>
      </c>
      <c r="B589" s="27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9"/>
      <c r="N589" s="29"/>
      <c r="O589" s="30" t="str">
        <f aca="false">IFERROR(IF(M589="","",M589*INDEX('00 - Lists'!$M$2:$M$11,MATCH(L589,'00 - Lists'!$L$2:$L$11,0))/100000),"")</f>
        <v/>
      </c>
      <c r="P589" s="30" t="str">
        <f aca="false">IFERROR(IF(N589="","",N589*INDEX('00 - Lists'!$M$2:$M$11,MATCH(L589,'00 - Lists'!$L$2:$L$11,0))/100000),"")</f>
        <v/>
      </c>
      <c r="Q589" s="31" t="str">
        <f aca="false">IFERROR(IF(M589="","",M589*INDEX('00 - Lists'!$N$2:$N$11,MATCH(L589,'00 - Lists'!$L$2:$L$11,0))),"")</f>
        <v/>
      </c>
      <c r="R589" s="31" t="str">
        <f aca="false">IFERROR(IF(N589="","",N589*INDEX('00 - Lists'!$N$2:$N$11,MATCH(L589,'00 - Lists'!$L$2:$L$11,0))),"")</f>
        <v/>
      </c>
      <c r="S589" s="32" t="str">
        <f aca="false">IF(O589="","",IF(O589&gt;=50,"Yes","No"))</f>
        <v/>
      </c>
      <c r="T589" s="32" t="str">
        <f aca="false">IF(Q589="","",IF(Q589&gt;=100000,"Yes","No"))</f>
        <v/>
      </c>
      <c r="U589" s="28"/>
      <c r="V589" s="28"/>
      <c r="W589" s="28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J589" s="34" t="str">
        <f aca="false">IF(OR($BD589&lt;&gt;"",$BF589&lt;&gt;"",$BH589&lt;&gt;""),"Yes","No")</f>
        <v>No</v>
      </c>
      <c r="BK589" s="35" t="str">
        <f aca="false">IFERROR(IF(BD589="","",BD589*INDEX('00 - Lists'!$M$2:$M$11,MATCH(L589,'00 - Lists'!$L$2:$L$11,0))/100000),"")</f>
        <v/>
      </c>
      <c r="BL589" s="35" t="str">
        <f aca="false">IFERROR(IF(BE589="","",BE589*INDEX('00 - Lists'!$M$2:$M$11,MATCH(L589,'00 - Lists'!$L$2:$L$11,0))/100000),"")</f>
        <v/>
      </c>
      <c r="BM589" s="35" t="str">
        <f aca="false">IFERROR(IF(BF589="","",BF589*INDEX('00 - Lists'!$M$2:$M$11,MATCH(L589,'00 - Lists'!$L$2:$L$11,0))/100000),"")</f>
        <v/>
      </c>
      <c r="BN589" s="35" t="str">
        <f aca="false">IFERROR(IF(BG589="","",BG589*INDEX('00 - Lists'!$M$2:$M$11,MATCH(L589,'00 - Lists'!$L$2:$L$11,0))/100000),"")</f>
        <v/>
      </c>
      <c r="BO589" s="35" t="str">
        <f aca="false">IFERROR(IF(BH589="","",BH589*INDEX('00 - Lists'!$M$2:$M$11,MATCH(L589,'00 - Lists'!$L$2:$L$11,0))/100000),"")</f>
        <v/>
      </c>
      <c r="BP589" s="35" t="str">
        <f aca="false">IFERROR(IF(BI589="","",BI589*INDEX('00 - Lists'!$M$2:$M$11,MATCH(L589,'00 - Lists'!$L$2:$L$11,0))/100000),"")</f>
        <v/>
      </c>
      <c r="BS589" s="36" t="str">
        <f aca="false">IF(O589="","",IF(O589&gt;=20,"Yes","No"))</f>
        <v/>
      </c>
      <c r="BT589" s="36" t="str">
        <f aca="false">IF(O589="","",IF(O589&gt;=30,"Yes","No"))</f>
        <v/>
      </c>
      <c r="BU589" s="36" t="str">
        <f aca="false">IF(O589="","",IF(O589&gt;=75,"Yes","No"))</f>
        <v/>
      </c>
      <c r="BV589" s="36" t="str">
        <f aca="false">IF(O589="","",IF(O589&gt;=100,"Yes","No"))</f>
        <v/>
      </c>
      <c r="BW589" s="36" t="str">
        <f aca="false">IF(O589="","",IF(O589&gt;=150,"Yes","No"))</f>
        <v/>
      </c>
      <c r="BX589" s="36" t="str">
        <f aca="false">IF(O589="","",IF(O589&gt;=200,"Yes","No"))</f>
        <v/>
      </c>
      <c r="BY589" s="36" t="str">
        <f aca="false">IF(Q589="","",IF(Q589&gt;=150000,"Yes","No"))</f>
        <v/>
      </c>
      <c r="BZ589" s="36" t="str">
        <f aca="false">IF(Q589="","",IF(Q589&gt;=200000,"Yes","No"))</f>
        <v/>
      </c>
      <c r="CA589" s="36" t="str">
        <f aca="false">IF(Q589="","",IF(Q589&gt;=250000,"Yes","No"))</f>
        <v/>
      </c>
      <c r="CB589" s="36" t="str">
        <f aca="false">IF(Q589="","",IF(Q589&gt;=300000,"Yes","No"))</f>
        <v/>
      </c>
      <c r="CC589" s="37"/>
      <c r="CD589" s="36" t="str">
        <f aca="true">IF(B589="","",IF(TODAY()-B589&lt;=7,"🟢 0-7d",IF(TODAY()-B589&lt;=30,"🟡 8-30d",IF(TODAY()-B589&lt;=60,"🟠 31-60d","🔴 60d+"))))</f>
        <v/>
      </c>
      <c r="CE589" s="36" t="str">
        <f aca="false">IF(G589="","",IF(G589&lt;&gt;"USA","N/A - Not USA Role",IF(J589="Yes",IF(OR(F589="Intern",F589="New Grad"),"🟡 Possible","🟢 Strong"),IF(J589="No","🔴 Difficult","⚪ Unknown"))))</f>
        <v/>
      </c>
      <c r="CF589" s="37"/>
      <c r="CG589" s="37"/>
      <c r="CH589" s="38"/>
      <c r="CI589" s="38"/>
      <c r="CJ589" s="38"/>
      <c r="CK589" s="38"/>
    </row>
    <row r="590" customFormat="false" ht="15" hidden="false" customHeight="true" outlineLevel="0" collapsed="false">
      <c r="A590" s="26" t="str">
        <f aca="false">IF($C590="","",ROW()-3)</f>
        <v/>
      </c>
      <c r="B590" s="27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9"/>
      <c r="N590" s="29"/>
      <c r="O590" s="30" t="str">
        <f aca="false">IFERROR(IF(M590="","",M590*INDEX('00 - Lists'!$M$2:$M$11,MATCH(L590,'00 - Lists'!$L$2:$L$11,0))/100000),"")</f>
        <v/>
      </c>
      <c r="P590" s="30" t="str">
        <f aca="false">IFERROR(IF(N590="","",N590*INDEX('00 - Lists'!$M$2:$M$11,MATCH(L590,'00 - Lists'!$L$2:$L$11,0))/100000),"")</f>
        <v/>
      </c>
      <c r="Q590" s="31" t="str">
        <f aca="false">IFERROR(IF(M590="","",M590*INDEX('00 - Lists'!$N$2:$N$11,MATCH(L590,'00 - Lists'!$L$2:$L$11,0))),"")</f>
        <v/>
      </c>
      <c r="R590" s="31" t="str">
        <f aca="false">IFERROR(IF(N590="","",N590*INDEX('00 - Lists'!$N$2:$N$11,MATCH(L590,'00 - Lists'!$L$2:$L$11,0))),"")</f>
        <v/>
      </c>
      <c r="S590" s="32" t="str">
        <f aca="false">IF(O590="","",IF(O590&gt;=50,"Yes","No"))</f>
        <v/>
      </c>
      <c r="T590" s="32" t="str">
        <f aca="false">IF(Q590="","",IF(Q590&gt;=100000,"Yes","No"))</f>
        <v/>
      </c>
      <c r="U590" s="28"/>
      <c r="V590" s="28"/>
      <c r="W590" s="28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J590" s="34" t="str">
        <f aca="false">IF(OR($BD590&lt;&gt;"",$BF590&lt;&gt;"",$BH590&lt;&gt;""),"Yes","No")</f>
        <v>No</v>
      </c>
      <c r="BK590" s="35" t="str">
        <f aca="false">IFERROR(IF(BD590="","",BD590*INDEX('00 - Lists'!$M$2:$M$11,MATCH(L590,'00 - Lists'!$L$2:$L$11,0))/100000),"")</f>
        <v/>
      </c>
      <c r="BL590" s="35" t="str">
        <f aca="false">IFERROR(IF(BE590="","",BE590*INDEX('00 - Lists'!$M$2:$M$11,MATCH(L590,'00 - Lists'!$L$2:$L$11,0))/100000),"")</f>
        <v/>
      </c>
      <c r="BM590" s="35" t="str">
        <f aca="false">IFERROR(IF(BF590="","",BF590*INDEX('00 - Lists'!$M$2:$M$11,MATCH(L590,'00 - Lists'!$L$2:$L$11,0))/100000),"")</f>
        <v/>
      </c>
      <c r="BN590" s="35" t="str">
        <f aca="false">IFERROR(IF(BG590="","",BG590*INDEX('00 - Lists'!$M$2:$M$11,MATCH(L590,'00 - Lists'!$L$2:$L$11,0))/100000),"")</f>
        <v/>
      </c>
      <c r="BO590" s="35" t="str">
        <f aca="false">IFERROR(IF(BH590="","",BH590*INDEX('00 - Lists'!$M$2:$M$11,MATCH(L590,'00 - Lists'!$L$2:$L$11,0))/100000),"")</f>
        <v/>
      </c>
      <c r="BP590" s="35" t="str">
        <f aca="false">IFERROR(IF(BI590="","",BI590*INDEX('00 - Lists'!$M$2:$M$11,MATCH(L590,'00 - Lists'!$L$2:$L$11,0))/100000),"")</f>
        <v/>
      </c>
      <c r="BS590" s="36" t="str">
        <f aca="false">IF(O590="","",IF(O590&gt;=20,"Yes","No"))</f>
        <v/>
      </c>
      <c r="BT590" s="36" t="str">
        <f aca="false">IF(O590="","",IF(O590&gt;=30,"Yes","No"))</f>
        <v/>
      </c>
      <c r="BU590" s="36" t="str">
        <f aca="false">IF(O590="","",IF(O590&gt;=75,"Yes","No"))</f>
        <v/>
      </c>
      <c r="BV590" s="36" t="str">
        <f aca="false">IF(O590="","",IF(O590&gt;=100,"Yes","No"))</f>
        <v/>
      </c>
      <c r="BW590" s="36" t="str">
        <f aca="false">IF(O590="","",IF(O590&gt;=150,"Yes","No"))</f>
        <v/>
      </c>
      <c r="BX590" s="36" t="str">
        <f aca="false">IF(O590="","",IF(O590&gt;=200,"Yes","No"))</f>
        <v/>
      </c>
      <c r="BY590" s="36" t="str">
        <f aca="false">IF(Q590="","",IF(Q590&gt;=150000,"Yes","No"))</f>
        <v/>
      </c>
      <c r="BZ590" s="36" t="str">
        <f aca="false">IF(Q590="","",IF(Q590&gt;=200000,"Yes","No"))</f>
        <v/>
      </c>
      <c r="CA590" s="36" t="str">
        <f aca="false">IF(Q590="","",IF(Q590&gt;=250000,"Yes","No"))</f>
        <v/>
      </c>
      <c r="CB590" s="36" t="str">
        <f aca="false">IF(Q590="","",IF(Q590&gt;=300000,"Yes","No"))</f>
        <v/>
      </c>
      <c r="CC590" s="37"/>
      <c r="CD590" s="36" t="str">
        <f aca="true">IF(B590="","",IF(TODAY()-B590&lt;=7,"🟢 0-7d",IF(TODAY()-B590&lt;=30,"🟡 8-30d",IF(TODAY()-B590&lt;=60,"🟠 31-60d","🔴 60d+"))))</f>
        <v/>
      </c>
      <c r="CE590" s="36" t="str">
        <f aca="false">IF(G590="","",IF(G590&lt;&gt;"USA","N/A - Not USA Role",IF(J590="Yes",IF(OR(F590="Intern",F590="New Grad"),"🟡 Possible","🟢 Strong"),IF(J590="No","🔴 Difficult","⚪ Unknown"))))</f>
        <v/>
      </c>
      <c r="CF590" s="37"/>
      <c r="CG590" s="37"/>
      <c r="CH590" s="38"/>
      <c r="CI590" s="38"/>
      <c r="CJ590" s="38"/>
      <c r="CK590" s="38"/>
    </row>
    <row r="591" customFormat="false" ht="15" hidden="false" customHeight="true" outlineLevel="0" collapsed="false">
      <c r="A591" s="26" t="str">
        <f aca="false">IF($C591="","",ROW()-3)</f>
        <v/>
      </c>
      <c r="B591" s="27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9"/>
      <c r="N591" s="29"/>
      <c r="O591" s="30" t="str">
        <f aca="false">IFERROR(IF(M591="","",M591*INDEX('00 - Lists'!$M$2:$M$11,MATCH(L591,'00 - Lists'!$L$2:$L$11,0))/100000),"")</f>
        <v/>
      </c>
      <c r="P591" s="30" t="str">
        <f aca="false">IFERROR(IF(N591="","",N591*INDEX('00 - Lists'!$M$2:$M$11,MATCH(L591,'00 - Lists'!$L$2:$L$11,0))/100000),"")</f>
        <v/>
      </c>
      <c r="Q591" s="31" t="str">
        <f aca="false">IFERROR(IF(M591="","",M591*INDEX('00 - Lists'!$N$2:$N$11,MATCH(L591,'00 - Lists'!$L$2:$L$11,0))),"")</f>
        <v/>
      </c>
      <c r="R591" s="31" t="str">
        <f aca="false">IFERROR(IF(N591="","",N591*INDEX('00 - Lists'!$N$2:$N$11,MATCH(L591,'00 - Lists'!$L$2:$L$11,0))),"")</f>
        <v/>
      </c>
      <c r="S591" s="32" t="str">
        <f aca="false">IF(O591="","",IF(O591&gt;=50,"Yes","No"))</f>
        <v/>
      </c>
      <c r="T591" s="32" t="str">
        <f aca="false">IF(Q591="","",IF(Q591&gt;=100000,"Yes","No"))</f>
        <v/>
      </c>
      <c r="U591" s="28"/>
      <c r="V591" s="28"/>
      <c r="W591" s="28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J591" s="34" t="str">
        <f aca="false">IF(OR($BD591&lt;&gt;"",$BF591&lt;&gt;"",$BH591&lt;&gt;""),"Yes","No")</f>
        <v>No</v>
      </c>
      <c r="BK591" s="35" t="str">
        <f aca="false">IFERROR(IF(BD591="","",BD591*INDEX('00 - Lists'!$M$2:$M$11,MATCH(L591,'00 - Lists'!$L$2:$L$11,0))/100000),"")</f>
        <v/>
      </c>
      <c r="BL591" s="35" t="str">
        <f aca="false">IFERROR(IF(BE591="","",BE591*INDEX('00 - Lists'!$M$2:$M$11,MATCH(L591,'00 - Lists'!$L$2:$L$11,0))/100000),"")</f>
        <v/>
      </c>
      <c r="BM591" s="35" t="str">
        <f aca="false">IFERROR(IF(BF591="","",BF591*INDEX('00 - Lists'!$M$2:$M$11,MATCH(L591,'00 - Lists'!$L$2:$L$11,0))/100000),"")</f>
        <v/>
      </c>
      <c r="BN591" s="35" t="str">
        <f aca="false">IFERROR(IF(BG591="","",BG591*INDEX('00 - Lists'!$M$2:$M$11,MATCH(L591,'00 - Lists'!$L$2:$L$11,0))/100000),"")</f>
        <v/>
      </c>
      <c r="BO591" s="35" t="str">
        <f aca="false">IFERROR(IF(BH591="","",BH591*INDEX('00 - Lists'!$M$2:$M$11,MATCH(L591,'00 - Lists'!$L$2:$L$11,0))/100000),"")</f>
        <v/>
      </c>
      <c r="BP591" s="35" t="str">
        <f aca="false">IFERROR(IF(BI591="","",BI591*INDEX('00 - Lists'!$M$2:$M$11,MATCH(L591,'00 - Lists'!$L$2:$L$11,0))/100000),"")</f>
        <v/>
      </c>
      <c r="BS591" s="36" t="str">
        <f aca="false">IF(O591="","",IF(O591&gt;=20,"Yes","No"))</f>
        <v/>
      </c>
      <c r="BT591" s="36" t="str">
        <f aca="false">IF(O591="","",IF(O591&gt;=30,"Yes","No"))</f>
        <v/>
      </c>
      <c r="BU591" s="36" t="str">
        <f aca="false">IF(O591="","",IF(O591&gt;=75,"Yes","No"))</f>
        <v/>
      </c>
      <c r="BV591" s="36" t="str">
        <f aca="false">IF(O591="","",IF(O591&gt;=100,"Yes","No"))</f>
        <v/>
      </c>
      <c r="BW591" s="36" t="str">
        <f aca="false">IF(O591="","",IF(O591&gt;=150,"Yes","No"))</f>
        <v/>
      </c>
      <c r="BX591" s="36" t="str">
        <f aca="false">IF(O591="","",IF(O591&gt;=200,"Yes","No"))</f>
        <v/>
      </c>
      <c r="BY591" s="36" t="str">
        <f aca="false">IF(Q591="","",IF(Q591&gt;=150000,"Yes","No"))</f>
        <v/>
      </c>
      <c r="BZ591" s="36" t="str">
        <f aca="false">IF(Q591="","",IF(Q591&gt;=200000,"Yes","No"))</f>
        <v/>
      </c>
      <c r="CA591" s="36" t="str">
        <f aca="false">IF(Q591="","",IF(Q591&gt;=250000,"Yes","No"))</f>
        <v/>
      </c>
      <c r="CB591" s="36" t="str">
        <f aca="false">IF(Q591="","",IF(Q591&gt;=300000,"Yes","No"))</f>
        <v/>
      </c>
      <c r="CC591" s="37"/>
      <c r="CD591" s="36" t="str">
        <f aca="true">IF(B591="","",IF(TODAY()-B591&lt;=7,"🟢 0-7d",IF(TODAY()-B591&lt;=30,"🟡 8-30d",IF(TODAY()-B591&lt;=60,"🟠 31-60d","🔴 60d+"))))</f>
        <v/>
      </c>
      <c r="CE591" s="36" t="str">
        <f aca="false">IF(G591="","",IF(G591&lt;&gt;"USA","N/A - Not USA Role",IF(J591="Yes",IF(OR(F591="Intern",F591="New Grad"),"🟡 Possible","🟢 Strong"),IF(J591="No","🔴 Difficult","⚪ Unknown"))))</f>
        <v/>
      </c>
      <c r="CF591" s="37"/>
      <c r="CG591" s="37"/>
      <c r="CH591" s="38"/>
      <c r="CI591" s="38"/>
      <c r="CJ591" s="38"/>
      <c r="CK591" s="38"/>
    </row>
    <row r="592" customFormat="false" ht="15" hidden="false" customHeight="true" outlineLevel="0" collapsed="false">
      <c r="A592" s="26" t="str">
        <f aca="false">IF($C592="","",ROW()-3)</f>
        <v/>
      </c>
      <c r="B592" s="27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9"/>
      <c r="N592" s="29"/>
      <c r="O592" s="30" t="str">
        <f aca="false">IFERROR(IF(M592="","",M592*INDEX('00 - Lists'!$M$2:$M$11,MATCH(L592,'00 - Lists'!$L$2:$L$11,0))/100000),"")</f>
        <v/>
      </c>
      <c r="P592" s="30" t="str">
        <f aca="false">IFERROR(IF(N592="","",N592*INDEX('00 - Lists'!$M$2:$M$11,MATCH(L592,'00 - Lists'!$L$2:$L$11,0))/100000),"")</f>
        <v/>
      </c>
      <c r="Q592" s="31" t="str">
        <f aca="false">IFERROR(IF(M592="","",M592*INDEX('00 - Lists'!$N$2:$N$11,MATCH(L592,'00 - Lists'!$L$2:$L$11,0))),"")</f>
        <v/>
      </c>
      <c r="R592" s="31" t="str">
        <f aca="false">IFERROR(IF(N592="","",N592*INDEX('00 - Lists'!$N$2:$N$11,MATCH(L592,'00 - Lists'!$L$2:$L$11,0))),"")</f>
        <v/>
      </c>
      <c r="S592" s="32" t="str">
        <f aca="false">IF(O592="","",IF(O592&gt;=50,"Yes","No"))</f>
        <v/>
      </c>
      <c r="T592" s="32" t="str">
        <f aca="false">IF(Q592="","",IF(Q592&gt;=100000,"Yes","No"))</f>
        <v/>
      </c>
      <c r="U592" s="28"/>
      <c r="V592" s="28"/>
      <c r="W592" s="28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J592" s="34" t="str">
        <f aca="false">IF(OR($BD592&lt;&gt;"",$BF592&lt;&gt;"",$BH592&lt;&gt;""),"Yes","No")</f>
        <v>No</v>
      </c>
      <c r="BK592" s="35" t="str">
        <f aca="false">IFERROR(IF(BD592="","",BD592*INDEX('00 - Lists'!$M$2:$M$11,MATCH(L592,'00 - Lists'!$L$2:$L$11,0))/100000),"")</f>
        <v/>
      </c>
      <c r="BL592" s="35" t="str">
        <f aca="false">IFERROR(IF(BE592="","",BE592*INDEX('00 - Lists'!$M$2:$M$11,MATCH(L592,'00 - Lists'!$L$2:$L$11,0))/100000),"")</f>
        <v/>
      </c>
      <c r="BM592" s="35" t="str">
        <f aca="false">IFERROR(IF(BF592="","",BF592*INDEX('00 - Lists'!$M$2:$M$11,MATCH(L592,'00 - Lists'!$L$2:$L$11,0))/100000),"")</f>
        <v/>
      </c>
      <c r="BN592" s="35" t="str">
        <f aca="false">IFERROR(IF(BG592="","",BG592*INDEX('00 - Lists'!$M$2:$M$11,MATCH(L592,'00 - Lists'!$L$2:$L$11,0))/100000),"")</f>
        <v/>
      </c>
      <c r="BO592" s="35" t="str">
        <f aca="false">IFERROR(IF(BH592="","",BH592*INDEX('00 - Lists'!$M$2:$M$11,MATCH(L592,'00 - Lists'!$L$2:$L$11,0))/100000),"")</f>
        <v/>
      </c>
      <c r="BP592" s="35" t="str">
        <f aca="false">IFERROR(IF(BI592="","",BI592*INDEX('00 - Lists'!$M$2:$M$11,MATCH(L592,'00 - Lists'!$L$2:$L$11,0))/100000),"")</f>
        <v/>
      </c>
      <c r="BS592" s="36" t="str">
        <f aca="false">IF(O592="","",IF(O592&gt;=20,"Yes","No"))</f>
        <v/>
      </c>
      <c r="BT592" s="36" t="str">
        <f aca="false">IF(O592="","",IF(O592&gt;=30,"Yes","No"))</f>
        <v/>
      </c>
      <c r="BU592" s="36" t="str">
        <f aca="false">IF(O592="","",IF(O592&gt;=75,"Yes","No"))</f>
        <v/>
      </c>
      <c r="BV592" s="36" t="str">
        <f aca="false">IF(O592="","",IF(O592&gt;=100,"Yes","No"))</f>
        <v/>
      </c>
      <c r="BW592" s="36" t="str">
        <f aca="false">IF(O592="","",IF(O592&gt;=150,"Yes","No"))</f>
        <v/>
      </c>
      <c r="BX592" s="36" t="str">
        <f aca="false">IF(O592="","",IF(O592&gt;=200,"Yes","No"))</f>
        <v/>
      </c>
      <c r="BY592" s="36" t="str">
        <f aca="false">IF(Q592="","",IF(Q592&gt;=150000,"Yes","No"))</f>
        <v/>
      </c>
      <c r="BZ592" s="36" t="str">
        <f aca="false">IF(Q592="","",IF(Q592&gt;=200000,"Yes","No"))</f>
        <v/>
      </c>
      <c r="CA592" s="36" t="str">
        <f aca="false">IF(Q592="","",IF(Q592&gt;=250000,"Yes","No"))</f>
        <v/>
      </c>
      <c r="CB592" s="36" t="str">
        <f aca="false">IF(Q592="","",IF(Q592&gt;=300000,"Yes","No"))</f>
        <v/>
      </c>
      <c r="CC592" s="37"/>
      <c r="CD592" s="36" t="str">
        <f aca="true">IF(B592="","",IF(TODAY()-B592&lt;=7,"🟢 0-7d",IF(TODAY()-B592&lt;=30,"🟡 8-30d",IF(TODAY()-B592&lt;=60,"🟠 31-60d","🔴 60d+"))))</f>
        <v/>
      </c>
      <c r="CE592" s="36" t="str">
        <f aca="false">IF(G592="","",IF(G592&lt;&gt;"USA","N/A - Not USA Role",IF(J592="Yes",IF(OR(F592="Intern",F592="New Grad"),"🟡 Possible","🟢 Strong"),IF(J592="No","🔴 Difficult","⚪ Unknown"))))</f>
        <v/>
      </c>
      <c r="CF592" s="37"/>
      <c r="CG592" s="37"/>
      <c r="CH592" s="38"/>
      <c r="CI592" s="38"/>
      <c r="CJ592" s="38"/>
      <c r="CK592" s="38"/>
    </row>
    <row r="593" customFormat="false" ht="15" hidden="false" customHeight="true" outlineLevel="0" collapsed="false">
      <c r="A593" s="26" t="str">
        <f aca="false">IF($C593="","",ROW()-3)</f>
        <v/>
      </c>
      <c r="B593" s="27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9"/>
      <c r="N593" s="29"/>
      <c r="O593" s="30" t="str">
        <f aca="false">IFERROR(IF(M593="","",M593*INDEX('00 - Lists'!$M$2:$M$11,MATCH(L593,'00 - Lists'!$L$2:$L$11,0))/100000),"")</f>
        <v/>
      </c>
      <c r="P593" s="30" t="str">
        <f aca="false">IFERROR(IF(N593="","",N593*INDEX('00 - Lists'!$M$2:$M$11,MATCH(L593,'00 - Lists'!$L$2:$L$11,0))/100000),"")</f>
        <v/>
      </c>
      <c r="Q593" s="31" t="str">
        <f aca="false">IFERROR(IF(M593="","",M593*INDEX('00 - Lists'!$N$2:$N$11,MATCH(L593,'00 - Lists'!$L$2:$L$11,0))),"")</f>
        <v/>
      </c>
      <c r="R593" s="31" t="str">
        <f aca="false">IFERROR(IF(N593="","",N593*INDEX('00 - Lists'!$N$2:$N$11,MATCH(L593,'00 - Lists'!$L$2:$L$11,0))),"")</f>
        <v/>
      </c>
      <c r="S593" s="32" t="str">
        <f aca="false">IF(O593="","",IF(O593&gt;=50,"Yes","No"))</f>
        <v/>
      </c>
      <c r="T593" s="32" t="str">
        <f aca="false">IF(Q593="","",IF(Q593&gt;=100000,"Yes","No"))</f>
        <v/>
      </c>
      <c r="U593" s="28"/>
      <c r="V593" s="28"/>
      <c r="W593" s="28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J593" s="34" t="str">
        <f aca="false">IF(OR($BD593&lt;&gt;"",$BF593&lt;&gt;"",$BH593&lt;&gt;""),"Yes","No")</f>
        <v>No</v>
      </c>
      <c r="BK593" s="35" t="str">
        <f aca="false">IFERROR(IF(BD593="","",BD593*INDEX('00 - Lists'!$M$2:$M$11,MATCH(L593,'00 - Lists'!$L$2:$L$11,0))/100000),"")</f>
        <v/>
      </c>
      <c r="BL593" s="35" t="str">
        <f aca="false">IFERROR(IF(BE593="","",BE593*INDEX('00 - Lists'!$M$2:$M$11,MATCH(L593,'00 - Lists'!$L$2:$L$11,0))/100000),"")</f>
        <v/>
      </c>
      <c r="BM593" s="35" t="str">
        <f aca="false">IFERROR(IF(BF593="","",BF593*INDEX('00 - Lists'!$M$2:$M$11,MATCH(L593,'00 - Lists'!$L$2:$L$11,0))/100000),"")</f>
        <v/>
      </c>
      <c r="BN593" s="35" t="str">
        <f aca="false">IFERROR(IF(BG593="","",BG593*INDEX('00 - Lists'!$M$2:$M$11,MATCH(L593,'00 - Lists'!$L$2:$L$11,0))/100000),"")</f>
        <v/>
      </c>
      <c r="BO593" s="35" t="str">
        <f aca="false">IFERROR(IF(BH593="","",BH593*INDEX('00 - Lists'!$M$2:$M$11,MATCH(L593,'00 - Lists'!$L$2:$L$11,0))/100000),"")</f>
        <v/>
      </c>
      <c r="BP593" s="35" t="str">
        <f aca="false">IFERROR(IF(BI593="","",BI593*INDEX('00 - Lists'!$M$2:$M$11,MATCH(L593,'00 - Lists'!$L$2:$L$11,0))/100000),"")</f>
        <v/>
      </c>
      <c r="BS593" s="36" t="str">
        <f aca="false">IF(O593="","",IF(O593&gt;=20,"Yes","No"))</f>
        <v/>
      </c>
      <c r="BT593" s="36" t="str">
        <f aca="false">IF(O593="","",IF(O593&gt;=30,"Yes","No"))</f>
        <v/>
      </c>
      <c r="BU593" s="36" t="str">
        <f aca="false">IF(O593="","",IF(O593&gt;=75,"Yes","No"))</f>
        <v/>
      </c>
      <c r="BV593" s="36" t="str">
        <f aca="false">IF(O593="","",IF(O593&gt;=100,"Yes","No"))</f>
        <v/>
      </c>
      <c r="BW593" s="36" t="str">
        <f aca="false">IF(O593="","",IF(O593&gt;=150,"Yes","No"))</f>
        <v/>
      </c>
      <c r="BX593" s="36" t="str">
        <f aca="false">IF(O593="","",IF(O593&gt;=200,"Yes","No"))</f>
        <v/>
      </c>
      <c r="BY593" s="36" t="str">
        <f aca="false">IF(Q593="","",IF(Q593&gt;=150000,"Yes","No"))</f>
        <v/>
      </c>
      <c r="BZ593" s="36" t="str">
        <f aca="false">IF(Q593="","",IF(Q593&gt;=200000,"Yes","No"))</f>
        <v/>
      </c>
      <c r="CA593" s="36" t="str">
        <f aca="false">IF(Q593="","",IF(Q593&gt;=250000,"Yes","No"))</f>
        <v/>
      </c>
      <c r="CB593" s="36" t="str">
        <f aca="false">IF(Q593="","",IF(Q593&gt;=300000,"Yes","No"))</f>
        <v/>
      </c>
      <c r="CC593" s="37"/>
      <c r="CD593" s="36" t="str">
        <f aca="true">IF(B593="","",IF(TODAY()-B593&lt;=7,"🟢 0-7d",IF(TODAY()-B593&lt;=30,"🟡 8-30d",IF(TODAY()-B593&lt;=60,"🟠 31-60d","🔴 60d+"))))</f>
        <v/>
      </c>
      <c r="CE593" s="36" t="str">
        <f aca="false">IF(G593="","",IF(G593&lt;&gt;"USA","N/A - Not USA Role",IF(J593="Yes",IF(OR(F593="Intern",F593="New Grad"),"🟡 Possible","🟢 Strong"),IF(J593="No","🔴 Difficult","⚪ Unknown"))))</f>
        <v/>
      </c>
      <c r="CF593" s="37"/>
      <c r="CG593" s="37"/>
      <c r="CH593" s="38"/>
      <c r="CI593" s="38"/>
      <c r="CJ593" s="38"/>
      <c r="CK593" s="38"/>
    </row>
    <row r="594" customFormat="false" ht="15" hidden="false" customHeight="true" outlineLevel="0" collapsed="false">
      <c r="A594" s="26" t="str">
        <f aca="false">IF($C594="","",ROW()-3)</f>
        <v/>
      </c>
      <c r="B594" s="27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9"/>
      <c r="N594" s="29"/>
      <c r="O594" s="30" t="str">
        <f aca="false">IFERROR(IF(M594="","",M594*INDEX('00 - Lists'!$M$2:$M$11,MATCH(L594,'00 - Lists'!$L$2:$L$11,0))/100000),"")</f>
        <v/>
      </c>
      <c r="P594" s="30" t="str">
        <f aca="false">IFERROR(IF(N594="","",N594*INDEX('00 - Lists'!$M$2:$M$11,MATCH(L594,'00 - Lists'!$L$2:$L$11,0))/100000),"")</f>
        <v/>
      </c>
      <c r="Q594" s="31" t="str">
        <f aca="false">IFERROR(IF(M594="","",M594*INDEX('00 - Lists'!$N$2:$N$11,MATCH(L594,'00 - Lists'!$L$2:$L$11,0))),"")</f>
        <v/>
      </c>
      <c r="R594" s="31" t="str">
        <f aca="false">IFERROR(IF(N594="","",N594*INDEX('00 - Lists'!$N$2:$N$11,MATCH(L594,'00 - Lists'!$L$2:$L$11,0))),"")</f>
        <v/>
      </c>
      <c r="S594" s="32" t="str">
        <f aca="false">IF(O594="","",IF(O594&gt;=50,"Yes","No"))</f>
        <v/>
      </c>
      <c r="T594" s="32" t="str">
        <f aca="false">IF(Q594="","",IF(Q594&gt;=100000,"Yes","No"))</f>
        <v/>
      </c>
      <c r="U594" s="28"/>
      <c r="V594" s="28"/>
      <c r="W594" s="28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J594" s="34" t="str">
        <f aca="false">IF(OR($BD594&lt;&gt;"",$BF594&lt;&gt;"",$BH594&lt;&gt;""),"Yes","No")</f>
        <v>No</v>
      </c>
      <c r="BK594" s="35" t="str">
        <f aca="false">IFERROR(IF(BD594="","",BD594*INDEX('00 - Lists'!$M$2:$M$11,MATCH(L594,'00 - Lists'!$L$2:$L$11,0))/100000),"")</f>
        <v/>
      </c>
      <c r="BL594" s="35" t="str">
        <f aca="false">IFERROR(IF(BE594="","",BE594*INDEX('00 - Lists'!$M$2:$M$11,MATCH(L594,'00 - Lists'!$L$2:$L$11,0))/100000),"")</f>
        <v/>
      </c>
      <c r="BM594" s="35" t="str">
        <f aca="false">IFERROR(IF(BF594="","",BF594*INDEX('00 - Lists'!$M$2:$M$11,MATCH(L594,'00 - Lists'!$L$2:$L$11,0))/100000),"")</f>
        <v/>
      </c>
      <c r="BN594" s="35" t="str">
        <f aca="false">IFERROR(IF(BG594="","",BG594*INDEX('00 - Lists'!$M$2:$M$11,MATCH(L594,'00 - Lists'!$L$2:$L$11,0))/100000),"")</f>
        <v/>
      </c>
      <c r="BO594" s="35" t="str">
        <f aca="false">IFERROR(IF(BH594="","",BH594*INDEX('00 - Lists'!$M$2:$M$11,MATCH(L594,'00 - Lists'!$L$2:$L$11,0))/100000),"")</f>
        <v/>
      </c>
      <c r="BP594" s="35" t="str">
        <f aca="false">IFERROR(IF(BI594="","",BI594*INDEX('00 - Lists'!$M$2:$M$11,MATCH(L594,'00 - Lists'!$L$2:$L$11,0))/100000),"")</f>
        <v/>
      </c>
      <c r="BS594" s="36" t="str">
        <f aca="false">IF(O594="","",IF(O594&gt;=20,"Yes","No"))</f>
        <v/>
      </c>
      <c r="BT594" s="36" t="str">
        <f aca="false">IF(O594="","",IF(O594&gt;=30,"Yes","No"))</f>
        <v/>
      </c>
      <c r="BU594" s="36" t="str">
        <f aca="false">IF(O594="","",IF(O594&gt;=75,"Yes","No"))</f>
        <v/>
      </c>
      <c r="BV594" s="36" t="str">
        <f aca="false">IF(O594="","",IF(O594&gt;=100,"Yes","No"))</f>
        <v/>
      </c>
      <c r="BW594" s="36" t="str">
        <f aca="false">IF(O594="","",IF(O594&gt;=150,"Yes","No"))</f>
        <v/>
      </c>
      <c r="BX594" s="36" t="str">
        <f aca="false">IF(O594="","",IF(O594&gt;=200,"Yes","No"))</f>
        <v/>
      </c>
      <c r="BY594" s="36" t="str">
        <f aca="false">IF(Q594="","",IF(Q594&gt;=150000,"Yes","No"))</f>
        <v/>
      </c>
      <c r="BZ594" s="36" t="str">
        <f aca="false">IF(Q594="","",IF(Q594&gt;=200000,"Yes","No"))</f>
        <v/>
      </c>
      <c r="CA594" s="36" t="str">
        <f aca="false">IF(Q594="","",IF(Q594&gt;=250000,"Yes","No"))</f>
        <v/>
      </c>
      <c r="CB594" s="36" t="str">
        <f aca="false">IF(Q594="","",IF(Q594&gt;=300000,"Yes","No"))</f>
        <v/>
      </c>
      <c r="CC594" s="37"/>
      <c r="CD594" s="36" t="str">
        <f aca="true">IF(B594="","",IF(TODAY()-B594&lt;=7,"🟢 0-7d",IF(TODAY()-B594&lt;=30,"🟡 8-30d",IF(TODAY()-B594&lt;=60,"🟠 31-60d","🔴 60d+"))))</f>
        <v/>
      </c>
      <c r="CE594" s="36" t="str">
        <f aca="false">IF(G594="","",IF(G594&lt;&gt;"USA","N/A - Not USA Role",IF(J594="Yes",IF(OR(F594="Intern",F594="New Grad"),"🟡 Possible","🟢 Strong"),IF(J594="No","🔴 Difficult","⚪ Unknown"))))</f>
        <v/>
      </c>
      <c r="CF594" s="37"/>
      <c r="CG594" s="37"/>
      <c r="CH594" s="38"/>
      <c r="CI594" s="38"/>
      <c r="CJ594" s="38"/>
      <c r="CK594" s="38"/>
    </row>
    <row r="595" customFormat="false" ht="15" hidden="false" customHeight="true" outlineLevel="0" collapsed="false">
      <c r="A595" s="26" t="str">
        <f aca="false">IF($C595="","",ROW()-3)</f>
        <v/>
      </c>
      <c r="B595" s="27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9"/>
      <c r="N595" s="29"/>
      <c r="O595" s="30" t="str">
        <f aca="false">IFERROR(IF(M595="","",M595*INDEX('00 - Lists'!$M$2:$M$11,MATCH(L595,'00 - Lists'!$L$2:$L$11,0))/100000),"")</f>
        <v/>
      </c>
      <c r="P595" s="30" t="str">
        <f aca="false">IFERROR(IF(N595="","",N595*INDEX('00 - Lists'!$M$2:$M$11,MATCH(L595,'00 - Lists'!$L$2:$L$11,0))/100000),"")</f>
        <v/>
      </c>
      <c r="Q595" s="31" t="str">
        <f aca="false">IFERROR(IF(M595="","",M595*INDEX('00 - Lists'!$N$2:$N$11,MATCH(L595,'00 - Lists'!$L$2:$L$11,0))),"")</f>
        <v/>
      </c>
      <c r="R595" s="31" t="str">
        <f aca="false">IFERROR(IF(N595="","",N595*INDEX('00 - Lists'!$N$2:$N$11,MATCH(L595,'00 - Lists'!$L$2:$L$11,0))),"")</f>
        <v/>
      </c>
      <c r="S595" s="32" t="str">
        <f aca="false">IF(O595="","",IF(O595&gt;=50,"Yes","No"))</f>
        <v/>
      </c>
      <c r="T595" s="32" t="str">
        <f aca="false">IF(Q595="","",IF(Q595&gt;=100000,"Yes","No"))</f>
        <v/>
      </c>
      <c r="U595" s="28"/>
      <c r="V595" s="28"/>
      <c r="W595" s="28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J595" s="34" t="str">
        <f aca="false">IF(OR($BD595&lt;&gt;"",$BF595&lt;&gt;"",$BH595&lt;&gt;""),"Yes","No")</f>
        <v>No</v>
      </c>
      <c r="BK595" s="35" t="str">
        <f aca="false">IFERROR(IF(BD595="","",BD595*INDEX('00 - Lists'!$M$2:$M$11,MATCH(L595,'00 - Lists'!$L$2:$L$11,0))/100000),"")</f>
        <v/>
      </c>
      <c r="BL595" s="35" t="str">
        <f aca="false">IFERROR(IF(BE595="","",BE595*INDEX('00 - Lists'!$M$2:$M$11,MATCH(L595,'00 - Lists'!$L$2:$L$11,0))/100000),"")</f>
        <v/>
      </c>
      <c r="BM595" s="35" t="str">
        <f aca="false">IFERROR(IF(BF595="","",BF595*INDEX('00 - Lists'!$M$2:$M$11,MATCH(L595,'00 - Lists'!$L$2:$L$11,0))/100000),"")</f>
        <v/>
      </c>
      <c r="BN595" s="35" t="str">
        <f aca="false">IFERROR(IF(BG595="","",BG595*INDEX('00 - Lists'!$M$2:$M$11,MATCH(L595,'00 - Lists'!$L$2:$L$11,0))/100000),"")</f>
        <v/>
      </c>
      <c r="BO595" s="35" t="str">
        <f aca="false">IFERROR(IF(BH595="","",BH595*INDEX('00 - Lists'!$M$2:$M$11,MATCH(L595,'00 - Lists'!$L$2:$L$11,0))/100000),"")</f>
        <v/>
      </c>
      <c r="BP595" s="35" t="str">
        <f aca="false">IFERROR(IF(BI595="","",BI595*INDEX('00 - Lists'!$M$2:$M$11,MATCH(L595,'00 - Lists'!$L$2:$L$11,0))/100000),"")</f>
        <v/>
      </c>
      <c r="BS595" s="36" t="str">
        <f aca="false">IF(O595="","",IF(O595&gt;=20,"Yes","No"))</f>
        <v/>
      </c>
      <c r="BT595" s="36" t="str">
        <f aca="false">IF(O595="","",IF(O595&gt;=30,"Yes","No"))</f>
        <v/>
      </c>
      <c r="BU595" s="36" t="str">
        <f aca="false">IF(O595="","",IF(O595&gt;=75,"Yes","No"))</f>
        <v/>
      </c>
      <c r="BV595" s="36" t="str">
        <f aca="false">IF(O595="","",IF(O595&gt;=100,"Yes","No"))</f>
        <v/>
      </c>
      <c r="BW595" s="36" t="str">
        <f aca="false">IF(O595="","",IF(O595&gt;=150,"Yes","No"))</f>
        <v/>
      </c>
      <c r="BX595" s="36" t="str">
        <f aca="false">IF(O595="","",IF(O595&gt;=200,"Yes","No"))</f>
        <v/>
      </c>
      <c r="BY595" s="36" t="str">
        <f aca="false">IF(Q595="","",IF(Q595&gt;=150000,"Yes","No"))</f>
        <v/>
      </c>
      <c r="BZ595" s="36" t="str">
        <f aca="false">IF(Q595="","",IF(Q595&gt;=200000,"Yes","No"))</f>
        <v/>
      </c>
      <c r="CA595" s="36" t="str">
        <f aca="false">IF(Q595="","",IF(Q595&gt;=250000,"Yes","No"))</f>
        <v/>
      </c>
      <c r="CB595" s="36" t="str">
        <f aca="false">IF(Q595="","",IF(Q595&gt;=300000,"Yes","No"))</f>
        <v/>
      </c>
      <c r="CC595" s="37"/>
      <c r="CD595" s="36" t="str">
        <f aca="true">IF(B595="","",IF(TODAY()-B595&lt;=7,"🟢 0-7d",IF(TODAY()-B595&lt;=30,"🟡 8-30d",IF(TODAY()-B595&lt;=60,"🟠 31-60d","🔴 60d+"))))</f>
        <v/>
      </c>
      <c r="CE595" s="36" t="str">
        <f aca="false">IF(G595="","",IF(G595&lt;&gt;"USA","N/A - Not USA Role",IF(J595="Yes",IF(OR(F595="Intern",F595="New Grad"),"🟡 Possible","🟢 Strong"),IF(J595="No","🔴 Difficult","⚪ Unknown"))))</f>
        <v/>
      </c>
      <c r="CF595" s="37"/>
      <c r="CG595" s="37"/>
      <c r="CH595" s="38"/>
      <c r="CI595" s="38"/>
      <c r="CJ595" s="38"/>
      <c r="CK595" s="38"/>
    </row>
    <row r="596" customFormat="false" ht="15" hidden="false" customHeight="true" outlineLevel="0" collapsed="false">
      <c r="A596" s="26" t="str">
        <f aca="false">IF($C596="","",ROW()-3)</f>
        <v/>
      </c>
      <c r="B596" s="27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9"/>
      <c r="N596" s="29"/>
      <c r="O596" s="30" t="str">
        <f aca="false">IFERROR(IF(M596="","",M596*INDEX('00 - Lists'!$M$2:$M$11,MATCH(L596,'00 - Lists'!$L$2:$L$11,0))/100000),"")</f>
        <v/>
      </c>
      <c r="P596" s="30" t="str">
        <f aca="false">IFERROR(IF(N596="","",N596*INDEX('00 - Lists'!$M$2:$M$11,MATCH(L596,'00 - Lists'!$L$2:$L$11,0))/100000),"")</f>
        <v/>
      </c>
      <c r="Q596" s="31" t="str">
        <f aca="false">IFERROR(IF(M596="","",M596*INDEX('00 - Lists'!$N$2:$N$11,MATCH(L596,'00 - Lists'!$L$2:$L$11,0))),"")</f>
        <v/>
      </c>
      <c r="R596" s="31" t="str">
        <f aca="false">IFERROR(IF(N596="","",N596*INDEX('00 - Lists'!$N$2:$N$11,MATCH(L596,'00 - Lists'!$L$2:$L$11,0))),"")</f>
        <v/>
      </c>
      <c r="S596" s="32" t="str">
        <f aca="false">IF(O596="","",IF(O596&gt;=50,"Yes","No"))</f>
        <v/>
      </c>
      <c r="T596" s="32" t="str">
        <f aca="false">IF(Q596="","",IF(Q596&gt;=100000,"Yes","No"))</f>
        <v/>
      </c>
      <c r="U596" s="28"/>
      <c r="V596" s="28"/>
      <c r="W596" s="28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J596" s="34" t="str">
        <f aca="false">IF(OR($BD596&lt;&gt;"",$BF596&lt;&gt;"",$BH596&lt;&gt;""),"Yes","No")</f>
        <v>No</v>
      </c>
      <c r="BK596" s="35" t="str">
        <f aca="false">IFERROR(IF(BD596="","",BD596*INDEX('00 - Lists'!$M$2:$M$11,MATCH(L596,'00 - Lists'!$L$2:$L$11,0))/100000),"")</f>
        <v/>
      </c>
      <c r="BL596" s="35" t="str">
        <f aca="false">IFERROR(IF(BE596="","",BE596*INDEX('00 - Lists'!$M$2:$M$11,MATCH(L596,'00 - Lists'!$L$2:$L$11,0))/100000),"")</f>
        <v/>
      </c>
      <c r="BM596" s="35" t="str">
        <f aca="false">IFERROR(IF(BF596="","",BF596*INDEX('00 - Lists'!$M$2:$M$11,MATCH(L596,'00 - Lists'!$L$2:$L$11,0))/100000),"")</f>
        <v/>
      </c>
      <c r="BN596" s="35" t="str">
        <f aca="false">IFERROR(IF(BG596="","",BG596*INDEX('00 - Lists'!$M$2:$M$11,MATCH(L596,'00 - Lists'!$L$2:$L$11,0))/100000),"")</f>
        <v/>
      </c>
      <c r="BO596" s="35" t="str">
        <f aca="false">IFERROR(IF(BH596="","",BH596*INDEX('00 - Lists'!$M$2:$M$11,MATCH(L596,'00 - Lists'!$L$2:$L$11,0))/100000),"")</f>
        <v/>
      </c>
      <c r="BP596" s="35" t="str">
        <f aca="false">IFERROR(IF(BI596="","",BI596*INDEX('00 - Lists'!$M$2:$M$11,MATCH(L596,'00 - Lists'!$L$2:$L$11,0))/100000),"")</f>
        <v/>
      </c>
      <c r="BS596" s="36" t="str">
        <f aca="false">IF(O596="","",IF(O596&gt;=20,"Yes","No"))</f>
        <v/>
      </c>
      <c r="BT596" s="36" t="str">
        <f aca="false">IF(O596="","",IF(O596&gt;=30,"Yes","No"))</f>
        <v/>
      </c>
      <c r="BU596" s="36" t="str">
        <f aca="false">IF(O596="","",IF(O596&gt;=75,"Yes","No"))</f>
        <v/>
      </c>
      <c r="BV596" s="36" t="str">
        <f aca="false">IF(O596="","",IF(O596&gt;=100,"Yes","No"))</f>
        <v/>
      </c>
      <c r="BW596" s="36" t="str">
        <f aca="false">IF(O596="","",IF(O596&gt;=150,"Yes","No"))</f>
        <v/>
      </c>
      <c r="BX596" s="36" t="str">
        <f aca="false">IF(O596="","",IF(O596&gt;=200,"Yes","No"))</f>
        <v/>
      </c>
      <c r="BY596" s="36" t="str">
        <f aca="false">IF(Q596="","",IF(Q596&gt;=150000,"Yes","No"))</f>
        <v/>
      </c>
      <c r="BZ596" s="36" t="str">
        <f aca="false">IF(Q596="","",IF(Q596&gt;=200000,"Yes","No"))</f>
        <v/>
      </c>
      <c r="CA596" s="36" t="str">
        <f aca="false">IF(Q596="","",IF(Q596&gt;=250000,"Yes","No"))</f>
        <v/>
      </c>
      <c r="CB596" s="36" t="str">
        <f aca="false">IF(Q596="","",IF(Q596&gt;=300000,"Yes","No"))</f>
        <v/>
      </c>
      <c r="CC596" s="37"/>
      <c r="CD596" s="36" t="str">
        <f aca="true">IF(B596="","",IF(TODAY()-B596&lt;=7,"🟢 0-7d",IF(TODAY()-B596&lt;=30,"🟡 8-30d",IF(TODAY()-B596&lt;=60,"🟠 31-60d","🔴 60d+"))))</f>
        <v/>
      </c>
      <c r="CE596" s="36" t="str">
        <f aca="false">IF(G596="","",IF(G596&lt;&gt;"USA","N/A - Not USA Role",IF(J596="Yes",IF(OR(F596="Intern",F596="New Grad"),"🟡 Possible","🟢 Strong"),IF(J596="No","🔴 Difficult","⚪ Unknown"))))</f>
        <v/>
      </c>
      <c r="CF596" s="37"/>
      <c r="CG596" s="37"/>
      <c r="CH596" s="38"/>
      <c r="CI596" s="38"/>
      <c r="CJ596" s="38"/>
      <c r="CK596" s="38"/>
    </row>
    <row r="597" customFormat="false" ht="15" hidden="false" customHeight="true" outlineLevel="0" collapsed="false">
      <c r="A597" s="26" t="str">
        <f aca="false">IF($C597="","",ROW()-3)</f>
        <v/>
      </c>
      <c r="B597" s="27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9"/>
      <c r="N597" s="29"/>
      <c r="O597" s="30" t="str">
        <f aca="false">IFERROR(IF(M597="","",M597*INDEX('00 - Lists'!$M$2:$M$11,MATCH(L597,'00 - Lists'!$L$2:$L$11,0))/100000),"")</f>
        <v/>
      </c>
      <c r="P597" s="30" t="str">
        <f aca="false">IFERROR(IF(N597="","",N597*INDEX('00 - Lists'!$M$2:$M$11,MATCH(L597,'00 - Lists'!$L$2:$L$11,0))/100000),"")</f>
        <v/>
      </c>
      <c r="Q597" s="31" t="str">
        <f aca="false">IFERROR(IF(M597="","",M597*INDEX('00 - Lists'!$N$2:$N$11,MATCH(L597,'00 - Lists'!$L$2:$L$11,0))),"")</f>
        <v/>
      </c>
      <c r="R597" s="31" t="str">
        <f aca="false">IFERROR(IF(N597="","",N597*INDEX('00 - Lists'!$N$2:$N$11,MATCH(L597,'00 - Lists'!$L$2:$L$11,0))),"")</f>
        <v/>
      </c>
      <c r="S597" s="32" t="str">
        <f aca="false">IF(O597="","",IF(O597&gt;=50,"Yes","No"))</f>
        <v/>
      </c>
      <c r="T597" s="32" t="str">
        <f aca="false">IF(Q597="","",IF(Q597&gt;=100000,"Yes","No"))</f>
        <v/>
      </c>
      <c r="U597" s="28"/>
      <c r="V597" s="28"/>
      <c r="W597" s="28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J597" s="34" t="str">
        <f aca="false">IF(OR($BD597&lt;&gt;"",$BF597&lt;&gt;"",$BH597&lt;&gt;""),"Yes","No")</f>
        <v>No</v>
      </c>
      <c r="BK597" s="35" t="str">
        <f aca="false">IFERROR(IF(BD597="","",BD597*INDEX('00 - Lists'!$M$2:$M$11,MATCH(L597,'00 - Lists'!$L$2:$L$11,0))/100000),"")</f>
        <v/>
      </c>
      <c r="BL597" s="35" t="str">
        <f aca="false">IFERROR(IF(BE597="","",BE597*INDEX('00 - Lists'!$M$2:$M$11,MATCH(L597,'00 - Lists'!$L$2:$L$11,0))/100000),"")</f>
        <v/>
      </c>
      <c r="BM597" s="35" t="str">
        <f aca="false">IFERROR(IF(BF597="","",BF597*INDEX('00 - Lists'!$M$2:$M$11,MATCH(L597,'00 - Lists'!$L$2:$L$11,0))/100000),"")</f>
        <v/>
      </c>
      <c r="BN597" s="35" t="str">
        <f aca="false">IFERROR(IF(BG597="","",BG597*INDEX('00 - Lists'!$M$2:$M$11,MATCH(L597,'00 - Lists'!$L$2:$L$11,0))/100000),"")</f>
        <v/>
      </c>
      <c r="BO597" s="35" t="str">
        <f aca="false">IFERROR(IF(BH597="","",BH597*INDEX('00 - Lists'!$M$2:$M$11,MATCH(L597,'00 - Lists'!$L$2:$L$11,0))/100000),"")</f>
        <v/>
      </c>
      <c r="BP597" s="35" t="str">
        <f aca="false">IFERROR(IF(BI597="","",BI597*INDEX('00 - Lists'!$M$2:$M$11,MATCH(L597,'00 - Lists'!$L$2:$L$11,0))/100000),"")</f>
        <v/>
      </c>
      <c r="BS597" s="36" t="str">
        <f aca="false">IF(O597="","",IF(O597&gt;=20,"Yes","No"))</f>
        <v/>
      </c>
      <c r="BT597" s="36" t="str">
        <f aca="false">IF(O597="","",IF(O597&gt;=30,"Yes","No"))</f>
        <v/>
      </c>
      <c r="BU597" s="36" t="str">
        <f aca="false">IF(O597="","",IF(O597&gt;=75,"Yes","No"))</f>
        <v/>
      </c>
      <c r="BV597" s="36" t="str">
        <f aca="false">IF(O597="","",IF(O597&gt;=100,"Yes","No"))</f>
        <v/>
      </c>
      <c r="BW597" s="36" t="str">
        <f aca="false">IF(O597="","",IF(O597&gt;=150,"Yes","No"))</f>
        <v/>
      </c>
      <c r="BX597" s="36" t="str">
        <f aca="false">IF(O597="","",IF(O597&gt;=200,"Yes","No"))</f>
        <v/>
      </c>
      <c r="BY597" s="36" t="str">
        <f aca="false">IF(Q597="","",IF(Q597&gt;=150000,"Yes","No"))</f>
        <v/>
      </c>
      <c r="BZ597" s="36" t="str">
        <f aca="false">IF(Q597="","",IF(Q597&gt;=200000,"Yes","No"))</f>
        <v/>
      </c>
      <c r="CA597" s="36" t="str">
        <f aca="false">IF(Q597="","",IF(Q597&gt;=250000,"Yes","No"))</f>
        <v/>
      </c>
      <c r="CB597" s="36" t="str">
        <f aca="false">IF(Q597="","",IF(Q597&gt;=300000,"Yes","No"))</f>
        <v/>
      </c>
      <c r="CC597" s="37"/>
      <c r="CD597" s="36" t="str">
        <f aca="true">IF(B597="","",IF(TODAY()-B597&lt;=7,"🟢 0-7d",IF(TODAY()-B597&lt;=30,"🟡 8-30d",IF(TODAY()-B597&lt;=60,"🟠 31-60d","🔴 60d+"))))</f>
        <v/>
      </c>
      <c r="CE597" s="36" t="str">
        <f aca="false">IF(G597="","",IF(G597&lt;&gt;"USA","N/A - Not USA Role",IF(J597="Yes",IF(OR(F597="Intern",F597="New Grad"),"🟡 Possible","🟢 Strong"),IF(J597="No","🔴 Difficult","⚪ Unknown"))))</f>
        <v/>
      </c>
      <c r="CF597" s="37"/>
      <c r="CG597" s="37"/>
      <c r="CH597" s="38"/>
      <c r="CI597" s="38"/>
      <c r="CJ597" s="38"/>
      <c r="CK597" s="38"/>
    </row>
    <row r="598" customFormat="false" ht="15" hidden="false" customHeight="true" outlineLevel="0" collapsed="false">
      <c r="A598" s="26" t="str">
        <f aca="false">IF($C598="","",ROW()-3)</f>
        <v/>
      </c>
      <c r="B598" s="27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9"/>
      <c r="N598" s="29"/>
      <c r="O598" s="30" t="str">
        <f aca="false">IFERROR(IF(M598="","",M598*INDEX('00 - Lists'!$M$2:$M$11,MATCH(L598,'00 - Lists'!$L$2:$L$11,0))/100000),"")</f>
        <v/>
      </c>
      <c r="P598" s="30" t="str">
        <f aca="false">IFERROR(IF(N598="","",N598*INDEX('00 - Lists'!$M$2:$M$11,MATCH(L598,'00 - Lists'!$L$2:$L$11,0))/100000),"")</f>
        <v/>
      </c>
      <c r="Q598" s="31" t="str">
        <f aca="false">IFERROR(IF(M598="","",M598*INDEX('00 - Lists'!$N$2:$N$11,MATCH(L598,'00 - Lists'!$L$2:$L$11,0))),"")</f>
        <v/>
      </c>
      <c r="R598" s="31" t="str">
        <f aca="false">IFERROR(IF(N598="","",N598*INDEX('00 - Lists'!$N$2:$N$11,MATCH(L598,'00 - Lists'!$L$2:$L$11,0))),"")</f>
        <v/>
      </c>
      <c r="S598" s="32" t="str">
        <f aca="false">IF(O598="","",IF(O598&gt;=50,"Yes","No"))</f>
        <v/>
      </c>
      <c r="T598" s="32" t="str">
        <f aca="false">IF(Q598="","",IF(Q598&gt;=100000,"Yes","No"))</f>
        <v/>
      </c>
      <c r="U598" s="28"/>
      <c r="V598" s="28"/>
      <c r="W598" s="28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J598" s="34" t="str">
        <f aca="false">IF(OR($BD598&lt;&gt;"",$BF598&lt;&gt;"",$BH598&lt;&gt;""),"Yes","No")</f>
        <v>No</v>
      </c>
      <c r="BK598" s="35" t="str">
        <f aca="false">IFERROR(IF(BD598="","",BD598*INDEX('00 - Lists'!$M$2:$M$11,MATCH(L598,'00 - Lists'!$L$2:$L$11,0))/100000),"")</f>
        <v/>
      </c>
      <c r="BL598" s="35" t="str">
        <f aca="false">IFERROR(IF(BE598="","",BE598*INDEX('00 - Lists'!$M$2:$M$11,MATCH(L598,'00 - Lists'!$L$2:$L$11,0))/100000),"")</f>
        <v/>
      </c>
      <c r="BM598" s="35" t="str">
        <f aca="false">IFERROR(IF(BF598="","",BF598*INDEX('00 - Lists'!$M$2:$M$11,MATCH(L598,'00 - Lists'!$L$2:$L$11,0))/100000),"")</f>
        <v/>
      </c>
      <c r="BN598" s="35" t="str">
        <f aca="false">IFERROR(IF(BG598="","",BG598*INDEX('00 - Lists'!$M$2:$M$11,MATCH(L598,'00 - Lists'!$L$2:$L$11,0))/100000),"")</f>
        <v/>
      </c>
      <c r="BO598" s="35" t="str">
        <f aca="false">IFERROR(IF(BH598="","",BH598*INDEX('00 - Lists'!$M$2:$M$11,MATCH(L598,'00 - Lists'!$L$2:$L$11,0))/100000),"")</f>
        <v/>
      </c>
      <c r="BP598" s="35" t="str">
        <f aca="false">IFERROR(IF(BI598="","",BI598*INDEX('00 - Lists'!$M$2:$M$11,MATCH(L598,'00 - Lists'!$L$2:$L$11,0))/100000),"")</f>
        <v/>
      </c>
      <c r="BS598" s="36" t="str">
        <f aca="false">IF(O598="","",IF(O598&gt;=20,"Yes","No"))</f>
        <v/>
      </c>
      <c r="BT598" s="36" t="str">
        <f aca="false">IF(O598="","",IF(O598&gt;=30,"Yes","No"))</f>
        <v/>
      </c>
      <c r="BU598" s="36" t="str">
        <f aca="false">IF(O598="","",IF(O598&gt;=75,"Yes","No"))</f>
        <v/>
      </c>
      <c r="BV598" s="36" t="str">
        <f aca="false">IF(O598="","",IF(O598&gt;=100,"Yes","No"))</f>
        <v/>
      </c>
      <c r="BW598" s="36" t="str">
        <f aca="false">IF(O598="","",IF(O598&gt;=150,"Yes","No"))</f>
        <v/>
      </c>
      <c r="BX598" s="36" t="str">
        <f aca="false">IF(O598="","",IF(O598&gt;=200,"Yes","No"))</f>
        <v/>
      </c>
      <c r="BY598" s="36" t="str">
        <f aca="false">IF(Q598="","",IF(Q598&gt;=150000,"Yes","No"))</f>
        <v/>
      </c>
      <c r="BZ598" s="36" t="str">
        <f aca="false">IF(Q598="","",IF(Q598&gt;=200000,"Yes","No"))</f>
        <v/>
      </c>
      <c r="CA598" s="36" t="str">
        <f aca="false">IF(Q598="","",IF(Q598&gt;=250000,"Yes","No"))</f>
        <v/>
      </c>
      <c r="CB598" s="36" t="str">
        <f aca="false">IF(Q598="","",IF(Q598&gt;=300000,"Yes","No"))</f>
        <v/>
      </c>
      <c r="CC598" s="37"/>
      <c r="CD598" s="36" t="str">
        <f aca="true">IF(B598="","",IF(TODAY()-B598&lt;=7,"🟢 0-7d",IF(TODAY()-B598&lt;=30,"🟡 8-30d",IF(TODAY()-B598&lt;=60,"🟠 31-60d","🔴 60d+"))))</f>
        <v/>
      </c>
      <c r="CE598" s="36" t="str">
        <f aca="false">IF(G598="","",IF(G598&lt;&gt;"USA","N/A - Not USA Role",IF(J598="Yes",IF(OR(F598="Intern",F598="New Grad"),"🟡 Possible","🟢 Strong"),IF(J598="No","🔴 Difficult","⚪ Unknown"))))</f>
        <v/>
      </c>
      <c r="CF598" s="37"/>
      <c r="CG598" s="37"/>
      <c r="CH598" s="38"/>
      <c r="CI598" s="38"/>
      <c r="CJ598" s="38"/>
      <c r="CK598" s="38"/>
    </row>
    <row r="599" customFormat="false" ht="15" hidden="false" customHeight="true" outlineLevel="0" collapsed="false">
      <c r="A599" s="26" t="str">
        <f aca="false">IF($C599="","",ROW()-3)</f>
        <v/>
      </c>
      <c r="B599" s="27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9"/>
      <c r="N599" s="29"/>
      <c r="O599" s="30" t="str">
        <f aca="false">IFERROR(IF(M599="","",M599*INDEX('00 - Lists'!$M$2:$M$11,MATCH(L599,'00 - Lists'!$L$2:$L$11,0))/100000),"")</f>
        <v/>
      </c>
      <c r="P599" s="30" t="str">
        <f aca="false">IFERROR(IF(N599="","",N599*INDEX('00 - Lists'!$M$2:$M$11,MATCH(L599,'00 - Lists'!$L$2:$L$11,0))/100000),"")</f>
        <v/>
      </c>
      <c r="Q599" s="31" t="str">
        <f aca="false">IFERROR(IF(M599="","",M599*INDEX('00 - Lists'!$N$2:$N$11,MATCH(L599,'00 - Lists'!$L$2:$L$11,0))),"")</f>
        <v/>
      </c>
      <c r="R599" s="31" t="str">
        <f aca="false">IFERROR(IF(N599="","",N599*INDEX('00 - Lists'!$N$2:$N$11,MATCH(L599,'00 - Lists'!$L$2:$L$11,0))),"")</f>
        <v/>
      </c>
      <c r="S599" s="32" t="str">
        <f aca="false">IF(O599="","",IF(O599&gt;=50,"Yes","No"))</f>
        <v/>
      </c>
      <c r="T599" s="32" t="str">
        <f aca="false">IF(Q599="","",IF(Q599&gt;=100000,"Yes","No"))</f>
        <v/>
      </c>
      <c r="U599" s="28"/>
      <c r="V599" s="28"/>
      <c r="W599" s="28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J599" s="34" t="str">
        <f aca="false">IF(OR($BD599&lt;&gt;"",$BF599&lt;&gt;"",$BH599&lt;&gt;""),"Yes","No")</f>
        <v>No</v>
      </c>
      <c r="BK599" s="35" t="str">
        <f aca="false">IFERROR(IF(BD599="","",BD599*INDEX('00 - Lists'!$M$2:$M$11,MATCH(L599,'00 - Lists'!$L$2:$L$11,0))/100000),"")</f>
        <v/>
      </c>
      <c r="BL599" s="35" t="str">
        <f aca="false">IFERROR(IF(BE599="","",BE599*INDEX('00 - Lists'!$M$2:$M$11,MATCH(L599,'00 - Lists'!$L$2:$L$11,0))/100000),"")</f>
        <v/>
      </c>
      <c r="BM599" s="35" t="str">
        <f aca="false">IFERROR(IF(BF599="","",BF599*INDEX('00 - Lists'!$M$2:$M$11,MATCH(L599,'00 - Lists'!$L$2:$L$11,0))/100000),"")</f>
        <v/>
      </c>
      <c r="BN599" s="35" t="str">
        <f aca="false">IFERROR(IF(BG599="","",BG599*INDEX('00 - Lists'!$M$2:$M$11,MATCH(L599,'00 - Lists'!$L$2:$L$11,0))/100000),"")</f>
        <v/>
      </c>
      <c r="BO599" s="35" t="str">
        <f aca="false">IFERROR(IF(BH599="","",BH599*INDEX('00 - Lists'!$M$2:$M$11,MATCH(L599,'00 - Lists'!$L$2:$L$11,0))/100000),"")</f>
        <v/>
      </c>
      <c r="BP599" s="35" t="str">
        <f aca="false">IFERROR(IF(BI599="","",BI599*INDEX('00 - Lists'!$M$2:$M$11,MATCH(L599,'00 - Lists'!$L$2:$L$11,0))/100000),"")</f>
        <v/>
      </c>
      <c r="BS599" s="36" t="str">
        <f aca="false">IF(O599="","",IF(O599&gt;=20,"Yes","No"))</f>
        <v/>
      </c>
      <c r="BT599" s="36" t="str">
        <f aca="false">IF(O599="","",IF(O599&gt;=30,"Yes","No"))</f>
        <v/>
      </c>
      <c r="BU599" s="36" t="str">
        <f aca="false">IF(O599="","",IF(O599&gt;=75,"Yes","No"))</f>
        <v/>
      </c>
      <c r="BV599" s="36" t="str">
        <f aca="false">IF(O599="","",IF(O599&gt;=100,"Yes","No"))</f>
        <v/>
      </c>
      <c r="BW599" s="36" t="str">
        <f aca="false">IF(O599="","",IF(O599&gt;=150,"Yes","No"))</f>
        <v/>
      </c>
      <c r="BX599" s="36" t="str">
        <f aca="false">IF(O599="","",IF(O599&gt;=200,"Yes","No"))</f>
        <v/>
      </c>
      <c r="BY599" s="36" t="str">
        <f aca="false">IF(Q599="","",IF(Q599&gt;=150000,"Yes","No"))</f>
        <v/>
      </c>
      <c r="BZ599" s="36" t="str">
        <f aca="false">IF(Q599="","",IF(Q599&gt;=200000,"Yes","No"))</f>
        <v/>
      </c>
      <c r="CA599" s="36" t="str">
        <f aca="false">IF(Q599="","",IF(Q599&gt;=250000,"Yes","No"))</f>
        <v/>
      </c>
      <c r="CB599" s="36" t="str">
        <f aca="false">IF(Q599="","",IF(Q599&gt;=300000,"Yes","No"))</f>
        <v/>
      </c>
      <c r="CC599" s="37"/>
      <c r="CD599" s="36" t="str">
        <f aca="true">IF(B599="","",IF(TODAY()-B599&lt;=7,"🟢 0-7d",IF(TODAY()-B599&lt;=30,"🟡 8-30d",IF(TODAY()-B599&lt;=60,"🟠 31-60d","🔴 60d+"))))</f>
        <v/>
      </c>
      <c r="CE599" s="36" t="str">
        <f aca="false">IF(G599="","",IF(G599&lt;&gt;"USA","N/A - Not USA Role",IF(J599="Yes",IF(OR(F599="Intern",F599="New Grad"),"🟡 Possible","🟢 Strong"),IF(J599="No","🔴 Difficult","⚪ Unknown"))))</f>
        <v/>
      </c>
      <c r="CF599" s="37"/>
      <c r="CG599" s="37"/>
      <c r="CH599" s="38"/>
      <c r="CI599" s="38"/>
      <c r="CJ599" s="38"/>
      <c r="CK599" s="38"/>
    </row>
    <row r="600" customFormat="false" ht="15" hidden="false" customHeight="true" outlineLevel="0" collapsed="false">
      <c r="A600" s="26" t="str">
        <f aca="false">IF($C600="","",ROW()-3)</f>
        <v/>
      </c>
      <c r="B600" s="27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9"/>
      <c r="N600" s="29"/>
      <c r="O600" s="30" t="str">
        <f aca="false">IFERROR(IF(M600="","",M600*INDEX('00 - Lists'!$M$2:$M$11,MATCH(L600,'00 - Lists'!$L$2:$L$11,0))/100000),"")</f>
        <v/>
      </c>
      <c r="P600" s="30" t="str">
        <f aca="false">IFERROR(IF(N600="","",N600*INDEX('00 - Lists'!$M$2:$M$11,MATCH(L600,'00 - Lists'!$L$2:$L$11,0))/100000),"")</f>
        <v/>
      </c>
      <c r="Q600" s="31" t="str">
        <f aca="false">IFERROR(IF(M600="","",M600*INDEX('00 - Lists'!$N$2:$N$11,MATCH(L600,'00 - Lists'!$L$2:$L$11,0))),"")</f>
        <v/>
      </c>
      <c r="R600" s="31" t="str">
        <f aca="false">IFERROR(IF(N600="","",N600*INDEX('00 - Lists'!$N$2:$N$11,MATCH(L600,'00 - Lists'!$L$2:$L$11,0))),"")</f>
        <v/>
      </c>
      <c r="S600" s="32" t="str">
        <f aca="false">IF(O600="","",IF(O600&gt;=50,"Yes","No"))</f>
        <v/>
      </c>
      <c r="T600" s="32" t="str">
        <f aca="false">IF(Q600="","",IF(Q600&gt;=100000,"Yes","No"))</f>
        <v/>
      </c>
      <c r="U600" s="28"/>
      <c r="V600" s="28"/>
      <c r="W600" s="28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J600" s="34" t="str">
        <f aca="false">IF(OR($BD600&lt;&gt;"",$BF600&lt;&gt;"",$BH600&lt;&gt;""),"Yes","No")</f>
        <v>No</v>
      </c>
      <c r="BK600" s="35" t="str">
        <f aca="false">IFERROR(IF(BD600="","",BD600*INDEX('00 - Lists'!$M$2:$M$11,MATCH(L600,'00 - Lists'!$L$2:$L$11,0))/100000),"")</f>
        <v/>
      </c>
      <c r="BL600" s="35" t="str">
        <f aca="false">IFERROR(IF(BE600="","",BE600*INDEX('00 - Lists'!$M$2:$M$11,MATCH(L600,'00 - Lists'!$L$2:$L$11,0))/100000),"")</f>
        <v/>
      </c>
      <c r="BM600" s="35" t="str">
        <f aca="false">IFERROR(IF(BF600="","",BF600*INDEX('00 - Lists'!$M$2:$M$11,MATCH(L600,'00 - Lists'!$L$2:$L$11,0))/100000),"")</f>
        <v/>
      </c>
      <c r="BN600" s="35" t="str">
        <f aca="false">IFERROR(IF(BG600="","",BG600*INDEX('00 - Lists'!$M$2:$M$11,MATCH(L600,'00 - Lists'!$L$2:$L$11,0))/100000),"")</f>
        <v/>
      </c>
      <c r="BO600" s="35" t="str">
        <f aca="false">IFERROR(IF(BH600="","",BH600*INDEX('00 - Lists'!$M$2:$M$11,MATCH(L600,'00 - Lists'!$L$2:$L$11,0))/100000),"")</f>
        <v/>
      </c>
      <c r="BP600" s="35" t="str">
        <f aca="false">IFERROR(IF(BI600="","",BI600*INDEX('00 - Lists'!$M$2:$M$11,MATCH(L600,'00 - Lists'!$L$2:$L$11,0))/100000),"")</f>
        <v/>
      </c>
      <c r="BS600" s="36" t="str">
        <f aca="false">IF(O600="","",IF(O600&gt;=20,"Yes","No"))</f>
        <v/>
      </c>
      <c r="BT600" s="36" t="str">
        <f aca="false">IF(O600="","",IF(O600&gt;=30,"Yes","No"))</f>
        <v/>
      </c>
      <c r="BU600" s="36" t="str">
        <f aca="false">IF(O600="","",IF(O600&gt;=75,"Yes","No"))</f>
        <v/>
      </c>
      <c r="BV600" s="36" t="str">
        <f aca="false">IF(O600="","",IF(O600&gt;=100,"Yes","No"))</f>
        <v/>
      </c>
      <c r="BW600" s="36" t="str">
        <f aca="false">IF(O600="","",IF(O600&gt;=150,"Yes","No"))</f>
        <v/>
      </c>
      <c r="BX600" s="36" t="str">
        <f aca="false">IF(O600="","",IF(O600&gt;=200,"Yes","No"))</f>
        <v/>
      </c>
      <c r="BY600" s="36" t="str">
        <f aca="false">IF(Q600="","",IF(Q600&gt;=150000,"Yes","No"))</f>
        <v/>
      </c>
      <c r="BZ600" s="36" t="str">
        <f aca="false">IF(Q600="","",IF(Q600&gt;=200000,"Yes","No"))</f>
        <v/>
      </c>
      <c r="CA600" s="36" t="str">
        <f aca="false">IF(Q600="","",IF(Q600&gt;=250000,"Yes","No"))</f>
        <v/>
      </c>
      <c r="CB600" s="36" t="str">
        <f aca="false">IF(Q600="","",IF(Q600&gt;=300000,"Yes","No"))</f>
        <v/>
      </c>
      <c r="CC600" s="37"/>
      <c r="CD600" s="36" t="str">
        <f aca="true">IF(B600="","",IF(TODAY()-B600&lt;=7,"🟢 0-7d",IF(TODAY()-B600&lt;=30,"🟡 8-30d",IF(TODAY()-B600&lt;=60,"🟠 31-60d","🔴 60d+"))))</f>
        <v/>
      </c>
      <c r="CE600" s="36" t="str">
        <f aca="false">IF(G600="","",IF(G600&lt;&gt;"USA","N/A - Not USA Role",IF(J600="Yes",IF(OR(F600="Intern",F600="New Grad"),"🟡 Possible","🟢 Strong"),IF(J600="No","🔴 Difficult","⚪ Unknown"))))</f>
        <v/>
      </c>
      <c r="CF600" s="37"/>
      <c r="CG600" s="37"/>
      <c r="CH600" s="38"/>
      <c r="CI600" s="38"/>
      <c r="CJ600" s="38"/>
      <c r="CK600" s="38"/>
    </row>
    <row r="601" customFormat="false" ht="15" hidden="false" customHeight="true" outlineLevel="0" collapsed="false">
      <c r="A601" s="26" t="str">
        <f aca="false">IF($C601="","",ROW()-3)</f>
        <v/>
      </c>
      <c r="B601" s="27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9"/>
      <c r="N601" s="29"/>
      <c r="O601" s="30" t="str">
        <f aca="false">IFERROR(IF(M601="","",M601*INDEX('00 - Lists'!$M$2:$M$11,MATCH(L601,'00 - Lists'!$L$2:$L$11,0))/100000),"")</f>
        <v/>
      </c>
      <c r="P601" s="30" t="str">
        <f aca="false">IFERROR(IF(N601="","",N601*INDEX('00 - Lists'!$M$2:$M$11,MATCH(L601,'00 - Lists'!$L$2:$L$11,0))/100000),"")</f>
        <v/>
      </c>
      <c r="Q601" s="31" t="str">
        <f aca="false">IFERROR(IF(M601="","",M601*INDEX('00 - Lists'!$N$2:$N$11,MATCH(L601,'00 - Lists'!$L$2:$L$11,0))),"")</f>
        <v/>
      </c>
      <c r="R601" s="31" t="str">
        <f aca="false">IFERROR(IF(N601="","",N601*INDEX('00 - Lists'!$N$2:$N$11,MATCH(L601,'00 - Lists'!$L$2:$L$11,0))),"")</f>
        <v/>
      </c>
      <c r="S601" s="32" t="str">
        <f aca="false">IF(O601="","",IF(O601&gt;=50,"Yes","No"))</f>
        <v/>
      </c>
      <c r="T601" s="32" t="str">
        <f aca="false">IF(Q601="","",IF(Q601&gt;=100000,"Yes","No"))</f>
        <v/>
      </c>
      <c r="U601" s="28"/>
      <c r="V601" s="28"/>
      <c r="W601" s="28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J601" s="34" t="str">
        <f aca="false">IF(OR($BD601&lt;&gt;"",$BF601&lt;&gt;"",$BH601&lt;&gt;""),"Yes","No")</f>
        <v>No</v>
      </c>
      <c r="BK601" s="35" t="str">
        <f aca="false">IFERROR(IF(BD601="","",BD601*INDEX('00 - Lists'!$M$2:$M$11,MATCH(L601,'00 - Lists'!$L$2:$L$11,0))/100000),"")</f>
        <v/>
      </c>
      <c r="BL601" s="35" t="str">
        <f aca="false">IFERROR(IF(BE601="","",BE601*INDEX('00 - Lists'!$M$2:$M$11,MATCH(L601,'00 - Lists'!$L$2:$L$11,0))/100000),"")</f>
        <v/>
      </c>
      <c r="BM601" s="35" t="str">
        <f aca="false">IFERROR(IF(BF601="","",BF601*INDEX('00 - Lists'!$M$2:$M$11,MATCH(L601,'00 - Lists'!$L$2:$L$11,0))/100000),"")</f>
        <v/>
      </c>
      <c r="BN601" s="35" t="str">
        <f aca="false">IFERROR(IF(BG601="","",BG601*INDEX('00 - Lists'!$M$2:$M$11,MATCH(L601,'00 - Lists'!$L$2:$L$11,0))/100000),"")</f>
        <v/>
      </c>
      <c r="BO601" s="35" t="str">
        <f aca="false">IFERROR(IF(BH601="","",BH601*INDEX('00 - Lists'!$M$2:$M$11,MATCH(L601,'00 - Lists'!$L$2:$L$11,0))/100000),"")</f>
        <v/>
      </c>
      <c r="BP601" s="35" t="str">
        <f aca="false">IFERROR(IF(BI601="","",BI601*INDEX('00 - Lists'!$M$2:$M$11,MATCH(L601,'00 - Lists'!$L$2:$L$11,0))/100000),"")</f>
        <v/>
      </c>
      <c r="BS601" s="36" t="str">
        <f aca="false">IF(O601="","",IF(O601&gt;=20,"Yes","No"))</f>
        <v/>
      </c>
      <c r="BT601" s="36" t="str">
        <f aca="false">IF(O601="","",IF(O601&gt;=30,"Yes","No"))</f>
        <v/>
      </c>
      <c r="BU601" s="36" t="str">
        <f aca="false">IF(O601="","",IF(O601&gt;=75,"Yes","No"))</f>
        <v/>
      </c>
      <c r="BV601" s="36" t="str">
        <f aca="false">IF(O601="","",IF(O601&gt;=100,"Yes","No"))</f>
        <v/>
      </c>
      <c r="BW601" s="36" t="str">
        <f aca="false">IF(O601="","",IF(O601&gt;=150,"Yes","No"))</f>
        <v/>
      </c>
      <c r="BX601" s="36" t="str">
        <f aca="false">IF(O601="","",IF(O601&gt;=200,"Yes","No"))</f>
        <v/>
      </c>
      <c r="BY601" s="36" t="str">
        <f aca="false">IF(Q601="","",IF(Q601&gt;=150000,"Yes","No"))</f>
        <v/>
      </c>
      <c r="BZ601" s="36" t="str">
        <f aca="false">IF(Q601="","",IF(Q601&gt;=200000,"Yes","No"))</f>
        <v/>
      </c>
      <c r="CA601" s="36" t="str">
        <f aca="false">IF(Q601="","",IF(Q601&gt;=250000,"Yes","No"))</f>
        <v/>
      </c>
      <c r="CB601" s="36" t="str">
        <f aca="false">IF(Q601="","",IF(Q601&gt;=300000,"Yes","No"))</f>
        <v/>
      </c>
      <c r="CC601" s="37"/>
      <c r="CD601" s="36" t="str">
        <f aca="true">IF(B601="","",IF(TODAY()-B601&lt;=7,"🟢 0-7d",IF(TODAY()-B601&lt;=30,"🟡 8-30d",IF(TODAY()-B601&lt;=60,"🟠 31-60d","🔴 60d+"))))</f>
        <v/>
      </c>
      <c r="CE601" s="36" t="str">
        <f aca="false">IF(G601="","",IF(G601&lt;&gt;"USA","N/A - Not USA Role",IF(J601="Yes",IF(OR(F601="Intern",F601="New Grad"),"🟡 Possible","🟢 Strong"),IF(J601="No","🔴 Difficult","⚪ Unknown"))))</f>
        <v/>
      </c>
      <c r="CF601" s="37"/>
      <c r="CG601" s="37"/>
      <c r="CH601" s="38"/>
      <c r="CI601" s="38"/>
      <c r="CJ601" s="38"/>
      <c r="CK601" s="38"/>
    </row>
    <row r="602" customFormat="false" ht="15" hidden="false" customHeight="true" outlineLevel="0" collapsed="false">
      <c r="A602" s="26" t="str">
        <f aca="false">IF($C602="","",ROW()-3)</f>
        <v/>
      </c>
      <c r="B602" s="27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9"/>
      <c r="N602" s="29"/>
      <c r="O602" s="30" t="str">
        <f aca="false">IFERROR(IF(M602="","",M602*INDEX('00 - Lists'!$M$2:$M$11,MATCH(L602,'00 - Lists'!$L$2:$L$11,0))/100000),"")</f>
        <v/>
      </c>
      <c r="P602" s="30" t="str">
        <f aca="false">IFERROR(IF(N602="","",N602*INDEX('00 - Lists'!$M$2:$M$11,MATCH(L602,'00 - Lists'!$L$2:$L$11,0))/100000),"")</f>
        <v/>
      </c>
      <c r="Q602" s="31" t="str">
        <f aca="false">IFERROR(IF(M602="","",M602*INDEX('00 - Lists'!$N$2:$N$11,MATCH(L602,'00 - Lists'!$L$2:$L$11,0))),"")</f>
        <v/>
      </c>
      <c r="R602" s="31" t="str">
        <f aca="false">IFERROR(IF(N602="","",N602*INDEX('00 - Lists'!$N$2:$N$11,MATCH(L602,'00 - Lists'!$L$2:$L$11,0))),"")</f>
        <v/>
      </c>
      <c r="S602" s="32" t="str">
        <f aca="false">IF(O602="","",IF(O602&gt;=50,"Yes","No"))</f>
        <v/>
      </c>
      <c r="T602" s="32" t="str">
        <f aca="false">IF(Q602="","",IF(Q602&gt;=100000,"Yes","No"))</f>
        <v/>
      </c>
      <c r="U602" s="28"/>
      <c r="V602" s="28"/>
      <c r="W602" s="28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J602" s="34" t="str">
        <f aca="false">IF(OR($BD602&lt;&gt;"",$BF602&lt;&gt;"",$BH602&lt;&gt;""),"Yes","No")</f>
        <v>No</v>
      </c>
      <c r="BK602" s="35" t="str">
        <f aca="false">IFERROR(IF(BD602="","",BD602*INDEX('00 - Lists'!$M$2:$M$11,MATCH(L602,'00 - Lists'!$L$2:$L$11,0))/100000),"")</f>
        <v/>
      </c>
      <c r="BL602" s="35" t="str">
        <f aca="false">IFERROR(IF(BE602="","",BE602*INDEX('00 - Lists'!$M$2:$M$11,MATCH(L602,'00 - Lists'!$L$2:$L$11,0))/100000),"")</f>
        <v/>
      </c>
      <c r="BM602" s="35" t="str">
        <f aca="false">IFERROR(IF(BF602="","",BF602*INDEX('00 - Lists'!$M$2:$M$11,MATCH(L602,'00 - Lists'!$L$2:$L$11,0))/100000),"")</f>
        <v/>
      </c>
      <c r="BN602" s="35" t="str">
        <f aca="false">IFERROR(IF(BG602="","",BG602*INDEX('00 - Lists'!$M$2:$M$11,MATCH(L602,'00 - Lists'!$L$2:$L$11,0))/100000),"")</f>
        <v/>
      </c>
      <c r="BO602" s="35" t="str">
        <f aca="false">IFERROR(IF(BH602="","",BH602*INDEX('00 - Lists'!$M$2:$M$11,MATCH(L602,'00 - Lists'!$L$2:$L$11,0))/100000),"")</f>
        <v/>
      </c>
      <c r="BP602" s="35" t="str">
        <f aca="false">IFERROR(IF(BI602="","",BI602*INDEX('00 - Lists'!$M$2:$M$11,MATCH(L602,'00 - Lists'!$L$2:$L$11,0))/100000),"")</f>
        <v/>
      </c>
      <c r="BS602" s="36" t="str">
        <f aca="false">IF(O602="","",IF(O602&gt;=20,"Yes","No"))</f>
        <v/>
      </c>
      <c r="BT602" s="36" t="str">
        <f aca="false">IF(O602="","",IF(O602&gt;=30,"Yes","No"))</f>
        <v/>
      </c>
      <c r="BU602" s="36" t="str">
        <f aca="false">IF(O602="","",IF(O602&gt;=75,"Yes","No"))</f>
        <v/>
      </c>
      <c r="BV602" s="36" t="str">
        <f aca="false">IF(O602="","",IF(O602&gt;=100,"Yes","No"))</f>
        <v/>
      </c>
      <c r="BW602" s="36" t="str">
        <f aca="false">IF(O602="","",IF(O602&gt;=150,"Yes","No"))</f>
        <v/>
      </c>
      <c r="BX602" s="36" t="str">
        <f aca="false">IF(O602="","",IF(O602&gt;=200,"Yes","No"))</f>
        <v/>
      </c>
      <c r="BY602" s="36" t="str">
        <f aca="false">IF(Q602="","",IF(Q602&gt;=150000,"Yes","No"))</f>
        <v/>
      </c>
      <c r="BZ602" s="36" t="str">
        <f aca="false">IF(Q602="","",IF(Q602&gt;=200000,"Yes","No"))</f>
        <v/>
      </c>
      <c r="CA602" s="36" t="str">
        <f aca="false">IF(Q602="","",IF(Q602&gt;=250000,"Yes","No"))</f>
        <v/>
      </c>
      <c r="CB602" s="36" t="str">
        <f aca="false">IF(Q602="","",IF(Q602&gt;=300000,"Yes","No"))</f>
        <v/>
      </c>
      <c r="CC602" s="37"/>
      <c r="CD602" s="36" t="str">
        <f aca="true">IF(B602="","",IF(TODAY()-B602&lt;=7,"🟢 0-7d",IF(TODAY()-B602&lt;=30,"🟡 8-30d",IF(TODAY()-B602&lt;=60,"🟠 31-60d","🔴 60d+"))))</f>
        <v/>
      </c>
      <c r="CE602" s="36" t="str">
        <f aca="false">IF(G602="","",IF(G602&lt;&gt;"USA","N/A - Not USA Role",IF(J602="Yes",IF(OR(F602="Intern",F602="New Grad"),"🟡 Possible","🟢 Strong"),IF(J602="No","🔴 Difficult","⚪ Unknown"))))</f>
        <v/>
      </c>
      <c r="CF602" s="37"/>
      <c r="CG602" s="37"/>
      <c r="CH602" s="38"/>
      <c r="CI602" s="38"/>
      <c r="CJ602" s="38"/>
      <c r="CK602" s="38"/>
    </row>
    <row r="603" customFormat="false" ht="15" hidden="false" customHeight="true" outlineLevel="0" collapsed="false">
      <c r="A603" s="26" t="str">
        <f aca="false">IF($C603="","",ROW()-3)</f>
        <v/>
      </c>
      <c r="B603" s="27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9"/>
      <c r="N603" s="29"/>
      <c r="O603" s="30" t="str">
        <f aca="false">IFERROR(IF(M603="","",M603*INDEX('00 - Lists'!$M$2:$M$11,MATCH(L603,'00 - Lists'!$L$2:$L$11,0))/100000),"")</f>
        <v/>
      </c>
      <c r="P603" s="30" t="str">
        <f aca="false">IFERROR(IF(N603="","",N603*INDEX('00 - Lists'!$M$2:$M$11,MATCH(L603,'00 - Lists'!$L$2:$L$11,0))/100000),"")</f>
        <v/>
      </c>
      <c r="Q603" s="31" t="str">
        <f aca="false">IFERROR(IF(M603="","",M603*INDEX('00 - Lists'!$N$2:$N$11,MATCH(L603,'00 - Lists'!$L$2:$L$11,0))),"")</f>
        <v/>
      </c>
      <c r="R603" s="31" t="str">
        <f aca="false">IFERROR(IF(N603="","",N603*INDEX('00 - Lists'!$N$2:$N$11,MATCH(L603,'00 - Lists'!$L$2:$L$11,0))),"")</f>
        <v/>
      </c>
      <c r="S603" s="32" t="str">
        <f aca="false">IF(O603="","",IF(O603&gt;=50,"Yes","No"))</f>
        <v/>
      </c>
      <c r="T603" s="32" t="str">
        <f aca="false">IF(Q603="","",IF(Q603&gt;=100000,"Yes","No"))</f>
        <v/>
      </c>
      <c r="U603" s="28"/>
      <c r="V603" s="28"/>
      <c r="W603" s="28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J603" s="34" t="str">
        <f aca="false">IF(OR($BD603&lt;&gt;"",$BF603&lt;&gt;"",$BH603&lt;&gt;""),"Yes","No")</f>
        <v>No</v>
      </c>
      <c r="BK603" s="35" t="str">
        <f aca="false">IFERROR(IF(BD603="","",BD603*INDEX('00 - Lists'!$M$2:$M$11,MATCH(L603,'00 - Lists'!$L$2:$L$11,0))/100000),"")</f>
        <v/>
      </c>
      <c r="BL603" s="35" t="str">
        <f aca="false">IFERROR(IF(BE603="","",BE603*INDEX('00 - Lists'!$M$2:$M$11,MATCH(L603,'00 - Lists'!$L$2:$L$11,0))/100000),"")</f>
        <v/>
      </c>
      <c r="BM603" s="35" t="str">
        <f aca="false">IFERROR(IF(BF603="","",BF603*INDEX('00 - Lists'!$M$2:$M$11,MATCH(L603,'00 - Lists'!$L$2:$L$11,0))/100000),"")</f>
        <v/>
      </c>
      <c r="BN603" s="35" t="str">
        <f aca="false">IFERROR(IF(BG603="","",BG603*INDEX('00 - Lists'!$M$2:$M$11,MATCH(L603,'00 - Lists'!$L$2:$L$11,0))/100000),"")</f>
        <v/>
      </c>
      <c r="BO603" s="35" t="str">
        <f aca="false">IFERROR(IF(BH603="","",BH603*INDEX('00 - Lists'!$M$2:$M$11,MATCH(L603,'00 - Lists'!$L$2:$L$11,0))/100000),"")</f>
        <v/>
      </c>
      <c r="BP603" s="35" t="str">
        <f aca="false">IFERROR(IF(BI603="","",BI603*INDEX('00 - Lists'!$M$2:$M$11,MATCH(L603,'00 - Lists'!$L$2:$L$11,0))/100000),"")</f>
        <v/>
      </c>
      <c r="BS603" s="36" t="str">
        <f aca="false">IF(O603="","",IF(O603&gt;=20,"Yes","No"))</f>
        <v/>
      </c>
      <c r="BT603" s="36" t="str">
        <f aca="false">IF(O603="","",IF(O603&gt;=30,"Yes","No"))</f>
        <v/>
      </c>
      <c r="BU603" s="36" t="str">
        <f aca="false">IF(O603="","",IF(O603&gt;=75,"Yes","No"))</f>
        <v/>
      </c>
      <c r="BV603" s="36" t="str">
        <f aca="false">IF(O603="","",IF(O603&gt;=100,"Yes","No"))</f>
        <v/>
      </c>
      <c r="BW603" s="36" t="str">
        <f aca="false">IF(O603="","",IF(O603&gt;=150,"Yes","No"))</f>
        <v/>
      </c>
      <c r="BX603" s="36" t="str">
        <f aca="false">IF(O603="","",IF(O603&gt;=200,"Yes","No"))</f>
        <v/>
      </c>
      <c r="BY603" s="36" t="str">
        <f aca="false">IF(Q603="","",IF(Q603&gt;=150000,"Yes","No"))</f>
        <v/>
      </c>
      <c r="BZ603" s="36" t="str">
        <f aca="false">IF(Q603="","",IF(Q603&gt;=200000,"Yes","No"))</f>
        <v/>
      </c>
      <c r="CA603" s="36" t="str">
        <f aca="false">IF(Q603="","",IF(Q603&gt;=250000,"Yes","No"))</f>
        <v/>
      </c>
      <c r="CB603" s="36" t="str">
        <f aca="false">IF(Q603="","",IF(Q603&gt;=300000,"Yes","No"))</f>
        <v/>
      </c>
      <c r="CC603" s="37"/>
      <c r="CD603" s="36" t="str">
        <f aca="true">IF(B603="","",IF(TODAY()-B603&lt;=7,"🟢 0-7d",IF(TODAY()-B603&lt;=30,"🟡 8-30d",IF(TODAY()-B603&lt;=60,"🟠 31-60d","🔴 60d+"))))</f>
        <v/>
      </c>
      <c r="CE603" s="36" t="str">
        <f aca="false">IF(G603="","",IF(G603&lt;&gt;"USA","N/A - Not USA Role",IF(J603="Yes",IF(OR(F603="Intern",F603="New Grad"),"🟡 Possible","🟢 Strong"),IF(J603="No","🔴 Difficult","⚪ Unknown"))))</f>
        <v/>
      </c>
      <c r="CF603" s="37"/>
      <c r="CG603" s="37"/>
      <c r="CH603" s="38"/>
      <c r="CI603" s="38"/>
      <c r="CJ603" s="38"/>
      <c r="CK603" s="38"/>
    </row>
    <row r="604" customFormat="false" ht="15" hidden="false" customHeight="true" outlineLevel="0" collapsed="false">
      <c r="A604" s="26" t="str">
        <f aca="false">IF($C604="","",ROW()-3)</f>
        <v/>
      </c>
      <c r="B604" s="27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9"/>
      <c r="N604" s="29"/>
      <c r="O604" s="30" t="str">
        <f aca="false">IFERROR(IF(M604="","",M604*INDEX('00 - Lists'!$M$2:$M$11,MATCH(L604,'00 - Lists'!$L$2:$L$11,0))/100000),"")</f>
        <v/>
      </c>
      <c r="P604" s="30" t="str">
        <f aca="false">IFERROR(IF(N604="","",N604*INDEX('00 - Lists'!$M$2:$M$11,MATCH(L604,'00 - Lists'!$L$2:$L$11,0))/100000),"")</f>
        <v/>
      </c>
      <c r="Q604" s="31" t="str">
        <f aca="false">IFERROR(IF(M604="","",M604*INDEX('00 - Lists'!$N$2:$N$11,MATCH(L604,'00 - Lists'!$L$2:$L$11,0))),"")</f>
        <v/>
      </c>
      <c r="R604" s="31" t="str">
        <f aca="false">IFERROR(IF(N604="","",N604*INDEX('00 - Lists'!$N$2:$N$11,MATCH(L604,'00 - Lists'!$L$2:$L$11,0))),"")</f>
        <v/>
      </c>
      <c r="S604" s="32" t="str">
        <f aca="false">IF(O604="","",IF(O604&gt;=50,"Yes","No"))</f>
        <v/>
      </c>
      <c r="T604" s="32" t="str">
        <f aca="false">IF(Q604="","",IF(Q604&gt;=100000,"Yes","No"))</f>
        <v/>
      </c>
      <c r="U604" s="28"/>
      <c r="V604" s="28"/>
      <c r="W604" s="28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J604" s="34" t="str">
        <f aca="false">IF(OR($BD604&lt;&gt;"",$BF604&lt;&gt;"",$BH604&lt;&gt;""),"Yes","No")</f>
        <v>No</v>
      </c>
      <c r="BK604" s="35" t="str">
        <f aca="false">IFERROR(IF(BD604="","",BD604*INDEX('00 - Lists'!$M$2:$M$11,MATCH(L604,'00 - Lists'!$L$2:$L$11,0))/100000),"")</f>
        <v/>
      </c>
      <c r="BL604" s="35" t="str">
        <f aca="false">IFERROR(IF(BE604="","",BE604*INDEX('00 - Lists'!$M$2:$M$11,MATCH(L604,'00 - Lists'!$L$2:$L$11,0))/100000),"")</f>
        <v/>
      </c>
      <c r="BM604" s="35" t="str">
        <f aca="false">IFERROR(IF(BF604="","",BF604*INDEX('00 - Lists'!$M$2:$M$11,MATCH(L604,'00 - Lists'!$L$2:$L$11,0))/100000),"")</f>
        <v/>
      </c>
      <c r="BN604" s="35" t="str">
        <f aca="false">IFERROR(IF(BG604="","",BG604*INDEX('00 - Lists'!$M$2:$M$11,MATCH(L604,'00 - Lists'!$L$2:$L$11,0))/100000),"")</f>
        <v/>
      </c>
      <c r="BO604" s="35" t="str">
        <f aca="false">IFERROR(IF(BH604="","",BH604*INDEX('00 - Lists'!$M$2:$M$11,MATCH(L604,'00 - Lists'!$L$2:$L$11,0))/100000),"")</f>
        <v/>
      </c>
      <c r="BP604" s="35" t="str">
        <f aca="false">IFERROR(IF(BI604="","",BI604*INDEX('00 - Lists'!$M$2:$M$11,MATCH(L604,'00 - Lists'!$L$2:$L$11,0))/100000),"")</f>
        <v/>
      </c>
      <c r="BS604" s="36" t="str">
        <f aca="false">IF(O604="","",IF(O604&gt;=20,"Yes","No"))</f>
        <v/>
      </c>
      <c r="BT604" s="36" t="str">
        <f aca="false">IF(O604="","",IF(O604&gt;=30,"Yes","No"))</f>
        <v/>
      </c>
      <c r="BU604" s="36" t="str">
        <f aca="false">IF(O604="","",IF(O604&gt;=75,"Yes","No"))</f>
        <v/>
      </c>
      <c r="BV604" s="36" t="str">
        <f aca="false">IF(O604="","",IF(O604&gt;=100,"Yes","No"))</f>
        <v/>
      </c>
      <c r="BW604" s="36" t="str">
        <f aca="false">IF(O604="","",IF(O604&gt;=150,"Yes","No"))</f>
        <v/>
      </c>
      <c r="BX604" s="36" t="str">
        <f aca="false">IF(O604="","",IF(O604&gt;=200,"Yes","No"))</f>
        <v/>
      </c>
      <c r="BY604" s="36" t="str">
        <f aca="false">IF(Q604="","",IF(Q604&gt;=150000,"Yes","No"))</f>
        <v/>
      </c>
      <c r="BZ604" s="36" t="str">
        <f aca="false">IF(Q604="","",IF(Q604&gt;=200000,"Yes","No"))</f>
        <v/>
      </c>
      <c r="CA604" s="36" t="str">
        <f aca="false">IF(Q604="","",IF(Q604&gt;=250000,"Yes","No"))</f>
        <v/>
      </c>
      <c r="CB604" s="36" t="str">
        <f aca="false">IF(Q604="","",IF(Q604&gt;=300000,"Yes","No"))</f>
        <v/>
      </c>
      <c r="CC604" s="37"/>
      <c r="CD604" s="36" t="str">
        <f aca="true">IF(B604="","",IF(TODAY()-B604&lt;=7,"🟢 0-7d",IF(TODAY()-B604&lt;=30,"🟡 8-30d",IF(TODAY()-B604&lt;=60,"🟠 31-60d","🔴 60d+"))))</f>
        <v/>
      </c>
      <c r="CE604" s="36" t="str">
        <f aca="false">IF(G604="","",IF(G604&lt;&gt;"USA","N/A - Not USA Role",IF(J604="Yes",IF(OR(F604="Intern",F604="New Grad"),"🟡 Possible","🟢 Strong"),IF(J604="No","🔴 Difficult","⚪ Unknown"))))</f>
        <v/>
      </c>
      <c r="CF604" s="37"/>
      <c r="CG604" s="37"/>
      <c r="CH604" s="38"/>
      <c r="CI604" s="38"/>
      <c r="CJ604" s="38"/>
      <c r="CK604" s="38"/>
    </row>
    <row r="605" customFormat="false" ht="15" hidden="false" customHeight="true" outlineLevel="0" collapsed="false">
      <c r="A605" s="26" t="str">
        <f aca="false">IF($C605="","",ROW()-3)</f>
        <v/>
      </c>
      <c r="B605" s="27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9"/>
      <c r="N605" s="29"/>
      <c r="O605" s="30" t="str">
        <f aca="false">IFERROR(IF(M605="","",M605*INDEX('00 - Lists'!$M$2:$M$11,MATCH(L605,'00 - Lists'!$L$2:$L$11,0))/100000),"")</f>
        <v/>
      </c>
      <c r="P605" s="30" t="str">
        <f aca="false">IFERROR(IF(N605="","",N605*INDEX('00 - Lists'!$M$2:$M$11,MATCH(L605,'00 - Lists'!$L$2:$L$11,0))/100000),"")</f>
        <v/>
      </c>
      <c r="Q605" s="31" t="str">
        <f aca="false">IFERROR(IF(M605="","",M605*INDEX('00 - Lists'!$N$2:$N$11,MATCH(L605,'00 - Lists'!$L$2:$L$11,0))),"")</f>
        <v/>
      </c>
      <c r="R605" s="31" t="str">
        <f aca="false">IFERROR(IF(N605="","",N605*INDEX('00 - Lists'!$N$2:$N$11,MATCH(L605,'00 - Lists'!$L$2:$L$11,0))),"")</f>
        <v/>
      </c>
      <c r="S605" s="32" t="str">
        <f aca="false">IF(O605="","",IF(O605&gt;=50,"Yes","No"))</f>
        <v/>
      </c>
      <c r="T605" s="32" t="str">
        <f aca="false">IF(Q605="","",IF(Q605&gt;=100000,"Yes","No"))</f>
        <v/>
      </c>
      <c r="U605" s="28"/>
      <c r="V605" s="28"/>
      <c r="W605" s="28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J605" s="34" t="str">
        <f aca="false">IF(OR($BD605&lt;&gt;"",$BF605&lt;&gt;"",$BH605&lt;&gt;""),"Yes","No")</f>
        <v>No</v>
      </c>
      <c r="BK605" s="35" t="str">
        <f aca="false">IFERROR(IF(BD605="","",BD605*INDEX('00 - Lists'!$M$2:$M$11,MATCH(L605,'00 - Lists'!$L$2:$L$11,0))/100000),"")</f>
        <v/>
      </c>
      <c r="BL605" s="35" t="str">
        <f aca="false">IFERROR(IF(BE605="","",BE605*INDEX('00 - Lists'!$M$2:$M$11,MATCH(L605,'00 - Lists'!$L$2:$L$11,0))/100000),"")</f>
        <v/>
      </c>
      <c r="BM605" s="35" t="str">
        <f aca="false">IFERROR(IF(BF605="","",BF605*INDEX('00 - Lists'!$M$2:$M$11,MATCH(L605,'00 - Lists'!$L$2:$L$11,0))/100000),"")</f>
        <v/>
      </c>
      <c r="BN605" s="35" t="str">
        <f aca="false">IFERROR(IF(BG605="","",BG605*INDEX('00 - Lists'!$M$2:$M$11,MATCH(L605,'00 - Lists'!$L$2:$L$11,0))/100000),"")</f>
        <v/>
      </c>
      <c r="BO605" s="35" t="str">
        <f aca="false">IFERROR(IF(BH605="","",BH605*INDEX('00 - Lists'!$M$2:$M$11,MATCH(L605,'00 - Lists'!$L$2:$L$11,0))/100000),"")</f>
        <v/>
      </c>
      <c r="BP605" s="35" t="str">
        <f aca="false">IFERROR(IF(BI605="","",BI605*INDEX('00 - Lists'!$M$2:$M$11,MATCH(L605,'00 - Lists'!$L$2:$L$11,0))/100000),"")</f>
        <v/>
      </c>
      <c r="BS605" s="36" t="str">
        <f aca="false">IF(O605="","",IF(O605&gt;=20,"Yes","No"))</f>
        <v/>
      </c>
      <c r="BT605" s="36" t="str">
        <f aca="false">IF(O605="","",IF(O605&gt;=30,"Yes","No"))</f>
        <v/>
      </c>
      <c r="BU605" s="36" t="str">
        <f aca="false">IF(O605="","",IF(O605&gt;=75,"Yes","No"))</f>
        <v/>
      </c>
      <c r="BV605" s="36" t="str">
        <f aca="false">IF(O605="","",IF(O605&gt;=100,"Yes","No"))</f>
        <v/>
      </c>
      <c r="BW605" s="36" t="str">
        <f aca="false">IF(O605="","",IF(O605&gt;=150,"Yes","No"))</f>
        <v/>
      </c>
      <c r="BX605" s="36" t="str">
        <f aca="false">IF(O605="","",IF(O605&gt;=200,"Yes","No"))</f>
        <v/>
      </c>
      <c r="BY605" s="36" t="str">
        <f aca="false">IF(Q605="","",IF(Q605&gt;=150000,"Yes","No"))</f>
        <v/>
      </c>
      <c r="BZ605" s="36" t="str">
        <f aca="false">IF(Q605="","",IF(Q605&gt;=200000,"Yes","No"))</f>
        <v/>
      </c>
      <c r="CA605" s="36" t="str">
        <f aca="false">IF(Q605="","",IF(Q605&gt;=250000,"Yes","No"))</f>
        <v/>
      </c>
      <c r="CB605" s="36" t="str">
        <f aca="false">IF(Q605="","",IF(Q605&gt;=300000,"Yes","No"))</f>
        <v/>
      </c>
      <c r="CC605" s="37"/>
      <c r="CD605" s="36" t="str">
        <f aca="true">IF(B605="","",IF(TODAY()-B605&lt;=7,"🟢 0-7d",IF(TODAY()-B605&lt;=30,"🟡 8-30d",IF(TODAY()-B605&lt;=60,"🟠 31-60d","🔴 60d+"))))</f>
        <v/>
      </c>
      <c r="CE605" s="36" t="str">
        <f aca="false">IF(G605="","",IF(G605&lt;&gt;"USA","N/A - Not USA Role",IF(J605="Yes",IF(OR(F605="Intern",F605="New Grad"),"🟡 Possible","🟢 Strong"),IF(J605="No","🔴 Difficult","⚪ Unknown"))))</f>
        <v/>
      </c>
      <c r="CF605" s="37"/>
      <c r="CG605" s="37"/>
      <c r="CH605" s="38"/>
      <c r="CI605" s="38"/>
      <c r="CJ605" s="38"/>
      <c r="CK605" s="38"/>
    </row>
    <row r="606" customFormat="false" ht="15" hidden="false" customHeight="true" outlineLevel="0" collapsed="false">
      <c r="A606" s="26" t="str">
        <f aca="false">IF($C606="","",ROW()-3)</f>
        <v/>
      </c>
      <c r="B606" s="27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9"/>
      <c r="N606" s="29"/>
      <c r="O606" s="30" t="str">
        <f aca="false">IFERROR(IF(M606="","",M606*INDEX('00 - Lists'!$M$2:$M$11,MATCH(L606,'00 - Lists'!$L$2:$L$11,0))/100000),"")</f>
        <v/>
      </c>
      <c r="P606" s="30" t="str">
        <f aca="false">IFERROR(IF(N606="","",N606*INDEX('00 - Lists'!$M$2:$M$11,MATCH(L606,'00 - Lists'!$L$2:$L$11,0))/100000),"")</f>
        <v/>
      </c>
      <c r="Q606" s="31" t="str">
        <f aca="false">IFERROR(IF(M606="","",M606*INDEX('00 - Lists'!$N$2:$N$11,MATCH(L606,'00 - Lists'!$L$2:$L$11,0))),"")</f>
        <v/>
      </c>
      <c r="R606" s="31" t="str">
        <f aca="false">IFERROR(IF(N606="","",N606*INDEX('00 - Lists'!$N$2:$N$11,MATCH(L606,'00 - Lists'!$L$2:$L$11,0))),"")</f>
        <v/>
      </c>
      <c r="S606" s="32" t="str">
        <f aca="false">IF(O606="","",IF(O606&gt;=50,"Yes","No"))</f>
        <v/>
      </c>
      <c r="T606" s="32" t="str">
        <f aca="false">IF(Q606="","",IF(Q606&gt;=100000,"Yes","No"))</f>
        <v/>
      </c>
      <c r="U606" s="28"/>
      <c r="V606" s="28"/>
      <c r="W606" s="28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J606" s="34" t="str">
        <f aca="false">IF(OR($BD606&lt;&gt;"",$BF606&lt;&gt;"",$BH606&lt;&gt;""),"Yes","No")</f>
        <v>No</v>
      </c>
      <c r="BK606" s="35" t="str">
        <f aca="false">IFERROR(IF(BD606="","",BD606*INDEX('00 - Lists'!$M$2:$M$11,MATCH(L606,'00 - Lists'!$L$2:$L$11,0))/100000),"")</f>
        <v/>
      </c>
      <c r="BL606" s="35" t="str">
        <f aca="false">IFERROR(IF(BE606="","",BE606*INDEX('00 - Lists'!$M$2:$M$11,MATCH(L606,'00 - Lists'!$L$2:$L$11,0))/100000),"")</f>
        <v/>
      </c>
      <c r="BM606" s="35" t="str">
        <f aca="false">IFERROR(IF(BF606="","",BF606*INDEX('00 - Lists'!$M$2:$M$11,MATCH(L606,'00 - Lists'!$L$2:$L$11,0))/100000),"")</f>
        <v/>
      </c>
      <c r="BN606" s="35" t="str">
        <f aca="false">IFERROR(IF(BG606="","",BG606*INDEX('00 - Lists'!$M$2:$M$11,MATCH(L606,'00 - Lists'!$L$2:$L$11,0))/100000),"")</f>
        <v/>
      </c>
      <c r="BO606" s="35" t="str">
        <f aca="false">IFERROR(IF(BH606="","",BH606*INDEX('00 - Lists'!$M$2:$M$11,MATCH(L606,'00 - Lists'!$L$2:$L$11,0))/100000),"")</f>
        <v/>
      </c>
      <c r="BP606" s="35" t="str">
        <f aca="false">IFERROR(IF(BI606="","",BI606*INDEX('00 - Lists'!$M$2:$M$11,MATCH(L606,'00 - Lists'!$L$2:$L$11,0))/100000),"")</f>
        <v/>
      </c>
      <c r="BS606" s="36" t="str">
        <f aca="false">IF(O606="","",IF(O606&gt;=20,"Yes","No"))</f>
        <v/>
      </c>
      <c r="BT606" s="36" t="str">
        <f aca="false">IF(O606="","",IF(O606&gt;=30,"Yes","No"))</f>
        <v/>
      </c>
      <c r="BU606" s="36" t="str">
        <f aca="false">IF(O606="","",IF(O606&gt;=75,"Yes","No"))</f>
        <v/>
      </c>
      <c r="BV606" s="36" t="str">
        <f aca="false">IF(O606="","",IF(O606&gt;=100,"Yes","No"))</f>
        <v/>
      </c>
      <c r="BW606" s="36" t="str">
        <f aca="false">IF(O606="","",IF(O606&gt;=150,"Yes","No"))</f>
        <v/>
      </c>
      <c r="BX606" s="36" t="str">
        <f aca="false">IF(O606="","",IF(O606&gt;=200,"Yes","No"))</f>
        <v/>
      </c>
      <c r="BY606" s="36" t="str">
        <f aca="false">IF(Q606="","",IF(Q606&gt;=150000,"Yes","No"))</f>
        <v/>
      </c>
      <c r="BZ606" s="36" t="str">
        <f aca="false">IF(Q606="","",IF(Q606&gt;=200000,"Yes","No"))</f>
        <v/>
      </c>
      <c r="CA606" s="36" t="str">
        <f aca="false">IF(Q606="","",IF(Q606&gt;=250000,"Yes","No"))</f>
        <v/>
      </c>
      <c r="CB606" s="36" t="str">
        <f aca="false">IF(Q606="","",IF(Q606&gt;=300000,"Yes","No"))</f>
        <v/>
      </c>
      <c r="CC606" s="37"/>
      <c r="CD606" s="36" t="str">
        <f aca="true">IF(B606="","",IF(TODAY()-B606&lt;=7,"🟢 0-7d",IF(TODAY()-B606&lt;=30,"🟡 8-30d",IF(TODAY()-B606&lt;=60,"🟠 31-60d","🔴 60d+"))))</f>
        <v/>
      </c>
      <c r="CE606" s="36" t="str">
        <f aca="false">IF(G606="","",IF(G606&lt;&gt;"USA","N/A - Not USA Role",IF(J606="Yes",IF(OR(F606="Intern",F606="New Grad"),"🟡 Possible","🟢 Strong"),IF(J606="No","🔴 Difficult","⚪ Unknown"))))</f>
        <v/>
      </c>
      <c r="CF606" s="37"/>
      <c r="CG606" s="37"/>
      <c r="CH606" s="38"/>
      <c r="CI606" s="38"/>
      <c r="CJ606" s="38"/>
      <c r="CK606" s="38"/>
    </row>
    <row r="607" customFormat="false" ht="15" hidden="false" customHeight="true" outlineLevel="0" collapsed="false">
      <c r="A607" s="26" t="str">
        <f aca="false">IF($C607="","",ROW()-3)</f>
        <v/>
      </c>
      <c r="B607" s="27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9"/>
      <c r="N607" s="29"/>
      <c r="O607" s="30" t="str">
        <f aca="false">IFERROR(IF(M607="","",M607*INDEX('00 - Lists'!$M$2:$M$11,MATCH(L607,'00 - Lists'!$L$2:$L$11,0))/100000),"")</f>
        <v/>
      </c>
      <c r="P607" s="30" t="str">
        <f aca="false">IFERROR(IF(N607="","",N607*INDEX('00 - Lists'!$M$2:$M$11,MATCH(L607,'00 - Lists'!$L$2:$L$11,0))/100000),"")</f>
        <v/>
      </c>
      <c r="Q607" s="31" t="str">
        <f aca="false">IFERROR(IF(M607="","",M607*INDEX('00 - Lists'!$N$2:$N$11,MATCH(L607,'00 - Lists'!$L$2:$L$11,0))),"")</f>
        <v/>
      </c>
      <c r="R607" s="31" t="str">
        <f aca="false">IFERROR(IF(N607="","",N607*INDEX('00 - Lists'!$N$2:$N$11,MATCH(L607,'00 - Lists'!$L$2:$L$11,0))),"")</f>
        <v/>
      </c>
      <c r="S607" s="32" t="str">
        <f aca="false">IF(O607="","",IF(O607&gt;=50,"Yes","No"))</f>
        <v/>
      </c>
      <c r="T607" s="32" t="str">
        <f aca="false">IF(Q607="","",IF(Q607&gt;=100000,"Yes","No"))</f>
        <v/>
      </c>
      <c r="U607" s="28"/>
      <c r="V607" s="28"/>
      <c r="W607" s="28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J607" s="34" t="str">
        <f aca="false">IF(OR($BD607&lt;&gt;"",$BF607&lt;&gt;"",$BH607&lt;&gt;""),"Yes","No")</f>
        <v>No</v>
      </c>
      <c r="BK607" s="35" t="str">
        <f aca="false">IFERROR(IF(BD607="","",BD607*INDEX('00 - Lists'!$M$2:$M$11,MATCH(L607,'00 - Lists'!$L$2:$L$11,0))/100000),"")</f>
        <v/>
      </c>
      <c r="BL607" s="35" t="str">
        <f aca="false">IFERROR(IF(BE607="","",BE607*INDEX('00 - Lists'!$M$2:$M$11,MATCH(L607,'00 - Lists'!$L$2:$L$11,0))/100000),"")</f>
        <v/>
      </c>
      <c r="BM607" s="35" t="str">
        <f aca="false">IFERROR(IF(BF607="","",BF607*INDEX('00 - Lists'!$M$2:$M$11,MATCH(L607,'00 - Lists'!$L$2:$L$11,0))/100000),"")</f>
        <v/>
      </c>
      <c r="BN607" s="35" t="str">
        <f aca="false">IFERROR(IF(BG607="","",BG607*INDEX('00 - Lists'!$M$2:$M$11,MATCH(L607,'00 - Lists'!$L$2:$L$11,0))/100000),"")</f>
        <v/>
      </c>
      <c r="BO607" s="35" t="str">
        <f aca="false">IFERROR(IF(BH607="","",BH607*INDEX('00 - Lists'!$M$2:$M$11,MATCH(L607,'00 - Lists'!$L$2:$L$11,0))/100000),"")</f>
        <v/>
      </c>
      <c r="BP607" s="35" t="str">
        <f aca="false">IFERROR(IF(BI607="","",BI607*INDEX('00 - Lists'!$M$2:$M$11,MATCH(L607,'00 - Lists'!$L$2:$L$11,0))/100000),"")</f>
        <v/>
      </c>
      <c r="BS607" s="36" t="str">
        <f aca="false">IF(O607="","",IF(O607&gt;=20,"Yes","No"))</f>
        <v/>
      </c>
      <c r="BT607" s="36" t="str">
        <f aca="false">IF(O607="","",IF(O607&gt;=30,"Yes","No"))</f>
        <v/>
      </c>
      <c r="BU607" s="36" t="str">
        <f aca="false">IF(O607="","",IF(O607&gt;=75,"Yes","No"))</f>
        <v/>
      </c>
      <c r="BV607" s="36" t="str">
        <f aca="false">IF(O607="","",IF(O607&gt;=100,"Yes","No"))</f>
        <v/>
      </c>
      <c r="BW607" s="36" t="str">
        <f aca="false">IF(O607="","",IF(O607&gt;=150,"Yes","No"))</f>
        <v/>
      </c>
      <c r="BX607" s="36" t="str">
        <f aca="false">IF(O607="","",IF(O607&gt;=200,"Yes","No"))</f>
        <v/>
      </c>
      <c r="BY607" s="36" t="str">
        <f aca="false">IF(Q607="","",IF(Q607&gt;=150000,"Yes","No"))</f>
        <v/>
      </c>
      <c r="BZ607" s="36" t="str">
        <f aca="false">IF(Q607="","",IF(Q607&gt;=200000,"Yes","No"))</f>
        <v/>
      </c>
      <c r="CA607" s="36" t="str">
        <f aca="false">IF(Q607="","",IF(Q607&gt;=250000,"Yes","No"))</f>
        <v/>
      </c>
      <c r="CB607" s="36" t="str">
        <f aca="false">IF(Q607="","",IF(Q607&gt;=300000,"Yes","No"))</f>
        <v/>
      </c>
      <c r="CC607" s="37"/>
      <c r="CD607" s="36" t="str">
        <f aca="true">IF(B607="","",IF(TODAY()-B607&lt;=7,"🟢 0-7d",IF(TODAY()-B607&lt;=30,"🟡 8-30d",IF(TODAY()-B607&lt;=60,"🟠 31-60d","🔴 60d+"))))</f>
        <v/>
      </c>
      <c r="CE607" s="36" t="str">
        <f aca="false">IF(G607="","",IF(G607&lt;&gt;"USA","N/A - Not USA Role",IF(J607="Yes",IF(OR(F607="Intern",F607="New Grad"),"🟡 Possible","🟢 Strong"),IF(J607="No","🔴 Difficult","⚪ Unknown"))))</f>
        <v/>
      </c>
      <c r="CF607" s="37"/>
      <c r="CG607" s="37"/>
      <c r="CH607" s="38"/>
      <c r="CI607" s="38"/>
      <c r="CJ607" s="38"/>
      <c r="CK607" s="38"/>
    </row>
    <row r="608" customFormat="false" ht="15" hidden="false" customHeight="true" outlineLevel="0" collapsed="false">
      <c r="A608" s="26" t="str">
        <f aca="false">IF($C608="","",ROW()-3)</f>
        <v/>
      </c>
      <c r="B608" s="27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9"/>
      <c r="N608" s="29"/>
      <c r="O608" s="30" t="str">
        <f aca="false">IFERROR(IF(M608="","",M608*INDEX('00 - Lists'!$M$2:$M$11,MATCH(L608,'00 - Lists'!$L$2:$L$11,0))/100000),"")</f>
        <v/>
      </c>
      <c r="P608" s="30" t="str">
        <f aca="false">IFERROR(IF(N608="","",N608*INDEX('00 - Lists'!$M$2:$M$11,MATCH(L608,'00 - Lists'!$L$2:$L$11,0))/100000),"")</f>
        <v/>
      </c>
      <c r="Q608" s="31" t="str">
        <f aca="false">IFERROR(IF(M608="","",M608*INDEX('00 - Lists'!$N$2:$N$11,MATCH(L608,'00 - Lists'!$L$2:$L$11,0))),"")</f>
        <v/>
      </c>
      <c r="R608" s="31" t="str">
        <f aca="false">IFERROR(IF(N608="","",N608*INDEX('00 - Lists'!$N$2:$N$11,MATCH(L608,'00 - Lists'!$L$2:$L$11,0))),"")</f>
        <v/>
      </c>
      <c r="S608" s="32" t="str">
        <f aca="false">IF(O608="","",IF(O608&gt;=50,"Yes","No"))</f>
        <v/>
      </c>
      <c r="T608" s="32" t="str">
        <f aca="false">IF(Q608="","",IF(Q608&gt;=100000,"Yes","No"))</f>
        <v/>
      </c>
      <c r="U608" s="28"/>
      <c r="V608" s="28"/>
      <c r="W608" s="28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J608" s="34" t="str">
        <f aca="false">IF(OR($BD608&lt;&gt;"",$BF608&lt;&gt;"",$BH608&lt;&gt;""),"Yes","No")</f>
        <v>No</v>
      </c>
      <c r="BK608" s="35" t="str">
        <f aca="false">IFERROR(IF(BD608="","",BD608*INDEX('00 - Lists'!$M$2:$M$11,MATCH(L608,'00 - Lists'!$L$2:$L$11,0))/100000),"")</f>
        <v/>
      </c>
      <c r="BL608" s="35" t="str">
        <f aca="false">IFERROR(IF(BE608="","",BE608*INDEX('00 - Lists'!$M$2:$M$11,MATCH(L608,'00 - Lists'!$L$2:$L$11,0))/100000),"")</f>
        <v/>
      </c>
      <c r="BM608" s="35" t="str">
        <f aca="false">IFERROR(IF(BF608="","",BF608*INDEX('00 - Lists'!$M$2:$M$11,MATCH(L608,'00 - Lists'!$L$2:$L$11,0))/100000),"")</f>
        <v/>
      </c>
      <c r="BN608" s="35" t="str">
        <f aca="false">IFERROR(IF(BG608="","",BG608*INDEX('00 - Lists'!$M$2:$M$11,MATCH(L608,'00 - Lists'!$L$2:$L$11,0))/100000),"")</f>
        <v/>
      </c>
      <c r="BO608" s="35" t="str">
        <f aca="false">IFERROR(IF(BH608="","",BH608*INDEX('00 - Lists'!$M$2:$M$11,MATCH(L608,'00 - Lists'!$L$2:$L$11,0))/100000),"")</f>
        <v/>
      </c>
      <c r="BP608" s="35" t="str">
        <f aca="false">IFERROR(IF(BI608="","",BI608*INDEX('00 - Lists'!$M$2:$M$11,MATCH(L608,'00 - Lists'!$L$2:$L$11,0))/100000),"")</f>
        <v/>
      </c>
      <c r="BS608" s="36" t="str">
        <f aca="false">IF(O608="","",IF(O608&gt;=20,"Yes","No"))</f>
        <v/>
      </c>
      <c r="BT608" s="36" t="str">
        <f aca="false">IF(O608="","",IF(O608&gt;=30,"Yes","No"))</f>
        <v/>
      </c>
      <c r="BU608" s="36" t="str">
        <f aca="false">IF(O608="","",IF(O608&gt;=75,"Yes","No"))</f>
        <v/>
      </c>
      <c r="BV608" s="36" t="str">
        <f aca="false">IF(O608="","",IF(O608&gt;=100,"Yes","No"))</f>
        <v/>
      </c>
      <c r="BW608" s="36" t="str">
        <f aca="false">IF(O608="","",IF(O608&gt;=150,"Yes","No"))</f>
        <v/>
      </c>
      <c r="BX608" s="36" t="str">
        <f aca="false">IF(O608="","",IF(O608&gt;=200,"Yes","No"))</f>
        <v/>
      </c>
      <c r="BY608" s="36" t="str">
        <f aca="false">IF(Q608="","",IF(Q608&gt;=150000,"Yes","No"))</f>
        <v/>
      </c>
      <c r="BZ608" s="36" t="str">
        <f aca="false">IF(Q608="","",IF(Q608&gt;=200000,"Yes","No"))</f>
        <v/>
      </c>
      <c r="CA608" s="36" t="str">
        <f aca="false">IF(Q608="","",IF(Q608&gt;=250000,"Yes","No"))</f>
        <v/>
      </c>
      <c r="CB608" s="36" t="str">
        <f aca="false">IF(Q608="","",IF(Q608&gt;=300000,"Yes","No"))</f>
        <v/>
      </c>
      <c r="CC608" s="37"/>
      <c r="CD608" s="36" t="str">
        <f aca="true">IF(B608="","",IF(TODAY()-B608&lt;=7,"🟢 0-7d",IF(TODAY()-B608&lt;=30,"🟡 8-30d",IF(TODAY()-B608&lt;=60,"🟠 31-60d","🔴 60d+"))))</f>
        <v/>
      </c>
      <c r="CE608" s="36" t="str">
        <f aca="false">IF(G608="","",IF(G608&lt;&gt;"USA","N/A - Not USA Role",IF(J608="Yes",IF(OR(F608="Intern",F608="New Grad"),"🟡 Possible","🟢 Strong"),IF(J608="No","🔴 Difficult","⚪ Unknown"))))</f>
        <v/>
      </c>
      <c r="CF608" s="37"/>
      <c r="CG608" s="37"/>
      <c r="CH608" s="38"/>
      <c r="CI608" s="38"/>
      <c r="CJ608" s="38"/>
      <c r="CK608" s="38"/>
    </row>
    <row r="609" customFormat="false" ht="15" hidden="false" customHeight="true" outlineLevel="0" collapsed="false">
      <c r="A609" s="26" t="str">
        <f aca="false">IF($C609="","",ROW()-3)</f>
        <v/>
      </c>
      <c r="B609" s="27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9"/>
      <c r="N609" s="29"/>
      <c r="O609" s="30" t="str">
        <f aca="false">IFERROR(IF(M609="","",M609*INDEX('00 - Lists'!$M$2:$M$11,MATCH(L609,'00 - Lists'!$L$2:$L$11,0))/100000),"")</f>
        <v/>
      </c>
      <c r="P609" s="30" t="str">
        <f aca="false">IFERROR(IF(N609="","",N609*INDEX('00 - Lists'!$M$2:$M$11,MATCH(L609,'00 - Lists'!$L$2:$L$11,0))/100000),"")</f>
        <v/>
      </c>
      <c r="Q609" s="31" t="str">
        <f aca="false">IFERROR(IF(M609="","",M609*INDEX('00 - Lists'!$N$2:$N$11,MATCH(L609,'00 - Lists'!$L$2:$L$11,0))),"")</f>
        <v/>
      </c>
      <c r="R609" s="31" t="str">
        <f aca="false">IFERROR(IF(N609="","",N609*INDEX('00 - Lists'!$N$2:$N$11,MATCH(L609,'00 - Lists'!$L$2:$L$11,0))),"")</f>
        <v/>
      </c>
      <c r="S609" s="32" t="str">
        <f aca="false">IF(O609="","",IF(O609&gt;=50,"Yes","No"))</f>
        <v/>
      </c>
      <c r="T609" s="32" t="str">
        <f aca="false">IF(Q609="","",IF(Q609&gt;=100000,"Yes","No"))</f>
        <v/>
      </c>
      <c r="U609" s="28"/>
      <c r="V609" s="28"/>
      <c r="W609" s="28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J609" s="34" t="str">
        <f aca="false">IF(OR($BD609&lt;&gt;"",$BF609&lt;&gt;"",$BH609&lt;&gt;""),"Yes","No")</f>
        <v>No</v>
      </c>
      <c r="BK609" s="35" t="str">
        <f aca="false">IFERROR(IF(BD609="","",BD609*INDEX('00 - Lists'!$M$2:$M$11,MATCH(L609,'00 - Lists'!$L$2:$L$11,0))/100000),"")</f>
        <v/>
      </c>
      <c r="BL609" s="35" t="str">
        <f aca="false">IFERROR(IF(BE609="","",BE609*INDEX('00 - Lists'!$M$2:$M$11,MATCH(L609,'00 - Lists'!$L$2:$L$11,0))/100000),"")</f>
        <v/>
      </c>
      <c r="BM609" s="35" t="str">
        <f aca="false">IFERROR(IF(BF609="","",BF609*INDEX('00 - Lists'!$M$2:$M$11,MATCH(L609,'00 - Lists'!$L$2:$L$11,0))/100000),"")</f>
        <v/>
      </c>
      <c r="BN609" s="35" t="str">
        <f aca="false">IFERROR(IF(BG609="","",BG609*INDEX('00 - Lists'!$M$2:$M$11,MATCH(L609,'00 - Lists'!$L$2:$L$11,0))/100000),"")</f>
        <v/>
      </c>
      <c r="BO609" s="35" t="str">
        <f aca="false">IFERROR(IF(BH609="","",BH609*INDEX('00 - Lists'!$M$2:$M$11,MATCH(L609,'00 - Lists'!$L$2:$L$11,0))/100000),"")</f>
        <v/>
      </c>
      <c r="BP609" s="35" t="str">
        <f aca="false">IFERROR(IF(BI609="","",BI609*INDEX('00 - Lists'!$M$2:$M$11,MATCH(L609,'00 - Lists'!$L$2:$L$11,0))/100000),"")</f>
        <v/>
      </c>
      <c r="BS609" s="36" t="str">
        <f aca="false">IF(O609="","",IF(O609&gt;=20,"Yes","No"))</f>
        <v/>
      </c>
      <c r="BT609" s="36" t="str">
        <f aca="false">IF(O609="","",IF(O609&gt;=30,"Yes","No"))</f>
        <v/>
      </c>
      <c r="BU609" s="36" t="str">
        <f aca="false">IF(O609="","",IF(O609&gt;=75,"Yes","No"))</f>
        <v/>
      </c>
      <c r="BV609" s="36" t="str">
        <f aca="false">IF(O609="","",IF(O609&gt;=100,"Yes","No"))</f>
        <v/>
      </c>
      <c r="BW609" s="36" t="str">
        <f aca="false">IF(O609="","",IF(O609&gt;=150,"Yes","No"))</f>
        <v/>
      </c>
      <c r="BX609" s="36" t="str">
        <f aca="false">IF(O609="","",IF(O609&gt;=200,"Yes","No"))</f>
        <v/>
      </c>
      <c r="BY609" s="36" t="str">
        <f aca="false">IF(Q609="","",IF(Q609&gt;=150000,"Yes","No"))</f>
        <v/>
      </c>
      <c r="BZ609" s="36" t="str">
        <f aca="false">IF(Q609="","",IF(Q609&gt;=200000,"Yes","No"))</f>
        <v/>
      </c>
      <c r="CA609" s="36" t="str">
        <f aca="false">IF(Q609="","",IF(Q609&gt;=250000,"Yes","No"))</f>
        <v/>
      </c>
      <c r="CB609" s="36" t="str">
        <f aca="false">IF(Q609="","",IF(Q609&gt;=300000,"Yes","No"))</f>
        <v/>
      </c>
      <c r="CC609" s="37"/>
      <c r="CD609" s="36" t="str">
        <f aca="true">IF(B609="","",IF(TODAY()-B609&lt;=7,"🟢 0-7d",IF(TODAY()-B609&lt;=30,"🟡 8-30d",IF(TODAY()-B609&lt;=60,"🟠 31-60d","🔴 60d+"))))</f>
        <v/>
      </c>
      <c r="CE609" s="36" t="str">
        <f aca="false">IF(G609="","",IF(G609&lt;&gt;"USA","N/A - Not USA Role",IF(J609="Yes",IF(OR(F609="Intern",F609="New Grad"),"🟡 Possible","🟢 Strong"),IF(J609="No","🔴 Difficult","⚪ Unknown"))))</f>
        <v/>
      </c>
      <c r="CF609" s="37"/>
      <c r="CG609" s="37"/>
      <c r="CH609" s="38"/>
      <c r="CI609" s="38"/>
      <c r="CJ609" s="38"/>
      <c r="CK609" s="38"/>
    </row>
    <row r="610" customFormat="false" ht="15" hidden="false" customHeight="true" outlineLevel="0" collapsed="false">
      <c r="A610" s="26" t="str">
        <f aca="false">IF($C610="","",ROW()-3)</f>
        <v/>
      </c>
      <c r="B610" s="27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9"/>
      <c r="N610" s="29"/>
      <c r="O610" s="30" t="str">
        <f aca="false">IFERROR(IF(M610="","",M610*INDEX('00 - Lists'!$M$2:$M$11,MATCH(L610,'00 - Lists'!$L$2:$L$11,0))/100000),"")</f>
        <v/>
      </c>
      <c r="P610" s="30" t="str">
        <f aca="false">IFERROR(IF(N610="","",N610*INDEX('00 - Lists'!$M$2:$M$11,MATCH(L610,'00 - Lists'!$L$2:$L$11,0))/100000),"")</f>
        <v/>
      </c>
      <c r="Q610" s="31" t="str">
        <f aca="false">IFERROR(IF(M610="","",M610*INDEX('00 - Lists'!$N$2:$N$11,MATCH(L610,'00 - Lists'!$L$2:$L$11,0))),"")</f>
        <v/>
      </c>
      <c r="R610" s="31" t="str">
        <f aca="false">IFERROR(IF(N610="","",N610*INDEX('00 - Lists'!$N$2:$N$11,MATCH(L610,'00 - Lists'!$L$2:$L$11,0))),"")</f>
        <v/>
      </c>
      <c r="S610" s="32" t="str">
        <f aca="false">IF(O610="","",IF(O610&gt;=50,"Yes","No"))</f>
        <v/>
      </c>
      <c r="T610" s="32" t="str">
        <f aca="false">IF(Q610="","",IF(Q610&gt;=100000,"Yes","No"))</f>
        <v/>
      </c>
      <c r="U610" s="28"/>
      <c r="V610" s="28"/>
      <c r="W610" s="28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J610" s="34" t="str">
        <f aca="false">IF(OR($BD610&lt;&gt;"",$BF610&lt;&gt;"",$BH610&lt;&gt;""),"Yes","No")</f>
        <v>No</v>
      </c>
      <c r="BK610" s="35" t="str">
        <f aca="false">IFERROR(IF(BD610="","",BD610*INDEX('00 - Lists'!$M$2:$M$11,MATCH(L610,'00 - Lists'!$L$2:$L$11,0))/100000),"")</f>
        <v/>
      </c>
      <c r="BL610" s="35" t="str">
        <f aca="false">IFERROR(IF(BE610="","",BE610*INDEX('00 - Lists'!$M$2:$M$11,MATCH(L610,'00 - Lists'!$L$2:$L$11,0))/100000),"")</f>
        <v/>
      </c>
      <c r="BM610" s="35" t="str">
        <f aca="false">IFERROR(IF(BF610="","",BF610*INDEX('00 - Lists'!$M$2:$M$11,MATCH(L610,'00 - Lists'!$L$2:$L$11,0))/100000),"")</f>
        <v/>
      </c>
      <c r="BN610" s="35" t="str">
        <f aca="false">IFERROR(IF(BG610="","",BG610*INDEX('00 - Lists'!$M$2:$M$11,MATCH(L610,'00 - Lists'!$L$2:$L$11,0))/100000),"")</f>
        <v/>
      </c>
      <c r="BO610" s="35" t="str">
        <f aca="false">IFERROR(IF(BH610="","",BH610*INDEX('00 - Lists'!$M$2:$M$11,MATCH(L610,'00 - Lists'!$L$2:$L$11,0))/100000),"")</f>
        <v/>
      </c>
      <c r="BP610" s="35" t="str">
        <f aca="false">IFERROR(IF(BI610="","",BI610*INDEX('00 - Lists'!$M$2:$M$11,MATCH(L610,'00 - Lists'!$L$2:$L$11,0))/100000),"")</f>
        <v/>
      </c>
      <c r="BS610" s="36" t="str">
        <f aca="false">IF(O610="","",IF(O610&gt;=20,"Yes","No"))</f>
        <v/>
      </c>
      <c r="BT610" s="36" t="str">
        <f aca="false">IF(O610="","",IF(O610&gt;=30,"Yes","No"))</f>
        <v/>
      </c>
      <c r="BU610" s="36" t="str">
        <f aca="false">IF(O610="","",IF(O610&gt;=75,"Yes","No"))</f>
        <v/>
      </c>
      <c r="BV610" s="36" t="str">
        <f aca="false">IF(O610="","",IF(O610&gt;=100,"Yes","No"))</f>
        <v/>
      </c>
      <c r="BW610" s="36" t="str">
        <f aca="false">IF(O610="","",IF(O610&gt;=150,"Yes","No"))</f>
        <v/>
      </c>
      <c r="BX610" s="36" t="str">
        <f aca="false">IF(O610="","",IF(O610&gt;=200,"Yes","No"))</f>
        <v/>
      </c>
      <c r="BY610" s="36" t="str">
        <f aca="false">IF(Q610="","",IF(Q610&gt;=150000,"Yes","No"))</f>
        <v/>
      </c>
      <c r="BZ610" s="36" t="str">
        <f aca="false">IF(Q610="","",IF(Q610&gt;=200000,"Yes","No"))</f>
        <v/>
      </c>
      <c r="CA610" s="36" t="str">
        <f aca="false">IF(Q610="","",IF(Q610&gt;=250000,"Yes","No"))</f>
        <v/>
      </c>
      <c r="CB610" s="36" t="str">
        <f aca="false">IF(Q610="","",IF(Q610&gt;=300000,"Yes","No"))</f>
        <v/>
      </c>
      <c r="CC610" s="37"/>
      <c r="CD610" s="36" t="str">
        <f aca="true">IF(B610="","",IF(TODAY()-B610&lt;=7,"🟢 0-7d",IF(TODAY()-B610&lt;=30,"🟡 8-30d",IF(TODAY()-B610&lt;=60,"🟠 31-60d","🔴 60d+"))))</f>
        <v/>
      </c>
      <c r="CE610" s="36" t="str">
        <f aca="false">IF(G610="","",IF(G610&lt;&gt;"USA","N/A - Not USA Role",IF(J610="Yes",IF(OR(F610="Intern",F610="New Grad"),"🟡 Possible","🟢 Strong"),IF(J610="No","🔴 Difficult","⚪ Unknown"))))</f>
        <v/>
      </c>
      <c r="CF610" s="37"/>
      <c r="CG610" s="37"/>
      <c r="CH610" s="38"/>
      <c r="CI610" s="38"/>
      <c r="CJ610" s="38"/>
      <c r="CK610" s="38"/>
    </row>
    <row r="611" customFormat="false" ht="15" hidden="false" customHeight="true" outlineLevel="0" collapsed="false">
      <c r="A611" s="26" t="str">
        <f aca="false">IF($C611="","",ROW()-3)</f>
        <v/>
      </c>
      <c r="B611" s="27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9"/>
      <c r="N611" s="29"/>
      <c r="O611" s="30" t="str">
        <f aca="false">IFERROR(IF(M611="","",M611*INDEX('00 - Lists'!$M$2:$M$11,MATCH(L611,'00 - Lists'!$L$2:$L$11,0))/100000),"")</f>
        <v/>
      </c>
      <c r="P611" s="30" t="str">
        <f aca="false">IFERROR(IF(N611="","",N611*INDEX('00 - Lists'!$M$2:$M$11,MATCH(L611,'00 - Lists'!$L$2:$L$11,0))/100000),"")</f>
        <v/>
      </c>
      <c r="Q611" s="31" t="str">
        <f aca="false">IFERROR(IF(M611="","",M611*INDEX('00 - Lists'!$N$2:$N$11,MATCH(L611,'00 - Lists'!$L$2:$L$11,0))),"")</f>
        <v/>
      </c>
      <c r="R611" s="31" t="str">
        <f aca="false">IFERROR(IF(N611="","",N611*INDEX('00 - Lists'!$N$2:$N$11,MATCH(L611,'00 - Lists'!$L$2:$L$11,0))),"")</f>
        <v/>
      </c>
      <c r="S611" s="32" t="str">
        <f aca="false">IF(O611="","",IF(O611&gt;=50,"Yes","No"))</f>
        <v/>
      </c>
      <c r="T611" s="32" t="str">
        <f aca="false">IF(Q611="","",IF(Q611&gt;=100000,"Yes","No"))</f>
        <v/>
      </c>
      <c r="U611" s="28"/>
      <c r="V611" s="28"/>
      <c r="W611" s="28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J611" s="34" t="str">
        <f aca="false">IF(OR($BD611&lt;&gt;"",$BF611&lt;&gt;"",$BH611&lt;&gt;""),"Yes","No")</f>
        <v>No</v>
      </c>
      <c r="BK611" s="35" t="str">
        <f aca="false">IFERROR(IF(BD611="","",BD611*INDEX('00 - Lists'!$M$2:$M$11,MATCH(L611,'00 - Lists'!$L$2:$L$11,0))/100000),"")</f>
        <v/>
      </c>
      <c r="BL611" s="35" t="str">
        <f aca="false">IFERROR(IF(BE611="","",BE611*INDEX('00 - Lists'!$M$2:$M$11,MATCH(L611,'00 - Lists'!$L$2:$L$11,0))/100000),"")</f>
        <v/>
      </c>
      <c r="BM611" s="35" t="str">
        <f aca="false">IFERROR(IF(BF611="","",BF611*INDEX('00 - Lists'!$M$2:$M$11,MATCH(L611,'00 - Lists'!$L$2:$L$11,0))/100000),"")</f>
        <v/>
      </c>
      <c r="BN611" s="35" t="str">
        <f aca="false">IFERROR(IF(BG611="","",BG611*INDEX('00 - Lists'!$M$2:$M$11,MATCH(L611,'00 - Lists'!$L$2:$L$11,0))/100000),"")</f>
        <v/>
      </c>
      <c r="BO611" s="35" t="str">
        <f aca="false">IFERROR(IF(BH611="","",BH611*INDEX('00 - Lists'!$M$2:$M$11,MATCH(L611,'00 - Lists'!$L$2:$L$11,0))/100000),"")</f>
        <v/>
      </c>
      <c r="BP611" s="35" t="str">
        <f aca="false">IFERROR(IF(BI611="","",BI611*INDEX('00 - Lists'!$M$2:$M$11,MATCH(L611,'00 - Lists'!$L$2:$L$11,0))/100000),"")</f>
        <v/>
      </c>
      <c r="BS611" s="36" t="str">
        <f aca="false">IF(O611="","",IF(O611&gt;=20,"Yes","No"))</f>
        <v/>
      </c>
      <c r="BT611" s="36" t="str">
        <f aca="false">IF(O611="","",IF(O611&gt;=30,"Yes","No"))</f>
        <v/>
      </c>
      <c r="BU611" s="36" t="str">
        <f aca="false">IF(O611="","",IF(O611&gt;=75,"Yes","No"))</f>
        <v/>
      </c>
      <c r="BV611" s="36" t="str">
        <f aca="false">IF(O611="","",IF(O611&gt;=100,"Yes","No"))</f>
        <v/>
      </c>
      <c r="BW611" s="36" t="str">
        <f aca="false">IF(O611="","",IF(O611&gt;=150,"Yes","No"))</f>
        <v/>
      </c>
      <c r="BX611" s="36" t="str">
        <f aca="false">IF(O611="","",IF(O611&gt;=200,"Yes","No"))</f>
        <v/>
      </c>
      <c r="BY611" s="36" t="str">
        <f aca="false">IF(Q611="","",IF(Q611&gt;=150000,"Yes","No"))</f>
        <v/>
      </c>
      <c r="BZ611" s="36" t="str">
        <f aca="false">IF(Q611="","",IF(Q611&gt;=200000,"Yes","No"))</f>
        <v/>
      </c>
      <c r="CA611" s="36" t="str">
        <f aca="false">IF(Q611="","",IF(Q611&gt;=250000,"Yes","No"))</f>
        <v/>
      </c>
      <c r="CB611" s="36" t="str">
        <f aca="false">IF(Q611="","",IF(Q611&gt;=300000,"Yes","No"))</f>
        <v/>
      </c>
      <c r="CC611" s="37"/>
      <c r="CD611" s="36" t="str">
        <f aca="true">IF(B611="","",IF(TODAY()-B611&lt;=7,"🟢 0-7d",IF(TODAY()-B611&lt;=30,"🟡 8-30d",IF(TODAY()-B611&lt;=60,"🟠 31-60d","🔴 60d+"))))</f>
        <v/>
      </c>
      <c r="CE611" s="36" t="str">
        <f aca="false">IF(G611="","",IF(G611&lt;&gt;"USA","N/A - Not USA Role",IF(J611="Yes",IF(OR(F611="Intern",F611="New Grad"),"🟡 Possible","🟢 Strong"),IF(J611="No","🔴 Difficult","⚪ Unknown"))))</f>
        <v/>
      </c>
      <c r="CF611" s="37"/>
      <c r="CG611" s="37"/>
      <c r="CH611" s="38"/>
      <c r="CI611" s="38"/>
      <c r="CJ611" s="38"/>
      <c r="CK611" s="38"/>
    </row>
    <row r="612" customFormat="false" ht="15" hidden="false" customHeight="true" outlineLevel="0" collapsed="false">
      <c r="A612" s="26" t="str">
        <f aca="false">IF($C612="","",ROW()-3)</f>
        <v/>
      </c>
      <c r="B612" s="27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9"/>
      <c r="N612" s="29"/>
      <c r="O612" s="30" t="str">
        <f aca="false">IFERROR(IF(M612="","",M612*INDEX('00 - Lists'!$M$2:$M$11,MATCH(L612,'00 - Lists'!$L$2:$L$11,0))/100000),"")</f>
        <v/>
      </c>
      <c r="P612" s="30" t="str">
        <f aca="false">IFERROR(IF(N612="","",N612*INDEX('00 - Lists'!$M$2:$M$11,MATCH(L612,'00 - Lists'!$L$2:$L$11,0))/100000),"")</f>
        <v/>
      </c>
      <c r="Q612" s="31" t="str">
        <f aca="false">IFERROR(IF(M612="","",M612*INDEX('00 - Lists'!$N$2:$N$11,MATCH(L612,'00 - Lists'!$L$2:$L$11,0))),"")</f>
        <v/>
      </c>
      <c r="R612" s="31" t="str">
        <f aca="false">IFERROR(IF(N612="","",N612*INDEX('00 - Lists'!$N$2:$N$11,MATCH(L612,'00 - Lists'!$L$2:$L$11,0))),"")</f>
        <v/>
      </c>
      <c r="S612" s="32" t="str">
        <f aca="false">IF(O612="","",IF(O612&gt;=50,"Yes","No"))</f>
        <v/>
      </c>
      <c r="T612" s="32" t="str">
        <f aca="false">IF(Q612="","",IF(Q612&gt;=100000,"Yes","No"))</f>
        <v/>
      </c>
      <c r="U612" s="28"/>
      <c r="V612" s="28"/>
      <c r="W612" s="28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J612" s="34" t="str">
        <f aca="false">IF(OR($BD612&lt;&gt;"",$BF612&lt;&gt;"",$BH612&lt;&gt;""),"Yes","No")</f>
        <v>No</v>
      </c>
      <c r="BK612" s="35" t="str">
        <f aca="false">IFERROR(IF(BD612="","",BD612*INDEX('00 - Lists'!$M$2:$M$11,MATCH(L612,'00 - Lists'!$L$2:$L$11,0))/100000),"")</f>
        <v/>
      </c>
      <c r="BL612" s="35" t="str">
        <f aca="false">IFERROR(IF(BE612="","",BE612*INDEX('00 - Lists'!$M$2:$M$11,MATCH(L612,'00 - Lists'!$L$2:$L$11,0))/100000),"")</f>
        <v/>
      </c>
      <c r="BM612" s="35" t="str">
        <f aca="false">IFERROR(IF(BF612="","",BF612*INDEX('00 - Lists'!$M$2:$M$11,MATCH(L612,'00 - Lists'!$L$2:$L$11,0))/100000),"")</f>
        <v/>
      </c>
      <c r="BN612" s="35" t="str">
        <f aca="false">IFERROR(IF(BG612="","",BG612*INDEX('00 - Lists'!$M$2:$M$11,MATCH(L612,'00 - Lists'!$L$2:$L$11,0))/100000),"")</f>
        <v/>
      </c>
      <c r="BO612" s="35" t="str">
        <f aca="false">IFERROR(IF(BH612="","",BH612*INDEX('00 - Lists'!$M$2:$M$11,MATCH(L612,'00 - Lists'!$L$2:$L$11,0))/100000),"")</f>
        <v/>
      </c>
      <c r="BP612" s="35" t="str">
        <f aca="false">IFERROR(IF(BI612="","",BI612*INDEX('00 - Lists'!$M$2:$M$11,MATCH(L612,'00 - Lists'!$L$2:$L$11,0))/100000),"")</f>
        <v/>
      </c>
      <c r="BS612" s="36" t="str">
        <f aca="false">IF(O612="","",IF(O612&gt;=20,"Yes","No"))</f>
        <v/>
      </c>
      <c r="BT612" s="36" t="str">
        <f aca="false">IF(O612="","",IF(O612&gt;=30,"Yes","No"))</f>
        <v/>
      </c>
      <c r="BU612" s="36" t="str">
        <f aca="false">IF(O612="","",IF(O612&gt;=75,"Yes","No"))</f>
        <v/>
      </c>
      <c r="BV612" s="36" t="str">
        <f aca="false">IF(O612="","",IF(O612&gt;=100,"Yes","No"))</f>
        <v/>
      </c>
      <c r="BW612" s="36" t="str">
        <f aca="false">IF(O612="","",IF(O612&gt;=150,"Yes","No"))</f>
        <v/>
      </c>
      <c r="BX612" s="36" t="str">
        <f aca="false">IF(O612="","",IF(O612&gt;=200,"Yes","No"))</f>
        <v/>
      </c>
      <c r="BY612" s="36" t="str">
        <f aca="false">IF(Q612="","",IF(Q612&gt;=150000,"Yes","No"))</f>
        <v/>
      </c>
      <c r="BZ612" s="36" t="str">
        <f aca="false">IF(Q612="","",IF(Q612&gt;=200000,"Yes","No"))</f>
        <v/>
      </c>
      <c r="CA612" s="36" t="str">
        <f aca="false">IF(Q612="","",IF(Q612&gt;=250000,"Yes","No"))</f>
        <v/>
      </c>
      <c r="CB612" s="36" t="str">
        <f aca="false">IF(Q612="","",IF(Q612&gt;=300000,"Yes","No"))</f>
        <v/>
      </c>
      <c r="CC612" s="37"/>
      <c r="CD612" s="36" t="str">
        <f aca="true">IF(B612="","",IF(TODAY()-B612&lt;=7,"🟢 0-7d",IF(TODAY()-B612&lt;=30,"🟡 8-30d",IF(TODAY()-B612&lt;=60,"🟠 31-60d","🔴 60d+"))))</f>
        <v/>
      </c>
      <c r="CE612" s="36" t="str">
        <f aca="false">IF(G612="","",IF(G612&lt;&gt;"USA","N/A - Not USA Role",IF(J612="Yes",IF(OR(F612="Intern",F612="New Grad"),"🟡 Possible","🟢 Strong"),IF(J612="No","🔴 Difficult","⚪ Unknown"))))</f>
        <v/>
      </c>
      <c r="CF612" s="37"/>
      <c r="CG612" s="37"/>
      <c r="CH612" s="38"/>
      <c r="CI612" s="38"/>
      <c r="CJ612" s="38"/>
      <c r="CK612" s="38"/>
    </row>
    <row r="613" customFormat="false" ht="15" hidden="false" customHeight="true" outlineLevel="0" collapsed="false">
      <c r="A613" s="26" t="str">
        <f aca="false">IF($C613="","",ROW()-3)</f>
        <v/>
      </c>
      <c r="B613" s="27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9"/>
      <c r="N613" s="29"/>
      <c r="O613" s="30" t="str">
        <f aca="false">IFERROR(IF(M613="","",M613*INDEX('00 - Lists'!$M$2:$M$11,MATCH(L613,'00 - Lists'!$L$2:$L$11,0))/100000),"")</f>
        <v/>
      </c>
      <c r="P613" s="30" t="str">
        <f aca="false">IFERROR(IF(N613="","",N613*INDEX('00 - Lists'!$M$2:$M$11,MATCH(L613,'00 - Lists'!$L$2:$L$11,0))/100000),"")</f>
        <v/>
      </c>
      <c r="Q613" s="31" t="str">
        <f aca="false">IFERROR(IF(M613="","",M613*INDEX('00 - Lists'!$N$2:$N$11,MATCH(L613,'00 - Lists'!$L$2:$L$11,0))),"")</f>
        <v/>
      </c>
      <c r="R613" s="31" t="str">
        <f aca="false">IFERROR(IF(N613="","",N613*INDEX('00 - Lists'!$N$2:$N$11,MATCH(L613,'00 - Lists'!$L$2:$L$11,0))),"")</f>
        <v/>
      </c>
      <c r="S613" s="32" t="str">
        <f aca="false">IF(O613="","",IF(O613&gt;=50,"Yes","No"))</f>
        <v/>
      </c>
      <c r="T613" s="32" t="str">
        <f aca="false">IF(Q613="","",IF(Q613&gt;=100000,"Yes","No"))</f>
        <v/>
      </c>
      <c r="U613" s="28"/>
      <c r="V613" s="28"/>
      <c r="W613" s="28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J613" s="34" t="str">
        <f aca="false">IF(OR($BD613&lt;&gt;"",$BF613&lt;&gt;"",$BH613&lt;&gt;""),"Yes","No")</f>
        <v>No</v>
      </c>
      <c r="BK613" s="35" t="str">
        <f aca="false">IFERROR(IF(BD613="","",BD613*INDEX('00 - Lists'!$M$2:$M$11,MATCH(L613,'00 - Lists'!$L$2:$L$11,0))/100000),"")</f>
        <v/>
      </c>
      <c r="BL613" s="35" t="str">
        <f aca="false">IFERROR(IF(BE613="","",BE613*INDEX('00 - Lists'!$M$2:$M$11,MATCH(L613,'00 - Lists'!$L$2:$L$11,0))/100000),"")</f>
        <v/>
      </c>
      <c r="BM613" s="35" t="str">
        <f aca="false">IFERROR(IF(BF613="","",BF613*INDEX('00 - Lists'!$M$2:$M$11,MATCH(L613,'00 - Lists'!$L$2:$L$11,0))/100000),"")</f>
        <v/>
      </c>
      <c r="BN613" s="35" t="str">
        <f aca="false">IFERROR(IF(BG613="","",BG613*INDEX('00 - Lists'!$M$2:$M$11,MATCH(L613,'00 - Lists'!$L$2:$L$11,0))/100000),"")</f>
        <v/>
      </c>
      <c r="BO613" s="35" t="str">
        <f aca="false">IFERROR(IF(BH613="","",BH613*INDEX('00 - Lists'!$M$2:$M$11,MATCH(L613,'00 - Lists'!$L$2:$L$11,0))/100000),"")</f>
        <v/>
      </c>
      <c r="BP613" s="35" t="str">
        <f aca="false">IFERROR(IF(BI613="","",BI613*INDEX('00 - Lists'!$M$2:$M$11,MATCH(L613,'00 - Lists'!$L$2:$L$11,0))/100000),"")</f>
        <v/>
      </c>
      <c r="BS613" s="36" t="str">
        <f aca="false">IF(O613="","",IF(O613&gt;=20,"Yes","No"))</f>
        <v/>
      </c>
      <c r="BT613" s="36" t="str">
        <f aca="false">IF(O613="","",IF(O613&gt;=30,"Yes","No"))</f>
        <v/>
      </c>
      <c r="BU613" s="36" t="str">
        <f aca="false">IF(O613="","",IF(O613&gt;=75,"Yes","No"))</f>
        <v/>
      </c>
      <c r="BV613" s="36" t="str">
        <f aca="false">IF(O613="","",IF(O613&gt;=100,"Yes","No"))</f>
        <v/>
      </c>
      <c r="BW613" s="36" t="str">
        <f aca="false">IF(O613="","",IF(O613&gt;=150,"Yes","No"))</f>
        <v/>
      </c>
      <c r="BX613" s="36" t="str">
        <f aca="false">IF(O613="","",IF(O613&gt;=200,"Yes","No"))</f>
        <v/>
      </c>
      <c r="BY613" s="36" t="str">
        <f aca="false">IF(Q613="","",IF(Q613&gt;=150000,"Yes","No"))</f>
        <v/>
      </c>
      <c r="BZ613" s="36" t="str">
        <f aca="false">IF(Q613="","",IF(Q613&gt;=200000,"Yes","No"))</f>
        <v/>
      </c>
      <c r="CA613" s="36" t="str">
        <f aca="false">IF(Q613="","",IF(Q613&gt;=250000,"Yes","No"))</f>
        <v/>
      </c>
      <c r="CB613" s="36" t="str">
        <f aca="false">IF(Q613="","",IF(Q613&gt;=300000,"Yes","No"))</f>
        <v/>
      </c>
      <c r="CC613" s="37"/>
      <c r="CD613" s="36" t="str">
        <f aca="true">IF(B613="","",IF(TODAY()-B613&lt;=7,"🟢 0-7d",IF(TODAY()-B613&lt;=30,"🟡 8-30d",IF(TODAY()-B613&lt;=60,"🟠 31-60d","🔴 60d+"))))</f>
        <v/>
      </c>
      <c r="CE613" s="36" t="str">
        <f aca="false">IF(G613="","",IF(G613&lt;&gt;"USA","N/A - Not USA Role",IF(J613="Yes",IF(OR(F613="Intern",F613="New Grad"),"🟡 Possible","🟢 Strong"),IF(J613="No","🔴 Difficult","⚪ Unknown"))))</f>
        <v/>
      </c>
      <c r="CF613" s="37"/>
      <c r="CG613" s="37"/>
      <c r="CH613" s="38"/>
      <c r="CI613" s="38"/>
      <c r="CJ613" s="38"/>
      <c r="CK613" s="38"/>
    </row>
    <row r="614" customFormat="false" ht="15" hidden="false" customHeight="true" outlineLevel="0" collapsed="false">
      <c r="A614" s="26" t="str">
        <f aca="false">IF($C614="","",ROW()-3)</f>
        <v/>
      </c>
      <c r="B614" s="27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9"/>
      <c r="N614" s="29"/>
      <c r="O614" s="30" t="str">
        <f aca="false">IFERROR(IF(M614="","",M614*INDEX('00 - Lists'!$M$2:$M$11,MATCH(L614,'00 - Lists'!$L$2:$L$11,0))/100000),"")</f>
        <v/>
      </c>
      <c r="P614" s="30" t="str">
        <f aca="false">IFERROR(IF(N614="","",N614*INDEX('00 - Lists'!$M$2:$M$11,MATCH(L614,'00 - Lists'!$L$2:$L$11,0))/100000),"")</f>
        <v/>
      </c>
      <c r="Q614" s="31" t="str">
        <f aca="false">IFERROR(IF(M614="","",M614*INDEX('00 - Lists'!$N$2:$N$11,MATCH(L614,'00 - Lists'!$L$2:$L$11,0))),"")</f>
        <v/>
      </c>
      <c r="R614" s="31" t="str">
        <f aca="false">IFERROR(IF(N614="","",N614*INDEX('00 - Lists'!$N$2:$N$11,MATCH(L614,'00 - Lists'!$L$2:$L$11,0))),"")</f>
        <v/>
      </c>
      <c r="S614" s="32" t="str">
        <f aca="false">IF(O614="","",IF(O614&gt;=50,"Yes","No"))</f>
        <v/>
      </c>
      <c r="T614" s="32" t="str">
        <f aca="false">IF(Q614="","",IF(Q614&gt;=100000,"Yes","No"))</f>
        <v/>
      </c>
      <c r="U614" s="28"/>
      <c r="V614" s="28"/>
      <c r="W614" s="28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J614" s="34" t="str">
        <f aca="false">IF(OR($BD614&lt;&gt;"",$BF614&lt;&gt;"",$BH614&lt;&gt;""),"Yes","No")</f>
        <v>No</v>
      </c>
      <c r="BK614" s="35" t="str">
        <f aca="false">IFERROR(IF(BD614="","",BD614*INDEX('00 - Lists'!$M$2:$M$11,MATCH(L614,'00 - Lists'!$L$2:$L$11,0))/100000),"")</f>
        <v/>
      </c>
      <c r="BL614" s="35" t="str">
        <f aca="false">IFERROR(IF(BE614="","",BE614*INDEX('00 - Lists'!$M$2:$M$11,MATCH(L614,'00 - Lists'!$L$2:$L$11,0))/100000),"")</f>
        <v/>
      </c>
      <c r="BM614" s="35" t="str">
        <f aca="false">IFERROR(IF(BF614="","",BF614*INDEX('00 - Lists'!$M$2:$M$11,MATCH(L614,'00 - Lists'!$L$2:$L$11,0))/100000),"")</f>
        <v/>
      </c>
      <c r="BN614" s="35" t="str">
        <f aca="false">IFERROR(IF(BG614="","",BG614*INDEX('00 - Lists'!$M$2:$M$11,MATCH(L614,'00 - Lists'!$L$2:$L$11,0))/100000),"")</f>
        <v/>
      </c>
      <c r="BO614" s="35" t="str">
        <f aca="false">IFERROR(IF(BH614="","",BH614*INDEX('00 - Lists'!$M$2:$M$11,MATCH(L614,'00 - Lists'!$L$2:$L$11,0))/100000),"")</f>
        <v/>
      </c>
      <c r="BP614" s="35" t="str">
        <f aca="false">IFERROR(IF(BI614="","",BI614*INDEX('00 - Lists'!$M$2:$M$11,MATCH(L614,'00 - Lists'!$L$2:$L$11,0))/100000),"")</f>
        <v/>
      </c>
      <c r="BS614" s="36" t="str">
        <f aca="false">IF(O614="","",IF(O614&gt;=20,"Yes","No"))</f>
        <v/>
      </c>
      <c r="BT614" s="36" t="str">
        <f aca="false">IF(O614="","",IF(O614&gt;=30,"Yes","No"))</f>
        <v/>
      </c>
      <c r="BU614" s="36" t="str">
        <f aca="false">IF(O614="","",IF(O614&gt;=75,"Yes","No"))</f>
        <v/>
      </c>
      <c r="BV614" s="36" t="str">
        <f aca="false">IF(O614="","",IF(O614&gt;=100,"Yes","No"))</f>
        <v/>
      </c>
      <c r="BW614" s="36" t="str">
        <f aca="false">IF(O614="","",IF(O614&gt;=150,"Yes","No"))</f>
        <v/>
      </c>
      <c r="BX614" s="36" t="str">
        <f aca="false">IF(O614="","",IF(O614&gt;=200,"Yes","No"))</f>
        <v/>
      </c>
      <c r="BY614" s="36" t="str">
        <f aca="false">IF(Q614="","",IF(Q614&gt;=150000,"Yes","No"))</f>
        <v/>
      </c>
      <c r="BZ614" s="36" t="str">
        <f aca="false">IF(Q614="","",IF(Q614&gt;=200000,"Yes","No"))</f>
        <v/>
      </c>
      <c r="CA614" s="36" t="str">
        <f aca="false">IF(Q614="","",IF(Q614&gt;=250000,"Yes","No"))</f>
        <v/>
      </c>
      <c r="CB614" s="36" t="str">
        <f aca="false">IF(Q614="","",IF(Q614&gt;=300000,"Yes","No"))</f>
        <v/>
      </c>
      <c r="CC614" s="37"/>
      <c r="CD614" s="36" t="str">
        <f aca="true">IF(B614="","",IF(TODAY()-B614&lt;=7,"🟢 0-7d",IF(TODAY()-B614&lt;=30,"🟡 8-30d",IF(TODAY()-B614&lt;=60,"🟠 31-60d","🔴 60d+"))))</f>
        <v/>
      </c>
      <c r="CE614" s="36" t="str">
        <f aca="false">IF(G614="","",IF(G614&lt;&gt;"USA","N/A - Not USA Role",IF(J614="Yes",IF(OR(F614="Intern",F614="New Grad"),"🟡 Possible","🟢 Strong"),IF(J614="No","🔴 Difficult","⚪ Unknown"))))</f>
        <v/>
      </c>
      <c r="CF614" s="37"/>
      <c r="CG614" s="37"/>
      <c r="CH614" s="38"/>
      <c r="CI614" s="38"/>
      <c r="CJ614" s="38"/>
      <c r="CK614" s="38"/>
    </row>
    <row r="615" customFormat="false" ht="15" hidden="false" customHeight="true" outlineLevel="0" collapsed="false">
      <c r="A615" s="26" t="str">
        <f aca="false">IF($C615="","",ROW()-3)</f>
        <v/>
      </c>
      <c r="B615" s="27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9"/>
      <c r="N615" s="29"/>
      <c r="O615" s="30" t="str">
        <f aca="false">IFERROR(IF(M615="","",M615*INDEX('00 - Lists'!$M$2:$M$11,MATCH(L615,'00 - Lists'!$L$2:$L$11,0))/100000),"")</f>
        <v/>
      </c>
      <c r="P615" s="30" t="str">
        <f aca="false">IFERROR(IF(N615="","",N615*INDEX('00 - Lists'!$M$2:$M$11,MATCH(L615,'00 - Lists'!$L$2:$L$11,0))/100000),"")</f>
        <v/>
      </c>
      <c r="Q615" s="31" t="str">
        <f aca="false">IFERROR(IF(M615="","",M615*INDEX('00 - Lists'!$N$2:$N$11,MATCH(L615,'00 - Lists'!$L$2:$L$11,0))),"")</f>
        <v/>
      </c>
      <c r="R615" s="31" t="str">
        <f aca="false">IFERROR(IF(N615="","",N615*INDEX('00 - Lists'!$N$2:$N$11,MATCH(L615,'00 - Lists'!$L$2:$L$11,0))),"")</f>
        <v/>
      </c>
      <c r="S615" s="32" t="str">
        <f aca="false">IF(O615="","",IF(O615&gt;=50,"Yes","No"))</f>
        <v/>
      </c>
      <c r="T615" s="32" t="str">
        <f aca="false">IF(Q615="","",IF(Q615&gt;=100000,"Yes","No"))</f>
        <v/>
      </c>
      <c r="U615" s="28"/>
      <c r="V615" s="28"/>
      <c r="W615" s="28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J615" s="34" t="str">
        <f aca="false">IF(OR($BD615&lt;&gt;"",$BF615&lt;&gt;"",$BH615&lt;&gt;""),"Yes","No")</f>
        <v>No</v>
      </c>
      <c r="BK615" s="35" t="str">
        <f aca="false">IFERROR(IF(BD615="","",BD615*INDEX('00 - Lists'!$M$2:$M$11,MATCH(L615,'00 - Lists'!$L$2:$L$11,0))/100000),"")</f>
        <v/>
      </c>
      <c r="BL615" s="35" t="str">
        <f aca="false">IFERROR(IF(BE615="","",BE615*INDEX('00 - Lists'!$M$2:$M$11,MATCH(L615,'00 - Lists'!$L$2:$L$11,0))/100000),"")</f>
        <v/>
      </c>
      <c r="BM615" s="35" t="str">
        <f aca="false">IFERROR(IF(BF615="","",BF615*INDEX('00 - Lists'!$M$2:$M$11,MATCH(L615,'00 - Lists'!$L$2:$L$11,0))/100000),"")</f>
        <v/>
      </c>
      <c r="BN615" s="35" t="str">
        <f aca="false">IFERROR(IF(BG615="","",BG615*INDEX('00 - Lists'!$M$2:$M$11,MATCH(L615,'00 - Lists'!$L$2:$L$11,0))/100000),"")</f>
        <v/>
      </c>
      <c r="BO615" s="35" t="str">
        <f aca="false">IFERROR(IF(BH615="","",BH615*INDEX('00 - Lists'!$M$2:$M$11,MATCH(L615,'00 - Lists'!$L$2:$L$11,0))/100000),"")</f>
        <v/>
      </c>
      <c r="BP615" s="35" t="str">
        <f aca="false">IFERROR(IF(BI615="","",BI615*INDEX('00 - Lists'!$M$2:$M$11,MATCH(L615,'00 - Lists'!$L$2:$L$11,0))/100000),"")</f>
        <v/>
      </c>
      <c r="BS615" s="36" t="str">
        <f aca="false">IF(O615="","",IF(O615&gt;=20,"Yes","No"))</f>
        <v/>
      </c>
      <c r="BT615" s="36" t="str">
        <f aca="false">IF(O615="","",IF(O615&gt;=30,"Yes","No"))</f>
        <v/>
      </c>
      <c r="BU615" s="36" t="str">
        <f aca="false">IF(O615="","",IF(O615&gt;=75,"Yes","No"))</f>
        <v/>
      </c>
      <c r="BV615" s="36" t="str">
        <f aca="false">IF(O615="","",IF(O615&gt;=100,"Yes","No"))</f>
        <v/>
      </c>
      <c r="BW615" s="36" t="str">
        <f aca="false">IF(O615="","",IF(O615&gt;=150,"Yes","No"))</f>
        <v/>
      </c>
      <c r="BX615" s="36" t="str">
        <f aca="false">IF(O615="","",IF(O615&gt;=200,"Yes","No"))</f>
        <v/>
      </c>
      <c r="BY615" s="36" t="str">
        <f aca="false">IF(Q615="","",IF(Q615&gt;=150000,"Yes","No"))</f>
        <v/>
      </c>
      <c r="BZ615" s="36" t="str">
        <f aca="false">IF(Q615="","",IF(Q615&gt;=200000,"Yes","No"))</f>
        <v/>
      </c>
      <c r="CA615" s="36" t="str">
        <f aca="false">IF(Q615="","",IF(Q615&gt;=250000,"Yes","No"))</f>
        <v/>
      </c>
      <c r="CB615" s="36" t="str">
        <f aca="false">IF(Q615="","",IF(Q615&gt;=300000,"Yes","No"))</f>
        <v/>
      </c>
      <c r="CC615" s="37"/>
      <c r="CD615" s="36" t="str">
        <f aca="true">IF(B615="","",IF(TODAY()-B615&lt;=7,"🟢 0-7d",IF(TODAY()-B615&lt;=30,"🟡 8-30d",IF(TODAY()-B615&lt;=60,"🟠 31-60d","🔴 60d+"))))</f>
        <v/>
      </c>
      <c r="CE615" s="36" t="str">
        <f aca="false">IF(G615="","",IF(G615&lt;&gt;"USA","N/A - Not USA Role",IF(J615="Yes",IF(OR(F615="Intern",F615="New Grad"),"🟡 Possible","🟢 Strong"),IF(J615="No","🔴 Difficult","⚪ Unknown"))))</f>
        <v/>
      </c>
      <c r="CF615" s="37"/>
      <c r="CG615" s="37"/>
      <c r="CH615" s="38"/>
      <c r="CI615" s="38"/>
      <c r="CJ615" s="38"/>
      <c r="CK615" s="38"/>
    </row>
    <row r="616" customFormat="false" ht="15" hidden="false" customHeight="true" outlineLevel="0" collapsed="false">
      <c r="A616" s="26" t="str">
        <f aca="false">IF($C616="","",ROW()-3)</f>
        <v/>
      </c>
      <c r="B616" s="27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9"/>
      <c r="N616" s="29"/>
      <c r="O616" s="30" t="str">
        <f aca="false">IFERROR(IF(M616="","",M616*INDEX('00 - Lists'!$M$2:$M$11,MATCH(L616,'00 - Lists'!$L$2:$L$11,0))/100000),"")</f>
        <v/>
      </c>
      <c r="P616" s="30" t="str">
        <f aca="false">IFERROR(IF(N616="","",N616*INDEX('00 - Lists'!$M$2:$M$11,MATCH(L616,'00 - Lists'!$L$2:$L$11,0))/100000),"")</f>
        <v/>
      </c>
      <c r="Q616" s="31" t="str">
        <f aca="false">IFERROR(IF(M616="","",M616*INDEX('00 - Lists'!$N$2:$N$11,MATCH(L616,'00 - Lists'!$L$2:$L$11,0))),"")</f>
        <v/>
      </c>
      <c r="R616" s="31" t="str">
        <f aca="false">IFERROR(IF(N616="","",N616*INDEX('00 - Lists'!$N$2:$N$11,MATCH(L616,'00 - Lists'!$L$2:$L$11,0))),"")</f>
        <v/>
      </c>
      <c r="S616" s="32" t="str">
        <f aca="false">IF(O616="","",IF(O616&gt;=50,"Yes","No"))</f>
        <v/>
      </c>
      <c r="T616" s="32" t="str">
        <f aca="false">IF(Q616="","",IF(Q616&gt;=100000,"Yes","No"))</f>
        <v/>
      </c>
      <c r="U616" s="28"/>
      <c r="V616" s="28"/>
      <c r="W616" s="28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J616" s="34" t="str">
        <f aca="false">IF(OR($BD616&lt;&gt;"",$BF616&lt;&gt;"",$BH616&lt;&gt;""),"Yes","No")</f>
        <v>No</v>
      </c>
      <c r="BK616" s="35" t="str">
        <f aca="false">IFERROR(IF(BD616="","",BD616*INDEX('00 - Lists'!$M$2:$M$11,MATCH(L616,'00 - Lists'!$L$2:$L$11,0))/100000),"")</f>
        <v/>
      </c>
      <c r="BL616" s="35" t="str">
        <f aca="false">IFERROR(IF(BE616="","",BE616*INDEX('00 - Lists'!$M$2:$M$11,MATCH(L616,'00 - Lists'!$L$2:$L$11,0))/100000),"")</f>
        <v/>
      </c>
      <c r="BM616" s="35" t="str">
        <f aca="false">IFERROR(IF(BF616="","",BF616*INDEX('00 - Lists'!$M$2:$M$11,MATCH(L616,'00 - Lists'!$L$2:$L$11,0))/100000),"")</f>
        <v/>
      </c>
      <c r="BN616" s="35" t="str">
        <f aca="false">IFERROR(IF(BG616="","",BG616*INDEX('00 - Lists'!$M$2:$M$11,MATCH(L616,'00 - Lists'!$L$2:$L$11,0))/100000),"")</f>
        <v/>
      </c>
      <c r="BO616" s="35" t="str">
        <f aca="false">IFERROR(IF(BH616="","",BH616*INDEX('00 - Lists'!$M$2:$M$11,MATCH(L616,'00 - Lists'!$L$2:$L$11,0))/100000),"")</f>
        <v/>
      </c>
      <c r="BP616" s="35" t="str">
        <f aca="false">IFERROR(IF(BI616="","",BI616*INDEX('00 - Lists'!$M$2:$M$11,MATCH(L616,'00 - Lists'!$L$2:$L$11,0))/100000),"")</f>
        <v/>
      </c>
      <c r="BS616" s="36" t="str">
        <f aca="false">IF(O616="","",IF(O616&gt;=20,"Yes","No"))</f>
        <v/>
      </c>
      <c r="BT616" s="36" t="str">
        <f aca="false">IF(O616="","",IF(O616&gt;=30,"Yes","No"))</f>
        <v/>
      </c>
      <c r="BU616" s="36" t="str">
        <f aca="false">IF(O616="","",IF(O616&gt;=75,"Yes","No"))</f>
        <v/>
      </c>
      <c r="BV616" s="36" t="str">
        <f aca="false">IF(O616="","",IF(O616&gt;=100,"Yes","No"))</f>
        <v/>
      </c>
      <c r="BW616" s="36" t="str">
        <f aca="false">IF(O616="","",IF(O616&gt;=150,"Yes","No"))</f>
        <v/>
      </c>
      <c r="BX616" s="36" t="str">
        <f aca="false">IF(O616="","",IF(O616&gt;=200,"Yes","No"))</f>
        <v/>
      </c>
      <c r="BY616" s="36" t="str">
        <f aca="false">IF(Q616="","",IF(Q616&gt;=150000,"Yes","No"))</f>
        <v/>
      </c>
      <c r="BZ616" s="36" t="str">
        <f aca="false">IF(Q616="","",IF(Q616&gt;=200000,"Yes","No"))</f>
        <v/>
      </c>
      <c r="CA616" s="36" t="str">
        <f aca="false">IF(Q616="","",IF(Q616&gt;=250000,"Yes","No"))</f>
        <v/>
      </c>
      <c r="CB616" s="36" t="str">
        <f aca="false">IF(Q616="","",IF(Q616&gt;=300000,"Yes","No"))</f>
        <v/>
      </c>
      <c r="CC616" s="37"/>
      <c r="CD616" s="36" t="str">
        <f aca="true">IF(B616="","",IF(TODAY()-B616&lt;=7,"🟢 0-7d",IF(TODAY()-B616&lt;=30,"🟡 8-30d",IF(TODAY()-B616&lt;=60,"🟠 31-60d","🔴 60d+"))))</f>
        <v/>
      </c>
      <c r="CE616" s="36" t="str">
        <f aca="false">IF(G616="","",IF(G616&lt;&gt;"USA","N/A - Not USA Role",IF(J616="Yes",IF(OR(F616="Intern",F616="New Grad"),"🟡 Possible","🟢 Strong"),IF(J616="No","🔴 Difficult","⚪ Unknown"))))</f>
        <v/>
      </c>
      <c r="CF616" s="37"/>
      <c r="CG616" s="37"/>
      <c r="CH616" s="38"/>
      <c r="CI616" s="38"/>
      <c r="CJ616" s="38"/>
      <c r="CK616" s="38"/>
    </row>
    <row r="617" customFormat="false" ht="15" hidden="false" customHeight="true" outlineLevel="0" collapsed="false">
      <c r="A617" s="26" t="str">
        <f aca="false">IF($C617="","",ROW()-3)</f>
        <v/>
      </c>
      <c r="B617" s="27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9"/>
      <c r="N617" s="29"/>
      <c r="O617" s="30" t="str">
        <f aca="false">IFERROR(IF(M617="","",M617*INDEX('00 - Lists'!$M$2:$M$11,MATCH(L617,'00 - Lists'!$L$2:$L$11,0))/100000),"")</f>
        <v/>
      </c>
      <c r="P617" s="30" t="str">
        <f aca="false">IFERROR(IF(N617="","",N617*INDEX('00 - Lists'!$M$2:$M$11,MATCH(L617,'00 - Lists'!$L$2:$L$11,0))/100000),"")</f>
        <v/>
      </c>
      <c r="Q617" s="31" t="str">
        <f aca="false">IFERROR(IF(M617="","",M617*INDEX('00 - Lists'!$N$2:$N$11,MATCH(L617,'00 - Lists'!$L$2:$L$11,0))),"")</f>
        <v/>
      </c>
      <c r="R617" s="31" t="str">
        <f aca="false">IFERROR(IF(N617="","",N617*INDEX('00 - Lists'!$N$2:$N$11,MATCH(L617,'00 - Lists'!$L$2:$L$11,0))),"")</f>
        <v/>
      </c>
      <c r="S617" s="32" t="str">
        <f aca="false">IF(O617="","",IF(O617&gt;=50,"Yes","No"))</f>
        <v/>
      </c>
      <c r="T617" s="32" t="str">
        <f aca="false">IF(Q617="","",IF(Q617&gt;=100000,"Yes","No"))</f>
        <v/>
      </c>
      <c r="U617" s="28"/>
      <c r="V617" s="28"/>
      <c r="W617" s="28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J617" s="34" t="str">
        <f aca="false">IF(OR($BD617&lt;&gt;"",$BF617&lt;&gt;"",$BH617&lt;&gt;""),"Yes","No")</f>
        <v>No</v>
      </c>
      <c r="BK617" s="35" t="str">
        <f aca="false">IFERROR(IF(BD617="","",BD617*INDEX('00 - Lists'!$M$2:$M$11,MATCH(L617,'00 - Lists'!$L$2:$L$11,0))/100000),"")</f>
        <v/>
      </c>
      <c r="BL617" s="35" t="str">
        <f aca="false">IFERROR(IF(BE617="","",BE617*INDEX('00 - Lists'!$M$2:$M$11,MATCH(L617,'00 - Lists'!$L$2:$L$11,0))/100000),"")</f>
        <v/>
      </c>
      <c r="BM617" s="35" t="str">
        <f aca="false">IFERROR(IF(BF617="","",BF617*INDEX('00 - Lists'!$M$2:$M$11,MATCH(L617,'00 - Lists'!$L$2:$L$11,0))/100000),"")</f>
        <v/>
      </c>
      <c r="BN617" s="35" t="str">
        <f aca="false">IFERROR(IF(BG617="","",BG617*INDEX('00 - Lists'!$M$2:$M$11,MATCH(L617,'00 - Lists'!$L$2:$L$11,0))/100000),"")</f>
        <v/>
      </c>
      <c r="BO617" s="35" t="str">
        <f aca="false">IFERROR(IF(BH617="","",BH617*INDEX('00 - Lists'!$M$2:$M$11,MATCH(L617,'00 - Lists'!$L$2:$L$11,0))/100000),"")</f>
        <v/>
      </c>
      <c r="BP617" s="35" t="str">
        <f aca="false">IFERROR(IF(BI617="","",BI617*INDEX('00 - Lists'!$M$2:$M$11,MATCH(L617,'00 - Lists'!$L$2:$L$11,0))/100000),"")</f>
        <v/>
      </c>
      <c r="BS617" s="36" t="str">
        <f aca="false">IF(O617="","",IF(O617&gt;=20,"Yes","No"))</f>
        <v/>
      </c>
      <c r="BT617" s="36" t="str">
        <f aca="false">IF(O617="","",IF(O617&gt;=30,"Yes","No"))</f>
        <v/>
      </c>
      <c r="BU617" s="36" t="str">
        <f aca="false">IF(O617="","",IF(O617&gt;=75,"Yes","No"))</f>
        <v/>
      </c>
      <c r="BV617" s="36" t="str">
        <f aca="false">IF(O617="","",IF(O617&gt;=100,"Yes","No"))</f>
        <v/>
      </c>
      <c r="BW617" s="36" t="str">
        <f aca="false">IF(O617="","",IF(O617&gt;=150,"Yes","No"))</f>
        <v/>
      </c>
      <c r="BX617" s="36" t="str">
        <f aca="false">IF(O617="","",IF(O617&gt;=200,"Yes","No"))</f>
        <v/>
      </c>
      <c r="BY617" s="36" t="str">
        <f aca="false">IF(Q617="","",IF(Q617&gt;=150000,"Yes","No"))</f>
        <v/>
      </c>
      <c r="BZ617" s="36" t="str">
        <f aca="false">IF(Q617="","",IF(Q617&gt;=200000,"Yes","No"))</f>
        <v/>
      </c>
      <c r="CA617" s="36" t="str">
        <f aca="false">IF(Q617="","",IF(Q617&gt;=250000,"Yes","No"))</f>
        <v/>
      </c>
      <c r="CB617" s="36" t="str">
        <f aca="false">IF(Q617="","",IF(Q617&gt;=300000,"Yes","No"))</f>
        <v/>
      </c>
      <c r="CC617" s="37"/>
      <c r="CD617" s="36" t="str">
        <f aca="true">IF(B617="","",IF(TODAY()-B617&lt;=7,"🟢 0-7d",IF(TODAY()-B617&lt;=30,"🟡 8-30d",IF(TODAY()-B617&lt;=60,"🟠 31-60d","🔴 60d+"))))</f>
        <v/>
      </c>
      <c r="CE617" s="36" t="str">
        <f aca="false">IF(G617="","",IF(G617&lt;&gt;"USA","N/A - Not USA Role",IF(J617="Yes",IF(OR(F617="Intern",F617="New Grad"),"🟡 Possible","🟢 Strong"),IF(J617="No","🔴 Difficult","⚪ Unknown"))))</f>
        <v/>
      </c>
      <c r="CF617" s="37"/>
      <c r="CG617" s="37"/>
      <c r="CH617" s="38"/>
      <c r="CI617" s="38"/>
      <c r="CJ617" s="38"/>
      <c r="CK617" s="38"/>
    </row>
    <row r="618" customFormat="false" ht="15" hidden="false" customHeight="true" outlineLevel="0" collapsed="false">
      <c r="A618" s="26" t="str">
        <f aca="false">IF($C618="","",ROW()-3)</f>
        <v/>
      </c>
      <c r="B618" s="27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9"/>
      <c r="N618" s="29"/>
      <c r="O618" s="30" t="str">
        <f aca="false">IFERROR(IF(M618="","",M618*INDEX('00 - Lists'!$M$2:$M$11,MATCH(L618,'00 - Lists'!$L$2:$L$11,0))/100000),"")</f>
        <v/>
      </c>
      <c r="P618" s="30" t="str">
        <f aca="false">IFERROR(IF(N618="","",N618*INDEX('00 - Lists'!$M$2:$M$11,MATCH(L618,'00 - Lists'!$L$2:$L$11,0))/100000),"")</f>
        <v/>
      </c>
      <c r="Q618" s="31" t="str">
        <f aca="false">IFERROR(IF(M618="","",M618*INDEX('00 - Lists'!$N$2:$N$11,MATCH(L618,'00 - Lists'!$L$2:$L$11,0))),"")</f>
        <v/>
      </c>
      <c r="R618" s="31" t="str">
        <f aca="false">IFERROR(IF(N618="","",N618*INDEX('00 - Lists'!$N$2:$N$11,MATCH(L618,'00 - Lists'!$L$2:$L$11,0))),"")</f>
        <v/>
      </c>
      <c r="S618" s="32" t="str">
        <f aca="false">IF(O618="","",IF(O618&gt;=50,"Yes","No"))</f>
        <v/>
      </c>
      <c r="T618" s="32" t="str">
        <f aca="false">IF(Q618="","",IF(Q618&gt;=100000,"Yes","No"))</f>
        <v/>
      </c>
      <c r="U618" s="28"/>
      <c r="V618" s="28"/>
      <c r="W618" s="28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J618" s="34" t="str">
        <f aca="false">IF(OR($BD618&lt;&gt;"",$BF618&lt;&gt;"",$BH618&lt;&gt;""),"Yes","No")</f>
        <v>No</v>
      </c>
      <c r="BK618" s="35" t="str">
        <f aca="false">IFERROR(IF(BD618="","",BD618*INDEX('00 - Lists'!$M$2:$M$11,MATCH(L618,'00 - Lists'!$L$2:$L$11,0))/100000),"")</f>
        <v/>
      </c>
      <c r="BL618" s="35" t="str">
        <f aca="false">IFERROR(IF(BE618="","",BE618*INDEX('00 - Lists'!$M$2:$M$11,MATCH(L618,'00 - Lists'!$L$2:$L$11,0))/100000),"")</f>
        <v/>
      </c>
      <c r="BM618" s="35" t="str">
        <f aca="false">IFERROR(IF(BF618="","",BF618*INDEX('00 - Lists'!$M$2:$M$11,MATCH(L618,'00 - Lists'!$L$2:$L$11,0))/100000),"")</f>
        <v/>
      </c>
      <c r="BN618" s="35" t="str">
        <f aca="false">IFERROR(IF(BG618="","",BG618*INDEX('00 - Lists'!$M$2:$M$11,MATCH(L618,'00 - Lists'!$L$2:$L$11,0))/100000),"")</f>
        <v/>
      </c>
      <c r="BO618" s="35" t="str">
        <f aca="false">IFERROR(IF(BH618="","",BH618*INDEX('00 - Lists'!$M$2:$M$11,MATCH(L618,'00 - Lists'!$L$2:$L$11,0))/100000),"")</f>
        <v/>
      </c>
      <c r="BP618" s="35" t="str">
        <f aca="false">IFERROR(IF(BI618="","",BI618*INDEX('00 - Lists'!$M$2:$M$11,MATCH(L618,'00 - Lists'!$L$2:$L$11,0))/100000),"")</f>
        <v/>
      </c>
      <c r="BS618" s="36" t="str">
        <f aca="false">IF(O618="","",IF(O618&gt;=20,"Yes","No"))</f>
        <v/>
      </c>
      <c r="BT618" s="36" t="str">
        <f aca="false">IF(O618="","",IF(O618&gt;=30,"Yes","No"))</f>
        <v/>
      </c>
      <c r="BU618" s="36" t="str">
        <f aca="false">IF(O618="","",IF(O618&gt;=75,"Yes","No"))</f>
        <v/>
      </c>
      <c r="BV618" s="36" t="str">
        <f aca="false">IF(O618="","",IF(O618&gt;=100,"Yes","No"))</f>
        <v/>
      </c>
      <c r="BW618" s="36" t="str">
        <f aca="false">IF(O618="","",IF(O618&gt;=150,"Yes","No"))</f>
        <v/>
      </c>
      <c r="BX618" s="36" t="str">
        <f aca="false">IF(O618="","",IF(O618&gt;=200,"Yes","No"))</f>
        <v/>
      </c>
      <c r="BY618" s="36" t="str">
        <f aca="false">IF(Q618="","",IF(Q618&gt;=150000,"Yes","No"))</f>
        <v/>
      </c>
      <c r="BZ618" s="36" t="str">
        <f aca="false">IF(Q618="","",IF(Q618&gt;=200000,"Yes","No"))</f>
        <v/>
      </c>
      <c r="CA618" s="36" t="str">
        <f aca="false">IF(Q618="","",IF(Q618&gt;=250000,"Yes","No"))</f>
        <v/>
      </c>
      <c r="CB618" s="36" t="str">
        <f aca="false">IF(Q618="","",IF(Q618&gt;=300000,"Yes","No"))</f>
        <v/>
      </c>
      <c r="CC618" s="37"/>
      <c r="CD618" s="36" t="str">
        <f aca="true">IF(B618="","",IF(TODAY()-B618&lt;=7,"🟢 0-7d",IF(TODAY()-B618&lt;=30,"🟡 8-30d",IF(TODAY()-B618&lt;=60,"🟠 31-60d","🔴 60d+"))))</f>
        <v/>
      </c>
      <c r="CE618" s="36" t="str">
        <f aca="false">IF(G618="","",IF(G618&lt;&gt;"USA","N/A - Not USA Role",IF(J618="Yes",IF(OR(F618="Intern",F618="New Grad"),"🟡 Possible","🟢 Strong"),IF(J618="No","🔴 Difficult","⚪ Unknown"))))</f>
        <v/>
      </c>
      <c r="CF618" s="37"/>
      <c r="CG618" s="37"/>
      <c r="CH618" s="38"/>
      <c r="CI618" s="38"/>
      <c r="CJ618" s="38"/>
      <c r="CK618" s="38"/>
    </row>
    <row r="619" customFormat="false" ht="15" hidden="false" customHeight="true" outlineLevel="0" collapsed="false">
      <c r="A619" s="26" t="str">
        <f aca="false">IF($C619="","",ROW()-3)</f>
        <v/>
      </c>
      <c r="B619" s="27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9"/>
      <c r="N619" s="29"/>
      <c r="O619" s="30" t="str">
        <f aca="false">IFERROR(IF(M619="","",M619*INDEX('00 - Lists'!$M$2:$M$11,MATCH(L619,'00 - Lists'!$L$2:$L$11,0))/100000),"")</f>
        <v/>
      </c>
      <c r="P619" s="30" t="str">
        <f aca="false">IFERROR(IF(N619="","",N619*INDEX('00 - Lists'!$M$2:$M$11,MATCH(L619,'00 - Lists'!$L$2:$L$11,0))/100000),"")</f>
        <v/>
      </c>
      <c r="Q619" s="31" t="str">
        <f aca="false">IFERROR(IF(M619="","",M619*INDEX('00 - Lists'!$N$2:$N$11,MATCH(L619,'00 - Lists'!$L$2:$L$11,0))),"")</f>
        <v/>
      </c>
      <c r="R619" s="31" t="str">
        <f aca="false">IFERROR(IF(N619="","",N619*INDEX('00 - Lists'!$N$2:$N$11,MATCH(L619,'00 - Lists'!$L$2:$L$11,0))),"")</f>
        <v/>
      </c>
      <c r="S619" s="32" t="str">
        <f aca="false">IF(O619="","",IF(O619&gt;=50,"Yes","No"))</f>
        <v/>
      </c>
      <c r="T619" s="32" t="str">
        <f aca="false">IF(Q619="","",IF(Q619&gt;=100000,"Yes","No"))</f>
        <v/>
      </c>
      <c r="U619" s="28"/>
      <c r="V619" s="28"/>
      <c r="W619" s="28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J619" s="34" t="str">
        <f aca="false">IF(OR($BD619&lt;&gt;"",$BF619&lt;&gt;"",$BH619&lt;&gt;""),"Yes","No")</f>
        <v>No</v>
      </c>
      <c r="BK619" s="35" t="str">
        <f aca="false">IFERROR(IF(BD619="","",BD619*INDEX('00 - Lists'!$M$2:$M$11,MATCH(L619,'00 - Lists'!$L$2:$L$11,0))/100000),"")</f>
        <v/>
      </c>
      <c r="BL619" s="35" t="str">
        <f aca="false">IFERROR(IF(BE619="","",BE619*INDEX('00 - Lists'!$M$2:$M$11,MATCH(L619,'00 - Lists'!$L$2:$L$11,0))/100000),"")</f>
        <v/>
      </c>
      <c r="BM619" s="35" t="str">
        <f aca="false">IFERROR(IF(BF619="","",BF619*INDEX('00 - Lists'!$M$2:$M$11,MATCH(L619,'00 - Lists'!$L$2:$L$11,0))/100000),"")</f>
        <v/>
      </c>
      <c r="BN619" s="35" t="str">
        <f aca="false">IFERROR(IF(BG619="","",BG619*INDEX('00 - Lists'!$M$2:$M$11,MATCH(L619,'00 - Lists'!$L$2:$L$11,0))/100000),"")</f>
        <v/>
      </c>
      <c r="BO619" s="35" t="str">
        <f aca="false">IFERROR(IF(BH619="","",BH619*INDEX('00 - Lists'!$M$2:$M$11,MATCH(L619,'00 - Lists'!$L$2:$L$11,0))/100000),"")</f>
        <v/>
      </c>
      <c r="BP619" s="35" t="str">
        <f aca="false">IFERROR(IF(BI619="","",BI619*INDEX('00 - Lists'!$M$2:$M$11,MATCH(L619,'00 - Lists'!$L$2:$L$11,0))/100000),"")</f>
        <v/>
      </c>
      <c r="BS619" s="36" t="str">
        <f aca="false">IF(O619="","",IF(O619&gt;=20,"Yes","No"))</f>
        <v/>
      </c>
      <c r="BT619" s="36" t="str">
        <f aca="false">IF(O619="","",IF(O619&gt;=30,"Yes","No"))</f>
        <v/>
      </c>
      <c r="BU619" s="36" t="str">
        <f aca="false">IF(O619="","",IF(O619&gt;=75,"Yes","No"))</f>
        <v/>
      </c>
      <c r="BV619" s="36" t="str">
        <f aca="false">IF(O619="","",IF(O619&gt;=100,"Yes","No"))</f>
        <v/>
      </c>
      <c r="BW619" s="36" t="str">
        <f aca="false">IF(O619="","",IF(O619&gt;=150,"Yes","No"))</f>
        <v/>
      </c>
      <c r="BX619" s="36" t="str">
        <f aca="false">IF(O619="","",IF(O619&gt;=200,"Yes","No"))</f>
        <v/>
      </c>
      <c r="BY619" s="36" t="str">
        <f aca="false">IF(Q619="","",IF(Q619&gt;=150000,"Yes","No"))</f>
        <v/>
      </c>
      <c r="BZ619" s="36" t="str">
        <f aca="false">IF(Q619="","",IF(Q619&gt;=200000,"Yes","No"))</f>
        <v/>
      </c>
      <c r="CA619" s="36" t="str">
        <f aca="false">IF(Q619="","",IF(Q619&gt;=250000,"Yes","No"))</f>
        <v/>
      </c>
      <c r="CB619" s="36" t="str">
        <f aca="false">IF(Q619="","",IF(Q619&gt;=300000,"Yes","No"))</f>
        <v/>
      </c>
      <c r="CC619" s="37"/>
      <c r="CD619" s="36" t="str">
        <f aca="true">IF(B619="","",IF(TODAY()-B619&lt;=7,"🟢 0-7d",IF(TODAY()-B619&lt;=30,"🟡 8-30d",IF(TODAY()-B619&lt;=60,"🟠 31-60d","🔴 60d+"))))</f>
        <v/>
      </c>
      <c r="CE619" s="36" t="str">
        <f aca="false">IF(G619="","",IF(G619&lt;&gt;"USA","N/A - Not USA Role",IF(J619="Yes",IF(OR(F619="Intern",F619="New Grad"),"🟡 Possible","🟢 Strong"),IF(J619="No","🔴 Difficult","⚪ Unknown"))))</f>
        <v/>
      </c>
      <c r="CF619" s="37"/>
      <c r="CG619" s="37"/>
      <c r="CH619" s="38"/>
      <c r="CI619" s="38"/>
      <c r="CJ619" s="38"/>
      <c r="CK619" s="38"/>
    </row>
    <row r="620" customFormat="false" ht="15" hidden="false" customHeight="true" outlineLevel="0" collapsed="false">
      <c r="A620" s="26" t="str">
        <f aca="false">IF($C620="","",ROW()-3)</f>
        <v/>
      </c>
      <c r="B620" s="27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9"/>
      <c r="N620" s="29"/>
      <c r="O620" s="30" t="str">
        <f aca="false">IFERROR(IF(M620="","",M620*INDEX('00 - Lists'!$M$2:$M$11,MATCH(L620,'00 - Lists'!$L$2:$L$11,0))/100000),"")</f>
        <v/>
      </c>
      <c r="P620" s="30" t="str">
        <f aca="false">IFERROR(IF(N620="","",N620*INDEX('00 - Lists'!$M$2:$M$11,MATCH(L620,'00 - Lists'!$L$2:$L$11,0))/100000),"")</f>
        <v/>
      </c>
      <c r="Q620" s="31" t="str">
        <f aca="false">IFERROR(IF(M620="","",M620*INDEX('00 - Lists'!$N$2:$N$11,MATCH(L620,'00 - Lists'!$L$2:$L$11,0))),"")</f>
        <v/>
      </c>
      <c r="R620" s="31" t="str">
        <f aca="false">IFERROR(IF(N620="","",N620*INDEX('00 - Lists'!$N$2:$N$11,MATCH(L620,'00 - Lists'!$L$2:$L$11,0))),"")</f>
        <v/>
      </c>
      <c r="S620" s="32" t="str">
        <f aca="false">IF(O620="","",IF(O620&gt;=50,"Yes","No"))</f>
        <v/>
      </c>
      <c r="T620" s="32" t="str">
        <f aca="false">IF(Q620="","",IF(Q620&gt;=100000,"Yes","No"))</f>
        <v/>
      </c>
      <c r="U620" s="28"/>
      <c r="V620" s="28"/>
      <c r="W620" s="28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J620" s="34" t="str">
        <f aca="false">IF(OR($BD620&lt;&gt;"",$BF620&lt;&gt;"",$BH620&lt;&gt;""),"Yes","No")</f>
        <v>No</v>
      </c>
      <c r="BK620" s="35" t="str">
        <f aca="false">IFERROR(IF(BD620="","",BD620*INDEX('00 - Lists'!$M$2:$M$11,MATCH(L620,'00 - Lists'!$L$2:$L$11,0))/100000),"")</f>
        <v/>
      </c>
      <c r="BL620" s="35" t="str">
        <f aca="false">IFERROR(IF(BE620="","",BE620*INDEX('00 - Lists'!$M$2:$M$11,MATCH(L620,'00 - Lists'!$L$2:$L$11,0))/100000),"")</f>
        <v/>
      </c>
      <c r="BM620" s="35" t="str">
        <f aca="false">IFERROR(IF(BF620="","",BF620*INDEX('00 - Lists'!$M$2:$M$11,MATCH(L620,'00 - Lists'!$L$2:$L$11,0))/100000),"")</f>
        <v/>
      </c>
      <c r="BN620" s="35" t="str">
        <f aca="false">IFERROR(IF(BG620="","",BG620*INDEX('00 - Lists'!$M$2:$M$11,MATCH(L620,'00 - Lists'!$L$2:$L$11,0))/100000),"")</f>
        <v/>
      </c>
      <c r="BO620" s="35" t="str">
        <f aca="false">IFERROR(IF(BH620="","",BH620*INDEX('00 - Lists'!$M$2:$M$11,MATCH(L620,'00 - Lists'!$L$2:$L$11,0))/100000),"")</f>
        <v/>
      </c>
      <c r="BP620" s="35" t="str">
        <f aca="false">IFERROR(IF(BI620="","",BI620*INDEX('00 - Lists'!$M$2:$M$11,MATCH(L620,'00 - Lists'!$L$2:$L$11,0))/100000),"")</f>
        <v/>
      </c>
      <c r="BS620" s="36" t="str">
        <f aca="false">IF(O620="","",IF(O620&gt;=20,"Yes","No"))</f>
        <v/>
      </c>
      <c r="BT620" s="36" t="str">
        <f aca="false">IF(O620="","",IF(O620&gt;=30,"Yes","No"))</f>
        <v/>
      </c>
      <c r="BU620" s="36" t="str">
        <f aca="false">IF(O620="","",IF(O620&gt;=75,"Yes","No"))</f>
        <v/>
      </c>
      <c r="BV620" s="36" t="str">
        <f aca="false">IF(O620="","",IF(O620&gt;=100,"Yes","No"))</f>
        <v/>
      </c>
      <c r="BW620" s="36" t="str">
        <f aca="false">IF(O620="","",IF(O620&gt;=150,"Yes","No"))</f>
        <v/>
      </c>
      <c r="BX620" s="36" t="str">
        <f aca="false">IF(O620="","",IF(O620&gt;=200,"Yes","No"))</f>
        <v/>
      </c>
      <c r="BY620" s="36" t="str">
        <f aca="false">IF(Q620="","",IF(Q620&gt;=150000,"Yes","No"))</f>
        <v/>
      </c>
      <c r="BZ620" s="36" t="str">
        <f aca="false">IF(Q620="","",IF(Q620&gt;=200000,"Yes","No"))</f>
        <v/>
      </c>
      <c r="CA620" s="36" t="str">
        <f aca="false">IF(Q620="","",IF(Q620&gt;=250000,"Yes","No"))</f>
        <v/>
      </c>
      <c r="CB620" s="36" t="str">
        <f aca="false">IF(Q620="","",IF(Q620&gt;=300000,"Yes","No"))</f>
        <v/>
      </c>
      <c r="CC620" s="37"/>
      <c r="CD620" s="36" t="str">
        <f aca="true">IF(B620="","",IF(TODAY()-B620&lt;=7,"🟢 0-7d",IF(TODAY()-B620&lt;=30,"🟡 8-30d",IF(TODAY()-B620&lt;=60,"🟠 31-60d","🔴 60d+"))))</f>
        <v/>
      </c>
      <c r="CE620" s="36" t="str">
        <f aca="false">IF(G620="","",IF(G620&lt;&gt;"USA","N/A - Not USA Role",IF(J620="Yes",IF(OR(F620="Intern",F620="New Grad"),"🟡 Possible","🟢 Strong"),IF(J620="No","🔴 Difficult","⚪ Unknown"))))</f>
        <v/>
      </c>
      <c r="CF620" s="37"/>
      <c r="CG620" s="37"/>
      <c r="CH620" s="38"/>
      <c r="CI620" s="38"/>
      <c r="CJ620" s="38"/>
      <c r="CK620" s="38"/>
    </row>
    <row r="621" customFormat="false" ht="15" hidden="false" customHeight="true" outlineLevel="0" collapsed="false">
      <c r="A621" s="26" t="str">
        <f aca="false">IF($C621="","",ROW()-3)</f>
        <v/>
      </c>
      <c r="B621" s="27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9"/>
      <c r="N621" s="29"/>
      <c r="O621" s="30" t="str">
        <f aca="false">IFERROR(IF(M621="","",M621*INDEX('00 - Lists'!$M$2:$M$11,MATCH(L621,'00 - Lists'!$L$2:$L$11,0))/100000),"")</f>
        <v/>
      </c>
      <c r="P621" s="30" t="str">
        <f aca="false">IFERROR(IF(N621="","",N621*INDEX('00 - Lists'!$M$2:$M$11,MATCH(L621,'00 - Lists'!$L$2:$L$11,0))/100000),"")</f>
        <v/>
      </c>
      <c r="Q621" s="31" t="str">
        <f aca="false">IFERROR(IF(M621="","",M621*INDEX('00 - Lists'!$N$2:$N$11,MATCH(L621,'00 - Lists'!$L$2:$L$11,0))),"")</f>
        <v/>
      </c>
      <c r="R621" s="31" t="str">
        <f aca="false">IFERROR(IF(N621="","",N621*INDEX('00 - Lists'!$N$2:$N$11,MATCH(L621,'00 - Lists'!$L$2:$L$11,0))),"")</f>
        <v/>
      </c>
      <c r="S621" s="32" t="str">
        <f aca="false">IF(O621="","",IF(O621&gt;=50,"Yes","No"))</f>
        <v/>
      </c>
      <c r="T621" s="32" t="str">
        <f aca="false">IF(Q621="","",IF(Q621&gt;=100000,"Yes","No"))</f>
        <v/>
      </c>
      <c r="U621" s="28"/>
      <c r="V621" s="28"/>
      <c r="W621" s="28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J621" s="34" t="str">
        <f aca="false">IF(OR($BD621&lt;&gt;"",$BF621&lt;&gt;"",$BH621&lt;&gt;""),"Yes","No")</f>
        <v>No</v>
      </c>
      <c r="BK621" s="35" t="str">
        <f aca="false">IFERROR(IF(BD621="","",BD621*INDEX('00 - Lists'!$M$2:$M$11,MATCH(L621,'00 - Lists'!$L$2:$L$11,0))/100000),"")</f>
        <v/>
      </c>
      <c r="BL621" s="35" t="str">
        <f aca="false">IFERROR(IF(BE621="","",BE621*INDEX('00 - Lists'!$M$2:$M$11,MATCH(L621,'00 - Lists'!$L$2:$L$11,0))/100000),"")</f>
        <v/>
      </c>
      <c r="BM621" s="35" t="str">
        <f aca="false">IFERROR(IF(BF621="","",BF621*INDEX('00 - Lists'!$M$2:$M$11,MATCH(L621,'00 - Lists'!$L$2:$L$11,0))/100000),"")</f>
        <v/>
      </c>
      <c r="BN621" s="35" t="str">
        <f aca="false">IFERROR(IF(BG621="","",BG621*INDEX('00 - Lists'!$M$2:$M$11,MATCH(L621,'00 - Lists'!$L$2:$L$11,0))/100000),"")</f>
        <v/>
      </c>
      <c r="BO621" s="35" t="str">
        <f aca="false">IFERROR(IF(BH621="","",BH621*INDEX('00 - Lists'!$M$2:$M$11,MATCH(L621,'00 - Lists'!$L$2:$L$11,0))/100000),"")</f>
        <v/>
      </c>
      <c r="BP621" s="35" t="str">
        <f aca="false">IFERROR(IF(BI621="","",BI621*INDEX('00 - Lists'!$M$2:$M$11,MATCH(L621,'00 - Lists'!$L$2:$L$11,0))/100000),"")</f>
        <v/>
      </c>
      <c r="BS621" s="36" t="str">
        <f aca="false">IF(O621="","",IF(O621&gt;=20,"Yes","No"))</f>
        <v/>
      </c>
      <c r="BT621" s="36" t="str">
        <f aca="false">IF(O621="","",IF(O621&gt;=30,"Yes","No"))</f>
        <v/>
      </c>
      <c r="BU621" s="36" t="str">
        <f aca="false">IF(O621="","",IF(O621&gt;=75,"Yes","No"))</f>
        <v/>
      </c>
      <c r="BV621" s="36" t="str">
        <f aca="false">IF(O621="","",IF(O621&gt;=100,"Yes","No"))</f>
        <v/>
      </c>
      <c r="BW621" s="36" t="str">
        <f aca="false">IF(O621="","",IF(O621&gt;=150,"Yes","No"))</f>
        <v/>
      </c>
      <c r="BX621" s="36" t="str">
        <f aca="false">IF(O621="","",IF(O621&gt;=200,"Yes","No"))</f>
        <v/>
      </c>
      <c r="BY621" s="36" t="str">
        <f aca="false">IF(Q621="","",IF(Q621&gt;=150000,"Yes","No"))</f>
        <v/>
      </c>
      <c r="BZ621" s="36" t="str">
        <f aca="false">IF(Q621="","",IF(Q621&gt;=200000,"Yes","No"))</f>
        <v/>
      </c>
      <c r="CA621" s="36" t="str">
        <f aca="false">IF(Q621="","",IF(Q621&gt;=250000,"Yes","No"))</f>
        <v/>
      </c>
      <c r="CB621" s="36" t="str">
        <f aca="false">IF(Q621="","",IF(Q621&gt;=300000,"Yes","No"))</f>
        <v/>
      </c>
      <c r="CC621" s="37"/>
      <c r="CD621" s="36" t="str">
        <f aca="true">IF(B621="","",IF(TODAY()-B621&lt;=7,"🟢 0-7d",IF(TODAY()-B621&lt;=30,"🟡 8-30d",IF(TODAY()-B621&lt;=60,"🟠 31-60d","🔴 60d+"))))</f>
        <v/>
      </c>
      <c r="CE621" s="36" t="str">
        <f aca="false">IF(G621="","",IF(G621&lt;&gt;"USA","N/A - Not USA Role",IF(J621="Yes",IF(OR(F621="Intern",F621="New Grad"),"🟡 Possible","🟢 Strong"),IF(J621="No","🔴 Difficult","⚪ Unknown"))))</f>
        <v/>
      </c>
      <c r="CF621" s="37"/>
      <c r="CG621" s="37"/>
      <c r="CH621" s="38"/>
      <c r="CI621" s="38"/>
      <c r="CJ621" s="38"/>
      <c r="CK621" s="38"/>
    </row>
    <row r="622" customFormat="false" ht="15" hidden="false" customHeight="true" outlineLevel="0" collapsed="false">
      <c r="A622" s="26" t="str">
        <f aca="false">IF($C622="","",ROW()-3)</f>
        <v/>
      </c>
      <c r="B622" s="27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9"/>
      <c r="N622" s="29"/>
      <c r="O622" s="30" t="str">
        <f aca="false">IFERROR(IF(M622="","",M622*INDEX('00 - Lists'!$M$2:$M$11,MATCH(L622,'00 - Lists'!$L$2:$L$11,0))/100000),"")</f>
        <v/>
      </c>
      <c r="P622" s="30" t="str">
        <f aca="false">IFERROR(IF(N622="","",N622*INDEX('00 - Lists'!$M$2:$M$11,MATCH(L622,'00 - Lists'!$L$2:$L$11,0))/100000),"")</f>
        <v/>
      </c>
      <c r="Q622" s="31" t="str">
        <f aca="false">IFERROR(IF(M622="","",M622*INDEX('00 - Lists'!$N$2:$N$11,MATCH(L622,'00 - Lists'!$L$2:$L$11,0))),"")</f>
        <v/>
      </c>
      <c r="R622" s="31" t="str">
        <f aca="false">IFERROR(IF(N622="","",N622*INDEX('00 - Lists'!$N$2:$N$11,MATCH(L622,'00 - Lists'!$L$2:$L$11,0))),"")</f>
        <v/>
      </c>
      <c r="S622" s="32" t="str">
        <f aca="false">IF(O622="","",IF(O622&gt;=50,"Yes","No"))</f>
        <v/>
      </c>
      <c r="T622" s="32" t="str">
        <f aca="false">IF(Q622="","",IF(Q622&gt;=100000,"Yes","No"))</f>
        <v/>
      </c>
      <c r="U622" s="28"/>
      <c r="V622" s="28"/>
      <c r="W622" s="28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J622" s="34" t="str">
        <f aca="false">IF(OR($BD622&lt;&gt;"",$BF622&lt;&gt;"",$BH622&lt;&gt;""),"Yes","No")</f>
        <v>No</v>
      </c>
      <c r="BK622" s="35" t="str">
        <f aca="false">IFERROR(IF(BD622="","",BD622*INDEX('00 - Lists'!$M$2:$M$11,MATCH(L622,'00 - Lists'!$L$2:$L$11,0))/100000),"")</f>
        <v/>
      </c>
      <c r="BL622" s="35" t="str">
        <f aca="false">IFERROR(IF(BE622="","",BE622*INDEX('00 - Lists'!$M$2:$M$11,MATCH(L622,'00 - Lists'!$L$2:$L$11,0))/100000),"")</f>
        <v/>
      </c>
      <c r="BM622" s="35" t="str">
        <f aca="false">IFERROR(IF(BF622="","",BF622*INDEX('00 - Lists'!$M$2:$M$11,MATCH(L622,'00 - Lists'!$L$2:$L$11,0))/100000),"")</f>
        <v/>
      </c>
      <c r="BN622" s="35" t="str">
        <f aca="false">IFERROR(IF(BG622="","",BG622*INDEX('00 - Lists'!$M$2:$M$11,MATCH(L622,'00 - Lists'!$L$2:$L$11,0))/100000),"")</f>
        <v/>
      </c>
      <c r="BO622" s="35" t="str">
        <f aca="false">IFERROR(IF(BH622="","",BH622*INDEX('00 - Lists'!$M$2:$M$11,MATCH(L622,'00 - Lists'!$L$2:$L$11,0))/100000),"")</f>
        <v/>
      </c>
      <c r="BP622" s="35" t="str">
        <f aca="false">IFERROR(IF(BI622="","",BI622*INDEX('00 - Lists'!$M$2:$M$11,MATCH(L622,'00 - Lists'!$L$2:$L$11,0))/100000),"")</f>
        <v/>
      </c>
      <c r="BS622" s="36" t="str">
        <f aca="false">IF(O622="","",IF(O622&gt;=20,"Yes","No"))</f>
        <v/>
      </c>
      <c r="BT622" s="36" t="str">
        <f aca="false">IF(O622="","",IF(O622&gt;=30,"Yes","No"))</f>
        <v/>
      </c>
      <c r="BU622" s="36" t="str">
        <f aca="false">IF(O622="","",IF(O622&gt;=75,"Yes","No"))</f>
        <v/>
      </c>
      <c r="BV622" s="36" t="str">
        <f aca="false">IF(O622="","",IF(O622&gt;=100,"Yes","No"))</f>
        <v/>
      </c>
      <c r="BW622" s="36" t="str">
        <f aca="false">IF(O622="","",IF(O622&gt;=150,"Yes","No"))</f>
        <v/>
      </c>
      <c r="BX622" s="36" t="str">
        <f aca="false">IF(O622="","",IF(O622&gt;=200,"Yes","No"))</f>
        <v/>
      </c>
      <c r="BY622" s="36" t="str">
        <f aca="false">IF(Q622="","",IF(Q622&gt;=150000,"Yes","No"))</f>
        <v/>
      </c>
      <c r="BZ622" s="36" t="str">
        <f aca="false">IF(Q622="","",IF(Q622&gt;=200000,"Yes","No"))</f>
        <v/>
      </c>
      <c r="CA622" s="36" t="str">
        <f aca="false">IF(Q622="","",IF(Q622&gt;=250000,"Yes","No"))</f>
        <v/>
      </c>
      <c r="CB622" s="36" t="str">
        <f aca="false">IF(Q622="","",IF(Q622&gt;=300000,"Yes","No"))</f>
        <v/>
      </c>
      <c r="CC622" s="37"/>
      <c r="CD622" s="36" t="str">
        <f aca="true">IF(B622="","",IF(TODAY()-B622&lt;=7,"🟢 0-7d",IF(TODAY()-B622&lt;=30,"🟡 8-30d",IF(TODAY()-B622&lt;=60,"🟠 31-60d","🔴 60d+"))))</f>
        <v/>
      </c>
      <c r="CE622" s="36" t="str">
        <f aca="false">IF(G622="","",IF(G622&lt;&gt;"USA","N/A - Not USA Role",IF(J622="Yes",IF(OR(F622="Intern",F622="New Grad"),"🟡 Possible","🟢 Strong"),IF(J622="No","🔴 Difficult","⚪ Unknown"))))</f>
        <v/>
      </c>
      <c r="CF622" s="37"/>
      <c r="CG622" s="37"/>
      <c r="CH622" s="38"/>
      <c r="CI622" s="38"/>
      <c r="CJ622" s="38"/>
      <c r="CK622" s="38"/>
    </row>
    <row r="623" customFormat="false" ht="15" hidden="false" customHeight="true" outlineLevel="0" collapsed="false">
      <c r="A623" s="26" t="str">
        <f aca="false">IF($C623="","",ROW()-3)</f>
        <v/>
      </c>
      <c r="B623" s="27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9"/>
      <c r="N623" s="29"/>
      <c r="O623" s="30" t="str">
        <f aca="false">IFERROR(IF(M623="","",M623*INDEX('00 - Lists'!$M$2:$M$11,MATCH(L623,'00 - Lists'!$L$2:$L$11,0))/100000),"")</f>
        <v/>
      </c>
      <c r="P623" s="30" t="str">
        <f aca="false">IFERROR(IF(N623="","",N623*INDEX('00 - Lists'!$M$2:$M$11,MATCH(L623,'00 - Lists'!$L$2:$L$11,0))/100000),"")</f>
        <v/>
      </c>
      <c r="Q623" s="31" t="str">
        <f aca="false">IFERROR(IF(M623="","",M623*INDEX('00 - Lists'!$N$2:$N$11,MATCH(L623,'00 - Lists'!$L$2:$L$11,0))),"")</f>
        <v/>
      </c>
      <c r="R623" s="31" t="str">
        <f aca="false">IFERROR(IF(N623="","",N623*INDEX('00 - Lists'!$N$2:$N$11,MATCH(L623,'00 - Lists'!$L$2:$L$11,0))),"")</f>
        <v/>
      </c>
      <c r="S623" s="32" t="str">
        <f aca="false">IF(O623="","",IF(O623&gt;=50,"Yes","No"))</f>
        <v/>
      </c>
      <c r="T623" s="32" t="str">
        <f aca="false">IF(Q623="","",IF(Q623&gt;=100000,"Yes","No"))</f>
        <v/>
      </c>
      <c r="U623" s="28"/>
      <c r="V623" s="28"/>
      <c r="W623" s="28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J623" s="34" t="str">
        <f aca="false">IF(OR($BD623&lt;&gt;"",$BF623&lt;&gt;"",$BH623&lt;&gt;""),"Yes","No")</f>
        <v>No</v>
      </c>
      <c r="BK623" s="35" t="str">
        <f aca="false">IFERROR(IF(BD623="","",BD623*INDEX('00 - Lists'!$M$2:$M$11,MATCH(L623,'00 - Lists'!$L$2:$L$11,0))/100000),"")</f>
        <v/>
      </c>
      <c r="BL623" s="35" t="str">
        <f aca="false">IFERROR(IF(BE623="","",BE623*INDEX('00 - Lists'!$M$2:$M$11,MATCH(L623,'00 - Lists'!$L$2:$L$11,0))/100000),"")</f>
        <v/>
      </c>
      <c r="BM623" s="35" t="str">
        <f aca="false">IFERROR(IF(BF623="","",BF623*INDEX('00 - Lists'!$M$2:$M$11,MATCH(L623,'00 - Lists'!$L$2:$L$11,0))/100000),"")</f>
        <v/>
      </c>
      <c r="BN623" s="35" t="str">
        <f aca="false">IFERROR(IF(BG623="","",BG623*INDEX('00 - Lists'!$M$2:$M$11,MATCH(L623,'00 - Lists'!$L$2:$L$11,0))/100000),"")</f>
        <v/>
      </c>
      <c r="BO623" s="35" t="str">
        <f aca="false">IFERROR(IF(BH623="","",BH623*INDEX('00 - Lists'!$M$2:$M$11,MATCH(L623,'00 - Lists'!$L$2:$L$11,0))/100000),"")</f>
        <v/>
      </c>
      <c r="BP623" s="35" t="str">
        <f aca="false">IFERROR(IF(BI623="","",BI623*INDEX('00 - Lists'!$M$2:$M$11,MATCH(L623,'00 - Lists'!$L$2:$L$11,0))/100000),"")</f>
        <v/>
      </c>
      <c r="BS623" s="36" t="str">
        <f aca="false">IF(O623="","",IF(O623&gt;=20,"Yes","No"))</f>
        <v/>
      </c>
      <c r="BT623" s="36" t="str">
        <f aca="false">IF(O623="","",IF(O623&gt;=30,"Yes","No"))</f>
        <v/>
      </c>
      <c r="BU623" s="36" t="str">
        <f aca="false">IF(O623="","",IF(O623&gt;=75,"Yes","No"))</f>
        <v/>
      </c>
      <c r="BV623" s="36" t="str">
        <f aca="false">IF(O623="","",IF(O623&gt;=100,"Yes","No"))</f>
        <v/>
      </c>
      <c r="BW623" s="36" t="str">
        <f aca="false">IF(O623="","",IF(O623&gt;=150,"Yes","No"))</f>
        <v/>
      </c>
      <c r="BX623" s="36" t="str">
        <f aca="false">IF(O623="","",IF(O623&gt;=200,"Yes","No"))</f>
        <v/>
      </c>
      <c r="BY623" s="36" t="str">
        <f aca="false">IF(Q623="","",IF(Q623&gt;=150000,"Yes","No"))</f>
        <v/>
      </c>
      <c r="BZ623" s="36" t="str">
        <f aca="false">IF(Q623="","",IF(Q623&gt;=200000,"Yes","No"))</f>
        <v/>
      </c>
      <c r="CA623" s="36" t="str">
        <f aca="false">IF(Q623="","",IF(Q623&gt;=250000,"Yes","No"))</f>
        <v/>
      </c>
      <c r="CB623" s="36" t="str">
        <f aca="false">IF(Q623="","",IF(Q623&gt;=300000,"Yes","No"))</f>
        <v/>
      </c>
      <c r="CC623" s="37"/>
      <c r="CD623" s="36" t="str">
        <f aca="true">IF(B623="","",IF(TODAY()-B623&lt;=7,"🟢 0-7d",IF(TODAY()-B623&lt;=30,"🟡 8-30d",IF(TODAY()-B623&lt;=60,"🟠 31-60d","🔴 60d+"))))</f>
        <v/>
      </c>
      <c r="CE623" s="36" t="str">
        <f aca="false">IF(G623="","",IF(G623&lt;&gt;"USA","N/A - Not USA Role",IF(J623="Yes",IF(OR(F623="Intern",F623="New Grad"),"🟡 Possible","🟢 Strong"),IF(J623="No","🔴 Difficult","⚪ Unknown"))))</f>
        <v/>
      </c>
      <c r="CF623" s="37"/>
      <c r="CG623" s="37"/>
      <c r="CH623" s="38"/>
      <c r="CI623" s="38"/>
      <c r="CJ623" s="38"/>
      <c r="CK623" s="38"/>
    </row>
    <row r="624" customFormat="false" ht="15" hidden="false" customHeight="true" outlineLevel="0" collapsed="false">
      <c r="A624" s="26" t="str">
        <f aca="false">IF($C624="","",ROW()-3)</f>
        <v/>
      </c>
      <c r="B624" s="27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9"/>
      <c r="N624" s="29"/>
      <c r="O624" s="30" t="str">
        <f aca="false">IFERROR(IF(M624="","",M624*INDEX('00 - Lists'!$M$2:$M$11,MATCH(L624,'00 - Lists'!$L$2:$L$11,0))/100000),"")</f>
        <v/>
      </c>
      <c r="P624" s="30" t="str">
        <f aca="false">IFERROR(IF(N624="","",N624*INDEX('00 - Lists'!$M$2:$M$11,MATCH(L624,'00 - Lists'!$L$2:$L$11,0))/100000),"")</f>
        <v/>
      </c>
      <c r="Q624" s="31" t="str">
        <f aca="false">IFERROR(IF(M624="","",M624*INDEX('00 - Lists'!$N$2:$N$11,MATCH(L624,'00 - Lists'!$L$2:$L$11,0))),"")</f>
        <v/>
      </c>
      <c r="R624" s="31" t="str">
        <f aca="false">IFERROR(IF(N624="","",N624*INDEX('00 - Lists'!$N$2:$N$11,MATCH(L624,'00 - Lists'!$L$2:$L$11,0))),"")</f>
        <v/>
      </c>
      <c r="S624" s="32" t="str">
        <f aca="false">IF(O624="","",IF(O624&gt;=50,"Yes","No"))</f>
        <v/>
      </c>
      <c r="T624" s="32" t="str">
        <f aca="false">IF(Q624="","",IF(Q624&gt;=100000,"Yes","No"))</f>
        <v/>
      </c>
      <c r="U624" s="28"/>
      <c r="V624" s="28"/>
      <c r="W624" s="28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J624" s="34" t="str">
        <f aca="false">IF(OR($BD624&lt;&gt;"",$BF624&lt;&gt;"",$BH624&lt;&gt;""),"Yes","No")</f>
        <v>No</v>
      </c>
      <c r="BK624" s="35" t="str">
        <f aca="false">IFERROR(IF(BD624="","",BD624*INDEX('00 - Lists'!$M$2:$M$11,MATCH(L624,'00 - Lists'!$L$2:$L$11,0))/100000),"")</f>
        <v/>
      </c>
      <c r="BL624" s="35" t="str">
        <f aca="false">IFERROR(IF(BE624="","",BE624*INDEX('00 - Lists'!$M$2:$M$11,MATCH(L624,'00 - Lists'!$L$2:$L$11,0))/100000),"")</f>
        <v/>
      </c>
      <c r="BM624" s="35" t="str">
        <f aca="false">IFERROR(IF(BF624="","",BF624*INDEX('00 - Lists'!$M$2:$M$11,MATCH(L624,'00 - Lists'!$L$2:$L$11,0))/100000),"")</f>
        <v/>
      </c>
      <c r="BN624" s="35" t="str">
        <f aca="false">IFERROR(IF(BG624="","",BG624*INDEX('00 - Lists'!$M$2:$M$11,MATCH(L624,'00 - Lists'!$L$2:$L$11,0))/100000),"")</f>
        <v/>
      </c>
      <c r="BO624" s="35" t="str">
        <f aca="false">IFERROR(IF(BH624="","",BH624*INDEX('00 - Lists'!$M$2:$M$11,MATCH(L624,'00 - Lists'!$L$2:$L$11,0))/100000),"")</f>
        <v/>
      </c>
      <c r="BP624" s="35" t="str">
        <f aca="false">IFERROR(IF(BI624="","",BI624*INDEX('00 - Lists'!$M$2:$M$11,MATCH(L624,'00 - Lists'!$L$2:$L$11,0))/100000),"")</f>
        <v/>
      </c>
      <c r="BS624" s="36" t="str">
        <f aca="false">IF(O624="","",IF(O624&gt;=20,"Yes","No"))</f>
        <v/>
      </c>
      <c r="BT624" s="36" t="str">
        <f aca="false">IF(O624="","",IF(O624&gt;=30,"Yes","No"))</f>
        <v/>
      </c>
      <c r="BU624" s="36" t="str">
        <f aca="false">IF(O624="","",IF(O624&gt;=75,"Yes","No"))</f>
        <v/>
      </c>
      <c r="BV624" s="36" t="str">
        <f aca="false">IF(O624="","",IF(O624&gt;=100,"Yes","No"))</f>
        <v/>
      </c>
      <c r="BW624" s="36" t="str">
        <f aca="false">IF(O624="","",IF(O624&gt;=150,"Yes","No"))</f>
        <v/>
      </c>
      <c r="BX624" s="36" t="str">
        <f aca="false">IF(O624="","",IF(O624&gt;=200,"Yes","No"))</f>
        <v/>
      </c>
      <c r="BY624" s="36" t="str">
        <f aca="false">IF(Q624="","",IF(Q624&gt;=150000,"Yes","No"))</f>
        <v/>
      </c>
      <c r="BZ624" s="36" t="str">
        <f aca="false">IF(Q624="","",IF(Q624&gt;=200000,"Yes","No"))</f>
        <v/>
      </c>
      <c r="CA624" s="36" t="str">
        <f aca="false">IF(Q624="","",IF(Q624&gt;=250000,"Yes","No"))</f>
        <v/>
      </c>
      <c r="CB624" s="36" t="str">
        <f aca="false">IF(Q624="","",IF(Q624&gt;=300000,"Yes","No"))</f>
        <v/>
      </c>
      <c r="CC624" s="37"/>
      <c r="CD624" s="36" t="str">
        <f aca="true">IF(B624="","",IF(TODAY()-B624&lt;=7,"🟢 0-7d",IF(TODAY()-B624&lt;=30,"🟡 8-30d",IF(TODAY()-B624&lt;=60,"🟠 31-60d","🔴 60d+"))))</f>
        <v/>
      </c>
      <c r="CE624" s="36" t="str">
        <f aca="false">IF(G624="","",IF(G624&lt;&gt;"USA","N/A - Not USA Role",IF(J624="Yes",IF(OR(F624="Intern",F624="New Grad"),"🟡 Possible","🟢 Strong"),IF(J624="No","🔴 Difficult","⚪ Unknown"))))</f>
        <v/>
      </c>
      <c r="CF624" s="37"/>
      <c r="CG624" s="37"/>
      <c r="CH624" s="38"/>
      <c r="CI624" s="38"/>
      <c r="CJ624" s="38"/>
      <c r="CK624" s="38"/>
    </row>
    <row r="625" customFormat="false" ht="15" hidden="false" customHeight="true" outlineLevel="0" collapsed="false">
      <c r="A625" s="26" t="str">
        <f aca="false">IF($C625="","",ROW()-3)</f>
        <v/>
      </c>
      <c r="B625" s="27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9"/>
      <c r="N625" s="29"/>
      <c r="O625" s="30" t="str">
        <f aca="false">IFERROR(IF(M625="","",M625*INDEX('00 - Lists'!$M$2:$M$11,MATCH(L625,'00 - Lists'!$L$2:$L$11,0))/100000),"")</f>
        <v/>
      </c>
      <c r="P625" s="30" t="str">
        <f aca="false">IFERROR(IF(N625="","",N625*INDEX('00 - Lists'!$M$2:$M$11,MATCH(L625,'00 - Lists'!$L$2:$L$11,0))/100000),"")</f>
        <v/>
      </c>
      <c r="Q625" s="31" t="str">
        <f aca="false">IFERROR(IF(M625="","",M625*INDEX('00 - Lists'!$N$2:$N$11,MATCH(L625,'00 - Lists'!$L$2:$L$11,0))),"")</f>
        <v/>
      </c>
      <c r="R625" s="31" t="str">
        <f aca="false">IFERROR(IF(N625="","",N625*INDEX('00 - Lists'!$N$2:$N$11,MATCH(L625,'00 - Lists'!$L$2:$L$11,0))),"")</f>
        <v/>
      </c>
      <c r="S625" s="32" t="str">
        <f aca="false">IF(O625="","",IF(O625&gt;=50,"Yes","No"))</f>
        <v/>
      </c>
      <c r="T625" s="32" t="str">
        <f aca="false">IF(Q625="","",IF(Q625&gt;=100000,"Yes","No"))</f>
        <v/>
      </c>
      <c r="U625" s="28"/>
      <c r="V625" s="28"/>
      <c r="W625" s="28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J625" s="34" t="str">
        <f aca="false">IF(OR($BD625&lt;&gt;"",$BF625&lt;&gt;"",$BH625&lt;&gt;""),"Yes","No")</f>
        <v>No</v>
      </c>
      <c r="BK625" s="35" t="str">
        <f aca="false">IFERROR(IF(BD625="","",BD625*INDEX('00 - Lists'!$M$2:$M$11,MATCH(L625,'00 - Lists'!$L$2:$L$11,0))/100000),"")</f>
        <v/>
      </c>
      <c r="BL625" s="35" t="str">
        <f aca="false">IFERROR(IF(BE625="","",BE625*INDEX('00 - Lists'!$M$2:$M$11,MATCH(L625,'00 - Lists'!$L$2:$L$11,0))/100000),"")</f>
        <v/>
      </c>
      <c r="BM625" s="35" t="str">
        <f aca="false">IFERROR(IF(BF625="","",BF625*INDEX('00 - Lists'!$M$2:$M$11,MATCH(L625,'00 - Lists'!$L$2:$L$11,0))/100000),"")</f>
        <v/>
      </c>
      <c r="BN625" s="35" t="str">
        <f aca="false">IFERROR(IF(BG625="","",BG625*INDEX('00 - Lists'!$M$2:$M$11,MATCH(L625,'00 - Lists'!$L$2:$L$11,0))/100000),"")</f>
        <v/>
      </c>
      <c r="BO625" s="35" t="str">
        <f aca="false">IFERROR(IF(BH625="","",BH625*INDEX('00 - Lists'!$M$2:$M$11,MATCH(L625,'00 - Lists'!$L$2:$L$11,0))/100000),"")</f>
        <v/>
      </c>
      <c r="BP625" s="35" t="str">
        <f aca="false">IFERROR(IF(BI625="","",BI625*INDEX('00 - Lists'!$M$2:$M$11,MATCH(L625,'00 - Lists'!$L$2:$L$11,0))/100000),"")</f>
        <v/>
      </c>
      <c r="BS625" s="36" t="str">
        <f aca="false">IF(O625="","",IF(O625&gt;=20,"Yes","No"))</f>
        <v/>
      </c>
      <c r="BT625" s="36" t="str">
        <f aca="false">IF(O625="","",IF(O625&gt;=30,"Yes","No"))</f>
        <v/>
      </c>
      <c r="BU625" s="36" t="str">
        <f aca="false">IF(O625="","",IF(O625&gt;=75,"Yes","No"))</f>
        <v/>
      </c>
      <c r="BV625" s="36" t="str">
        <f aca="false">IF(O625="","",IF(O625&gt;=100,"Yes","No"))</f>
        <v/>
      </c>
      <c r="BW625" s="36" t="str">
        <f aca="false">IF(O625="","",IF(O625&gt;=150,"Yes","No"))</f>
        <v/>
      </c>
      <c r="BX625" s="36" t="str">
        <f aca="false">IF(O625="","",IF(O625&gt;=200,"Yes","No"))</f>
        <v/>
      </c>
      <c r="BY625" s="36" t="str">
        <f aca="false">IF(Q625="","",IF(Q625&gt;=150000,"Yes","No"))</f>
        <v/>
      </c>
      <c r="BZ625" s="36" t="str">
        <f aca="false">IF(Q625="","",IF(Q625&gt;=200000,"Yes","No"))</f>
        <v/>
      </c>
      <c r="CA625" s="36" t="str">
        <f aca="false">IF(Q625="","",IF(Q625&gt;=250000,"Yes","No"))</f>
        <v/>
      </c>
      <c r="CB625" s="36" t="str">
        <f aca="false">IF(Q625="","",IF(Q625&gt;=300000,"Yes","No"))</f>
        <v/>
      </c>
      <c r="CC625" s="37"/>
      <c r="CD625" s="36" t="str">
        <f aca="true">IF(B625="","",IF(TODAY()-B625&lt;=7,"🟢 0-7d",IF(TODAY()-B625&lt;=30,"🟡 8-30d",IF(TODAY()-B625&lt;=60,"🟠 31-60d","🔴 60d+"))))</f>
        <v/>
      </c>
      <c r="CE625" s="36" t="str">
        <f aca="false">IF(G625="","",IF(G625&lt;&gt;"USA","N/A - Not USA Role",IF(J625="Yes",IF(OR(F625="Intern",F625="New Grad"),"🟡 Possible","🟢 Strong"),IF(J625="No","🔴 Difficult","⚪ Unknown"))))</f>
        <v/>
      </c>
      <c r="CF625" s="37"/>
      <c r="CG625" s="37"/>
      <c r="CH625" s="38"/>
      <c r="CI625" s="38"/>
      <c r="CJ625" s="38"/>
      <c r="CK625" s="38"/>
    </row>
    <row r="626" customFormat="false" ht="15" hidden="false" customHeight="true" outlineLevel="0" collapsed="false">
      <c r="A626" s="26" t="str">
        <f aca="false">IF($C626="","",ROW()-3)</f>
        <v/>
      </c>
      <c r="B626" s="27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9"/>
      <c r="N626" s="29"/>
      <c r="O626" s="30" t="str">
        <f aca="false">IFERROR(IF(M626="","",M626*INDEX('00 - Lists'!$M$2:$M$11,MATCH(L626,'00 - Lists'!$L$2:$L$11,0))/100000),"")</f>
        <v/>
      </c>
      <c r="P626" s="30" t="str">
        <f aca="false">IFERROR(IF(N626="","",N626*INDEX('00 - Lists'!$M$2:$M$11,MATCH(L626,'00 - Lists'!$L$2:$L$11,0))/100000),"")</f>
        <v/>
      </c>
      <c r="Q626" s="31" t="str">
        <f aca="false">IFERROR(IF(M626="","",M626*INDEX('00 - Lists'!$N$2:$N$11,MATCH(L626,'00 - Lists'!$L$2:$L$11,0))),"")</f>
        <v/>
      </c>
      <c r="R626" s="31" t="str">
        <f aca="false">IFERROR(IF(N626="","",N626*INDEX('00 - Lists'!$N$2:$N$11,MATCH(L626,'00 - Lists'!$L$2:$L$11,0))),"")</f>
        <v/>
      </c>
      <c r="S626" s="32" t="str">
        <f aca="false">IF(O626="","",IF(O626&gt;=50,"Yes","No"))</f>
        <v/>
      </c>
      <c r="T626" s="32" t="str">
        <f aca="false">IF(Q626="","",IF(Q626&gt;=100000,"Yes","No"))</f>
        <v/>
      </c>
      <c r="U626" s="28"/>
      <c r="V626" s="28"/>
      <c r="W626" s="28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J626" s="34" t="str">
        <f aca="false">IF(OR($BD626&lt;&gt;"",$BF626&lt;&gt;"",$BH626&lt;&gt;""),"Yes","No")</f>
        <v>No</v>
      </c>
      <c r="BK626" s="35" t="str">
        <f aca="false">IFERROR(IF(BD626="","",BD626*INDEX('00 - Lists'!$M$2:$M$11,MATCH(L626,'00 - Lists'!$L$2:$L$11,0))/100000),"")</f>
        <v/>
      </c>
      <c r="BL626" s="35" t="str">
        <f aca="false">IFERROR(IF(BE626="","",BE626*INDEX('00 - Lists'!$M$2:$M$11,MATCH(L626,'00 - Lists'!$L$2:$L$11,0))/100000),"")</f>
        <v/>
      </c>
      <c r="BM626" s="35" t="str">
        <f aca="false">IFERROR(IF(BF626="","",BF626*INDEX('00 - Lists'!$M$2:$M$11,MATCH(L626,'00 - Lists'!$L$2:$L$11,0))/100000),"")</f>
        <v/>
      </c>
      <c r="BN626" s="35" t="str">
        <f aca="false">IFERROR(IF(BG626="","",BG626*INDEX('00 - Lists'!$M$2:$M$11,MATCH(L626,'00 - Lists'!$L$2:$L$11,0))/100000),"")</f>
        <v/>
      </c>
      <c r="BO626" s="35" t="str">
        <f aca="false">IFERROR(IF(BH626="","",BH626*INDEX('00 - Lists'!$M$2:$M$11,MATCH(L626,'00 - Lists'!$L$2:$L$11,0))/100000),"")</f>
        <v/>
      </c>
      <c r="BP626" s="35" t="str">
        <f aca="false">IFERROR(IF(BI626="","",BI626*INDEX('00 - Lists'!$M$2:$M$11,MATCH(L626,'00 - Lists'!$L$2:$L$11,0))/100000),"")</f>
        <v/>
      </c>
      <c r="BS626" s="36" t="str">
        <f aca="false">IF(O626="","",IF(O626&gt;=20,"Yes","No"))</f>
        <v/>
      </c>
      <c r="BT626" s="36" t="str">
        <f aca="false">IF(O626="","",IF(O626&gt;=30,"Yes","No"))</f>
        <v/>
      </c>
      <c r="BU626" s="36" t="str">
        <f aca="false">IF(O626="","",IF(O626&gt;=75,"Yes","No"))</f>
        <v/>
      </c>
      <c r="BV626" s="36" t="str">
        <f aca="false">IF(O626="","",IF(O626&gt;=100,"Yes","No"))</f>
        <v/>
      </c>
      <c r="BW626" s="36" t="str">
        <f aca="false">IF(O626="","",IF(O626&gt;=150,"Yes","No"))</f>
        <v/>
      </c>
      <c r="BX626" s="36" t="str">
        <f aca="false">IF(O626="","",IF(O626&gt;=200,"Yes","No"))</f>
        <v/>
      </c>
      <c r="BY626" s="36" t="str">
        <f aca="false">IF(Q626="","",IF(Q626&gt;=150000,"Yes","No"))</f>
        <v/>
      </c>
      <c r="BZ626" s="36" t="str">
        <f aca="false">IF(Q626="","",IF(Q626&gt;=200000,"Yes","No"))</f>
        <v/>
      </c>
      <c r="CA626" s="36" t="str">
        <f aca="false">IF(Q626="","",IF(Q626&gt;=250000,"Yes","No"))</f>
        <v/>
      </c>
      <c r="CB626" s="36" t="str">
        <f aca="false">IF(Q626="","",IF(Q626&gt;=300000,"Yes","No"))</f>
        <v/>
      </c>
      <c r="CC626" s="37"/>
      <c r="CD626" s="36" t="str">
        <f aca="true">IF(B626="","",IF(TODAY()-B626&lt;=7,"🟢 0-7d",IF(TODAY()-B626&lt;=30,"🟡 8-30d",IF(TODAY()-B626&lt;=60,"🟠 31-60d","🔴 60d+"))))</f>
        <v/>
      </c>
      <c r="CE626" s="36" t="str">
        <f aca="false">IF(G626="","",IF(G626&lt;&gt;"USA","N/A - Not USA Role",IF(J626="Yes",IF(OR(F626="Intern",F626="New Grad"),"🟡 Possible","🟢 Strong"),IF(J626="No","🔴 Difficult","⚪ Unknown"))))</f>
        <v/>
      </c>
      <c r="CF626" s="37"/>
      <c r="CG626" s="37"/>
      <c r="CH626" s="38"/>
      <c r="CI626" s="38"/>
      <c r="CJ626" s="38"/>
      <c r="CK626" s="38"/>
    </row>
    <row r="627" customFormat="false" ht="15" hidden="false" customHeight="true" outlineLevel="0" collapsed="false">
      <c r="A627" s="26" t="str">
        <f aca="false">IF($C627="","",ROW()-3)</f>
        <v/>
      </c>
      <c r="B627" s="27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9"/>
      <c r="N627" s="29"/>
      <c r="O627" s="30" t="str">
        <f aca="false">IFERROR(IF(M627="","",M627*INDEX('00 - Lists'!$M$2:$M$11,MATCH(L627,'00 - Lists'!$L$2:$L$11,0))/100000),"")</f>
        <v/>
      </c>
      <c r="P627" s="30" t="str">
        <f aca="false">IFERROR(IF(N627="","",N627*INDEX('00 - Lists'!$M$2:$M$11,MATCH(L627,'00 - Lists'!$L$2:$L$11,0))/100000),"")</f>
        <v/>
      </c>
      <c r="Q627" s="31" t="str">
        <f aca="false">IFERROR(IF(M627="","",M627*INDEX('00 - Lists'!$N$2:$N$11,MATCH(L627,'00 - Lists'!$L$2:$L$11,0))),"")</f>
        <v/>
      </c>
      <c r="R627" s="31" t="str">
        <f aca="false">IFERROR(IF(N627="","",N627*INDEX('00 - Lists'!$N$2:$N$11,MATCH(L627,'00 - Lists'!$L$2:$L$11,0))),"")</f>
        <v/>
      </c>
      <c r="S627" s="32" t="str">
        <f aca="false">IF(O627="","",IF(O627&gt;=50,"Yes","No"))</f>
        <v/>
      </c>
      <c r="T627" s="32" t="str">
        <f aca="false">IF(Q627="","",IF(Q627&gt;=100000,"Yes","No"))</f>
        <v/>
      </c>
      <c r="U627" s="28"/>
      <c r="V627" s="28"/>
      <c r="W627" s="28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J627" s="34" t="str">
        <f aca="false">IF(OR($BD627&lt;&gt;"",$BF627&lt;&gt;"",$BH627&lt;&gt;""),"Yes","No")</f>
        <v>No</v>
      </c>
      <c r="BK627" s="35" t="str">
        <f aca="false">IFERROR(IF(BD627="","",BD627*INDEX('00 - Lists'!$M$2:$M$11,MATCH(L627,'00 - Lists'!$L$2:$L$11,0))/100000),"")</f>
        <v/>
      </c>
      <c r="BL627" s="35" t="str">
        <f aca="false">IFERROR(IF(BE627="","",BE627*INDEX('00 - Lists'!$M$2:$M$11,MATCH(L627,'00 - Lists'!$L$2:$L$11,0))/100000),"")</f>
        <v/>
      </c>
      <c r="BM627" s="35" t="str">
        <f aca="false">IFERROR(IF(BF627="","",BF627*INDEX('00 - Lists'!$M$2:$M$11,MATCH(L627,'00 - Lists'!$L$2:$L$11,0))/100000),"")</f>
        <v/>
      </c>
      <c r="BN627" s="35" t="str">
        <f aca="false">IFERROR(IF(BG627="","",BG627*INDEX('00 - Lists'!$M$2:$M$11,MATCH(L627,'00 - Lists'!$L$2:$L$11,0))/100000),"")</f>
        <v/>
      </c>
      <c r="BO627" s="35" t="str">
        <f aca="false">IFERROR(IF(BH627="","",BH627*INDEX('00 - Lists'!$M$2:$M$11,MATCH(L627,'00 - Lists'!$L$2:$L$11,0))/100000),"")</f>
        <v/>
      </c>
      <c r="BP627" s="35" t="str">
        <f aca="false">IFERROR(IF(BI627="","",BI627*INDEX('00 - Lists'!$M$2:$M$11,MATCH(L627,'00 - Lists'!$L$2:$L$11,0))/100000),"")</f>
        <v/>
      </c>
      <c r="BS627" s="36" t="str">
        <f aca="false">IF(O627="","",IF(O627&gt;=20,"Yes","No"))</f>
        <v/>
      </c>
      <c r="BT627" s="36" t="str">
        <f aca="false">IF(O627="","",IF(O627&gt;=30,"Yes","No"))</f>
        <v/>
      </c>
      <c r="BU627" s="36" t="str">
        <f aca="false">IF(O627="","",IF(O627&gt;=75,"Yes","No"))</f>
        <v/>
      </c>
      <c r="BV627" s="36" t="str">
        <f aca="false">IF(O627="","",IF(O627&gt;=100,"Yes","No"))</f>
        <v/>
      </c>
      <c r="BW627" s="36" t="str">
        <f aca="false">IF(O627="","",IF(O627&gt;=150,"Yes","No"))</f>
        <v/>
      </c>
      <c r="BX627" s="36" t="str">
        <f aca="false">IF(O627="","",IF(O627&gt;=200,"Yes","No"))</f>
        <v/>
      </c>
      <c r="BY627" s="36" t="str">
        <f aca="false">IF(Q627="","",IF(Q627&gt;=150000,"Yes","No"))</f>
        <v/>
      </c>
      <c r="BZ627" s="36" t="str">
        <f aca="false">IF(Q627="","",IF(Q627&gt;=200000,"Yes","No"))</f>
        <v/>
      </c>
      <c r="CA627" s="36" t="str">
        <f aca="false">IF(Q627="","",IF(Q627&gt;=250000,"Yes","No"))</f>
        <v/>
      </c>
      <c r="CB627" s="36" t="str">
        <f aca="false">IF(Q627="","",IF(Q627&gt;=300000,"Yes","No"))</f>
        <v/>
      </c>
      <c r="CC627" s="37"/>
      <c r="CD627" s="36" t="str">
        <f aca="true">IF(B627="","",IF(TODAY()-B627&lt;=7,"🟢 0-7d",IF(TODAY()-B627&lt;=30,"🟡 8-30d",IF(TODAY()-B627&lt;=60,"🟠 31-60d","🔴 60d+"))))</f>
        <v/>
      </c>
      <c r="CE627" s="36" t="str">
        <f aca="false">IF(G627="","",IF(G627&lt;&gt;"USA","N/A - Not USA Role",IF(J627="Yes",IF(OR(F627="Intern",F627="New Grad"),"🟡 Possible","🟢 Strong"),IF(J627="No","🔴 Difficult","⚪ Unknown"))))</f>
        <v/>
      </c>
      <c r="CF627" s="37"/>
      <c r="CG627" s="37"/>
      <c r="CH627" s="38"/>
      <c r="CI627" s="38"/>
      <c r="CJ627" s="38"/>
      <c r="CK627" s="38"/>
    </row>
    <row r="628" customFormat="false" ht="15" hidden="false" customHeight="true" outlineLevel="0" collapsed="false">
      <c r="A628" s="26" t="str">
        <f aca="false">IF($C628="","",ROW()-3)</f>
        <v/>
      </c>
      <c r="B628" s="27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9"/>
      <c r="N628" s="29"/>
      <c r="O628" s="30" t="str">
        <f aca="false">IFERROR(IF(M628="","",M628*INDEX('00 - Lists'!$M$2:$M$11,MATCH(L628,'00 - Lists'!$L$2:$L$11,0))/100000),"")</f>
        <v/>
      </c>
      <c r="P628" s="30" t="str">
        <f aca="false">IFERROR(IF(N628="","",N628*INDEX('00 - Lists'!$M$2:$M$11,MATCH(L628,'00 - Lists'!$L$2:$L$11,0))/100000),"")</f>
        <v/>
      </c>
      <c r="Q628" s="31" t="str">
        <f aca="false">IFERROR(IF(M628="","",M628*INDEX('00 - Lists'!$N$2:$N$11,MATCH(L628,'00 - Lists'!$L$2:$L$11,0))),"")</f>
        <v/>
      </c>
      <c r="R628" s="31" t="str">
        <f aca="false">IFERROR(IF(N628="","",N628*INDEX('00 - Lists'!$N$2:$N$11,MATCH(L628,'00 - Lists'!$L$2:$L$11,0))),"")</f>
        <v/>
      </c>
      <c r="S628" s="32" t="str">
        <f aca="false">IF(O628="","",IF(O628&gt;=50,"Yes","No"))</f>
        <v/>
      </c>
      <c r="T628" s="32" t="str">
        <f aca="false">IF(Q628="","",IF(Q628&gt;=100000,"Yes","No"))</f>
        <v/>
      </c>
      <c r="U628" s="28"/>
      <c r="V628" s="28"/>
      <c r="W628" s="28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J628" s="34" t="str">
        <f aca="false">IF(OR($BD628&lt;&gt;"",$BF628&lt;&gt;"",$BH628&lt;&gt;""),"Yes","No")</f>
        <v>No</v>
      </c>
      <c r="BK628" s="35" t="str">
        <f aca="false">IFERROR(IF(BD628="","",BD628*INDEX('00 - Lists'!$M$2:$M$11,MATCH(L628,'00 - Lists'!$L$2:$L$11,0))/100000),"")</f>
        <v/>
      </c>
      <c r="BL628" s="35" t="str">
        <f aca="false">IFERROR(IF(BE628="","",BE628*INDEX('00 - Lists'!$M$2:$M$11,MATCH(L628,'00 - Lists'!$L$2:$L$11,0))/100000),"")</f>
        <v/>
      </c>
      <c r="BM628" s="35" t="str">
        <f aca="false">IFERROR(IF(BF628="","",BF628*INDEX('00 - Lists'!$M$2:$M$11,MATCH(L628,'00 - Lists'!$L$2:$L$11,0))/100000),"")</f>
        <v/>
      </c>
      <c r="BN628" s="35" t="str">
        <f aca="false">IFERROR(IF(BG628="","",BG628*INDEX('00 - Lists'!$M$2:$M$11,MATCH(L628,'00 - Lists'!$L$2:$L$11,0))/100000),"")</f>
        <v/>
      </c>
      <c r="BO628" s="35" t="str">
        <f aca="false">IFERROR(IF(BH628="","",BH628*INDEX('00 - Lists'!$M$2:$M$11,MATCH(L628,'00 - Lists'!$L$2:$L$11,0))/100000),"")</f>
        <v/>
      </c>
      <c r="BP628" s="35" t="str">
        <f aca="false">IFERROR(IF(BI628="","",BI628*INDEX('00 - Lists'!$M$2:$M$11,MATCH(L628,'00 - Lists'!$L$2:$L$11,0))/100000),"")</f>
        <v/>
      </c>
      <c r="BS628" s="36" t="str">
        <f aca="false">IF(O628="","",IF(O628&gt;=20,"Yes","No"))</f>
        <v/>
      </c>
      <c r="BT628" s="36" t="str">
        <f aca="false">IF(O628="","",IF(O628&gt;=30,"Yes","No"))</f>
        <v/>
      </c>
      <c r="BU628" s="36" t="str">
        <f aca="false">IF(O628="","",IF(O628&gt;=75,"Yes","No"))</f>
        <v/>
      </c>
      <c r="BV628" s="36" t="str">
        <f aca="false">IF(O628="","",IF(O628&gt;=100,"Yes","No"))</f>
        <v/>
      </c>
      <c r="BW628" s="36" t="str">
        <f aca="false">IF(O628="","",IF(O628&gt;=150,"Yes","No"))</f>
        <v/>
      </c>
      <c r="BX628" s="36" t="str">
        <f aca="false">IF(O628="","",IF(O628&gt;=200,"Yes","No"))</f>
        <v/>
      </c>
      <c r="BY628" s="36" t="str">
        <f aca="false">IF(Q628="","",IF(Q628&gt;=150000,"Yes","No"))</f>
        <v/>
      </c>
      <c r="BZ628" s="36" t="str">
        <f aca="false">IF(Q628="","",IF(Q628&gt;=200000,"Yes","No"))</f>
        <v/>
      </c>
      <c r="CA628" s="36" t="str">
        <f aca="false">IF(Q628="","",IF(Q628&gt;=250000,"Yes","No"))</f>
        <v/>
      </c>
      <c r="CB628" s="36" t="str">
        <f aca="false">IF(Q628="","",IF(Q628&gt;=300000,"Yes","No"))</f>
        <v/>
      </c>
      <c r="CC628" s="37"/>
      <c r="CD628" s="36" t="str">
        <f aca="true">IF(B628="","",IF(TODAY()-B628&lt;=7,"🟢 0-7d",IF(TODAY()-B628&lt;=30,"🟡 8-30d",IF(TODAY()-B628&lt;=60,"🟠 31-60d","🔴 60d+"))))</f>
        <v/>
      </c>
      <c r="CE628" s="36" t="str">
        <f aca="false">IF(G628="","",IF(G628&lt;&gt;"USA","N/A - Not USA Role",IF(J628="Yes",IF(OR(F628="Intern",F628="New Grad"),"🟡 Possible","🟢 Strong"),IF(J628="No","🔴 Difficult","⚪ Unknown"))))</f>
        <v/>
      </c>
      <c r="CF628" s="37"/>
      <c r="CG628" s="37"/>
      <c r="CH628" s="38"/>
      <c r="CI628" s="38"/>
      <c r="CJ628" s="38"/>
      <c r="CK628" s="38"/>
    </row>
    <row r="629" customFormat="false" ht="15" hidden="false" customHeight="true" outlineLevel="0" collapsed="false">
      <c r="A629" s="26" t="str">
        <f aca="false">IF($C629="","",ROW()-3)</f>
        <v/>
      </c>
      <c r="B629" s="27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9"/>
      <c r="N629" s="29"/>
      <c r="O629" s="30" t="str">
        <f aca="false">IFERROR(IF(M629="","",M629*INDEX('00 - Lists'!$M$2:$M$11,MATCH(L629,'00 - Lists'!$L$2:$L$11,0))/100000),"")</f>
        <v/>
      </c>
      <c r="P629" s="30" t="str">
        <f aca="false">IFERROR(IF(N629="","",N629*INDEX('00 - Lists'!$M$2:$M$11,MATCH(L629,'00 - Lists'!$L$2:$L$11,0))/100000),"")</f>
        <v/>
      </c>
      <c r="Q629" s="31" t="str">
        <f aca="false">IFERROR(IF(M629="","",M629*INDEX('00 - Lists'!$N$2:$N$11,MATCH(L629,'00 - Lists'!$L$2:$L$11,0))),"")</f>
        <v/>
      </c>
      <c r="R629" s="31" t="str">
        <f aca="false">IFERROR(IF(N629="","",N629*INDEX('00 - Lists'!$N$2:$N$11,MATCH(L629,'00 - Lists'!$L$2:$L$11,0))),"")</f>
        <v/>
      </c>
      <c r="S629" s="32" t="str">
        <f aca="false">IF(O629="","",IF(O629&gt;=50,"Yes","No"))</f>
        <v/>
      </c>
      <c r="T629" s="32" t="str">
        <f aca="false">IF(Q629="","",IF(Q629&gt;=100000,"Yes","No"))</f>
        <v/>
      </c>
      <c r="U629" s="28"/>
      <c r="V629" s="28"/>
      <c r="W629" s="28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J629" s="34" t="str">
        <f aca="false">IF(OR($BD629&lt;&gt;"",$BF629&lt;&gt;"",$BH629&lt;&gt;""),"Yes","No")</f>
        <v>No</v>
      </c>
      <c r="BK629" s="35" t="str">
        <f aca="false">IFERROR(IF(BD629="","",BD629*INDEX('00 - Lists'!$M$2:$M$11,MATCH(L629,'00 - Lists'!$L$2:$L$11,0))/100000),"")</f>
        <v/>
      </c>
      <c r="BL629" s="35" t="str">
        <f aca="false">IFERROR(IF(BE629="","",BE629*INDEX('00 - Lists'!$M$2:$M$11,MATCH(L629,'00 - Lists'!$L$2:$L$11,0))/100000),"")</f>
        <v/>
      </c>
      <c r="BM629" s="35" t="str">
        <f aca="false">IFERROR(IF(BF629="","",BF629*INDEX('00 - Lists'!$M$2:$M$11,MATCH(L629,'00 - Lists'!$L$2:$L$11,0))/100000),"")</f>
        <v/>
      </c>
      <c r="BN629" s="35" t="str">
        <f aca="false">IFERROR(IF(BG629="","",BG629*INDEX('00 - Lists'!$M$2:$M$11,MATCH(L629,'00 - Lists'!$L$2:$L$11,0))/100000),"")</f>
        <v/>
      </c>
      <c r="BO629" s="35" t="str">
        <f aca="false">IFERROR(IF(BH629="","",BH629*INDEX('00 - Lists'!$M$2:$M$11,MATCH(L629,'00 - Lists'!$L$2:$L$11,0))/100000),"")</f>
        <v/>
      </c>
      <c r="BP629" s="35" t="str">
        <f aca="false">IFERROR(IF(BI629="","",BI629*INDEX('00 - Lists'!$M$2:$M$11,MATCH(L629,'00 - Lists'!$L$2:$L$11,0))/100000),"")</f>
        <v/>
      </c>
      <c r="BS629" s="36" t="str">
        <f aca="false">IF(O629="","",IF(O629&gt;=20,"Yes","No"))</f>
        <v/>
      </c>
      <c r="BT629" s="36" t="str">
        <f aca="false">IF(O629="","",IF(O629&gt;=30,"Yes","No"))</f>
        <v/>
      </c>
      <c r="BU629" s="36" t="str">
        <f aca="false">IF(O629="","",IF(O629&gt;=75,"Yes","No"))</f>
        <v/>
      </c>
      <c r="BV629" s="36" t="str">
        <f aca="false">IF(O629="","",IF(O629&gt;=100,"Yes","No"))</f>
        <v/>
      </c>
      <c r="BW629" s="36" t="str">
        <f aca="false">IF(O629="","",IF(O629&gt;=150,"Yes","No"))</f>
        <v/>
      </c>
      <c r="BX629" s="36" t="str">
        <f aca="false">IF(O629="","",IF(O629&gt;=200,"Yes","No"))</f>
        <v/>
      </c>
      <c r="BY629" s="36" t="str">
        <f aca="false">IF(Q629="","",IF(Q629&gt;=150000,"Yes","No"))</f>
        <v/>
      </c>
      <c r="BZ629" s="36" t="str">
        <f aca="false">IF(Q629="","",IF(Q629&gt;=200000,"Yes","No"))</f>
        <v/>
      </c>
      <c r="CA629" s="36" t="str">
        <f aca="false">IF(Q629="","",IF(Q629&gt;=250000,"Yes","No"))</f>
        <v/>
      </c>
      <c r="CB629" s="36" t="str">
        <f aca="false">IF(Q629="","",IF(Q629&gt;=300000,"Yes","No"))</f>
        <v/>
      </c>
      <c r="CC629" s="37"/>
      <c r="CD629" s="36" t="str">
        <f aca="true">IF(B629="","",IF(TODAY()-B629&lt;=7,"🟢 0-7d",IF(TODAY()-B629&lt;=30,"🟡 8-30d",IF(TODAY()-B629&lt;=60,"🟠 31-60d","🔴 60d+"))))</f>
        <v/>
      </c>
      <c r="CE629" s="36" t="str">
        <f aca="false">IF(G629="","",IF(G629&lt;&gt;"USA","N/A - Not USA Role",IF(J629="Yes",IF(OR(F629="Intern",F629="New Grad"),"🟡 Possible","🟢 Strong"),IF(J629="No","🔴 Difficult","⚪ Unknown"))))</f>
        <v/>
      </c>
      <c r="CF629" s="37"/>
      <c r="CG629" s="37"/>
      <c r="CH629" s="38"/>
      <c r="CI629" s="38"/>
      <c r="CJ629" s="38"/>
      <c r="CK629" s="38"/>
    </row>
    <row r="630" customFormat="false" ht="15" hidden="false" customHeight="true" outlineLevel="0" collapsed="false">
      <c r="A630" s="26" t="str">
        <f aca="false">IF($C630="","",ROW()-3)</f>
        <v/>
      </c>
      <c r="B630" s="27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9"/>
      <c r="N630" s="29"/>
      <c r="O630" s="30" t="str">
        <f aca="false">IFERROR(IF(M630="","",M630*INDEX('00 - Lists'!$M$2:$M$11,MATCH(L630,'00 - Lists'!$L$2:$L$11,0))/100000),"")</f>
        <v/>
      </c>
      <c r="P630" s="30" t="str">
        <f aca="false">IFERROR(IF(N630="","",N630*INDEX('00 - Lists'!$M$2:$M$11,MATCH(L630,'00 - Lists'!$L$2:$L$11,0))/100000),"")</f>
        <v/>
      </c>
      <c r="Q630" s="31" t="str">
        <f aca="false">IFERROR(IF(M630="","",M630*INDEX('00 - Lists'!$N$2:$N$11,MATCH(L630,'00 - Lists'!$L$2:$L$11,0))),"")</f>
        <v/>
      </c>
      <c r="R630" s="31" t="str">
        <f aca="false">IFERROR(IF(N630="","",N630*INDEX('00 - Lists'!$N$2:$N$11,MATCH(L630,'00 - Lists'!$L$2:$L$11,0))),"")</f>
        <v/>
      </c>
      <c r="S630" s="32" t="str">
        <f aca="false">IF(O630="","",IF(O630&gt;=50,"Yes","No"))</f>
        <v/>
      </c>
      <c r="T630" s="32" t="str">
        <f aca="false">IF(Q630="","",IF(Q630&gt;=100000,"Yes","No"))</f>
        <v/>
      </c>
      <c r="U630" s="28"/>
      <c r="V630" s="28"/>
      <c r="W630" s="28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J630" s="34" t="str">
        <f aca="false">IF(OR($BD630&lt;&gt;"",$BF630&lt;&gt;"",$BH630&lt;&gt;""),"Yes","No")</f>
        <v>No</v>
      </c>
      <c r="BK630" s="35" t="str">
        <f aca="false">IFERROR(IF(BD630="","",BD630*INDEX('00 - Lists'!$M$2:$M$11,MATCH(L630,'00 - Lists'!$L$2:$L$11,0))/100000),"")</f>
        <v/>
      </c>
      <c r="BL630" s="35" t="str">
        <f aca="false">IFERROR(IF(BE630="","",BE630*INDEX('00 - Lists'!$M$2:$M$11,MATCH(L630,'00 - Lists'!$L$2:$L$11,0))/100000),"")</f>
        <v/>
      </c>
      <c r="BM630" s="35" t="str">
        <f aca="false">IFERROR(IF(BF630="","",BF630*INDEX('00 - Lists'!$M$2:$M$11,MATCH(L630,'00 - Lists'!$L$2:$L$11,0))/100000),"")</f>
        <v/>
      </c>
      <c r="BN630" s="35" t="str">
        <f aca="false">IFERROR(IF(BG630="","",BG630*INDEX('00 - Lists'!$M$2:$M$11,MATCH(L630,'00 - Lists'!$L$2:$L$11,0))/100000),"")</f>
        <v/>
      </c>
      <c r="BO630" s="35" t="str">
        <f aca="false">IFERROR(IF(BH630="","",BH630*INDEX('00 - Lists'!$M$2:$M$11,MATCH(L630,'00 - Lists'!$L$2:$L$11,0))/100000),"")</f>
        <v/>
      </c>
      <c r="BP630" s="35" t="str">
        <f aca="false">IFERROR(IF(BI630="","",BI630*INDEX('00 - Lists'!$M$2:$M$11,MATCH(L630,'00 - Lists'!$L$2:$L$11,0))/100000),"")</f>
        <v/>
      </c>
      <c r="BS630" s="36" t="str">
        <f aca="false">IF(O630="","",IF(O630&gt;=20,"Yes","No"))</f>
        <v/>
      </c>
      <c r="BT630" s="36" t="str">
        <f aca="false">IF(O630="","",IF(O630&gt;=30,"Yes","No"))</f>
        <v/>
      </c>
      <c r="BU630" s="36" t="str">
        <f aca="false">IF(O630="","",IF(O630&gt;=75,"Yes","No"))</f>
        <v/>
      </c>
      <c r="BV630" s="36" t="str">
        <f aca="false">IF(O630="","",IF(O630&gt;=100,"Yes","No"))</f>
        <v/>
      </c>
      <c r="BW630" s="36" t="str">
        <f aca="false">IF(O630="","",IF(O630&gt;=150,"Yes","No"))</f>
        <v/>
      </c>
      <c r="BX630" s="36" t="str">
        <f aca="false">IF(O630="","",IF(O630&gt;=200,"Yes","No"))</f>
        <v/>
      </c>
      <c r="BY630" s="36" t="str">
        <f aca="false">IF(Q630="","",IF(Q630&gt;=150000,"Yes","No"))</f>
        <v/>
      </c>
      <c r="BZ630" s="36" t="str">
        <f aca="false">IF(Q630="","",IF(Q630&gt;=200000,"Yes","No"))</f>
        <v/>
      </c>
      <c r="CA630" s="36" t="str">
        <f aca="false">IF(Q630="","",IF(Q630&gt;=250000,"Yes","No"))</f>
        <v/>
      </c>
      <c r="CB630" s="36" t="str">
        <f aca="false">IF(Q630="","",IF(Q630&gt;=300000,"Yes","No"))</f>
        <v/>
      </c>
      <c r="CC630" s="37"/>
      <c r="CD630" s="36" t="str">
        <f aca="true">IF(B630="","",IF(TODAY()-B630&lt;=7,"🟢 0-7d",IF(TODAY()-B630&lt;=30,"🟡 8-30d",IF(TODAY()-B630&lt;=60,"🟠 31-60d","🔴 60d+"))))</f>
        <v/>
      </c>
      <c r="CE630" s="36" t="str">
        <f aca="false">IF(G630="","",IF(G630&lt;&gt;"USA","N/A - Not USA Role",IF(J630="Yes",IF(OR(F630="Intern",F630="New Grad"),"🟡 Possible","🟢 Strong"),IF(J630="No","🔴 Difficult","⚪ Unknown"))))</f>
        <v/>
      </c>
      <c r="CF630" s="37"/>
      <c r="CG630" s="37"/>
      <c r="CH630" s="38"/>
      <c r="CI630" s="38"/>
      <c r="CJ630" s="38"/>
      <c r="CK630" s="38"/>
    </row>
    <row r="631" customFormat="false" ht="15" hidden="false" customHeight="true" outlineLevel="0" collapsed="false">
      <c r="A631" s="26" t="str">
        <f aca="false">IF($C631="","",ROW()-3)</f>
        <v/>
      </c>
      <c r="B631" s="27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9"/>
      <c r="N631" s="29"/>
      <c r="O631" s="30" t="str">
        <f aca="false">IFERROR(IF(M631="","",M631*INDEX('00 - Lists'!$M$2:$M$11,MATCH(L631,'00 - Lists'!$L$2:$L$11,0))/100000),"")</f>
        <v/>
      </c>
      <c r="P631" s="30" t="str">
        <f aca="false">IFERROR(IF(N631="","",N631*INDEX('00 - Lists'!$M$2:$M$11,MATCH(L631,'00 - Lists'!$L$2:$L$11,0))/100000),"")</f>
        <v/>
      </c>
      <c r="Q631" s="31" t="str">
        <f aca="false">IFERROR(IF(M631="","",M631*INDEX('00 - Lists'!$N$2:$N$11,MATCH(L631,'00 - Lists'!$L$2:$L$11,0))),"")</f>
        <v/>
      </c>
      <c r="R631" s="31" t="str">
        <f aca="false">IFERROR(IF(N631="","",N631*INDEX('00 - Lists'!$N$2:$N$11,MATCH(L631,'00 - Lists'!$L$2:$L$11,0))),"")</f>
        <v/>
      </c>
      <c r="S631" s="32" t="str">
        <f aca="false">IF(O631="","",IF(O631&gt;=50,"Yes","No"))</f>
        <v/>
      </c>
      <c r="T631" s="32" t="str">
        <f aca="false">IF(Q631="","",IF(Q631&gt;=100000,"Yes","No"))</f>
        <v/>
      </c>
      <c r="U631" s="28"/>
      <c r="V631" s="28"/>
      <c r="W631" s="28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J631" s="34" t="str">
        <f aca="false">IF(OR($BD631&lt;&gt;"",$BF631&lt;&gt;"",$BH631&lt;&gt;""),"Yes","No")</f>
        <v>No</v>
      </c>
      <c r="BK631" s="35" t="str">
        <f aca="false">IFERROR(IF(BD631="","",BD631*INDEX('00 - Lists'!$M$2:$M$11,MATCH(L631,'00 - Lists'!$L$2:$L$11,0))/100000),"")</f>
        <v/>
      </c>
      <c r="BL631" s="35" t="str">
        <f aca="false">IFERROR(IF(BE631="","",BE631*INDEX('00 - Lists'!$M$2:$M$11,MATCH(L631,'00 - Lists'!$L$2:$L$11,0))/100000),"")</f>
        <v/>
      </c>
      <c r="BM631" s="35" t="str">
        <f aca="false">IFERROR(IF(BF631="","",BF631*INDEX('00 - Lists'!$M$2:$M$11,MATCH(L631,'00 - Lists'!$L$2:$L$11,0))/100000),"")</f>
        <v/>
      </c>
      <c r="BN631" s="35" t="str">
        <f aca="false">IFERROR(IF(BG631="","",BG631*INDEX('00 - Lists'!$M$2:$M$11,MATCH(L631,'00 - Lists'!$L$2:$L$11,0))/100000),"")</f>
        <v/>
      </c>
      <c r="BO631" s="35" t="str">
        <f aca="false">IFERROR(IF(BH631="","",BH631*INDEX('00 - Lists'!$M$2:$M$11,MATCH(L631,'00 - Lists'!$L$2:$L$11,0))/100000),"")</f>
        <v/>
      </c>
      <c r="BP631" s="35" t="str">
        <f aca="false">IFERROR(IF(BI631="","",BI631*INDEX('00 - Lists'!$M$2:$M$11,MATCH(L631,'00 - Lists'!$L$2:$L$11,0))/100000),"")</f>
        <v/>
      </c>
      <c r="BS631" s="36" t="str">
        <f aca="false">IF(O631="","",IF(O631&gt;=20,"Yes","No"))</f>
        <v/>
      </c>
      <c r="BT631" s="36" t="str">
        <f aca="false">IF(O631="","",IF(O631&gt;=30,"Yes","No"))</f>
        <v/>
      </c>
      <c r="BU631" s="36" t="str">
        <f aca="false">IF(O631="","",IF(O631&gt;=75,"Yes","No"))</f>
        <v/>
      </c>
      <c r="BV631" s="36" t="str">
        <f aca="false">IF(O631="","",IF(O631&gt;=100,"Yes","No"))</f>
        <v/>
      </c>
      <c r="BW631" s="36" t="str">
        <f aca="false">IF(O631="","",IF(O631&gt;=150,"Yes","No"))</f>
        <v/>
      </c>
      <c r="BX631" s="36" t="str">
        <f aca="false">IF(O631="","",IF(O631&gt;=200,"Yes","No"))</f>
        <v/>
      </c>
      <c r="BY631" s="36" t="str">
        <f aca="false">IF(Q631="","",IF(Q631&gt;=150000,"Yes","No"))</f>
        <v/>
      </c>
      <c r="BZ631" s="36" t="str">
        <f aca="false">IF(Q631="","",IF(Q631&gt;=200000,"Yes","No"))</f>
        <v/>
      </c>
      <c r="CA631" s="36" t="str">
        <f aca="false">IF(Q631="","",IF(Q631&gt;=250000,"Yes","No"))</f>
        <v/>
      </c>
      <c r="CB631" s="36" t="str">
        <f aca="false">IF(Q631="","",IF(Q631&gt;=300000,"Yes","No"))</f>
        <v/>
      </c>
      <c r="CC631" s="37"/>
      <c r="CD631" s="36" t="str">
        <f aca="true">IF(B631="","",IF(TODAY()-B631&lt;=7,"🟢 0-7d",IF(TODAY()-B631&lt;=30,"🟡 8-30d",IF(TODAY()-B631&lt;=60,"🟠 31-60d","🔴 60d+"))))</f>
        <v/>
      </c>
      <c r="CE631" s="36" t="str">
        <f aca="false">IF(G631="","",IF(G631&lt;&gt;"USA","N/A - Not USA Role",IF(J631="Yes",IF(OR(F631="Intern",F631="New Grad"),"🟡 Possible","🟢 Strong"),IF(J631="No","🔴 Difficult","⚪ Unknown"))))</f>
        <v/>
      </c>
      <c r="CF631" s="37"/>
      <c r="CG631" s="37"/>
      <c r="CH631" s="38"/>
      <c r="CI631" s="38"/>
      <c r="CJ631" s="38"/>
      <c r="CK631" s="38"/>
    </row>
    <row r="632" customFormat="false" ht="15" hidden="false" customHeight="true" outlineLevel="0" collapsed="false">
      <c r="A632" s="26" t="str">
        <f aca="false">IF($C632="","",ROW()-3)</f>
        <v/>
      </c>
      <c r="B632" s="27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9"/>
      <c r="N632" s="29"/>
      <c r="O632" s="30" t="str">
        <f aca="false">IFERROR(IF(M632="","",M632*INDEX('00 - Lists'!$M$2:$M$11,MATCH(L632,'00 - Lists'!$L$2:$L$11,0))/100000),"")</f>
        <v/>
      </c>
      <c r="P632" s="30" t="str">
        <f aca="false">IFERROR(IF(N632="","",N632*INDEX('00 - Lists'!$M$2:$M$11,MATCH(L632,'00 - Lists'!$L$2:$L$11,0))/100000),"")</f>
        <v/>
      </c>
      <c r="Q632" s="31" t="str">
        <f aca="false">IFERROR(IF(M632="","",M632*INDEX('00 - Lists'!$N$2:$N$11,MATCH(L632,'00 - Lists'!$L$2:$L$11,0))),"")</f>
        <v/>
      </c>
      <c r="R632" s="31" t="str">
        <f aca="false">IFERROR(IF(N632="","",N632*INDEX('00 - Lists'!$N$2:$N$11,MATCH(L632,'00 - Lists'!$L$2:$L$11,0))),"")</f>
        <v/>
      </c>
      <c r="S632" s="32" t="str">
        <f aca="false">IF(O632="","",IF(O632&gt;=50,"Yes","No"))</f>
        <v/>
      </c>
      <c r="T632" s="32" t="str">
        <f aca="false">IF(Q632="","",IF(Q632&gt;=100000,"Yes","No"))</f>
        <v/>
      </c>
      <c r="U632" s="28"/>
      <c r="V632" s="28"/>
      <c r="W632" s="28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J632" s="34" t="str">
        <f aca="false">IF(OR($BD632&lt;&gt;"",$BF632&lt;&gt;"",$BH632&lt;&gt;""),"Yes","No")</f>
        <v>No</v>
      </c>
      <c r="BK632" s="35" t="str">
        <f aca="false">IFERROR(IF(BD632="","",BD632*INDEX('00 - Lists'!$M$2:$M$11,MATCH(L632,'00 - Lists'!$L$2:$L$11,0))/100000),"")</f>
        <v/>
      </c>
      <c r="BL632" s="35" t="str">
        <f aca="false">IFERROR(IF(BE632="","",BE632*INDEX('00 - Lists'!$M$2:$M$11,MATCH(L632,'00 - Lists'!$L$2:$L$11,0))/100000),"")</f>
        <v/>
      </c>
      <c r="BM632" s="35" t="str">
        <f aca="false">IFERROR(IF(BF632="","",BF632*INDEX('00 - Lists'!$M$2:$M$11,MATCH(L632,'00 - Lists'!$L$2:$L$11,0))/100000),"")</f>
        <v/>
      </c>
      <c r="BN632" s="35" t="str">
        <f aca="false">IFERROR(IF(BG632="","",BG632*INDEX('00 - Lists'!$M$2:$M$11,MATCH(L632,'00 - Lists'!$L$2:$L$11,0))/100000),"")</f>
        <v/>
      </c>
      <c r="BO632" s="35" t="str">
        <f aca="false">IFERROR(IF(BH632="","",BH632*INDEX('00 - Lists'!$M$2:$M$11,MATCH(L632,'00 - Lists'!$L$2:$L$11,0))/100000),"")</f>
        <v/>
      </c>
      <c r="BP632" s="35" t="str">
        <f aca="false">IFERROR(IF(BI632="","",BI632*INDEX('00 - Lists'!$M$2:$M$11,MATCH(L632,'00 - Lists'!$L$2:$L$11,0))/100000),"")</f>
        <v/>
      </c>
      <c r="BS632" s="36" t="str">
        <f aca="false">IF(O632="","",IF(O632&gt;=20,"Yes","No"))</f>
        <v/>
      </c>
      <c r="BT632" s="36" t="str">
        <f aca="false">IF(O632="","",IF(O632&gt;=30,"Yes","No"))</f>
        <v/>
      </c>
      <c r="BU632" s="36" t="str">
        <f aca="false">IF(O632="","",IF(O632&gt;=75,"Yes","No"))</f>
        <v/>
      </c>
      <c r="BV632" s="36" t="str">
        <f aca="false">IF(O632="","",IF(O632&gt;=100,"Yes","No"))</f>
        <v/>
      </c>
      <c r="BW632" s="36" t="str">
        <f aca="false">IF(O632="","",IF(O632&gt;=150,"Yes","No"))</f>
        <v/>
      </c>
      <c r="BX632" s="36" t="str">
        <f aca="false">IF(O632="","",IF(O632&gt;=200,"Yes","No"))</f>
        <v/>
      </c>
      <c r="BY632" s="36" t="str">
        <f aca="false">IF(Q632="","",IF(Q632&gt;=150000,"Yes","No"))</f>
        <v/>
      </c>
      <c r="BZ632" s="36" t="str">
        <f aca="false">IF(Q632="","",IF(Q632&gt;=200000,"Yes","No"))</f>
        <v/>
      </c>
      <c r="CA632" s="36" t="str">
        <f aca="false">IF(Q632="","",IF(Q632&gt;=250000,"Yes","No"))</f>
        <v/>
      </c>
      <c r="CB632" s="36" t="str">
        <f aca="false">IF(Q632="","",IF(Q632&gt;=300000,"Yes","No"))</f>
        <v/>
      </c>
      <c r="CC632" s="37"/>
      <c r="CD632" s="36" t="str">
        <f aca="true">IF(B632="","",IF(TODAY()-B632&lt;=7,"🟢 0-7d",IF(TODAY()-B632&lt;=30,"🟡 8-30d",IF(TODAY()-B632&lt;=60,"🟠 31-60d","🔴 60d+"))))</f>
        <v/>
      </c>
      <c r="CE632" s="36" t="str">
        <f aca="false">IF(G632="","",IF(G632&lt;&gt;"USA","N/A - Not USA Role",IF(J632="Yes",IF(OR(F632="Intern",F632="New Grad"),"🟡 Possible","🟢 Strong"),IF(J632="No","🔴 Difficult","⚪ Unknown"))))</f>
        <v/>
      </c>
      <c r="CF632" s="37"/>
      <c r="CG632" s="37"/>
      <c r="CH632" s="38"/>
      <c r="CI632" s="38"/>
      <c r="CJ632" s="38"/>
      <c r="CK632" s="38"/>
    </row>
    <row r="633" customFormat="false" ht="15" hidden="false" customHeight="true" outlineLevel="0" collapsed="false">
      <c r="A633" s="26" t="str">
        <f aca="false">IF($C633="","",ROW()-3)</f>
        <v/>
      </c>
      <c r="B633" s="27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9"/>
      <c r="N633" s="29"/>
      <c r="O633" s="30" t="str">
        <f aca="false">IFERROR(IF(M633="","",M633*INDEX('00 - Lists'!$M$2:$M$11,MATCH(L633,'00 - Lists'!$L$2:$L$11,0))/100000),"")</f>
        <v/>
      </c>
      <c r="P633" s="30" t="str">
        <f aca="false">IFERROR(IF(N633="","",N633*INDEX('00 - Lists'!$M$2:$M$11,MATCH(L633,'00 - Lists'!$L$2:$L$11,0))/100000),"")</f>
        <v/>
      </c>
      <c r="Q633" s="31" t="str">
        <f aca="false">IFERROR(IF(M633="","",M633*INDEX('00 - Lists'!$N$2:$N$11,MATCH(L633,'00 - Lists'!$L$2:$L$11,0))),"")</f>
        <v/>
      </c>
      <c r="R633" s="31" t="str">
        <f aca="false">IFERROR(IF(N633="","",N633*INDEX('00 - Lists'!$N$2:$N$11,MATCH(L633,'00 - Lists'!$L$2:$L$11,0))),"")</f>
        <v/>
      </c>
      <c r="S633" s="32" t="str">
        <f aca="false">IF(O633="","",IF(O633&gt;=50,"Yes","No"))</f>
        <v/>
      </c>
      <c r="T633" s="32" t="str">
        <f aca="false">IF(Q633="","",IF(Q633&gt;=100000,"Yes","No"))</f>
        <v/>
      </c>
      <c r="U633" s="28"/>
      <c r="V633" s="28"/>
      <c r="W633" s="28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J633" s="34" t="str">
        <f aca="false">IF(OR($BD633&lt;&gt;"",$BF633&lt;&gt;"",$BH633&lt;&gt;""),"Yes","No")</f>
        <v>No</v>
      </c>
      <c r="BK633" s="35" t="str">
        <f aca="false">IFERROR(IF(BD633="","",BD633*INDEX('00 - Lists'!$M$2:$M$11,MATCH(L633,'00 - Lists'!$L$2:$L$11,0))/100000),"")</f>
        <v/>
      </c>
      <c r="BL633" s="35" t="str">
        <f aca="false">IFERROR(IF(BE633="","",BE633*INDEX('00 - Lists'!$M$2:$M$11,MATCH(L633,'00 - Lists'!$L$2:$L$11,0))/100000),"")</f>
        <v/>
      </c>
      <c r="BM633" s="35" t="str">
        <f aca="false">IFERROR(IF(BF633="","",BF633*INDEX('00 - Lists'!$M$2:$M$11,MATCH(L633,'00 - Lists'!$L$2:$L$11,0))/100000),"")</f>
        <v/>
      </c>
      <c r="BN633" s="35" t="str">
        <f aca="false">IFERROR(IF(BG633="","",BG633*INDEX('00 - Lists'!$M$2:$M$11,MATCH(L633,'00 - Lists'!$L$2:$L$11,0))/100000),"")</f>
        <v/>
      </c>
      <c r="BO633" s="35" t="str">
        <f aca="false">IFERROR(IF(BH633="","",BH633*INDEX('00 - Lists'!$M$2:$M$11,MATCH(L633,'00 - Lists'!$L$2:$L$11,0))/100000),"")</f>
        <v/>
      </c>
      <c r="BP633" s="35" t="str">
        <f aca="false">IFERROR(IF(BI633="","",BI633*INDEX('00 - Lists'!$M$2:$M$11,MATCH(L633,'00 - Lists'!$L$2:$L$11,0))/100000),"")</f>
        <v/>
      </c>
      <c r="BS633" s="36" t="str">
        <f aca="false">IF(O633="","",IF(O633&gt;=20,"Yes","No"))</f>
        <v/>
      </c>
      <c r="BT633" s="36" t="str">
        <f aca="false">IF(O633="","",IF(O633&gt;=30,"Yes","No"))</f>
        <v/>
      </c>
      <c r="BU633" s="36" t="str">
        <f aca="false">IF(O633="","",IF(O633&gt;=75,"Yes","No"))</f>
        <v/>
      </c>
      <c r="BV633" s="36" t="str">
        <f aca="false">IF(O633="","",IF(O633&gt;=100,"Yes","No"))</f>
        <v/>
      </c>
      <c r="BW633" s="36" t="str">
        <f aca="false">IF(O633="","",IF(O633&gt;=150,"Yes","No"))</f>
        <v/>
      </c>
      <c r="BX633" s="36" t="str">
        <f aca="false">IF(O633="","",IF(O633&gt;=200,"Yes","No"))</f>
        <v/>
      </c>
      <c r="BY633" s="36" t="str">
        <f aca="false">IF(Q633="","",IF(Q633&gt;=150000,"Yes","No"))</f>
        <v/>
      </c>
      <c r="BZ633" s="36" t="str">
        <f aca="false">IF(Q633="","",IF(Q633&gt;=200000,"Yes","No"))</f>
        <v/>
      </c>
      <c r="CA633" s="36" t="str">
        <f aca="false">IF(Q633="","",IF(Q633&gt;=250000,"Yes","No"))</f>
        <v/>
      </c>
      <c r="CB633" s="36" t="str">
        <f aca="false">IF(Q633="","",IF(Q633&gt;=300000,"Yes","No"))</f>
        <v/>
      </c>
      <c r="CC633" s="37"/>
      <c r="CD633" s="36" t="str">
        <f aca="true">IF(B633="","",IF(TODAY()-B633&lt;=7,"🟢 0-7d",IF(TODAY()-B633&lt;=30,"🟡 8-30d",IF(TODAY()-B633&lt;=60,"🟠 31-60d","🔴 60d+"))))</f>
        <v/>
      </c>
      <c r="CE633" s="36" t="str">
        <f aca="false">IF(G633="","",IF(G633&lt;&gt;"USA","N/A - Not USA Role",IF(J633="Yes",IF(OR(F633="Intern",F633="New Grad"),"🟡 Possible","🟢 Strong"),IF(J633="No","🔴 Difficult","⚪ Unknown"))))</f>
        <v/>
      </c>
      <c r="CF633" s="37"/>
      <c r="CG633" s="37"/>
      <c r="CH633" s="38"/>
      <c r="CI633" s="38"/>
      <c r="CJ633" s="38"/>
      <c r="CK633" s="38"/>
    </row>
    <row r="634" customFormat="false" ht="15" hidden="false" customHeight="true" outlineLevel="0" collapsed="false">
      <c r="A634" s="26" t="str">
        <f aca="false">IF($C634="","",ROW()-3)</f>
        <v/>
      </c>
      <c r="B634" s="27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9"/>
      <c r="N634" s="29"/>
      <c r="O634" s="30" t="str">
        <f aca="false">IFERROR(IF(M634="","",M634*INDEX('00 - Lists'!$M$2:$M$11,MATCH(L634,'00 - Lists'!$L$2:$L$11,0))/100000),"")</f>
        <v/>
      </c>
      <c r="P634" s="30" t="str">
        <f aca="false">IFERROR(IF(N634="","",N634*INDEX('00 - Lists'!$M$2:$M$11,MATCH(L634,'00 - Lists'!$L$2:$L$11,0))/100000),"")</f>
        <v/>
      </c>
      <c r="Q634" s="31" t="str">
        <f aca="false">IFERROR(IF(M634="","",M634*INDEX('00 - Lists'!$N$2:$N$11,MATCH(L634,'00 - Lists'!$L$2:$L$11,0))),"")</f>
        <v/>
      </c>
      <c r="R634" s="31" t="str">
        <f aca="false">IFERROR(IF(N634="","",N634*INDEX('00 - Lists'!$N$2:$N$11,MATCH(L634,'00 - Lists'!$L$2:$L$11,0))),"")</f>
        <v/>
      </c>
      <c r="S634" s="32" t="str">
        <f aca="false">IF(O634="","",IF(O634&gt;=50,"Yes","No"))</f>
        <v/>
      </c>
      <c r="T634" s="32" t="str">
        <f aca="false">IF(Q634="","",IF(Q634&gt;=100000,"Yes","No"))</f>
        <v/>
      </c>
      <c r="U634" s="28"/>
      <c r="V634" s="28"/>
      <c r="W634" s="28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J634" s="34" t="str">
        <f aca="false">IF(OR($BD634&lt;&gt;"",$BF634&lt;&gt;"",$BH634&lt;&gt;""),"Yes","No")</f>
        <v>No</v>
      </c>
      <c r="BK634" s="35" t="str">
        <f aca="false">IFERROR(IF(BD634="","",BD634*INDEX('00 - Lists'!$M$2:$M$11,MATCH(L634,'00 - Lists'!$L$2:$L$11,0))/100000),"")</f>
        <v/>
      </c>
      <c r="BL634" s="35" t="str">
        <f aca="false">IFERROR(IF(BE634="","",BE634*INDEX('00 - Lists'!$M$2:$M$11,MATCH(L634,'00 - Lists'!$L$2:$L$11,0))/100000),"")</f>
        <v/>
      </c>
      <c r="BM634" s="35" t="str">
        <f aca="false">IFERROR(IF(BF634="","",BF634*INDEX('00 - Lists'!$M$2:$M$11,MATCH(L634,'00 - Lists'!$L$2:$L$11,0))/100000),"")</f>
        <v/>
      </c>
      <c r="BN634" s="35" t="str">
        <f aca="false">IFERROR(IF(BG634="","",BG634*INDEX('00 - Lists'!$M$2:$M$11,MATCH(L634,'00 - Lists'!$L$2:$L$11,0))/100000),"")</f>
        <v/>
      </c>
      <c r="BO634" s="35" t="str">
        <f aca="false">IFERROR(IF(BH634="","",BH634*INDEX('00 - Lists'!$M$2:$M$11,MATCH(L634,'00 - Lists'!$L$2:$L$11,0))/100000),"")</f>
        <v/>
      </c>
      <c r="BP634" s="35" t="str">
        <f aca="false">IFERROR(IF(BI634="","",BI634*INDEX('00 - Lists'!$M$2:$M$11,MATCH(L634,'00 - Lists'!$L$2:$L$11,0))/100000),"")</f>
        <v/>
      </c>
      <c r="BS634" s="36" t="str">
        <f aca="false">IF(O634="","",IF(O634&gt;=20,"Yes","No"))</f>
        <v/>
      </c>
      <c r="BT634" s="36" t="str">
        <f aca="false">IF(O634="","",IF(O634&gt;=30,"Yes","No"))</f>
        <v/>
      </c>
      <c r="BU634" s="36" t="str">
        <f aca="false">IF(O634="","",IF(O634&gt;=75,"Yes","No"))</f>
        <v/>
      </c>
      <c r="BV634" s="36" t="str">
        <f aca="false">IF(O634="","",IF(O634&gt;=100,"Yes","No"))</f>
        <v/>
      </c>
      <c r="BW634" s="36" t="str">
        <f aca="false">IF(O634="","",IF(O634&gt;=150,"Yes","No"))</f>
        <v/>
      </c>
      <c r="BX634" s="36" t="str">
        <f aca="false">IF(O634="","",IF(O634&gt;=200,"Yes","No"))</f>
        <v/>
      </c>
      <c r="BY634" s="36" t="str">
        <f aca="false">IF(Q634="","",IF(Q634&gt;=150000,"Yes","No"))</f>
        <v/>
      </c>
      <c r="BZ634" s="36" t="str">
        <f aca="false">IF(Q634="","",IF(Q634&gt;=200000,"Yes","No"))</f>
        <v/>
      </c>
      <c r="CA634" s="36" t="str">
        <f aca="false">IF(Q634="","",IF(Q634&gt;=250000,"Yes","No"))</f>
        <v/>
      </c>
      <c r="CB634" s="36" t="str">
        <f aca="false">IF(Q634="","",IF(Q634&gt;=300000,"Yes","No"))</f>
        <v/>
      </c>
      <c r="CC634" s="37"/>
      <c r="CD634" s="36" t="str">
        <f aca="true">IF(B634="","",IF(TODAY()-B634&lt;=7,"🟢 0-7d",IF(TODAY()-B634&lt;=30,"🟡 8-30d",IF(TODAY()-B634&lt;=60,"🟠 31-60d","🔴 60d+"))))</f>
        <v/>
      </c>
      <c r="CE634" s="36" t="str">
        <f aca="false">IF(G634="","",IF(G634&lt;&gt;"USA","N/A - Not USA Role",IF(J634="Yes",IF(OR(F634="Intern",F634="New Grad"),"🟡 Possible","🟢 Strong"),IF(J634="No","🔴 Difficult","⚪ Unknown"))))</f>
        <v/>
      </c>
      <c r="CF634" s="37"/>
      <c r="CG634" s="37"/>
      <c r="CH634" s="38"/>
      <c r="CI634" s="38"/>
      <c r="CJ634" s="38"/>
      <c r="CK634" s="38"/>
    </row>
    <row r="635" customFormat="false" ht="15" hidden="false" customHeight="true" outlineLevel="0" collapsed="false">
      <c r="A635" s="26" t="str">
        <f aca="false">IF($C635="","",ROW()-3)</f>
        <v/>
      </c>
      <c r="B635" s="27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9"/>
      <c r="N635" s="29"/>
      <c r="O635" s="30" t="str">
        <f aca="false">IFERROR(IF(M635="","",M635*INDEX('00 - Lists'!$M$2:$M$11,MATCH(L635,'00 - Lists'!$L$2:$L$11,0))/100000),"")</f>
        <v/>
      </c>
      <c r="P635" s="30" t="str">
        <f aca="false">IFERROR(IF(N635="","",N635*INDEX('00 - Lists'!$M$2:$M$11,MATCH(L635,'00 - Lists'!$L$2:$L$11,0))/100000),"")</f>
        <v/>
      </c>
      <c r="Q635" s="31" t="str">
        <f aca="false">IFERROR(IF(M635="","",M635*INDEX('00 - Lists'!$N$2:$N$11,MATCH(L635,'00 - Lists'!$L$2:$L$11,0))),"")</f>
        <v/>
      </c>
      <c r="R635" s="31" t="str">
        <f aca="false">IFERROR(IF(N635="","",N635*INDEX('00 - Lists'!$N$2:$N$11,MATCH(L635,'00 - Lists'!$L$2:$L$11,0))),"")</f>
        <v/>
      </c>
      <c r="S635" s="32" t="str">
        <f aca="false">IF(O635="","",IF(O635&gt;=50,"Yes","No"))</f>
        <v/>
      </c>
      <c r="T635" s="32" t="str">
        <f aca="false">IF(Q635="","",IF(Q635&gt;=100000,"Yes","No"))</f>
        <v/>
      </c>
      <c r="U635" s="28"/>
      <c r="V635" s="28"/>
      <c r="W635" s="28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J635" s="34" t="str">
        <f aca="false">IF(OR($BD635&lt;&gt;"",$BF635&lt;&gt;"",$BH635&lt;&gt;""),"Yes","No")</f>
        <v>No</v>
      </c>
      <c r="BK635" s="35" t="str">
        <f aca="false">IFERROR(IF(BD635="","",BD635*INDEX('00 - Lists'!$M$2:$M$11,MATCH(L635,'00 - Lists'!$L$2:$L$11,0))/100000),"")</f>
        <v/>
      </c>
      <c r="BL635" s="35" t="str">
        <f aca="false">IFERROR(IF(BE635="","",BE635*INDEX('00 - Lists'!$M$2:$M$11,MATCH(L635,'00 - Lists'!$L$2:$L$11,0))/100000),"")</f>
        <v/>
      </c>
      <c r="BM635" s="35" t="str">
        <f aca="false">IFERROR(IF(BF635="","",BF635*INDEX('00 - Lists'!$M$2:$M$11,MATCH(L635,'00 - Lists'!$L$2:$L$11,0))/100000),"")</f>
        <v/>
      </c>
      <c r="BN635" s="35" t="str">
        <f aca="false">IFERROR(IF(BG635="","",BG635*INDEX('00 - Lists'!$M$2:$M$11,MATCH(L635,'00 - Lists'!$L$2:$L$11,0))/100000),"")</f>
        <v/>
      </c>
      <c r="BO635" s="35" t="str">
        <f aca="false">IFERROR(IF(BH635="","",BH635*INDEX('00 - Lists'!$M$2:$M$11,MATCH(L635,'00 - Lists'!$L$2:$L$11,0))/100000),"")</f>
        <v/>
      </c>
      <c r="BP635" s="35" t="str">
        <f aca="false">IFERROR(IF(BI635="","",BI635*INDEX('00 - Lists'!$M$2:$M$11,MATCH(L635,'00 - Lists'!$L$2:$L$11,0))/100000),"")</f>
        <v/>
      </c>
      <c r="BS635" s="36" t="str">
        <f aca="false">IF(O635="","",IF(O635&gt;=20,"Yes","No"))</f>
        <v/>
      </c>
      <c r="BT635" s="36" t="str">
        <f aca="false">IF(O635="","",IF(O635&gt;=30,"Yes","No"))</f>
        <v/>
      </c>
      <c r="BU635" s="36" t="str">
        <f aca="false">IF(O635="","",IF(O635&gt;=75,"Yes","No"))</f>
        <v/>
      </c>
      <c r="BV635" s="36" t="str">
        <f aca="false">IF(O635="","",IF(O635&gt;=100,"Yes","No"))</f>
        <v/>
      </c>
      <c r="BW635" s="36" t="str">
        <f aca="false">IF(O635="","",IF(O635&gt;=150,"Yes","No"))</f>
        <v/>
      </c>
      <c r="BX635" s="36" t="str">
        <f aca="false">IF(O635="","",IF(O635&gt;=200,"Yes","No"))</f>
        <v/>
      </c>
      <c r="BY635" s="36" t="str">
        <f aca="false">IF(Q635="","",IF(Q635&gt;=150000,"Yes","No"))</f>
        <v/>
      </c>
      <c r="BZ635" s="36" t="str">
        <f aca="false">IF(Q635="","",IF(Q635&gt;=200000,"Yes","No"))</f>
        <v/>
      </c>
      <c r="CA635" s="36" t="str">
        <f aca="false">IF(Q635="","",IF(Q635&gt;=250000,"Yes","No"))</f>
        <v/>
      </c>
      <c r="CB635" s="36" t="str">
        <f aca="false">IF(Q635="","",IF(Q635&gt;=300000,"Yes","No"))</f>
        <v/>
      </c>
      <c r="CC635" s="37"/>
      <c r="CD635" s="36" t="str">
        <f aca="true">IF(B635="","",IF(TODAY()-B635&lt;=7,"🟢 0-7d",IF(TODAY()-B635&lt;=30,"🟡 8-30d",IF(TODAY()-B635&lt;=60,"🟠 31-60d","🔴 60d+"))))</f>
        <v/>
      </c>
      <c r="CE635" s="36" t="str">
        <f aca="false">IF(G635="","",IF(G635&lt;&gt;"USA","N/A - Not USA Role",IF(J635="Yes",IF(OR(F635="Intern",F635="New Grad"),"🟡 Possible","🟢 Strong"),IF(J635="No","🔴 Difficult","⚪ Unknown"))))</f>
        <v/>
      </c>
      <c r="CF635" s="37"/>
      <c r="CG635" s="37"/>
      <c r="CH635" s="38"/>
      <c r="CI635" s="38"/>
      <c r="CJ635" s="38"/>
      <c r="CK635" s="38"/>
    </row>
    <row r="636" customFormat="false" ht="15" hidden="false" customHeight="true" outlineLevel="0" collapsed="false">
      <c r="A636" s="26" t="str">
        <f aca="false">IF($C636="","",ROW()-3)</f>
        <v/>
      </c>
      <c r="B636" s="27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9"/>
      <c r="N636" s="29"/>
      <c r="O636" s="30" t="str">
        <f aca="false">IFERROR(IF(M636="","",M636*INDEX('00 - Lists'!$M$2:$M$11,MATCH(L636,'00 - Lists'!$L$2:$L$11,0))/100000),"")</f>
        <v/>
      </c>
      <c r="P636" s="30" t="str">
        <f aca="false">IFERROR(IF(N636="","",N636*INDEX('00 - Lists'!$M$2:$M$11,MATCH(L636,'00 - Lists'!$L$2:$L$11,0))/100000),"")</f>
        <v/>
      </c>
      <c r="Q636" s="31" t="str">
        <f aca="false">IFERROR(IF(M636="","",M636*INDEX('00 - Lists'!$N$2:$N$11,MATCH(L636,'00 - Lists'!$L$2:$L$11,0))),"")</f>
        <v/>
      </c>
      <c r="R636" s="31" t="str">
        <f aca="false">IFERROR(IF(N636="","",N636*INDEX('00 - Lists'!$N$2:$N$11,MATCH(L636,'00 - Lists'!$L$2:$L$11,0))),"")</f>
        <v/>
      </c>
      <c r="S636" s="32" t="str">
        <f aca="false">IF(O636="","",IF(O636&gt;=50,"Yes","No"))</f>
        <v/>
      </c>
      <c r="T636" s="32" t="str">
        <f aca="false">IF(Q636="","",IF(Q636&gt;=100000,"Yes","No"))</f>
        <v/>
      </c>
      <c r="U636" s="28"/>
      <c r="V636" s="28"/>
      <c r="W636" s="28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J636" s="34" t="str">
        <f aca="false">IF(OR($BD636&lt;&gt;"",$BF636&lt;&gt;"",$BH636&lt;&gt;""),"Yes","No")</f>
        <v>No</v>
      </c>
      <c r="BK636" s="35" t="str">
        <f aca="false">IFERROR(IF(BD636="","",BD636*INDEX('00 - Lists'!$M$2:$M$11,MATCH(L636,'00 - Lists'!$L$2:$L$11,0))/100000),"")</f>
        <v/>
      </c>
      <c r="BL636" s="35" t="str">
        <f aca="false">IFERROR(IF(BE636="","",BE636*INDEX('00 - Lists'!$M$2:$M$11,MATCH(L636,'00 - Lists'!$L$2:$L$11,0))/100000),"")</f>
        <v/>
      </c>
      <c r="BM636" s="35" t="str">
        <f aca="false">IFERROR(IF(BF636="","",BF636*INDEX('00 - Lists'!$M$2:$M$11,MATCH(L636,'00 - Lists'!$L$2:$L$11,0))/100000),"")</f>
        <v/>
      </c>
      <c r="BN636" s="35" t="str">
        <f aca="false">IFERROR(IF(BG636="","",BG636*INDEX('00 - Lists'!$M$2:$M$11,MATCH(L636,'00 - Lists'!$L$2:$L$11,0))/100000),"")</f>
        <v/>
      </c>
      <c r="BO636" s="35" t="str">
        <f aca="false">IFERROR(IF(BH636="","",BH636*INDEX('00 - Lists'!$M$2:$M$11,MATCH(L636,'00 - Lists'!$L$2:$L$11,0))/100000),"")</f>
        <v/>
      </c>
      <c r="BP636" s="35" t="str">
        <f aca="false">IFERROR(IF(BI636="","",BI636*INDEX('00 - Lists'!$M$2:$M$11,MATCH(L636,'00 - Lists'!$L$2:$L$11,0))/100000),"")</f>
        <v/>
      </c>
      <c r="BS636" s="36" t="str">
        <f aca="false">IF(O636="","",IF(O636&gt;=20,"Yes","No"))</f>
        <v/>
      </c>
      <c r="BT636" s="36" t="str">
        <f aca="false">IF(O636="","",IF(O636&gt;=30,"Yes","No"))</f>
        <v/>
      </c>
      <c r="BU636" s="36" t="str">
        <f aca="false">IF(O636="","",IF(O636&gt;=75,"Yes","No"))</f>
        <v/>
      </c>
      <c r="BV636" s="36" t="str">
        <f aca="false">IF(O636="","",IF(O636&gt;=100,"Yes","No"))</f>
        <v/>
      </c>
      <c r="BW636" s="36" t="str">
        <f aca="false">IF(O636="","",IF(O636&gt;=150,"Yes","No"))</f>
        <v/>
      </c>
      <c r="BX636" s="36" t="str">
        <f aca="false">IF(O636="","",IF(O636&gt;=200,"Yes","No"))</f>
        <v/>
      </c>
      <c r="BY636" s="36" t="str">
        <f aca="false">IF(Q636="","",IF(Q636&gt;=150000,"Yes","No"))</f>
        <v/>
      </c>
      <c r="BZ636" s="36" t="str">
        <f aca="false">IF(Q636="","",IF(Q636&gt;=200000,"Yes","No"))</f>
        <v/>
      </c>
      <c r="CA636" s="36" t="str">
        <f aca="false">IF(Q636="","",IF(Q636&gt;=250000,"Yes","No"))</f>
        <v/>
      </c>
      <c r="CB636" s="36" t="str">
        <f aca="false">IF(Q636="","",IF(Q636&gt;=300000,"Yes","No"))</f>
        <v/>
      </c>
      <c r="CC636" s="37"/>
      <c r="CD636" s="36" t="str">
        <f aca="true">IF(B636="","",IF(TODAY()-B636&lt;=7,"🟢 0-7d",IF(TODAY()-B636&lt;=30,"🟡 8-30d",IF(TODAY()-B636&lt;=60,"🟠 31-60d","🔴 60d+"))))</f>
        <v/>
      </c>
      <c r="CE636" s="36" t="str">
        <f aca="false">IF(G636="","",IF(G636&lt;&gt;"USA","N/A - Not USA Role",IF(J636="Yes",IF(OR(F636="Intern",F636="New Grad"),"🟡 Possible","🟢 Strong"),IF(J636="No","🔴 Difficult","⚪ Unknown"))))</f>
        <v/>
      </c>
      <c r="CF636" s="37"/>
      <c r="CG636" s="37"/>
      <c r="CH636" s="38"/>
      <c r="CI636" s="38"/>
      <c r="CJ636" s="38"/>
      <c r="CK636" s="38"/>
    </row>
    <row r="637" customFormat="false" ht="15" hidden="false" customHeight="true" outlineLevel="0" collapsed="false">
      <c r="A637" s="26" t="str">
        <f aca="false">IF($C637="","",ROW()-3)</f>
        <v/>
      </c>
      <c r="B637" s="27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9"/>
      <c r="N637" s="29"/>
      <c r="O637" s="30" t="str">
        <f aca="false">IFERROR(IF(M637="","",M637*INDEX('00 - Lists'!$M$2:$M$11,MATCH(L637,'00 - Lists'!$L$2:$L$11,0))/100000),"")</f>
        <v/>
      </c>
      <c r="P637" s="30" t="str">
        <f aca="false">IFERROR(IF(N637="","",N637*INDEX('00 - Lists'!$M$2:$M$11,MATCH(L637,'00 - Lists'!$L$2:$L$11,0))/100000),"")</f>
        <v/>
      </c>
      <c r="Q637" s="31" t="str">
        <f aca="false">IFERROR(IF(M637="","",M637*INDEX('00 - Lists'!$N$2:$N$11,MATCH(L637,'00 - Lists'!$L$2:$L$11,0))),"")</f>
        <v/>
      </c>
      <c r="R637" s="31" t="str">
        <f aca="false">IFERROR(IF(N637="","",N637*INDEX('00 - Lists'!$N$2:$N$11,MATCH(L637,'00 - Lists'!$L$2:$L$11,0))),"")</f>
        <v/>
      </c>
      <c r="S637" s="32" t="str">
        <f aca="false">IF(O637="","",IF(O637&gt;=50,"Yes","No"))</f>
        <v/>
      </c>
      <c r="T637" s="32" t="str">
        <f aca="false">IF(Q637="","",IF(Q637&gt;=100000,"Yes","No"))</f>
        <v/>
      </c>
      <c r="U637" s="28"/>
      <c r="V637" s="28"/>
      <c r="W637" s="28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J637" s="34" t="str">
        <f aca="false">IF(OR($BD637&lt;&gt;"",$BF637&lt;&gt;"",$BH637&lt;&gt;""),"Yes","No")</f>
        <v>No</v>
      </c>
      <c r="BK637" s="35" t="str">
        <f aca="false">IFERROR(IF(BD637="","",BD637*INDEX('00 - Lists'!$M$2:$M$11,MATCH(L637,'00 - Lists'!$L$2:$L$11,0))/100000),"")</f>
        <v/>
      </c>
      <c r="BL637" s="35" t="str">
        <f aca="false">IFERROR(IF(BE637="","",BE637*INDEX('00 - Lists'!$M$2:$M$11,MATCH(L637,'00 - Lists'!$L$2:$L$11,0))/100000),"")</f>
        <v/>
      </c>
      <c r="BM637" s="35" t="str">
        <f aca="false">IFERROR(IF(BF637="","",BF637*INDEX('00 - Lists'!$M$2:$M$11,MATCH(L637,'00 - Lists'!$L$2:$L$11,0))/100000),"")</f>
        <v/>
      </c>
      <c r="BN637" s="35" t="str">
        <f aca="false">IFERROR(IF(BG637="","",BG637*INDEX('00 - Lists'!$M$2:$M$11,MATCH(L637,'00 - Lists'!$L$2:$L$11,0))/100000),"")</f>
        <v/>
      </c>
      <c r="BO637" s="35" t="str">
        <f aca="false">IFERROR(IF(BH637="","",BH637*INDEX('00 - Lists'!$M$2:$M$11,MATCH(L637,'00 - Lists'!$L$2:$L$11,0))/100000),"")</f>
        <v/>
      </c>
      <c r="BP637" s="35" t="str">
        <f aca="false">IFERROR(IF(BI637="","",BI637*INDEX('00 - Lists'!$M$2:$M$11,MATCH(L637,'00 - Lists'!$L$2:$L$11,0))/100000),"")</f>
        <v/>
      </c>
      <c r="BS637" s="36" t="str">
        <f aca="false">IF(O637="","",IF(O637&gt;=20,"Yes","No"))</f>
        <v/>
      </c>
      <c r="BT637" s="36" t="str">
        <f aca="false">IF(O637="","",IF(O637&gt;=30,"Yes","No"))</f>
        <v/>
      </c>
      <c r="BU637" s="36" t="str">
        <f aca="false">IF(O637="","",IF(O637&gt;=75,"Yes","No"))</f>
        <v/>
      </c>
      <c r="BV637" s="36" t="str">
        <f aca="false">IF(O637="","",IF(O637&gt;=100,"Yes","No"))</f>
        <v/>
      </c>
      <c r="BW637" s="36" t="str">
        <f aca="false">IF(O637="","",IF(O637&gt;=150,"Yes","No"))</f>
        <v/>
      </c>
      <c r="BX637" s="36" t="str">
        <f aca="false">IF(O637="","",IF(O637&gt;=200,"Yes","No"))</f>
        <v/>
      </c>
      <c r="BY637" s="36" t="str">
        <f aca="false">IF(Q637="","",IF(Q637&gt;=150000,"Yes","No"))</f>
        <v/>
      </c>
      <c r="BZ637" s="36" t="str">
        <f aca="false">IF(Q637="","",IF(Q637&gt;=200000,"Yes","No"))</f>
        <v/>
      </c>
      <c r="CA637" s="36" t="str">
        <f aca="false">IF(Q637="","",IF(Q637&gt;=250000,"Yes","No"))</f>
        <v/>
      </c>
      <c r="CB637" s="36" t="str">
        <f aca="false">IF(Q637="","",IF(Q637&gt;=300000,"Yes","No"))</f>
        <v/>
      </c>
      <c r="CC637" s="37"/>
      <c r="CD637" s="36" t="str">
        <f aca="true">IF(B637="","",IF(TODAY()-B637&lt;=7,"🟢 0-7d",IF(TODAY()-B637&lt;=30,"🟡 8-30d",IF(TODAY()-B637&lt;=60,"🟠 31-60d","🔴 60d+"))))</f>
        <v/>
      </c>
      <c r="CE637" s="36" t="str">
        <f aca="false">IF(G637="","",IF(G637&lt;&gt;"USA","N/A - Not USA Role",IF(J637="Yes",IF(OR(F637="Intern",F637="New Grad"),"🟡 Possible","🟢 Strong"),IF(J637="No","🔴 Difficult","⚪ Unknown"))))</f>
        <v/>
      </c>
      <c r="CF637" s="37"/>
      <c r="CG637" s="37"/>
      <c r="CH637" s="38"/>
      <c r="CI637" s="38"/>
      <c r="CJ637" s="38"/>
      <c r="CK637" s="38"/>
    </row>
    <row r="638" customFormat="false" ht="15" hidden="false" customHeight="true" outlineLevel="0" collapsed="false">
      <c r="A638" s="26" t="str">
        <f aca="false">IF($C638="","",ROW()-3)</f>
        <v/>
      </c>
      <c r="B638" s="27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9"/>
      <c r="N638" s="29"/>
      <c r="O638" s="30" t="str">
        <f aca="false">IFERROR(IF(M638="","",M638*INDEX('00 - Lists'!$M$2:$M$11,MATCH(L638,'00 - Lists'!$L$2:$L$11,0))/100000),"")</f>
        <v/>
      </c>
      <c r="P638" s="30" t="str">
        <f aca="false">IFERROR(IF(N638="","",N638*INDEX('00 - Lists'!$M$2:$M$11,MATCH(L638,'00 - Lists'!$L$2:$L$11,0))/100000),"")</f>
        <v/>
      </c>
      <c r="Q638" s="31" t="str">
        <f aca="false">IFERROR(IF(M638="","",M638*INDEX('00 - Lists'!$N$2:$N$11,MATCH(L638,'00 - Lists'!$L$2:$L$11,0))),"")</f>
        <v/>
      </c>
      <c r="R638" s="31" t="str">
        <f aca="false">IFERROR(IF(N638="","",N638*INDEX('00 - Lists'!$N$2:$N$11,MATCH(L638,'00 - Lists'!$L$2:$L$11,0))),"")</f>
        <v/>
      </c>
      <c r="S638" s="32" t="str">
        <f aca="false">IF(O638="","",IF(O638&gt;=50,"Yes","No"))</f>
        <v/>
      </c>
      <c r="T638" s="32" t="str">
        <f aca="false">IF(Q638="","",IF(Q638&gt;=100000,"Yes","No"))</f>
        <v/>
      </c>
      <c r="U638" s="28"/>
      <c r="V638" s="28"/>
      <c r="W638" s="28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J638" s="34" t="str">
        <f aca="false">IF(OR($BD638&lt;&gt;"",$BF638&lt;&gt;"",$BH638&lt;&gt;""),"Yes","No")</f>
        <v>No</v>
      </c>
      <c r="BK638" s="35" t="str">
        <f aca="false">IFERROR(IF(BD638="","",BD638*INDEX('00 - Lists'!$M$2:$M$11,MATCH(L638,'00 - Lists'!$L$2:$L$11,0))/100000),"")</f>
        <v/>
      </c>
      <c r="BL638" s="35" t="str">
        <f aca="false">IFERROR(IF(BE638="","",BE638*INDEX('00 - Lists'!$M$2:$M$11,MATCH(L638,'00 - Lists'!$L$2:$L$11,0))/100000),"")</f>
        <v/>
      </c>
      <c r="BM638" s="35" t="str">
        <f aca="false">IFERROR(IF(BF638="","",BF638*INDEX('00 - Lists'!$M$2:$M$11,MATCH(L638,'00 - Lists'!$L$2:$L$11,0))/100000),"")</f>
        <v/>
      </c>
      <c r="BN638" s="35" t="str">
        <f aca="false">IFERROR(IF(BG638="","",BG638*INDEX('00 - Lists'!$M$2:$M$11,MATCH(L638,'00 - Lists'!$L$2:$L$11,0))/100000),"")</f>
        <v/>
      </c>
      <c r="BO638" s="35" t="str">
        <f aca="false">IFERROR(IF(BH638="","",BH638*INDEX('00 - Lists'!$M$2:$M$11,MATCH(L638,'00 - Lists'!$L$2:$L$11,0))/100000),"")</f>
        <v/>
      </c>
      <c r="BP638" s="35" t="str">
        <f aca="false">IFERROR(IF(BI638="","",BI638*INDEX('00 - Lists'!$M$2:$M$11,MATCH(L638,'00 - Lists'!$L$2:$L$11,0))/100000),"")</f>
        <v/>
      </c>
      <c r="BS638" s="36" t="str">
        <f aca="false">IF(O638="","",IF(O638&gt;=20,"Yes","No"))</f>
        <v/>
      </c>
      <c r="BT638" s="36" t="str">
        <f aca="false">IF(O638="","",IF(O638&gt;=30,"Yes","No"))</f>
        <v/>
      </c>
      <c r="BU638" s="36" t="str">
        <f aca="false">IF(O638="","",IF(O638&gt;=75,"Yes","No"))</f>
        <v/>
      </c>
      <c r="BV638" s="36" t="str">
        <f aca="false">IF(O638="","",IF(O638&gt;=100,"Yes","No"))</f>
        <v/>
      </c>
      <c r="BW638" s="36" t="str">
        <f aca="false">IF(O638="","",IF(O638&gt;=150,"Yes","No"))</f>
        <v/>
      </c>
      <c r="BX638" s="36" t="str">
        <f aca="false">IF(O638="","",IF(O638&gt;=200,"Yes","No"))</f>
        <v/>
      </c>
      <c r="BY638" s="36" t="str">
        <f aca="false">IF(Q638="","",IF(Q638&gt;=150000,"Yes","No"))</f>
        <v/>
      </c>
      <c r="BZ638" s="36" t="str">
        <f aca="false">IF(Q638="","",IF(Q638&gt;=200000,"Yes","No"))</f>
        <v/>
      </c>
      <c r="CA638" s="36" t="str">
        <f aca="false">IF(Q638="","",IF(Q638&gt;=250000,"Yes","No"))</f>
        <v/>
      </c>
      <c r="CB638" s="36" t="str">
        <f aca="false">IF(Q638="","",IF(Q638&gt;=300000,"Yes","No"))</f>
        <v/>
      </c>
      <c r="CC638" s="37"/>
      <c r="CD638" s="36" t="str">
        <f aca="true">IF(B638="","",IF(TODAY()-B638&lt;=7,"🟢 0-7d",IF(TODAY()-B638&lt;=30,"🟡 8-30d",IF(TODAY()-B638&lt;=60,"🟠 31-60d","🔴 60d+"))))</f>
        <v/>
      </c>
      <c r="CE638" s="36" t="str">
        <f aca="false">IF(G638="","",IF(G638&lt;&gt;"USA","N/A - Not USA Role",IF(J638="Yes",IF(OR(F638="Intern",F638="New Grad"),"🟡 Possible","🟢 Strong"),IF(J638="No","🔴 Difficult","⚪ Unknown"))))</f>
        <v/>
      </c>
      <c r="CF638" s="37"/>
      <c r="CG638" s="37"/>
      <c r="CH638" s="38"/>
      <c r="CI638" s="38"/>
      <c r="CJ638" s="38"/>
      <c r="CK638" s="38"/>
    </row>
    <row r="639" customFormat="false" ht="15" hidden="false" customHeight="true" outlineLevel="0" collapsed="false">
      <c r="A639" s="26" t="str">
        <f aca="false">IF($C639="","",ROW()-3)</f>
        <v/>
      </c>
      <c r="B639" s="27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9"/>
      <c r="N639" s="29"/>
      <c r="O639" s="30" t="str">
        <f aca="false">IFERROR(IF(M639="","",M639*INDEX('00 - Lists'!$M$2:$M$11,MATCH(L639,'00 - Lists'!$L$2:$L$11,0))/100000),"")</f>
        <v/>
      </c>
      <c r="P639" s="30" t="str">
        <f aca="false">IFERROR(IF(N639="","",N639*INDEX('00 - Lists'!$M$2:$M$11,MATCH(L639,'00 - Lists'!$L$2:$L$11,0))/100000),"")</f>
        <v/>
      </c>
      <c r="Q639" s="31" t="str">
        <f aca="false">IFERROR(IF(M639="","",M639*INDEX('00 - Lists'!$N$2:$N$11,MATCH(L639,'00 - Lists'!$L$2:$L$11,0))),"")</f>
        <v/>
      </c>
      <c r="R639" s="31" t="str">
        <f aca="false">IFERROR(IF(N639="","",N639*INDEX('00 - Lists'!$N$2:$N$11,MATCH(L639,'00 - Lists'!$L$2:$L$11,0))),"")</f>
        <v/>
      </c>
      <c r="S639" s="32" t="str">
        <f aca="false">IF(O639="","",IF(O639&gt;=50,"Yes","No"))</f>
        <v/>
      </c>
      <c r="T639" s="32" t="str">
        <f aca="false">IF(Q639="","",IF(Q639&gt;=100000,"Yes","No"))</f>
        <v/>
      </c>
      <c r="U639" s="28"/>
      <c r="V639" s="28"/>
      <c r="W639" s="28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J639" s="34" t="str">
        <f aca="false">IF(OR($BD639&lt;&gt;"",$BF639&lt;&gt;"",$BH639&lt;&gt;""),"Yes","No")</f>
        <v>No</v>
      </c>
      <c r="BK639" s="35" t="str">
        <f aca="false">IFERROR(IF(BD639="","",BD639*INDEX('00 - Lists'!$M$2:$M$11,MATCH(L639,'00 - Lists'!$L$2:$L$11,0))/100000),"")</f>
        <v/>
      </c>
      <c r="BL639" s="35" t="str">
        <f aca="false">IFERROR(IF(BE639="","",BE639*INDEX('00 - Lists'!$M$2:$M$11,MATCH(L639,'00 - Lists'!$L$2:$L$11,0))/100000),"")</f>
        <v/>
      </c>
      <c r="BM639" s="35" t="str">
        <f aca="false">IFERROR(IF(BF639="","",BF639*INDEX('00 - Lists'!$M$2:$M$11,MATCH(L639,'00 - Lists'!$L$2:$L$11,0))/100000),"")</f>
        <v/>
      </c>
      <c r="BN639" s="35" t="str">
        <f aca="false">IFERROR(IF(BG639="","",BG639*INDEX('00 - Lists'!$M$2:$M$11,MATCH(L639,'00 - Lists'!$L$2:$L$11,0))/100000),"")</f>
        <v/>
      </c>
      <c r="BO639" s="35" t="str">
        <f aca="false">IFERROR(IF(BH639="","",BH639*INDEX('00 - Lists'!$M$2:$M$11,MATCH(L639,'00 - Lists'!$L$2:$L$11,0))/100000),"")</f>
        <v/>
      </c>
      <c r="BP639" s="35" t="str">
        <f aca="false">IFERROR(IF(BI639="","",BI639*INDEX('00 - Lists'!$M$2:$M$11,MATCH(L639,'00 - Lists'!$L$2:$L$11,0))/100000),"")</f>
        <v/>
      </c>
      <c r="BS639" s="36" t="str">
        <f aca="false">IF(O639="","",IF(O639&gt;=20,"Yes","No"))</f>
        <v/>
      </c>
      <c r="BT639" s="36" t="str">
        <f aca="false">IF(O639="","",IF(O639&gt;=30,"Yes","No"))</f>
        <v/>
      </c>
      <c r="BU639" s="36" t="str">
        <f aca="false">IF(O639="","",IF(O639&gt;=75,"Yes","No"))</f>
        <v/>
      </c>
      <c r="BV639" s="36" t="str">
        <f aca="false">IF(O639="","",IF(O639&gt;=100,"Yes","No"))</f>
        <v/>
      </c>
      <c r="BW639" s="36" t="str">
        <f aca="false">IF(O639="","",IF(O639&gt;=150,"Yes","No"))</f>
        <v/>
      </c>
      <c r="BX639" s="36" t="str">
        <f aca="false">IF(O639="","",IF(O639&gt;=200,"Yes","No"))</f>
        <v/>
      </c>
      <c r="BY639" s="36" t="str">
        <f aca="false">IF(Q639="","",IF(Q639&gt;=150000,"Yes","No"))</f>
        <v/>
      </c>
      <c r="BZ639" s="36" t="str">
        <f aca="false">IF(Q639="","",IF(Q639&gt;=200000,"Yes","No"))</f>
        <v/>
      </c>
      <c r="CA639" s="36" t="str">
        <f aca="false">IF(Q639="","",IF(Q639&gt;=250000,"Yes","No"))</f>
        <v/>
      </c>
      <c r="CB639" s="36" t="str">
        <f aca="false">IF(Q639="","",IF(Q639&gt;=300000,"Yes","No"))</f>
        <v/>
      </c>
      <c r="CC639" s="37"/>
      <c r="CD639" s="36" t="str">
        <f aca="true">IF(B639="","",IF(TODAY()-B639&lt;=7,"🟢 0-7d",IF(TODAY()-B639&lt;=30,"🟡 8-30d",IF(TODAY()-B639&lt;=60,"🟠 31-60d","🔴 60d+"))))</f>
        <v/>
      </c>
      <c r="CE639" s="36" t="str">
        <f aca="false">IF(G639="","",IF(G639&lt;&gt;"USA","N/A - Not USA Role",IF(J639="Yes",IF(OR(F639="Intern",F639="New Grad"),"🟡 Possible","🟢 Strong"),IF(J639="No","🔴 Difficult","⚪ Unknown"))))</f>
        <v/>
      </c>
      <c r="CF639" s="37"/>
      <c r="CG639" s="37"/>
      <c r="CH639" s="38"/>
      <c r="CI639" s="38"/>
      <c r="CJ639" s="38"/>
      <c r="CK639" s="38"/>
    </row>
    <row r="640" customFormat="false" ht="15" hidden="false" customHeight="true" outlineLevel="0" collapsed="false">
      <c r="A640" s="26" t="str">
        <f aca="false">IF($C640="","",ROW()-3)</f>
        <v/>
      </c>
      <c r="B640" s="27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9"/>
      <c r="N640" s="29"/>
      <c r="O640" s="30" t="str">
        <f aca="false">IFERROR(IF(M640="","",M640*INDEX('00 - Lists'!$M$2:$M$11,MATCH(L640,'00 - Lists'!$L$2:$L$11,0))/100000),"")</f>
        <v/>
      </c>
      <c r="P640" s="30" t="str">
        <f aca="false">IFERROR(IF(N640="","",N640*INDEX('00 - Lists'!$M$2:$M$11,MATCH(L640,'00 - Lists'!$L$2:$L$11,0))/100000),"")</f>
        <v/>
      </c>
      <c r="Q640" s="31" t="str">
        <f aca="false">IFERROR(IF(M640="","",M640*INDEX('00 - Lists'!$N$2:$N$11,MATCH(L640,'00 - Lists'!$L$2:$L$11,0))),"")</f>
        <v/>
      </c>
      <c r="R640" s="31" t="str">
        <f aca="false">IFERROR(IF(N640="","",N640*INDEX('00 - Lists'!$N$2:$N$11,MATCH(L640,'00 - Lists'!$L$2:$L$11,0))),"")</f>
        <v/>
      </c>
      <c r="S640" s="32" t="str">
        <f aca="false">IF(O640="","",IF(O640&gt;=50,"Yes","No"))</f>
        <v/>
      </c>
      <c r="T640" s="32" t="str">
        <f aca="false">IF(Q640="","",IF(Q640&gt;=100000,"Yes","No"))</f>
        <v/>
      </c>
      <c r="U640" s="28"/>
      <c r="V640" s="28"/>
      <c r="W640" s="28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J640" s="34" t="str">
        <f aca="false">IF(OR($BD640&lt;&gt;"",$BF640&lt;&gt;"",$BH640&lt;&gt;""),"Yes","No")</f>
        <v>No</v>
      </c>
      <c r="BK640" s="35" t="str">
        <f aca="false">IFERROR(IF(BD640="","",BD640*INDEX('00 - Lists'!$M$2:$M$11,MATCH(L640,'00 - Lists'!$L$2:$L$11,0))/100000),"")</f>
        <v/>
      </c>
      <c r="BL640" s="35" t="str">
        <f aca="false">IFERROR(IF(BE640="","",BE640*INDEX('00 - Lists'!$M$2:$M$11,MATCH(L640,'00 - Lists'!$L$2:$L$11,0))/100000),"")</f>
        <v/>
      </c>
      <c r="BM640" s="35" t="str">
        <f aca="false">IFERROR(IF(BF640="","",BF640*INDEX('00 - Lists'!$M$2:$M$11,MATCH(L640,'00 - Lists'!$L$2:$L$11,0))/100000),"")</f>
        <v/>
      </c>
      <c r="BN640" s="35" t="str">
        <f aca="false">IFERROR(IF(BG640="","",BG640*INDEX('00 - Lists'!$M$2:$M$11,MATCH(L640,'00 - Lists'!$L$2:$L$11,0))/100000),"")</f>
        <v/>
      </c>
      <c r="BO640" s="35" t="str">
        <f aca="false">IFERROR(IF(BH640="","",BH640*INDEX('00 - Lists'!$M$2:$M$11,MATCH(L640,'00 - Lists'!$L$2:$L$11,0))/100000),"")</f>
        <v/>
      </c>
      <c r="BP640" s="35" t="str">
        <f aca="false">IFERROR(IF(BI640="","",BI640*INDEX('00 - Lists'!$M$2:$M$11,MATCH(L640,'00 - Lists'!$L$2:$L$11,0))/100000),"")</f>
        <v/>
      </c>
      <c r="BS640" s="36" t="str">
        <f aca="false">IF(O640="","",IF(O640&gt;=20,"Yes","No"))</f>
        <v/>
      </c>
      <c r="BT640" s="36" t="str">
        <f aca="false">IF(O640="","",IF(O640&gt;=30,"Yes","No"))</f>
        <v/>
      </c>
      <c r="BU640" s="36" t="str">
        <f aca="false">IF(O640="","",IF(O640&gt;=75,"Yes","No"))</f>
        <v/>
      </c>
      <c r="BV640" s="36" t="str">
        <f aca="false">IF(O640="","",IF(O640&gt;=100,"Yes","No"))</f>
        <v/>
      </c>
      <c r="BW640" s="36" t="str">
        <f aca="false">IF(O640="","",IF(O640&gt;=150,"Yes","No"))</f>
        <v/>
      </c>
      <c r="BX640" s="36" t="str">
        <f aca="false">IF(O640="","",IF(O640&gt;=200,"Yes","No"))</f>
        <v/>
      </c>
      <c r="BY640" s="36" t="str">
        <f aca="false">IF(Q640="","",IF(Q640&gt;=150000,"Yes","No"))</f>
        <v/>
      </c>
      <c r="BZ640" s="36" t="str">
        <f aca="false">IF(Q640="","",IF(Q640&gt;=200000,"Yes","No"))</f>
        <v/>
      </c>
      <c r="CA640" s="36" t="str">
        <f aca="false">IF(Q640="","",IF(Q640&gt;=250000,"Yes","No"))</f>
        <v/>
      </c>
      <c r="CB640" s="36" t="str">
        <f aca="false">IF(Q640="","",IF(Q640&gt;=300000,"Yes","No"))</f>
        <v/>
      </c>
      <c r="CC640" s="37"/>
      <c r="CD640" s="36" t="str">
        <f aca="true">IF(B640="","",IF(TODAY()-B640&lt;=7,"🟢 0-7d",IF(TODAY()-B640&lt;=30,"🟡 8-30d",IF(TODAY()-B640&lt;=60,"🟠 31-60d","🔴 60d+"))))</f>
        <v/>
      </c>
      <c r="CE640" s="36" t="str">
        <f aca="false">IF(G640="","",IF(G640&lt;&gt;"USA","N/A - Not USA Role",IF(J640="Yes",IF(OR(F640="Intern",F640="New Grad"),"🟡 Possible","🟢 Strong"),IF(J640="No","🔴 Difficult","⚪ Unknown"))))</f>
        <v/>
      </c>
      <c r="CF640" s="37"/>
      <c r="CG640" s="37"/>
      <c r="CH640" s="38"/>
      <c r="CI640" s="38"/>
      <c r="CJ640" s="38"/>
      <c r="CK640" s="38"/>
    </row>
    <row r="641" customFormat="false" ht="15" hidden="false" customHeight="true" outlineLevel="0" collapsed="false">
      <c r="A641" s="26" t="str">
        <f aca="false">IF($C641="","",ROW()-3)</f>
        <v/>
      </c>
      <c r="B641" s="27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9"/>
      <c r="N641" s="29"/>
      <c r="O641" s="30" t="str">
        <f aca="false">IFERROR(IF(M641="","",M641*INDEX('00 - Lists'!$M$2:$M$11,MATCH(L641,'00 - Lists'!$L$2:$L$11,0))/100000),"")</f>
        <v/>
      </c>
      <c r="P641" s="30" t="str">
        <f aca="false">IFERROR(IF(N641="","",N641*INDEX('00 - Lists'!$M$2:$M$11,MATCH(L641,'00 - Lists'!$L$2:$L$11,0))/100000),"")</f>
        <v/>
      </c>
      <c r="Q641" s="31" t="str">
        <f aca="false">IFERROR(IF(M641="","",M641*INDEX('00 - Lists'!$N$2:$N$11,MATCH(L641,'00 - Lists'!$L$2:$L$11,0))),"")</f>
        <v/>
      </c>
      <c r="R641" s="31" t="str">
        <f aca="false">IFERROR(IF(N641="","",N641*INDEX('00 - Lists'!$N$2:$N$11,MATCH(L641,'00 - Lists'!$L$2:$L$11,0))),"")</f>
        <v/>
      </c>
      <c r="S641" s="32" t="str">
        <f aca="false">IF(O641="","",IF(O641&gt;=50,"Yes","No"))</f>
        <v/>
      </c>
      <c r="T641" s="32" t="str">
        <f aca="false">IF(Q641="","",IF(Q641&gt;=100000,"Yes","No"))</f>
        <v/>
      </c>
      <c r="U641" s="28"/>
      <c r="V641" s="28"/>
      <c r="W641" s="28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J641" s="34" t="str">
        <f aca="false">IF(OR($BD641&lt;&gt;"",$BF641&lt;&gt;"",$BH641&lt;&gt;""),"Yes","No")</f>
        <v>No</v>
      </c>
      <c r="BK641" s="35" t="str">
        <f aca="false">IFERROR(IF(BD641="","",BD641*INDEX('00 - Lists'!$M$2:$M$11,MATCH(L641,'00 - Lists'!$L$2:$L$11,0))/100000),"")</f>
        <v/>
      </c>
      <c r="BL641" s="35" t="str">
        <f aca="false">IFERROR(IF(BE641="","",BE641*INDEX('00 - Lists'!$M$2:$M$11,MATCH(L641,'00 - Lists'!$L$2:$L$11,0))/100000),"")</f>
        <v/>
      </c>
      <c r="BM641" s="35" t="str">
        <f aca="false">IFERROR(IF(BF641="","",BF641*INDEX('00 - Lists'!$M$2:$M$11,MATCH(L641,'00 - Lists'!$L$2:$L$11,0))/100000),"")</f>
        <v/>
      </c>
      <c r="BN641" s="35" t="str">
        <f aca="false">IFERROR(IF(BG641="","",BG641*INDEX('00 - Lists'!$M$2:$M$11,MATCH(L641,'00 - Lists'!$L$2:$L$11,0))/100000),"")</f>
        <v/>
      </c>
      <c r="BO641" s="35" t="str">
        <f aca="false">IFERROR(IF(BH641="","",BH641*INDEX('00 - Lists'!$M$2:$M$11,MATCH(L641,'00 - Lists'!$L$2:$L$11,0))/100000),"")</f>
        <v/>
      </c>
      <c r="BP641" s="35" t="str">
        <f aca="false">IFERROR(IF(BI641="","",BI641*INDEX('00 - Lists'!$M$2:$M$11,MATCH(L641,'00 - Lists'!$L$2:$L$11,0))/100000),"")</f>
        <v/>
      </c>
      <c r="BS641" s="36" t="str">
        <f aca="false">IF(O641="","",IF(O641&gt;=20,"Yes","No"))</f>
        <v/>
      </c>
      <c r="BT641" s="36" t="str">
        <f aca="false">IF(O641="","",IF(O641&gt;=30,"Yes","No"))</f>
        <v/>
      </c>
      <c r="BU641" s="36" t="str">
        <f aca="false">IF(O641="","",IF(O641&gt;=75,"Yes","No"))</f>
        <v/>
      </c>
      <c r="BV641" s="36" t="str">
        <f aca="false">IF(O641="","",IF(O641&gt;=100,"Yes","No"))</f>
        <v/>
      </c>
      <c r="BW641" s="36" t="str">
        <f aca="false">IF(O641="","",IF(O641&gt;=150,"Yes","No"))</f>
        <v/>
      </c>
      <c r="BX641" s="36" t="str">
        <f aca="false">IF(O641="","",IF(O641&gt;=200,"Yes","No"))</f>
        <v/>
      </c>
      <c r="BY641" s="36" t="str">
        <f aca="false">IF(Q641="","",IF(Q641&gt;=150000,"Yes","No"))</f>
        <v/>
      </c>
      <c r="BZ641" s="36" t="str">
        <f aca="false">IF(Q641="","",IF(Q641&gt;=200000,"Yes","No"))</f>
        <v/>
      </c>
      <c r="CA641" s="36" t="str">
        <f aca="false">IF(Q641="","",IF(Q641&gt;=250000,"Yes","No"))</f>
        <v/>
      </c>
      <c r="CB641" s="36" t="str">
        <f aca="false">IF(Q641="","",IF(Q641&gt;=300000,"Yes","No"))</f>
        <v/>
      </c>
      <c r="CC641" s="37"/>
      <c r="CD641" s="36" t="str">
        <f aca="true">IF(B641="","",IF(TODAY()-B641&lt;=7,"🟢 0-7d",IF(TODAY()-B641&lt;=30,"🟡 8-30d",IF(TODAY()-B641&lt;=60,"🟠 31-60d","🔴 60d+"))))</f>
        <v/>
      </c>
      <c r="CE641" s="36" t="str">
        <f aca="false">IF(G641="","",IF(G641&lt;&gt;"USA","N/A - Not USA Role",IF(J641="Yes",IF(OR(F641="Intern",F641="New Grad"),"🟡 Possible","🟢 Strong"),IF(J641="No","🔴 Difficult","⚪ Unknown"))))</f>
        <v/>
      </c>
      <c r="CF641" s="37"/>
      <c r="CG641" s="37"/>
      <c r="CH641" s="38"/>
      <c r="CI641" s="38"/>
      <c r="CJ641" s="38"/>
      <c r="CK641" s="38"/>
    </row>
    <row r="642" customFormat="false" ht="15" hidden="false" customHeight="true" outlineLevel="0" collapsed="false">
      <c r="A642" s="26" t="str">
        <f aca="false">IF($C642="","",ROW()-3)</f>
        <v/>
      </c>
      <c r="B642" s="27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9"/>
      <c r="N642" s="29"/>
      <c r="O642" s="30" t="str">
        <f aca="false">IFERROR(IF(M642="","",M642*INDEX('00 - Lists'!$M$2:$M$11,MATCH(L642,'00 - Lists'!$L$2:$L$11,0))/100000),"")</f>
        <v/>
      </c>
      <c r="P642" s="30" t="str">
        <f aca="false">IFERROR(IF(N642="","",N642*INDEX('00 - Lists'!$M$2:$M$11,MATCH(L642,'00 - Lists'!$L$2:$L$11,0))/100000),"")</f>
        <v/>
      </c>
      <c r="Q642" s="31" t="str">
        <f aca="false">IFERROR(IF(M642="","",M642*INDEX('00 - Lists'!$N$2:$N$11,MATCH(L642,'00 - Lists'!$L$2:$L$11,0))),"")</f>
        <v/>
      </c>
      <c r="R642" s="31" t="str">
        <f aca="false">IFERROR(IF(N642="","",N642*INDEX('00 - Lists'!$N$2:$N$11,MATCH(L642,'00 - Lists'!$L$2:$L$11,0))),"")</f>
        <v/>
      </c>
      <c r="S642" s="32" t="str">
        <f aca="false">IF(O642="","",IF(O642&gt;=50,"Yes","No"))</f>
        <v/>
      </c>
      <c r="T642" s="32" t="str">
        <f aca="false">IF(Q642="","",IF(Q642&gt;=100000,"Yes","No"))</f>
        <v/>
      </c>
      <c r="U642" s="28"/>
      <c r="V642" s="28"/>
      <c r="W642" s="28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J642" s="34" t="str">
        <f aca="false">IF(OR($BD642&lt;&gt;"",$BF642&lt;&gt;"",$BH642&lt;&gt;""),"Yes","No")</f>
        <v>No</v>
      </c>
      <c r="BK642" s="35" t="str">
        <f aca="false">IFERROR(IF(BD642="","",BD642*INDEX('00 - Lists'!$M$2:$M$11,MATCH(L642,'00 - Lists'!$L$2:$L$11,0))/100000),"")</f>
        <v/>
      </c>
      <c r="BL642" s="35" t="str">
        <f aca="false">IFERROR(IF(BE642="","",BE642*INDEX('00 - Lists'!$M$2:$M$11,MATCH(L642,'00 - Lists'!$L$2:$L$11,0))/100000),"")</f>
        <v/>
      </c>
      <c r="BM642" s="35" t="str">
        <f aca="false">IFERROR(IF(BF642="","",BF642*INDEX('00 - Lists'!$M$2:$M$11,MATCH(L642,'00 - Lists'!$L$2:$L$11,0))/100000),"")</f>
        <v/>
      </c>
      <c r="BN642" s="35" t="str">
        <f aca="false">IFERROR(IF(BG642="","",BG642*INDEX('00 - Lists'!$M$2:$M$11,MATCH(L642,'00 - Lists'!$L$2:$L$11,0))/100000),"")</f>
        <v/>
      </c>
      <c r="BO642" s="35" t="str">
        <f aca="false">IFERROR(IF(BH642="","",BH642*INDEX('00 - Lists'!$M$2:$M$11,MATCH(L642,'00 - Lists'!$L$2:$L$11,0))/100000),"")</f>
        <v/>
      </c>
      <c r="BP642" s="35" t="str">
        <f aca="false">IFERROR(IF(BI642="","",BI642*INDEX('00 - Lists'!$M$2:$M$11,MATCH(L642,'00 - Lists'!$L$2:$L$11,0))/100000),"")</f>
        <v/>
      </c>
      <c r="BS642" s="36" t="str">
        <f aca="false">IF(O642="","",IF(O642&gt;=20,"Yes","No"))</f>
        <v/>
      </c>
      <c r="BT642" s="36" t="str">
        <f aca="false">IF(O642="","",IF(O642&gt;=30,"Yes","No"))</f>
        <v/>
      </c>
      <c r="BU642" s="36" t="str">
        <f aca="false">IF(O642="","",IF(O642&gt;=75,"Yes","No"))</f>
        <v/>
      </c>
      <c r="BV642" s="36" t="str">
        <f aca="false">IF(O642="","",IF(O642&gt;=100,"Yes","No"))</f>
        <v/>
      </c>
      <c r="BW642" s="36" t="str">
        <f aca="false">IF(O642="","",IF(O642&gt;=150,"Yes","No"))</f>
        <v/>
      </c>
      <c r="BX642" s="36" t="str">
        <f aca="false">IF(O642="","",IF(O642&gt;=200,"Yes","No"))</f>
        <v/>
      </c>
      <c r="BY642" s="36" t="str">
        <f aca="false">IF(Q642="","",IF(Q642&gt;=150000,"Yes","No"))</f>
        <v/>
      </c>
      <c r="BZ642" s="36" t="str">
        <f aca="false">IF(Q642="","",IF(Q642&gt;=200000,"Yes","No"))</f>
        <v/>
      </c>
      <c r="CA642" s="36" t="str">
        <f aca="false">IF(Q642="","",IF(Q642&gt;=250000,"Yes","No"))</f>
        <v/>
      </c>
      <c r="CB642" s="36" t="str">
        <f aca="false">IF(Q642="","",IF(Q642&gt;=300000,"Yes","No"))</f>
        <v/>
      </c>
      <c r="CC642" s="37"/>
      <c r="CD642" s="36" t="str">
        <f aca="true">IF(B642="","",IF(TODAY()-B642&lt;=7,"🟢 0-7d",IF(TODAY()-B642&lt;=30,"🟡 8-30d",IF(TODAY()-B642&lt;=60,"🟠 31-60d","🔴 60d+"))))</f>
        <v/>
      </c>
      <c r="CE642" s="36" t="str">
        <f aca="false">IF(G642="","",IF(G642&lt;&gt;"USA","N/A - Not USA Role",IF(J642="Yes",IF(OR(F642="Intern",F642="New Grad"),"🟡 Possible","🟢 Strong"),IF(J642="No","🔴 Difficult","⚪ Unknown"))))</f>
        <v/>
      </c>
      <c r="CF642" s="37"/>
      <c r="CG642" s="37"/>
      <c r="CH642" s="38"/>
      <c r="CI642" s="38"/>
      <c r="CJ642" s="38"/>
      <c r="CK642" s="38"/>
    </row>
    <row r="643" customFormat="false" ht="15" hidden="false" customHeight="true" outlineLevel="0" collapsed="false">
      <c r="A643" s="26" t="str">
        <f aca="false">IF($C643="","",ROW()-3)</f>
        <v/>
      </c>
      <c r="B643" s="27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9"/>
      <c r="N643" s="29"/>
      <c r="O643" s="30" t="str">
        <f aca="false">IFERROR(IF(M643="","",M643*INDEX('00 - Lists'!$M$2:$M$11,MATCH(L643,'00 - Lists'!$L$2:$L$11,0))/100000),"")</f>
        <v/>
      </c>
      <c r="P643" s="30" t="str">
        <f aca="false">IFERROR(IF(N643="","",N643*INDEX('00 - Lists'!$M$2:$M$11,MATCH(L643,'00 - Lists'!$L$2:$L$11,0))/100000),"")</f>
        <v/>
      </c>
      <c r="Q643" s="31" t="str">
        <f aca="false">IFERROR(IF(M643="","",M643*INDEX('00 - Lists'!$N$2:$N$11,MATCH(L643,'00 - Lists'!$L$2:$L$11,0))),"")</f>
        <v/>
      </c>
      <c r="R643" s="31" t="str">
        <f aca="false">IFERROR(IF(N643="","",N643*INDEX('00 - Lists'!$N$2:$N$11,MATCH(L643,'00 - Lists'!$L$2:$L$11,0))),"")</f>
        <v/>
      </c>
      <c r="S643" s="32" t="str">
        <f aca="false">IF(O643="","",IF(O643&gt;=50,"Yes","No"))</f>
        <v/>
      </c>
      <c r="T643" s="32" t="str">
        <f aca="false">IF(Q643="","",IF(Q643&gt;=100000,"Yes","No"))</f>
        <v/>
      </c>
      <c r="U643" s="28"/>
      <c r="V643" s="28"/>
      <c r="W643" s="28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J643" s="34" t="str">
        <f aca="false">IF(OR($BD643&lt;&gt;"",$BF643&lt;&gt;"",$BH643&lt;&gt;""),"Yes","No")</f>
        <v>No</v>
      </c>
      <c r="BK643" s="35" t="str">
        <f aca="false">IFERROR(IF(BD643="","",BD643*INDEX('00 - Lists'!$M$2:$M$11,MATCH(L643,'00 - Lists'!$L$2:$L$11,0))/100000),"")</f>
        <v/>
      </c>
      <c r="BL643" s="35" t="str">
        <f aca="false">IFERROR(IF(BE643="","",BE643*INDEX('00 - Lists'!$M$2:$M$11,MATCH(L643,'00 - Lists'!$L$2:$L$11,0))/100000),"")</f>
        <v/>
      </c>
      <c r="BM643" s="35" t="str">
        <f aca="false">IFERROR(IF(BF643="","",BF643*INDEX('00 - Lists'!$M$2:$M$11,MATCH(L643,'00 - Lists'!$L$2:$L$11,0))/100000),"")</f>
        <v/>
      </c>
      <c r="BN643" s="35" t="str">
        <f aca="false">IFERROR(IF(BG643="","",BG643*INDEX('00 - Lists'!$M$2:$M$11,MATCH(L643,'00 - Lists'!$L$2:$L$11,0))/100000),"")</f>
        <v/>
      </c>
      <c r="BO643" s="35" t="str">
        <f aca="false">IFERROR(IF(BH643="","",BH643*INDEX('00 - Lists'!$M$2:$M$11,MATCH(L643,'00 - Lists'!$L$2:$L$11,0))/100000),"")</f>
        <v/>
      </c>
      <c r="BP643" s="35" t="str">
        <f aca="false">IFERROR(IF(BI643="","",BI643*INDEX('00 - Lists'!$M$2:$M$11,MATCH(L643,'00 - Lists'!$L$2:$L$11,0))/100000),"")</f>
        <v/>
      </c>
      <c r="BS643" s="36" t="str">
        <f aca="false">IF(O643="","",IF(O643&gt;=20,"Yes","No"))</f>
        <v/>
      </c>
      <c r="BT643" s="36" t="str">
        <f aca="false">IF(O643="","",IF(O643&gt;=30,"Yes","No"))</f>
        <v/>
      </c>
      <c r="BU643" s="36" t="str">
        <f aca="false">IF(O643="","",IF(O643&gt;=75,"Yes","No"))</f>
        <v/>
      </c>
      <c r="BV643" s="36" t="str">
        <f aca="false">IF(O643="","",IF(O643&gt;=100,"Yes","No"))</f>
        <v/>
      </c>
      <c r="BW643" s="36" t="str">
        <f aca="false">IF(O643="","",IF(O643&gt;=150,"Yes","No"))</f>
        <v/>
      </c>
      <c r="BX643" s="36" t="str">
        <f aca="false">IF(O643="","",IF(O643&gt;=200,"Yes","No"))</f>
        <v/>
      </c>
      <c r="BY643" s="36" t="str">
        <f aca="false">IF(Q643="","",IF(Q643&gt;=150000,"Yes","No"))</f>
        <v/>
      </c>
      <c r="BZ643" s="36" t="str">
        <f aca="false">IF(Q643="","",IF(Q643&gt;=200000,"Yes","No"))</f>
        <v/>
      </c>
      <c r="CA643" s="36" t="str">
        <f aca="false">IF(Q643="","",IF(Q643&gt;=250000,"Yes","No"))</f>
        <v/>
      </c>
      <c r="CB643" s="36" t="str">
        <f aca="false">IF(Q643="","",IF(Q643&gt;=300000,"Yes","No"))</f>
        <v/>
      </c>
      <c r="CC643" s="37"/>
      <c r="CD643" s="36" t="str">
        <f aca="true">IF(B643="","",IF(TODAY()-B643&lt;=7,"🟢 0-7d",IF(TODAY()-B643&lt;=30,"🟡 8-30d",IF(TODAY()-B643&lt;=60,"🟠 31-60d","🔴 60d+"))))</f>
        <v/>
      </c>
      <c r="CE643" s="36" t="str">
        <f aca="false">IF(G643="","",IF(G643&lt;&gt;"USA","N/A - Not USA Role",IF(J643="Yes",IF(OR(F643="Intern",F643="New Grad"),"🟡 Possible","🟢 Strong"),IF(J643="No","🔴 Difficult","⚪ Unknown"))))</f>
        <v/>
      </c>
      <c r="CF643" s="37"/>
      <c r="CG643" s="37"/>
      <c r="CH643" s="38"/>
      <c r="CI643" s="38"/>
      <c r="CJ643" s="38"/>
      <c r="CK643" s="38"/>
    </row>
    <row r="644" customFormat="false" ht="15" hidden="false" customHeight="true" outlineLevel="0" collapsed="false">
      <c r="A644" s="26" t="str">
        <f aca="false">IF($C644="","",ROW()-3)</f>
        <v/>
      </c>
      <c r="B644" s="27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9"/>
      <c r="N644" s="29"/>
      <c r="O644" s="30" t="str">
        <f aca="false">IFERROR(IF(M644="","",M644*INDEX('00 - Lists'!$M$2:$M$11,MATCH(L644,'00 - Lists'!$L$2:$L$11,0))/100000),"")</f>
        <v/>
      </c>
      <c r="P644" s="30" t="str">
        <f aca="false">IFERROR(IF(N644="","",N644*INDEX('00 - Lists'!$M$2:$M$11,MATCH(L644,'00 - Lists'!$L$2:$L$11,0))/100000),"")</f>
        <v/>
      </c>
      <c r="Q644" s="31" t="str">
        <f aca="false">IFERROR(IF(M644="","",M644*INDEX('00 - Lists'!$N$2:$N$11,MATCH(L644,'00 - Lists'!$L$2:$L$11,0))),"")</f>
        <v/>
      </c>
      <c r="R644" s="31" t="str">
        <f aca="false">IFERROR(IF(N644="","",N644*INDEX('00 - Lists'!$N$2:$N$11,MATCH(L644,'00 - Lists'!$L$2:$L$11,0))),"")</f>
        <v/>
      </c>
      <c r="S644" s="32" t="str">
        <f aca="false">IF(O644="","",IF(O644&gt;=50,"Yes","No"))</f>
        <v/>
      </c>
      <c r="T644" s="32" t="str">
        <f aca="false">IF(Q644="","",IF(Q644&gt;=100000,"Yes","No"))</f>
        <v/>
      </c>
      <c r="U644" s="28"/>
      <c r="V644" s="28"/>
      <c r="W644" s="28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J644" s="34" t="str">
        <f aca="false">IF(OR($BD644&lt;&gt;"",$BF644&lt;&gt;"",$BH644&lt;&gt;""),"Yes","No")</f>
        <v>No</v>
      </c>
      <c r="BK644" s="35" t="str">
        <f aca="false">IFERROR(IF(BD644="","",BD644*INDEX('00 - Lists'!$M$2:$M$11,MATCH(L644,'00 - Lists'!$L$2:$L$11,0))/100000),"")</f>
        <v/>
      </c>
      <c r="BL644" s="35" t="str">
        <f aca="false">IFERROR(IF(BE644="","",BE644*INDEX('00 - Lists'!$M$2:$M$11,MATCH(L644,'00 - Lists'!$L$2:$L$11,0))/100000),"")</f>
        <v/>
      </c>
      <c r="BM644" s="35" t="str">
        <f aca="false">IFERROR(IF(BF644="","",BF644*INDEX('00 - Lists'!$M$2:$M$11,MATCH(L644,'00 - Lists'!$L$2:$L$11,0))/100000),"")</f>
        <v/>
      </c>
      <c r="BN644" s="35" t="str">
        <f aca="false">IFERROR(IF(BG644="","",BG644*INDEX('00 - Lists'!$M$2:$M$11,MATCH(L644,'00 - Lists'!$L$2:$L$11,0))/100000),"")</f>
        <v/>
      </c>
      <c r="BO644" s="35" t="str">
        <f aca="false">IFERROR(IF(BH644="","",BH644*INDEX('00 - Lists'!$M$2:$M$11,MATCH(L644,'00 - Lists'!$L$2:$L$11,0))/100000),"")</f>
        <v/>
      </c>
      <c r="BP644" s="35" t="str">
        <f aca="false">IFERROR(IF(BI644="","",BI644*INDEX('00 - Lists'!$M$2:$M$11,MATCH(L644,'00 - Lists'!$L$2:$L$11,0))/100000),"")</f>
        <v/>
      </c>
      <c r="BS644" s="36" t="str">
        <f aca="false">IF(O644="","",IF(O644&gt;=20,"Yes","No"))</f>
        <v/>
      </c>
      <c r="BT644" s="36" t="str">
        <f aca="false">IF(O644="","",IF(O644&gt;=30,"Yes","No"))</f>
        <v/>
      </c>
      <c r="BU644" s="36" t="str">
        <f aca="false">IF(O644="","",IF(O644&gt;=75,"Yes","No"))</f>
        <v/>
      </c>
      <c r="BV644" s="36" t="str">
        <f aca="false">IF(O644="","",IF(O644&gt;=100,"Yes","No"))</f>
        <v/>
      </c>
      <c r="BW644" s="36" t="str">
        <f aca="false">IF(O644="","",IF(O644&gt;=150,"Yes","No"))</f>
        <v/>
      </c>
      <c r="BX644" s="36" t="str">
        <f aca="false">IF(O644="","",IF(O644&gt;=200,"Yes","No"))</f>
        <v/>
      </c>
      <c r="BY644" s="36" t="str">
        <f aca="false">IF(Q644="","",IF(Q644&gt;=150000,"Yes","No"))</f>
        <v/>
      </c>
      <c r="BZ644" s="36" t="str">
        <f aca="false">IF(Q644="","",IF(Q644&gt;=200000,"Yes","No"))</f>
        <v/>
      </c>
      <c r="CA644" s="36" t="str">
        <f aca="false">IF(Q644="","",IF(Q644&gt;=250000,"Yes","No"))</f>
        <v/>
      </c>
      <c r="CB644" s="36" t="str">
        <f aca="false">IF(Q644="","",IF(Q644&gt;=300000,"Yes","No"))</f>
        <v/>
      </c>
      <c r="CC644" s="37"/>
      <c r="CD644" s="36" t="str">
        <f aca="true">IF(B644="","",IF(TODAY()-B644&lt;=7,"🟢 0-7d",IF(TODAY()-B644&lt;=30,"🟡 8-30d",IF(TODAY()-B644&lt;=60,"🟠 31-60d","🔴 60d+"))))</f>
        <v/>
      </c>
      <c r="CE644" s="36" t="str">
        <f aca="false">IF(G644="","",IF(G644&lt;&gt;"USA","N/A - Not USA Role",IF(J644="Yes",IF(OR(F644="Intern",F644="New Grad"),"🟡 Possible","🟢 Strong"),IF(J644="No","🔴 Difficult","⚪ Unknown"))))</f>
        <v/>
      </c>
      <c r="CF644" s="37"/>
      <c r="CG644" s="37"/>
      <c r="CH644" s="38"/>
      <c r="CI644" s="38"/>
      <c r="CJ644" s="38"/>
      <c r="CK644" s="38"/>
    </row>
    <row r="645" customFormat="false" ht="15" hidden="false" customHeight="true" outlineLevel="0" collapsed="false">
      <c r="A645" s="26" t="str">
        <f aca="false">IF($C645="","",ROW()-3)</f>
        <v/>
      </c>
      <c r="B645" s="27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9"/>
      <c r="N645" s="29"/>
      <c r="O645" s="30" t="str">
        <f aca="false">IFERROR(IF(M645="","",M645*INDEX('00 - Lists'!$M$2:$M$11,MATCH(L645,'00 - Lists'!$L$2:$L$11,0))/100000),"")</f>
        <v/>
      </c>
      <c r="P645" s="30" t="str">
        <f aca="false">IFERROR(IF(N645="","",N645*INDEX('00 - Lists'!$M$2:$M$11,MATCH(L645,'00 - Lists'!$L$2:$L$11,0))/100000),"")</f>
        <v/>
      </c>
      <c r="Q645" s="31" t="str">
        <f aca="false">IFERROR(IF(M645="","",M645*INDEX('00 - Lists'!$N$2:$N$11,MATCH(L645,'00 - Lists'!$L$2:$L$11,0))),"")</f>
        <v/>
      </c>
      <c r="R645" s="31" t="str">
        <f aca="false">IFERROR(IF(N645="","",N645*INDEX('00 - Lists'!$N$2:$N$11,MATCH(L645,'00 - Lists'!$L$2:$L$11,0))),"")</f>
        <v/>
      </c>
      <c r="S645" s="32" t="str">
        <f aca="false">IF(O645="","",IF(O645&gt;=50,"Yes","No"))</f>
        <v/>
      </c>
      <c r="T645" s="32" t="str">
        <f aca="false">IF(Q645="","",IF(Q645&gt;=100000,"Yes","No"))</f>
        <v/>
      </c>
      <c r="U645" s="28"/>
      <c r="V645" s="28"/>
      <c r="W645" s="28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J645" s="34" t="str">
        <f aca="false">IF(OR($BD645&lt;&gt;"",$BF645&lt;&gt;"",$BH645&lt;&gt;""),"Yes","No")</f>
        <v>No</v>
      </c>
      <c r="BK645" s="35" t="str">
        <f aca="false">IFERROR(IF(BD645="","",BD645*INDEX('00 - Lists'!$M$2:$M$11,MATCH(L645,'00 - Lists'!$L$2:$L$11,0))/100000),"")</f>
        <v/>
      </c>
      <c r="BL645" s="35" t="str">
        <f aca="false">IFERROR(IF(BE645="","",BE645*INDEX('00 - Lists'!$M$2:$M$11,MATCH(L645,'00 - Lists'!$L$2:$L$11,0))/100000),"")</f>
        <v/>
      </c>
      <c r="BM645" s="35" t="str">
        <f aca="false">IFERROR(IF(BF645="","",BF645*INDEX('00 - Lists'!$M$2:$M$11,MATCH(L645,'00 - Lists'!$L$2:$L$11,0))/100000),"")</f>
        <v/>
      </c>
      <c r="BN645" s="35" t="str">
        <f aca="false">IFERROR(IF(BG645="","",BG645*INDEX('00 - Lists'!$M$2:$M$11,MATCH(L645,'00 - Lists'!$L$2:$L$11,0))/100000),"")</f>
        <v/>
      </c>
      <c r="BO645" s="35" t="str">
        <f aca="false">IFERROR(IF(BH645="","",BH645*INDEX('00 - Lists'!$M$2:$M$11,MATCH(L645,'00 - Lists'!$L$2:$L$11,0))/100000),"")</f>
        <v/>
      </c>
      <c r="BP645" s="35" t="str">
        <f aca="false">IFERROR(IF(BI645="","",BI645*INDEX('00 - Lists'!$M$2:$M$11,MATCH(L645,'00 - Lists'!$L$2:$L$11,0))/100000),"")</f>
        <v/>
      </c>
      <c r="BS645" s="36" t="str">
        <f aca="false">IF(O645="","",IF(O645&gt;=20,"Yes","No"))</f>
        <v/>
      </c>
      <c r="BT645" s="36" t="str">
        <f aca="false">IF(O645="","",IF(O645&gt;=30,"Yes","No"))</f>
        <v/>
      </c>
      <c r="BU645" s="36" t="str">
        <f aca="false">IF(O645="","",IF(O645&gt;=75,"Yes","No"))</f>
        <v/>
      </c>
      <c r="BV645" s="36" t="str">
        <f aca="false">IF(O645="","",IF(O645&gt;=100,"Yes","No"))</f>
        <v/>
      </c>
      <c r="BW645" s="36" t="str">
        <f aca="false">IF(O645="","",IF(O645&gt;=150,"Yes","No"))</f>
        <v/>
      </c>
      <c r="BX645" s="36" t="str">
        <f aca="false">IF(O645="","",IF(O645&gt;=200,"Yes","No"))</f>
        <v/>
      </c>
      <c r="BY645" s="36" t="str">
        <f aca="false">IF(Q645="","",IF(Q645&gt;=150000,"Yes","No"))</f>
        <v/>
      </c>
      <c r="BZ645" s="36" t="str">
        <f aca="false">IF(Q645="","",IF(Q645&gt;=200000,"Yes","No"))</f>
        <v/>
      </c>
      <c r="CA645" s="36" t="str">
        <f aca="false">IF(Q645="","",IF(Q645&gt;=250000,"Yes","No"))</f>
        <v/>
      </c>
      <c r="CB645" s="36" t="str">
        <f aca="false">IF(Q645="","",IF(Q645&gt;=300000,"Yes","No"))</f>
        <v/>
      </c>
      <c r="CC645" s="37"/>
      <c r="CD645" s="36" t="str">
        <f aca="true">IF(B645="","",IF(TODAY()-B645&lt;=7,"🟢 0-7d",IF(TODAY()-B645&lt;=30,"🟡 8-30d",IF(TODAY()-B645&lt;=60,"🟠 31-60d","🔴 60d+"))))</f>
        <v/>
      </c>
      <c r="CE645" s="36" t="str">
        <f aca="false">IF(G645="","",IF(G645&lt;&gt;"USA","N/A - Not USA Role",IF(J645="Yes",IF(OR(F645="Intern",F645="New Grad"),"🟡 Possible","🟢 Strong"),IF(J645="No","🔴 Difficult","⚪ Unknown"))))</f>
        <v/>
      </c>
      <c r="CF645" s="37"/>
      <c r="CG645" s="37"/>
      <c r="CH645" s="38"/>
      <c r="CI645" s="38"/>
      <c r="CJ645" s="38"/>
      <c r="CK645" s="38"/>
    </row>
    <row r="646" customFormat="false" ht="15" hidden="false" customHeight="true" outlineLevel="0" collapsed="false">
      <c r="A646" s="26" t="str">
        <f aca="false">IF($C646="","",ROW()-3)</f>
        <v/>
      </c>
      <c r="B646" s="27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9"/>
      <c r="N646" s="29"/>
      <c r="O646" s="30" t="str">
        <f aca="false">IFERROR(IF(M646="","",M646*INDEX('00 - Lists'!$M$2:$M$11,MATCH(L646,'00 - Lists'!$L$2:$L$11,0))/100000),"")</f>
        <v/>
      </c>
      <c r="P646" s="30" t="str">
        <f aca="false">IFERROR(IF(N646="","",N646*INDEX('00 - Lists'!$M$2:$M$11,MATCH(L646,'00 - Lists'!$L$2:$L$11,0))/100000),"")</f>
        <v/>
      </c>
      <c r="Q646" s="31" t="str">
        <f aca="false">IFERROR(IF(M646="","",M646*INDEX('00 - Lists'!$N$2:$N$11,MATCH(L646,'00 - Lists'!$L$2:$L$11,0))),"")</f>
        <v/>
      </c>
      <c r="R646" s="31" t="str">
        <f aca="false">IFERROR(IF(N646="","",N646*INDEX('00 - Lists'!$N$2:$N$11,MATCH(L646,'00 - Lists'!$L$2:$L$11,0))),"")</f>
        <v/>
      </c>
      <c r="S646" s="32" t="str">
        <f aca="false">IF(O646="","",IF(O646&gt;=50,"Yes","No"))</f>
        <v/>
      </c>
      <c r="T646" s="32" t="str">
        <f aca="false">IF(Q646="","",IF(Q646&gt;=100000,"Yes","No"))</f>
        <v/>
      </c>
      <c r="U646" s="28"/>
      <c r="V646" s="28"/>
      <c r="W646" s="28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J646" s="34" t="str">
        <f aca="false">IF(OR($BD646&lt;&gt;"",$BF646&lt;&gt;"",$BH646&lt;&gt;""),"Yes","No")</f>
        <v>No</v>
      </c>
      <c r="BK646" s="35" t="str">
        <f aca="false">IFERROR(IF(BD646="","",BD646*INDEX('00 - Lists'!$M$2:$M$11,MATCH(L646,'00 - Lists'!$L$2:$L$11,0))/100000),"")</f>
        <v/>
      </c>
      <c r="BL646" s="35" t="str">
        <f aca="false">IFERROR(IF(BE646="","",BE646*INDEX('00 - Lists'!$M$2:$M$11,MATCH(L646,'00 - Lists'!$L$2:$L$11,0))/100000),"")</f>
        <v/>
      </c>
      <c r="BM646" s="35" t="str">
        <f aca="false">IFERROR(IF(BF646="","",BF646*INDEX('00 - Lists'!$M$2:$M$11,MATCH(L646,'00 - Lists'!$L$2:$L$11,0))/100000),"")</f>
        <v/>
      </c>
      <c r="BN646" s="35" t="str">
        <f aca="false">IFERROR(IF(BG646="","",BG646*INDEX('00 - Lists'!$M$2:$M$11,MATCH(L646,'00 - Lists'!$L$2:$L$11,0))/100000),"")</f>
        <v/>
      </c>
      <c r="BO646" s="35" t="str">
        <f aca="false">IFERROR(IF(BH646="","",BH646*INDEX('00 - Lists'!$M$2:$M$11,MATCH(L646,'00 - Lists'!$L$2:$L$11,0))/100000),"")</f>
        <v/>
      </c>
      <c r="BP646" s="35" t="str">
        <f aca="false">IFERROR(IF(BI646="","",BI646*INDEX('00 - Lists'!$M$2:$M$11,MATCH(L646,'00 - Lists'!$L$2:$L$11,0))/100000),"")</f>
        <v/>
      </c>
      <c r="BS646" s="36" t="str">
        <f aca="false">IF(O646="","",IF(O646&gt;=20,"Yes","No"))</f>
        <v/>
      </c>
      <c r="BT646" s="36" t="str">
        <f aca="false">IF(O646="","",IF(O646&gt;=30,"Yes","No"))</f>
        <v/>
      </c>
      <c r="BU646" s="36" t="str">
        <f aca="false">IF(O646="","",IF(O646&gt;=75,"Yes","No"))</f>
        <v/>
      </c>
      <c r="BV646" s="36" t="str">
        <f aca="false">IF(O646="","",IF(O646&gt;=100,"Yes","No"))</f>
        <v/>
      </c>
      <c r="BW646" s="36" t="str">
        <f aca="false">IF(O646="","",IF(O646&gt;=150,"Yes","No"))</f>
        <v/>
      </c>
      <c r="BX646" s="36" t="str">
        <f aca="false">IF(O646="","",IF(O646&gt;=200,"Yes","No"))</f>
        <v/>
      </c>
      <c r="BY646" s="36" t="str">
        <f aca="false">IF(Q646="","",IF(Q646&gt;=150000,"Yes","No"))</f>
        <v/>
      </c>
      <c r="BZ646" s="36" t="str">
        <f aca="false">IF(Q646="","",IF(Q646&gt;=200000,"Yes","No"))</f>
        <v/>
      </c>
      <c r="CA646" s="36" t="str">
        <f aca="false">IF(Q646="","",IF(Q646&gt;=250000,"Yes","No"))</f>
        <v/>
      </c>
      <c r="CB646" s="36" t="str">
        <f aca="false">IF(Q646="","",IF(Q646&gt;=300000,"Yes","No"))</f>
        <v/>
      </c>
      <c r="CC646" s="37"/>
      <c r="CD646" s="36" t="str">
        <f aca="true">IF(B646="","",IF(TODAY()-B646&lt;=7,"🟢 0-7d",IF(TODAY()-B646&lt;=30,"🟡 8-30d",IF(TODAY()-B646&lt;=60,"🟠 31-60d","🔴 60d+"))))</f>
        <v/>
      </c>
      <c r="CE646" s="36" t="str">
        <f aca="false">IF(G646="","",IF(G646&lt;&gt;"USA","N/A - Not USA Role",IF(J646="Yes",IF(OR(F646="Intern",F646="New Grad"),"🟡 Possible","🟢 Strong"),IF(J646="No","🔴 Difficult","⚪ Unknown"))))</f>
        <v/>
      </c>
      <c r="CF646" s="37"/>
      <c r="CG646" s="37"/>
      <c r="CH646" s="38"/>
      <c r="CI646" s="38"/>
      <c r="CJ646" s="38"/>
      <c r="CK646" s="38"/>
    </row>
    <row r="647" customFormat="false" ht="15" hidden="false" customHeight="true" outlineLevel="0" collapsed="false">
      <c r="A647" s="26" t="str">
        <f aca="false">IF($C647="","",ROW()-3)</f>
        <v/>
      </c>
      <c r="B647" s="27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9"/>
      <c r="N647" s="29"/>
      <c r="O647" s="30" t="str">
        <f aca="false">IFERROR(IF(M647="","",M647*INDEX('00 - Lists'!$M$2:$M$11,MATCH(L647,'00 - Lists'!$L$2:$L$11,0))/100000),"")</f>
        <v/>
      </c>
      <c r="P647" s="30" t="str">
        <f aca="false">IFERROR(IF(N647="","",N647*INDEX('00 - Lists'!$M$2:$M$11,MATCH(L647,'00 - Lists'!$L$2:$L$11,0))/100000),"")</f>
        <v/>
      </c>
      <c r="Q647" s="31" t="str">
        <f aca="false">IFERROR(IF(M647="","",M647*INDEX('00 - Lists'!$N$2:$N$11,MATCH(L647,'00 - Lists'!$L$2:$L$11,0))),"")</f>
        <v/>
      </c>
      <c r="R647" s="31" t="str">
        <f aca="false">IFERROR(IF(N647="","",N647*INDEX('00 - Lists'!$N$2:$N$11,MATCH(L647,'00 - Lists'!$L$2:$L$11,0))),"")</f>
        <v/>
      </c>
      <c r="S647" s="32" t="str">
        <f aca="false">IF(O647="","",IF(O647&gt;=50,"Yes","No"))</f>
        <v/>
      </c>
      <c r="T647" s="32" t="str">
        <f aca="false">IF(Q647="","",IF(Q647&gt;=100000,"Yes","No"))</f>
        <v/>
      </c>
      <c r="U647" s="28"/>
      <c r="V647" s="28"/>
      <c r="W647" s="28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J647" s="34" t="str">
        <f aca="false">IF(OR($BD647&lt;&gt;"",$BF647&lt;&gt;"",$BH647&lt;&gt;""),"Yes","No")</f>
        <v>No</v>
      </c>
      <c r="BK647" s="35" t="str">
        <f aca="false">IFERROR(IF(BD647="","",BD647*INDEX('00 - Lists'!$M$2:$M$11,MATCH(L647,'00 - Lists'!$L$2:$L$11,0))/100000),"")</f>
        <v/>
      </c>
      <c r="BL647" s="35" t="str">
        <f aca="false">IFERROR(IF(BE647="","",BE647*INDEX('00 - Lists'!$M$2:$M$11,MATCH(L647,'00 - Lists'!$L$2:$L$11,0))/100000),"")</f>
        <v/>
      </c>
      <c r="BM647" s="35" t="str">
        <f aca="false">IFERROR(IF(BF647="","",BF647*INDEX('00 - Lists'!$M$2:$M$11,MATCH(L647,'00 - Lists'!$L$2:$L$11,0))/100000),"")</f>
        <v/>
      </c>
      <c r="BN647" s="35" t="str">
        <f aca="false">IFERROR(IF(BG647="","",BG647*INDEX('00 - Lists'!$M$2:$M$11,MATCH(L647,'00 - Lists'!$L$2:$L$11,0))/100000),"")</f>
        <v/>
      </c>
      <c r="BO647" s="35" t="str">
        <f aca="false">IFERROR(IF(BH647="","",BH647*INDEX('00 - Lists'!$M$2:$M$11,MATCH(L647,'00 - Lists'!$L$2:$L$11,0))/100000),"")</f>
        <v/>
      </c>
      <c r="BP647" s="35" t="str">
        <f aca="false">IFERROR(IF(BI647="","",BI647*INDEX('00 - Lists'!$M$2:$M$11,MATCH(L647,'00 - Lists'!$L$2:$L$11,0))/100000),"")</f>
        <v/>
      </c>
      <c r="BS647" s="36" t="str">
        <f aca="false">IF(O647="","",IF(O647&gt;=20,"Yes","No"))</f>
        <v/>
      </c>
      <c r="BT647" s="36" t="str">
        <f aca="false">IF(O647="","",IF(O647&gt;=30,"Yes","No"))</f>
        <v/>
      </c>
      <c r="BU647" s="36" t="str">
        <f aca="false">IF(O647="","",IF(O647&gt;=75,"Yes","No"))</f>
        <v/>
      </c>
      <c r="BV647" s="36" t="str">
        <f aca="false">IF(O647="","",IF(O647&gt;=100,"Yes","No"))</f>
        <v/>
      </c>
      <c r="BW647" s="36" t="str">
        <f aca="false">IF(O647="","",IF(O647&gt;=150,"Yes","No"))</f>
        <v/>
      </c>
      <c r="BX647" s="36" t="str">
        <f aca="false">IF(O647="","",IF(O647&gt;=200,"Yes","No"))</f>
        <v/>
      </c>
      <c r="BY647" s="36" t="str">
        <f aca="false">IF(Q647="","",IF(Q647&gt;=150000,"Yes","No"))</f>
        <v/>
      </c>
      <c r="BZ647" s="36" t="str">
        <f aca="false">IF(Q647="","",IF(Q647&gt;=200000,"Yes","No"))</f>
        <v/>
      </c>
      <c r="CA647" s="36" t="str">
        <f aca="false">IF(Q647="","",IF(Q647&gt;=250000,"Yes","No"))</f>
        <v/>
      </c>
      <c r="CB647" s="36" t="str">
        <f aca="false">IF(Q647="","",IF(Q647&gt;=300000,"Yes","No"))</f>
        <v/>
      </c>
      <c r="CC647" s="37"/>
      <c r="CD647" s="36" t="str">
        <f aca="true">IF(B647="","",IF(TODAY()-B647&lt;=7,"🟢 0-7d",IF(TODAY()-B647&lt;=30,"🟡 8-30d",IF(TODAY()-B647&lt;=60,"🟠 31-60d","🔴 60d+"))))</f>
        <v/>
      </c>
      <c r="CE647" s="36" t="str">
        <f aca="false">IF(G647="","",IF(G647&lt;&gt;"USA","N/A - Not USA Role",IF(J647="Yes",IF(OR(F647="Intern",F647="New Grad"),"🟡 Possible","🟢 Strong"),IF(J647="No","🔴 Difficult","⚪ Unknown"))))</f>
        <v/>
      </c>
      <c r="CF647" s="37"/>
      <c r="CG647" s="37"/>
      <c r="CH647" s="38"/>
      <c r="CI647" s="38"/>
      <c r="CJ647" s="38"/>
      <c r="CK647" s="38"/>
    </row>
    <row r="648" customFormat="false" ht="15" hidden="false" customHeight="true" outlineLevel="0" collapsed="false">
      <c r="A648" s="26" t="str">
        <f aca="false">IF($C648="","",ROW()-3)</f>
        <v/>
      </c>
      <c r="B648" s="27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9"/>
      <c r="N648" s="29"/>
      <c r="O648" s="30" t="str">
        <f aca="false">IFERROR(IF(M648="","",M648*INDEX('00 - Lists'!$M$2:$M$11,MATCH(L648,'00 - Lists'!$L$2:$L$11,0))/100000),"")</f>
        <v/>
      </c>
      <c r="P648" s="30" t="str">
        <f aca="false">IFERROR(IF(N648="","",N648*INDEX('00 - Lists'!$M$2:$M$11,MATCH(L648,'00 - Lists'!$L$2:$L$11,0))/100000),"")</f>
        <v/>
      </c>
      <c r="Q648" s="31" t="str">
        <f aca="false">IFERROR(IF(M648="","",M648*INDEX('00 - Lists'!$N$2:$N$11,MATCH(L648,'00 - Lists'!$L$2:$L$11,0))),"")</f>
        <v/>
      </c>
      <c r="R648" s="31" t="str">
        <f aca="false">IFERROR(IF(N648="","",N648*INDEX('00 - Lists'!$N$2:$N$11,MATCH(L648,'00 - Lists'!$L$2:$L$11,0))),"")</f>
        <v/>
      </c>
      <c r="S648" s="32" t="str">
        <f aca="false">IF(O648="","",IF(O648&gt;=50,"Yes","No"))</f>
        <v/>
      </c>
      <c r="T648" s="32" t="str">
        <f aca="false">IF(Q648="","",IF(Q648&gt;=100000,"Yes","No"))</f>
        <v/>
      </c>
      <c r="U648" s="28"/>
      <c r="V648" s="28"/>
      <c r="W648" s="28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J648" s="34" t="str">
        <f aca="false">IF(OR($BD648&lt;&gt;"",$BF648&lt;&gt;"",$BH648&lt;&gt;""),"Yes","No")</f>
        <v>No</v>
      </c>
      <c r="BK648" s="35" t="str">
        <f aca="false">IFERROR(IF(BD648="","",BD648*INDEX('00 - Lists'!$M$2:$M$11,MATCH(L648,'00 - Lists'!$L$2:$L$11,0))/100000),"")</f>
        <v/>
      </c>
      <c r="BL648" s="35" t="str">
        <f aca="false">IFERROR(IF(BE648="","",BE648*INDEX('00 - Lists'!$M$2:$M$11,MATCH(L648,'00 - Lists'!$L$2:$L$11,0))/100000),"")</f>
        <v/>
      </c>
      <c r="BM648" s="35" t="str">
        <f aca="false">IFERROR(IF(BF648="","",BF648*INDEX('00 - Lists'!$M$2:$M$11,MATCH(L648,'00 - Lists'!$L$2:$L$11,0))/100000),"")</f>
        <v/>
      </c>
      <c r="BN648" s="35" t="str">
        <f aca="false">IFERROR(IF(BG648="","",BG648*INDEX('00 - Lists'!$M$2:$M$11,MATCH(L648,'00 - Lists'!$L$2:$L$11,0))/100000),"")</f>
        <v/>
      </c>
      <c r="BO648" s="35" t="str">
        <f aca="false">IFERROR(IF(BH648="","",BH648*INDEX('00 - Lists'!$M$2:$M$11,MATCH(L648,'00 - Lists'!$L$2:$L$11,0))/100000),"")</f>
        <v/>
      </c>
      <c r="BP648" s="35" t="str">
        <f aca="false">IFERROR(IF(BI648="","",BI648*INDEX('00 - Lists'!$M$2:$M$11,MATCH(L648,'00 - Lists'!$L$2:$L$11,0))/100000),"")</f>
        <v/>
      </c>
      <c r="BS648" s="36" t="str">
        <f aca="false">IF(O648="","",IF(O648&gt;=20,"Yes","No"))</f>
        <v/>
      </c>
      <c r="BT648" s="36" t="str">
        <f aca="false">IF(O648="","",IF(O648&gt;=30,"Yes","No"))</f>
        <v/>
      </c>
      <c r="BU648" s="36" t="str">
        <f aca="false">IF(O648="","",IF(O648&gt;=75,"Yes","No"))</f>
        <v/>
      </c>
      <c r="BV648" s="36" t="str">
        <f aca="false">IF(O648="","",IF(O648&gt;=100,"Yes","No"))</f>
        <v/>
      </c>
      <c r="BW648" s="36" t="str">
        <f aca="false">IF(O648="","",IF(O648&gt;=150,"Yes","No"))</f>
        <v/>
      </c>
      <c r="BX648" s="36" t="str">
        <f aca="false">IF(O648="","",IF(O648&gt;=200,"Yes","No"))</f>
        <v/>
      </c>
      <c r="BY648" s="36" t="str">
        <f aca="false">IF(Q648="","",IF(Q648&gt;=150000,"Yes","No"))</f>
        <v/>
      </c>
      <c r="BZ648" s="36" t="str">
        <f aca="false">IF(Q648="","",IF(Q648&gt;=200000,"Yes","No"))</f>
        <v/>
      </c>
      <c r="CA648" s="36" t="str">
        <f aca="false">IF(Q648="","",IF(Q648&gt;=250000,"Yes","No"))</f>
        <v/>
      </c>
      <c r="CB648" s="36" t="str">
        <f aca="false">IF(Q648="","",IF(Q648&gt;=300000,"Yes","No"))</f>
        <v/>
      </c>
      <c r="CC648" s="37"/>
      <c r="CD648" s="36" t="str">
        <f aca="true">IF(B648="","",IF(TODAY()-B648&lt;=7,"🟢 0-7d",IF(TODAY()-B648&lt;=30,"🟡 8-30d",IF(TODAY()-B648&lt;=60,"🟠 31-60d","🔴 60d+"))))</f>
        <v/>
      </c>
      <c r="CE648" s="36" t="str">
        <f aca="false">IF(G648="","",IF(G648&lt;&gt;"USA","N/A - Not USA Role",IF(J648="Yes",IF(OR(F648="Intern",F648="New Grad"),"🟡 Possible","🟢 Strong"),IF(J648="No","🔴 Difficult","⚪ Unknown"))))</f>
        <v/>
      </c>
      <c r="CF648" s="37"/>
      <c r="CG648" s="37"/>
      <c r="CH648" s="38"/>
      <c r="CI648" s="38"/>
      <c r="CJ648" s="38"/>
      <c r="CK648" s="38"/>
    </row>
    <row r="649" customFormat="false" ht="15" hidden="false" customHeight="true" outlineLevel="0" collapsed="false">
      <c r="A649" s="26" t="str">
        <f aca="false">IF($C649="","",ROW()-3)</f>
        <v/>
      </c>
      <c r="B649" s="27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9"/>
      <c r="N649" s="29"/>
      <c r="O649" s="30" t="str">
        <f aca="false">IFERROR(IF(M649="","",M649*INDEX('00 - Lists'!$M$2:$M$11,MATCH(L649,'00 - Lists'!$L$2:$L$11,0))/100000),"")</f>
        <v/>
      </c>
      <c r="P649" s="30" t="str">
        <f aca="false">IFERROR(IF(N649="","",N649*INDEX('00 - Lists'!$M$2:$M$11,MATCH(L649,'00 - Lists'!$L$2:$L$11,0))/100000),"")</f>
        <v/>
      </c>
      <c r="Q649" s="31" t="str">
        <f aca="false">IFERROR(IF(M649="","",M649*INDEX('00 - Lists'!$N$2:$N$11,MATCH(L649,'00 - Lists'!$L$2:$L$11,0))),"")</f>
        <v/>
      </c>
      <c r="R649" s="31" t="str">
        <f aca="false">IFERROR(IF(N649="","",N649*INDEX('00 - Lists'!$N$2:$N$11,MATCH(L649,'00 - Lists'!$L$2:$L$11,0))),"")</f>
        <v/>
      </c>
      <c r="S649" s="32" t="str">
        <f aca="false">IF(O649="","",IF(O649&gt;=50,"Yes","No"))</f>
        <v/>
      </c>
      <c r="T649" s="32" t="str">
        <f aca="false">IF(Q649="","",IF(Q649&gt;=100000,"Yes","No"))</f>
        <v/>
      </c>
      <c r="U649" s="28"/>
      <c r="V649" s="28"/>
      <c r="W649" s="28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J649" s="34" t="str">
        <f aca="false">IF(OR($BD649&lt;&gt;"",$BF649&lt;&gt;"",$BH649&lt;&gt;""),"Yes","No")</f>
        <v>No</v>
      </c>
      <c r="BK649" s="35" t="str">
        <f aca="false">IFERROR(IF(BD649="","",BD649*INDEX('00 - Lists'!$M$2:$M$11,MATCH(L649,'00 - Lists'!$L$2:$L$11,0))/100000),"")</f>
        <v/>
      </c>
      <c r="BL649" s="35" t="str">
        <f aca="false">IFERROR(IF(BE649="","",BE649*INDEX('00 - Lists'!$M$2:$M$11,MATCH(L649,'00 - Lists'!$L$2:$L$11,0))/100000),"")</f>
        <v/>
      </c>
      <c r="BM649" s="35" t="str">
        <f aca="false">IFERROR(IF(BF649="","",BF649*INDEX('00 - Lists'!$M$2:$M$11,MATCH(L649,'00 - Lists'!$L$2:$L$11,0))/100000),"")</f>
        <v/>
      </c>
      <c r="BN649" s="35" t="str">
        <f aca="false">IFERROR(IF(BG649="","",BG649*INDEX('00 - Lists'!$M$2:$M$11,MATCH(L649,'00 - Lists'!$L$2:$L$11,0))/100000),"")</f>
        <v/>
      </c>
      <c r="BO649" s="35" t="str">
        <f aca="false">IFERROR(IF(BH649="","",BH649*INDEX('00 - Lists'!$M$2:$M$11,MATCH(L649,'00 - Lists'!$L$2:$L$11,0))/100000),"")</f>
        <v/>
      </c>
      <c r="BP649" s="35" t="str">
        <f aca="false">IFERROR(IF(BI649="","",BI649*INDEX('00 - Lists'!$M$2:$M$11,MATCH(L649,'00 - Lists'!$L$2:$L$11,0))/100000),"")</f>
        <v/>
      </c>
      <c r="BS649" s="36" t="str">
        <f aca="false">IF(O649="","",IF(O649&gt;=20,"Yes","No"))</f>
        <v/>
      </c>
      <c r="BT649" s="36" t="str">
        <f aca="false">IF(O649="","",IF(O649&gt;=30,"Yes","No"))</f>
        <v/>
      </c>
      <c r="BU649" s="36" t="str">
        <f aca="false">IF(O649="","",IF(O649&gt;=75,"Yes","No"))</f>
        <v/>
      </c>
      <c r="BV649" s="36" t="str">
        <f aca="false">IF(O649="","",IF(O649&gt;=100,"Yes","No"))</f>
        <v/>
      </c>
      <c r="BW649" s="36" t="str">
        <f aca="false">IF(O649="","",IF(O649&gt;=150,"Yes","No"))</f>
        <v/>
      </c>
      <c r="BX649" s="36" t="str">
        <f aca="false">IF(O649="","",IF(O649&gt;=200,"Yes","No"))</f>
        <v/>
      </c>
      <c r="BY649" s="36" t="str">
        <f aca="false">IF(Q649="","",IF(Q649&gt;=150000,"Yes","No"))</f>
        <v/>
      </c>
      <c r="BZ649" s="36" t="str">
        <f aca="false">IF(Q649="","",IF(Q649&gt;=200000,"Yes","No"))</f>
        <v/>
      </c>
      <c r="CA649" s="36" t="str">
        <f aca="false">IF(Q649="","",IF(Q649&gt;=250000,"Yes","No"))</f>
        <v/>
      </c>
      <c r="CB649" s="36" t="str">
        <f aca="false">IF(Q649="","",IF(Q649&gt;=300000,"Yes","No"))</f>
        <v/>
      </c>
      <c r="CC649" s="37"/>
      <c r="CD649" s="36" t="str">
        <f aca="true">IF(B649="","",IF(TODAY()-B649&lt;=7,"🟢 0-7d",IF(TODAY()-B649&lt;=30,"🟡 8-30d",IF(TODAY()-B649&lt;=60,"🟠 31-60d","🔴 60d+"))))</f>
        <v/>
      </c>
      <c r="CE649" s="36" t="str">
        <f aca="false">IF(G649="","",IF(G649&lt;&gt;"USA","N/A - Not USA Role",IF(J649="Yes",IF(OR(F649="Intern",F649="New Grad"),"🟡 Possible","🟢 Strong"),IF(J649="No","🔴 Difficult","⚪ Unknown"))))</f>
        <v/>
      </c>
      <c r="CF649" s="37"/>
      <c r="CG649" s="37"/>
      <c r="CH649" s="38"/>
      <c r="CI649" s="38"/>
      <c r="CJ649" s="38"/>
      <c r="CK649" s="38"/>
    </row>
    <row r="650" customFormat="false" ht="15" hidden="false" customHeight="true" outlineLevel="0" collapsed="false">
      <c r="A650" s="26" t="str">
        <f aca="false">IF($C650="","",ROW()-3)</f>
        <v/>
      </c>
      <c r="B650" s="27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9"/>
      <c r="N650" s="29"/>
      <c r="O650" s="30" t="str">
        <f aca="false">IFERROR(IF(M650="","",M650*INDEX('00 - Lists'!$M$2:$M$11,MATCH(L650,'00 - Lists'!$L$2:$L$11,0))/100000),"")</f>
        <v/>
      </c>
      <c r="P650" s="30" t="str">
        <f aca="false">IFERROR(IF(N650="","",N650*INDEX('00 - Lists'!$M$2:$M$11,MATCH(L650,'00 - Lists'!$L$2:$L$11,0))/100000),"")</f>
        <v/>
      </c>
      <c r="Q650" s="31" t="str">
        <f aca="false">IFERROR(IF(M650="","",M650*INDEX('00 - Lists'!$N$2:$N$11,MATCH(L650,'00 - Lists'!$L$2:$L$11,0))),"")</f>
        <v/>
      </c>
      <c r="R650" s="31" t="str">
        <f aca="false">IFERROR(IF(N650="","",N650*INDEX('00 - Lists'!$N$2:$N$11,MATCH(L650,'00 - Lists'!$L$2:$L$11,0))),"")</f>
        <v/>
      </c>
      <c r="S650" s="32" t="str">
        <f aca="false">IF(O650="","",IF(O650&gt;=50,"Yes","No"))</f>
        <v/>
      </c>
      <c r="T650" s="32" t="str">
        <f aca="false">IF(Q650="","",IF(Q650&gt;=100000,"Yes","No"))</f>
        <v/>
      </c>
      <c r="U650" s="28"/>
      <c r="V650" s="28"/>
      <c r="W650" s="28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J650" s="34" t="str">
        <f aca="false">IF(OR($BD650&lt;&gt;"",$BF650&lt;&gt;"",$BH650&lt;&gt;""),"Yes","No")</f>
        <v>No</v>
      </c>
      <c r="BK650" s="35" t="str">
        <f aca="false">IFERROR(IF(BD650="","",BD650*INDEX('00 - Lists'!$M$2:$M$11,MATCH(L650,'00 - Lists'!$L$2:$L$11,0))/100000),"")</f>
        <v/>
      </c>
      <c r="BL650" s="35" t="str">
        <f aca="false">IFERROR(IF(BE650="","",BE650*INDEX('00 - Lists'!$M$2:$M$11,MATCH(L650,'00 - Lists'!$L$2:$L$11,0))/100000),"")</f>
        <v/>
      </c>
      <c r="BM650" s="35" t="str">
        <f aca="false">IFERROR(IF(BF650="","",BF650*INDEX('00 - Lists'!$M$2:$M$11,MATCH(L650,'00 - Lists'!$L$2:$L$11,0))/100000),"")</f>
        <v/>
      </c>
      <c r="BN650" s="35" t="str">
        <f aca="false">IFERROR(IF(BG650="","",BG650*INDEX('00 - Lists'!$M$2:$M$11,MATCH(L650,'00 - Lists'!$L$2:$L$11,0))/100000),"")</f>
        <v/>
      </c>
      <c r="BO650" s="35" t="str">
        <f aca="false">IFERROR(IF(BH650="","",BH650*INDEX('00 - Lists'!$M$2:$M$11,MATCH(L650,'00 - Lists'!$L$2:$L$11,0))/100000),"")</f>
        <v/>
      </c>
      <c r="BP650" s="35" t="str">
        <f aca="false">IFERROR(IF(BI650="","",BI650*INDEX('00 - Lists'!$M$2:$M$11,MATCH(L650,'00 - Lists'!$L$2:$L$11,0))/100000),"")</f>
        <v/>
      </c>
      <c r="BS650" s="36" t="str">
        <f aca="false">IF(O650="","",IF(O650&gt;=20,"Yes","No"))</f>
        <v/>
      </c>
      <c r="BT650" s="36" t="str">
        <f aca="false">IF(O650="","",IF(O650&gt;=30,"Yes","No"))</f>
        <v/>
      </c>
      <c r="BU650" s="36" t="str">
        <f aca="false">IF(O650="","",IF(O650&gt;=75,"Yes","No"))</f>
        <v/>
      </c>
      <c r="BV650" s="36" t="str">
        <f aca="false">IF(O650="","",IF(O650&gt;=100,"Yes","No"))</f>
        <v/>
      </c>
      <c r="BW650" s="36" t="str">
        <f aca="false">IF(O650="","",IF(O650&gt;=150,"Yes","No"))</f>
        <v/>
      </c>
      <c r="BX650" s="36" t="str">
        <f aca="false">IF(O650="","",IF(O650&gt;=200,"Yes","No"))</f>
        <v/>
      </c>
      <c r="BY650" s="36" t="str">
        <f aca="false">IF(Q650="","",IF(Q650&gt;=150000,"Yes","No"))</f>
        <v/>
      </c>
      <c r="BZ650" s="36" t="str">
        <f aca="false">IF(Q650="","",IF(Q650&gt;=200000,"Yes","No"))</f>
        <v/>
      </c>
      <c r="CA650" s="36" t="str">
        <f aca="false">IF(Q650="","",IF(Q650&gt;=250000,"Yes","No"))</f>
        <v/>
      </c>
      <c r="CB650" s="36" t="str">
        <f aca="false">IF(Q650="","",IF(Q650&gt;=300000,"Yes","No"))</f>
        <v/>
      </c>
      <c r="CC650" s="37"/>
      <c r="CD650" s="36" t="str">
        <f aca="true">IF(B650="","",IF(TODAY()-B650&lt;=7,"🟢 0-7d",IF(TODAY()-B650&lt;=30,"🟡 8-30d",IF(TODAY()-B650&lt;=60,"🟠 31-60d","🔴 60d+"))))</f>
        <v/>
      </c>
      <c r="CE650" s="36" t="str">
        <f aca="false">IF(G650="","",IF(G650&lt;&gt;"USA","N/A - Not USA Role",IF(J650="Yes",IF(OR(F650="Intern",F650="New Grad"),"🟡 Possible","🟢 Strong"),IF(J650="No","🔴 Difficult","⚪ Unknown"))))</f>
        <v/>
      </c>
      <c r="CF650" s="37"/>
      <c r="CG650" s="37"/>
      <c r="CH650" s="38"/>
      <c r="CI650" s="38"/>
      <c r="CJ650" s="38"/>
      <c r="CK650" s="38"/>
    </row>
    <row r="651" customFormat="false" ht="15" hidden="false" customHeight="true" outlineLevel="0" collapsed="false">
      <c r="A651" s="26" t="str">
        <f aca="false">IF($C651="","",ROW()-3)</f>
        <v/>
      </c>
      <c r="B651" s="27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9"/>
      <c r="N651" s="29"/>
      <c r="O651" s="30" t="str">
        <f aca="false">IFERROR(IF(M651="","",M651*INDEX('00 - Lists'!$M$2:$M$11,MATCH(L651,'00 - Lists'!$L$2:$L$11,0))/100000),"")</f>
        <v/>
      </c>
      <c r="P651" s="30" t="str">
        <f aca="false">IFERROR(IF(N651="","",N651*INDEX('00 - Lists'!$M$2:$M$11,MATCH(L651,'00 - Lists'!$L$2:$L$11,0))/100000),"")</f>
        <v/>
      </c>
      <c r="Q651" s="31" t="str">
        <f aca="false">IFERROR(IF(M651="","",M651*INDEX('00 - Lists'!$N$2:$N$11,MATCH(L651,'00 - Lists'!$L$2:$L$11,0))),"")</f>
        <v/>
      </c>
      <c r="R651" s="31" t="str">
        <f aca="false">IFERROR(IF(N651="","",N651*INDEX('00 - Lists'!$N$2:$N$11,MATCH(L651,'00 - Lists'!$L$2:$L$11,0))),"")</f>
        <v/>
      </c>
      <c r="S651" s="32" t="str">
        <f aca="false">IF(O651="","",IF(O651&gt;=50,"Yes","No"))</f>
        <v/>
      </c>
      <c r="T651" s="32" t="str">
        <f aca="false">IF(Q651="","",IF(Q651&gt;=100000,"Yes","No"))</f>
        <v/>
      </c>
      <c r="U651" s="28"/>
      <c r="V651" s="28"/>
      <c r="W651" s="28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J651" s="34" t="str">
        <f aca="false">IF(OR($BD651&lt;&gt;"",$BF651&lt;&gt;"",$BH651&lt;&gt;""),"Yes","No")</f>
        <v>No</v>
      </c>
      <c r="BK651" s="35" t="str">
        <f aca="false">IFERROR(IF(BD651="","",BD651*INDEX('00 - Lists'!$M$2:$M$11,MATCH(L651,'00 - Lists'!$L$2:$L$11,0))/100000),"")</f>
        <v/>
      </c>
      <c r="BL651" s="35" t="str">
        <f aca="false">IFERROR(IF(BE651="","",BE651*INDEX('00 - Lists'!$M$2:$M$11,MATCH(L651,'00 - Lists'!$L$2:$L$11,0))/100000),"")</f>
        <v/>
      </c>
      <c r="BM651" s="35" t="str">
        <f aca="false">IFERROR(IF(BF651="","",BF651*INDEX('00 - Lists'!$M$2:$M$11,MATCH(L651,'00 - Lists'!$L$2:$L$11,0))/100000),"")</f>
        <v/>
      </c>
      <c r="BN651" s="35" t="str">
        <f aca="false">IFERROR(IF(BG651="","",BG651*INDEX('00 - Lists'!$M$2:$M$11,MATCH(L651,'00 - Lists'!$L$2:$L$11,0))/100000),"")</f>
        <v/>
      </c>
      <c r="BO651" s="35" t="str">
        <f aca="false">IFERROR(IF(BH651="","",BH651*INDEX('00 - Lists'!$M$2:$M$11,MATCH(L651,'00 - Lists'!$L$2:$L$11,0))/100000),"")</f>
        <v/>
      </c>
      <c r="BP651" s="35" t="str">
        <f aca="false">IFERROR(IF(BI651="","",BI651*INDEX('00 - Lists'!$M$2:$M$11,MATCH(L651,'00 - Lists'!$L$2:$L$11,0))/100000),"")</f>
        <v/>
      </c>
      <c r="BS651" s="36" t="str">
        <f aca="false">IF(O651="","",IF(O651&gt;=20,"Yes","No"))</f>
        <v/>
      </c>
      <c r="BT651" s="36" t="str">
        <f aca="false">IF(O651="","",IF(O651&gt;=30,"Yes","No"))</f>
        <v/>
      </c>
      <c r="BU651" s="36" t="str">
        <f aca="false">IF(O651="","",IF(O651&gt;=75,"Yes","No"))</f>
        <v/>
      </c>
      <c r="BV651" s="36" t="str">
        <f aca="false">IF(O651="","",IF(O651&gt;=100,"Yes","No"))</f>
        <v/>
      </c>
      <c r="BW651" s="36" t="str">
        <f aca="false">IF(O651="","",IF(O651&gt;=150,"Yes","No"))</f>
        <v/>
      </c>
      <c r="BX651" s="36" t="str">
        <f aca="false">IF(O651="","",IF(O651&gt;=200,"Yes","No"))</f>
        <v/>
      </c>
      <c r="BY651" s="36" t="str">
        <f aca="false">IF(Q651="","",IF(Q651&gt;=150000,"Yes","No"))</f>
        <v/>
      </c>
      <c r="BZ651" s="36" t="str">
        <f aca="false">IF(Q651="","",IF(Q651&gt;=200000,"Yes","No"))</f>
        <v/>
      </c>
      <c r="CA651" s="36" t="str">
        <f aca="false">IF(Q651="","",IF(Q651&gt;=250000,"Yes","No"))</f>
        <v/>
      </c>
      <c r="CB651" s="36" t="str">
        <f aca="false">IF(Q651="","",IF(Q651&gt;=300000,"Yes","No"))</f>
        <v/>
      </c>
      <c r="CC651" s="37"/>
      <c r="CD651" s="36" t="str">
        <f aca="true">IF(B651="","",IF(TODAY()-B651&lt;=7,"🟢 0-7d",IF(TODAY()-B651&lt;=30,"🟡 8-30d",IF(TODAY()-B651&lt;=60,"🟠 31-60d","🔴 60d+"))))</f>
        <v/>
      </c>
      <c r="CE651" s="36" t="str">
        <f aca="false">IF(G651="","",IF(G651&lt;&gt;"USA","N/A - Not USA Role",IF(J651="Yes",IF(OR(F651="Intern",F651="New Grad"),"🟡 Possible","🟢 Strong"),IF(J651="No","🔴 Difficult","⚪ Unknown"))))</f>
        <v/>
      </c>
      <c r="CF651" s="37"/>
      <c r="CG651" s="37"/>
      <c r="CH651" s="38"/>
      <c r="CI651" s="38"/>
      <c r="CJ651" s="38"/>
      <c r="CK651" s="38"/>
    </row>
    <row r="652" customFormat="false" ht="15" hidden="false" customHeight="true" outlineLevel="0" collapsed="false">
      <c r="A652" s="26" t="str">
        <f aca="false">IF($C652="","",ROW()-3)</f>
        <v/>
      </c>
      <c r="B652" s="27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9"/>
      <c r="N652" s="29"/>
      <c r="O652" s="30" t="str">
        <f aca="false">IFERROR(IF(M652="","",M652*INDEX('00 - Lists'!$M$2:$M$11,MATCH(L652,'00 - Lists'!$L$2:$L$11,0))/100000),"")</f>
        <v/>
      </c>
      <c r="P652" s="30" t="str">
        <f aca="false">IFERROR(IF(N652="","",N652*INDEX('00 - Lists'!$M$2:$M$11,MATCH(L652,'00 - Lists'!$L$2:$L$11,0))/100000),"")</f>
        <v/>
      </c>
      <c r="Q652" s="31" t="str">
        <f aca="false">IFERROR(IF(M652="","",M652*INDEX('00 - Lists'!$N$2:$N$11,MATCH(L652,'00 - Lists'!$L$2:$L$11,0))),"")</f>
        <v/>
      </c>
      <c r="R652" s="31" t="str">
        <f aca="false">IFERROR(IF(N652="","",N652*INDEX('00 - Lists'!$N$2:$N$11,MATCH(L652,'00 - Lists'!$L$2:$L$11,0))),"")</f>
        <v/>
      </c>
      <c r="S652" s="32" t="str">
        <f aca="false">IF(O652="","",IF(O652&gt;=50,"Yes","No"))</f>
        <v/>
      </c>
      <c r="T652" s="32" t="str">
        <f aca="false">IF(Q652="","",IF(Q652&gt;=100000,"Yes","No"))</f>
        <v/>
      </c>
      <c r="U652" s="28"/>
      <c r="V652" s="28"/>
      <c r="W652" s="28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J652" s="34" t="str">
        <f aca="false">IF(OR($BD652&lt;&gt;"",$BF652&lt;&gt;"",$BH652&lt;&gt;""),"Yes","No")</f>
        <v>No</v>
      </c>
      <c r="BK652" s="35" t="str">
        <f aca="false">IFERROR(IF(BD652="","",BD652*INDEX('00 - Lists'!$M$2:$M$11,MATCH(L652,'00 - Lists'!$L$2:$L$11,0))/100000),"")</f>
        <v/>
      </c>
      <c r="BL652" s="35" t="str">
        <f aca="false">IFERROR(IF(BE652="","",BE652*INDEX('00 - Lists'!$M$2:$M$11,MATCH(L652,'00 - Lists'!$L$2:$L$11,0))/100000),"")</f>
        <v/>
      </c>
      <c r="BM652" s="35" t="str">
        <f aca="false">IFERROR(IF(BF652="","",BF652*INDEX('00 - Lists'!$M$2:$M$11,MATCH(L652,'00 - Lists'!$L$2:$L$11,0))/100000),"")</f>
        <v/>
      </c>
      <c r="BN652" s="35" t="str">
        <f aca="false">IFERROR(IF(BG652="","",BG652*INDEX('00 - Lists'!$M$2:$M$11,MATCH(L652,'00 - Lists'!$L$2:$L$11,0))/100000),"")</f>
        <v/>
      </c>
      <c r="BO652" s="35" t="str">
        <f aca="false">IFERROR(IF(BH652="","",BH652*INDEX('00 - Lists'!$M$2:$M$11,MATCH(L652,'00 - Lists'!$L$2:$L$11,0))/100000),"")</f>
        <v/>
      </c>
      <c r="BP652" s="35" t="str">
        <f aca="false">IFERROR(IF(BI652="","",BI652*INDEX('00 - Lists'!$M$2:$M$11,MATCH(L652,'00 - Lists'!$L$2:$L$11,0))/100000),"")</f>
        <v/>
      </c>
      <c r="BS652" s="36" t="str">
        <f aca="false">IF(O652="","",IF(O652&gt;=20,"Yes","No"))</f>
        <v/>
      </c>
      <c r="BT652" s="36" t="str">
        <f aca="false">IF(O652="","",IF(O652&gt;=30,"Yes","No"))</f>
        <v/>
      </c>
      <c r="BU652" s="36" t="str">
        <f aca="false">IF(O652="","",IF(O652&gt;=75,"Yes","No"))</f>
        <v/>
      </c>
      <c r="BV652" s="36" t="str">
        <f aca="false">IF(O652="","",IF(O652&gt;=100,"Yes","No"))</f>
        <v/>
      </c>
      <c r="BW652" s="36" t="str">
        <f aca="false">IF(O652="","",IF(O652&gt;=150,"Yes","No"))</f>
        <v/>
      </c>
      <c r="BX652" s="36" t="str">
        <f aca="false">IF(O652="","",IF(O652&gt;=200,"Yes","No"))</f>
        <v/>
      </c>
      <c r="BY652" s="36" t="str">
        <f aca="false">IF(Q652="","",IF(Q652&gt;=150000,"Yes","No"))</f>
        <v/>
      </c>
      <c r="BZ652" s="36" t="str">
        <f aca="false">IF(Q652="","",IF(Q652&gt;=200000,"Yes","No"))</f>
        <v/>
      </c>
      <c r="CA652" s="36" t="str">
        <f aca="false">IF(Q652="","",IF(Q652&gt;=250000,"Yes","No"))</f>
        <v/>
      </c>
      <c r="CB652" s="36" t="str">
        <f aca="false">IF(Q652="","",IF(Q652&gt;=300000,"Yes","No"))</f>
        <v/>
      </c>
      <c r="CC652" s="37"/>
      <c r="CD652" s="36" t="str">
        <f aca="true">IF(B652="","",IF(TODAY()-B652&lt;=7,"🟢 0-7d",IF(TODAY()-B652&lt;=30,"🟡 8-30d",IF(TODAY()-B652&lt;=60,"🟠 31-60d","🔴 60d+"))))</f>
        <v/>
      </c>
      <c r="CE652" s="36" t="str">
        <f aca="false">IF(G652="","",IF(G652&lt;&gt;"USA","N/A - Not USA Role",IF(J652="Yes",IF(OR(F652="Intern",F652="New Grad"),"🟡 Possible","🟢 Strong"),IF(J652="No","🔴 Difficult","⚪ Unknown"))))</f>
        <v/>
      </c>
      <c r="CF652" s="37"/>
      <c r="CG652" s="37"/>
      <c r="CH652" s="38"/>
      <c r="CI652" s="38"/>
      <c r="CJ652" s="38"/>
      <c r="CK652" s="38"/>
    </row>
    <row r="653" customFormat="false" ht="15" hidden="false" customHeight="true" outlineLevel="0" collapsed="false">
      <c r="A653" s="26" t="str">
        <f aca="false">IF($C653="","",ROW()-3)</f>
        <v/>
      </c>
      <c r="B653" s="27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9"/>
      <c r="N653" s="29"/>
      <c r="O653" s="30" t="str">
        <f aca="false">IFERROR(IF(M653="","",M653*INDEX('00 - Lists'!$M$2:$M$11,MATCH(L653,'00 - Lists'!$L$2:$L$11,0))/100000),"")</f>
        <v/>
      </c>
      <c r="P653" s="30" t="str">
        <f aca="false">IFERROR(IF(N653="","",N653*INDEX('00 - Lists'!$M$2:$M$11,MATCH(L653,'00 - Lists'!$L$2:$L$11,0))/100000),"")</f>
        <v/>
      </c>
      <c r="Q653" s="31" t="str">
        <f aca="false">IFERROR(IF(M653="","",M653*INDEX('00 - Lists'!$N$2:$N$11,MATCH(L653,'00 - Lists'!$L$2:$L$11,0))),"")</f>
        <v/>
      </c>
      <c r="R653" s="31" t="str">
        <f aca="false">IFERROR(IF(N653="","",N653*INDEX('00 - Lists'!$N$2:$N$11,MATCH(L653,'00 - Lists'!$L$2:$L$11,0))),"")</f>
        <v/>
      </c>
      <c r="S653" s="32" t="str">
        <f aca="false">IF(O653="","",IF(O653&gt;=50,"Yes","No"))</f>
        <v/>
      </c>
      <c r="T653" s="32" t="str">
        <f aca="false">IF(Q653="","",IF(Q653&gt;=100000,"Yes","No"))</f>
        <v/>
      </c>
      <c r="U653" s="28"/>
      <c r="V653" s="28"/>
      <c r="W653" s="28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J653" s="34" t="str">
        <f aca="false">IF(OR($BD653&lt;&gt;"",$BF653&lt;&gt;"",$BH653&lt;&gt;""),"Yes","No")</f>
        <v>No</v>
      </c>
      <c r="BK653" s="35" t="str">
        <f aca="false">IFERROR(IF(BD653="","",BD653*INDEX('00 - Lists'!$M$2:$M$11,MATCH(L653,'00 - Lists'!$L$2:$L$11,0))/100000),"")</f>
        <v/>
      </c>
      <c r="BL653" s="35" t="str">
        <f aca="false">IFERROR(IF(BE653="","",BE653*INDEX('00 - Lists'!$M$2:$M$11,MATCH(L653,'00 - Lists'!$L$2:$L$11,0))/100000),"")</f>
        <v/>
      </c>
      <c r="BM653" s="35" t="str">
        <f aca="false">IFERROR(IF(BF653="","",BF653*INDEX('00 - Lists'!$M$2:$M$11,MATCH(L653,'00 - Lists'!$L$2:$L$11,0))/100000),"")</f>
        <v/>
      </c>
      <c r="BN653" s="35" t="str">
        <f aca="false">IFERROR(IF(BG653="","",BG653*INDEX('00 - Lists'!$M$2:$M$11,MATCH(L653,'00 - Lists'!$L$2:$L$11,0))/100000),"")</f>
        <v/>
      </c>
      <c r="BO653" s="35" t="str">
        <f aca="false">IFERROR(IF(BH653="","",BH653*INDEX('00 - Lists'!$M$2:$M$11,MATCH(L653,'00 - Lists'!$L$2:$L$11,0))/100000),"")</f>
        <v/>
      </c>
      <c r="BP653" s="35" t="str">
        <f aca="false">IFERROR(IF(BI653="","",BI653*INDEX('00 - Lists'!$M$2:$M$11,MATCH(L653,'00 - Lists'!$L$2:$L$11,0))/100000),"")</f>
        <v/>
      </c>
      <c r="BS653" s="36" t="str">
        <f aca="false">IF(O653="","",IF(O653&gt;=20,"Yes","No"))</f>
        <v/>
      </c>
      <c r="BT653" s="36" t="str">
        <f aca="false">IF(O653="","",IF(O653&gt;=30,"Yes","No"))</f>
        <v/>
      </c>
      <c r="BU653" s="36" t="str">
        <f aca="false">IF(O653="","",IF(O653&gt;=75,"Yes","No"))</f>
        <v/>
      </c>
      <c r="BV653" s="36" t="str">
        <f aca="false">IF(O653="","",IF(O653&gt;=100,"Yes","No"))</f>
        <v/>
      </c>
      <c r="BW653" s="36" t="str">
        <f aca="false">IF(O653="","",IF(O653&gt;=150,"Yes","No"))</f>
        <v/>
      </c>
      <c r="BX653" s="36" t="str">
        <f aca="false">IF(O653="","",IF(O653&gt;=200,"Yes","No"))</f>
        <v/>
      </c>
      <c r="BY653" s="36" t="str">
        <f aca="false">IF(Q653="","",IF(Q653&gt;=150000,"Yes","No"))</f>
        <v/>
      </c>
      <c r="BZ653" s="36" t="str">
        <f aca="false">IF(Q653="","",IF(Q653&gt;=200000,"Yes","No"))</f>
        <v/>
      </c>
      <c r="CA653" s="36" t="str">
        <f aca="false">IF(Q653="","",IF(Q653&gt;=250000,"Yes","No"))</f>
        <v/>
      </c>
      <c r="CB653" s="36" t="str">
        <f aca="false">IF(Q653="","",IF(Q653&gt;=300000,"Yes","No"))</f>
        <v/>
      </c>
      <c r="CC653" s="37"/>
      <c r="CD653" s="36" t="str">
        <f aca="true">IF(B653="","",IF(TODAY()-B653&lt;=7,"🟢 0-7d",IF(TODAY()-B653&lt;=30,"🟡 8-30d",IF(TODAY()-B653&lt;=60,"🟠 31-60d","🔴 60d+"))))</f>
        <v/>
      </c>
      <c r="CE653" s="36" t="str">
        <f aca="false">IF(G653="","",IF(G653&lt;&gt;"USA","N/A - Not USA Role",IF(J653="Yes",IF(OR(F653="Intern",F653="New Grad"),"🟡 Possible","🟢 Strong"),IF(J653="No","🔴 Difficult","⚪ Unknown"))))</f>
        <v/>
      </c>
      <c r="CF653" s="37"/>
      <c r="CG653" s="37"/>
      <c r="CH653" s="38"/>
      <c r="CI653" s="38"/>
      <c r="CJ653" s="38"/>
      <c r="CK653" s="38"/>
    </row>
    <row r="654" customFormat="false" ht="15" hidden="false" customHeight="true" outlineLevel="0" collapsed="false">
      <c r="A654" s="26" t="str">
        <f aca="false">IF($C654="","",ROW()-3)</f>
        <v/>
      </c>
      <c r="B654" s="27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9"/>
      <c r="N654" s="29"/>
      <c r="O654" s="30" t="str">
        <f aca="false">IFERROR(IF(M654="","",M654*INDEX('00 - Lists'!$M$2:$M$11,MATCH(L654,'00 - Lists'!$L$2:$L$11,0))/100000),"")</f>
        <v/>
      </c>
      <c r="P654" s="30" t="str">
        <f aca="false">IFERROR(IF(N654="","",N654*INDEX('00 - Lists'!$M$2:$M$11,MATCH(L654,'00 - Lists'!$L$2:$L$11,0))/100000),"")</f>
        <v/>
      </c>
      <c r="Q654" s="31" t="str">
        <f aca="false">IFERROR(IF(M654="","",M654*INDEX('00 - Lists'!$N$2:$N$11,MATCH(L654,'00 - Lists'!$L$2:$L$11,0))),"")</f>
        <v/>
      </c>
      <c r="R654" s="31" t="str">
        <f aca="false">IFERROR(IF(N654="","",N654*INDEX('00 - Lists'!$N$2:$N$11,MATCH(L654,'00 - Lists'!$L$2:$L$11,0))),"")</f>
        <v/>
      </c>
      <c r="S654" s="32" t="str">
        <f aca="false">IF(O654="","",IF(O654&gt;=50,"Yes","No"))</f>
        <v/>
      </c>
      <c r="T654" s="32" t="str">
        <f aca="false">IF(Q654="","",IF(Q654&gt;=100000,"Yes","No"))</f>
        <v/>
      </c>
      <c r="U654" s="28"/>
      <c r="V654" s="28"/>
      <c r="W654" s="28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J654" s="34" t="str">
        <f aca="false">IF(OR($BD654&lt;&gt;"",$BF654&lt;&gt;"",$BH654&lt;&gt;""),"Yes","No")</f>
        <v>No</v>
      </c>
      <c r="BK654" s="35" t="str">
        <f aca="false">IFERROR(IF(BD654="","",BD654*INDEX('00 - Lists'!$M$2:$M$11,MATCH(L654,'00 - Lists'!$L$2:$L$11,0))/100000),"")</f>
        <v/>
      </c>
      <c r="BL654" s="35" t="str">
        <f aca="false">IFERROR(IF(BE654="","",BE654*INDEX('00 - Lists'!$M$2:$M$11,MATCH(L654,'00 - Lists'!$L$2:$L$11,0))/100000),"")</f>
        <v/>
      </c>
      <c r="BM654" s="35" t="str">
        <f aca="false">IFERROR(IF(BF654="","",BF654*INDEX('00 - Lists'!$M$2:$M$11,MATCH(L654,'00 - Lists'!$L$2:$L$11,0))/100000),"")</f>
        <v/>
      </c>
      <c r="BN654" s="35" t="str">
        <f aca="false">IFERROR(IF(BG654="","",BG654*INDEX('00 - Lists'!$M$2:$M$11,MATCH(L654,'00 - Lists'!$L$2:$L$11,0))/100000),"")</f>
        <v/>
      </c>
      <c r="BO654" s="35" t="str">
        <f aca="false">IFERROR(IF(BH654="","",BH654*INDEX('00 - Lists'!$M$2:$M$11,MATCH(L654,'00 - Lists'!$L$2:$L$11,0))/100000),"")</f>
        <v/>
      </c>
      <c r="BP654" s="35" t="str">
        <f aca="false">IFERROR(IF(BI654="","",BI654*INDEX('00 - Lists'!$M$2:$M$11,MATCH(L654,'00 - Lists'!$L$2:$L$11,0))/100000),"")</f>
        <v/>
      </c>
      <c r="BS654" s="36" t="str">
        <f aca="false">IF(O654="","",IF(O654&gt;=20,"Yes","No"))</f>
        <v/>
      </c>
      <c r="BT654" s="36" t="str">
        <f aca="false">IF(O654="","",IF(O654&gt;=30,"Yes","No"))</f>
        <v/>
      </c>
      <c r="BU654" s="36" t="str">
        <f aca="false">IF(O654="","",IF(O654&gt;=75,"Yes","No"))</f>
        <v/>
      </c>
      <c r="BV654" s="36" t="str">
        <f aca="false">IF(O654="","",IF(O654&gt;=100,"Yes","No"))</f>
        <v/>
      </c>
      <c r="BW654" s="36" t="str">
        <f aca="false">IF(O654="","",IF(O654&gt;=150,"Yes","No"))</f>
        <v/>
      </c>
      <c r="BX654" s="36" t="str">
        <f aca="false">IF(O654="","",IF(O654&gt;=200,"Yes","No"))</f>
        <v/>
      </c>
      <c r="BY654" s="36" t="str">
        <f aca="false">IF(Q654="","",IF(Q654&gt;=150000,"Yes","No"))</f>
        <v/>
      </c>
      <c r="BZ654" s="36" t="str">
        <f aca="false">IF(Q654="","",IF(Q654&gt;=200000,"Yes","No"))</f>
        <v/>
      </c>
      <c r="CA654" s="36" t="str">
        <f aca="false">IF(Q654="","",IF(Q654&gt;=250000,"Yes","No"))</f>
        <v/>
      </c>
      <c r="CB654" s="36" t="str">
        <f aca="false">IF(Q654="","",IF(Q654&gt;=300000,"Yes","No"))</f>
        <v/>
      </c>
      <c r="CC654" s="37"/>
      <c r="CD654" s="36" t="str">
        <f aca="true">IF(B654="","",IF(TODAY()-B654&lt;=7,"🟢 0-7d",IF(TODAY()-B654&lt;=30,"🟡 8-30d",IF(TODAY()-B654&lt;=60,"🟠 31-60d","🔴 60d+"))))</f>
        <v/>
      </c>
      <c r="CE654" s="36" t="str">
        <f aca="false">IF(G654="","",IF(G654&lt;&gt;"USA","N/A - Not USA Role",IF(J654="Yes",IF(OR(F654="Intern",F654="New Grad"),"🟡 Possible","🟢 Strong"),IF(J654="No","🔴 Difficult","⚪ Unknown"))))</f>
        <v/>
      </c>
      <c r="CF654" s="37"/>
      <c r="CG654" s="37"/>
      <c r="CH654" s="38"/>
      <c r="CI654" s="38"/>
      <c r="CJ654" s="38"/>
      <c r="CK654" s="38"/>
    </row>
    <row r="655" customFormat="false" ht="15" hidden="false" customHeight="true" outlineLevel="0" collapsed="false">
      <c r="A655" s="26" t="str">
        <f aca="false">IF($C655="","",ROW()-3)</f>
        <v/>
      </c>
      <c r="B655" s="27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9"/>
      <c r="N655" s="29"/>
      <c r="O655" s="30" t="str">
        <f aca="false">IFERROR(IF(M655="","",M655*INDEX('00 - Lists'!$M$2:$M$11,MATCH(L655,'00 - Lists'!$L$2:$L$11,0))/100000),"")</f>
        <v/>
      </c>
      <c r="P655" s="30" t="str">
        <f aca="false">IFERROR(IF(N655="","",N655*INDEX('00 - Lists'!$M$2:$M$11,MATCH(L655,'00 - Lists'!$L$2:$L$11,0))/100000),"")</f>
        <v/>
      </c>
      <c r="Q655" s="31" t="str">
        <f aca="false">IFERROR(IF(M655="","",M655*INDEX('00 - Lists'!$N$2:$N$11,MATCH(L655,'00 - Lists'!$L$2:$L$11,0))),"")</f>
        <v/>
      </c>
      <c r="R655" s="31" t="str">
        <f aca="false">IFERROR(IF(N655="","",N655*INDEX('00 - Lists'!$N$2:$N$11,MATCH(L655,'00 - Lists'!$L$2:$L$11,0))),"")</f>
        <v/>
      </c>
      <c r="S655" s="32" t="str">
        <f aca="false">IF(O655="","",IF(O655&gt;=50,"Yes","No"))</f>
        <v/>
      </c>
      <c r="T655" s="32" t="str">
        <f aca="false">IF(Q655="","",IF(Q655&gt;=100000,"Yes","No"))</f>
        <v/>
      </c>
      <c r="U655" s="28"/>
      <c r="V655" s="28"/>
      <c r="W655" s="28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J655" s="34" t="str">
        <f aca="false">IF(OR($BD655&lt;&gt;"",$BF655&lt;&gt;"",$BH655&lt;&gt;""),"Yes","No")</f>
        <v>No</v>
      </c>
      <c r="BK655" s="35" t="str">
        <f aca="false">IFERROR(IF(BD655="","",BD655*INDEX('00 - Lists'!$M$2:$M$11,MATCH(L655,'00 - Lists'!$L$2:$L$11,0))/100000),"")</f>
        <v/>
      </c>
      <c r="BL655" s="35" t="str">
        <f aca="false">IFERROR(IF(BE655="","",BE655*INDEX('00 - Lists'!$M$2:$M$11,MATCH(L655,'00 - Lists'!$L$2:$L$11,0))/100000),"")</f>
        <v/>
      </c>
      <c r="BM655" s="35" t="str">
        <f aca="false">IFERROR(IF(BF655="","",BF655*INDEX('00 - Lists'!$M$2:$M$11,MATCH(L655,'00 - Lists'!$L$2:$L$11,0))/100000),"")</f>
        <v/>
      </c>
      <c r="BN655" s="35" t="str">
        <f aca="false">IFERROR(IF(BG655="","",BG655*INDEX('00 - Lists'!$M$2:$M$11,MATCH(L655,'00 - Lists'!$L$2:$L$11,0))/100000),"")</f>
        <v/>
      </c>
      <c r="BO655" s="35" t="str">
        <f aca="false">IFERROR(IF(BH655="","",BH655*INDEX('00 - Lists'!$M$2:$M$11,MATCH(L655,'00 - Lists'!$L$2:$L$11,0))/100000),"")</f>
        <v/>
      </c>
      <c r="BP655" s="35" t="str">
        <f aca="false">IFERROR(IF(BI655="","",BI655*INDEX('00 - Lists'!$M$2:$M$11,MATCH(L655,'00 - Lists'!$L$2:$L$11,0))/100000),"")</f>
        <v/>
      </c>
      <c r="BS655" s="36" t="str">
        <f aca="false">IF(O655="","",IF(O655&gt;=20,"Yes","No"))</f>
        <v/>
      </c>
      <c r="BT655" s="36" t="str">
        <f aca="false">IF(O655="","",IF(O655&gt;=30,"Yes","No"))</f>
        <v/>
      </c>
      <c r="BU655" s="36" t="str">
        <f aca="false">IF(O655="","",IF(O655&gt;=75,"Yes","No"))</f>
        <v/>
      </c>
      <c r="BV655" s="36" t="str">
        <f aca="false">IF(O655="","",IF(O655&gt;=100,"Yes","No"))</f>
        <v/>
      </c>
      <c r="BW655" s="36" t="str">
        <f aca="false">IF(O655="","",IF(O655&gt;=150,"Yes","No"))</f>
        <v/>
      </c>
      <c r="BX655" s="36" t="str">
        <f aca="false">IF(O655="","",IF(O655&gt;=200,"Yes","No"))</f>
        <v/>
      </c>
      <c r="BY655" s="36" t="str">
        <f aca="false">IF(Q655="","",IF(Q655&gt;=150000,"Yes","No"))</f>
        <v/>
      </c>
      <c r="BZ655" s="36" t="str">
        <f aca="false">IF(Q655="","",IF(Q655&gt;=200000,"Yes","No"))</f>
        <v/>
      </c>
      <c r="CA655" s="36" t="str">
        <f aca="false">IF(Q655="","",IF(Q655&gt;=250000,"Yes","No"))</f>
        <v/>
      </c>
      <c r="CB655" s="36" t="str">
        <f aca="false">IF(Q655="","",IF(Q655&gt;=300000,"Yes","No"))</f>
        <v/>
      </c>
      <c r="CC655" s="37"/>
      <c r="CD655" s="36" t="str">
        <f aca="true">IF(B655="","",IF(TODAY()-B655&lt;=7,"🟢 0-7d",IF(TODAY()-B655&lt;=30,"🟡 8-30d",IF(TODAY()-B655&lt;=60,"🟠 31-60d","🔴 60d+"))))</f>
        <v/>
      </c>
      <c r="CE655" s="36" t="str">
        <f aca="false">IF(G655="","",IF(G655&lt;&gt;"USA","N/A - Not USA Role",IF(J655="Yes",IF(OR(F655="Intern",F655="New Grad"),"🟡 Possible","🟢 Strong"),IF(J655="No","🔴 Difficult","⚪ Unknown"))))</f>
        <v/>
      </c>
      <c r="CF655" s="37"/>
      <c r="CG655" s="37"/>
      <c r="CH655" s="38"/>
      <c r="CI655" s="38"/>
      <c r="CJ655" s="38"/>
      <c r="CK655" s="38"/>
    </row>
    <row r="656" customFormat="false" ht="15" hidden="false" customHeight="true" outlineLevel="0" collapsed="false">
      <c r="A656" s="26" t="str">
        <f aca="false">IF($C656="","",ROW()-3)</f>
        <v/>
      </c>
      <c r="B656" s="27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9"/>
      <c r="N656" s="29"/>
      <c r="O656" s="30" t="str">
        <f aca="false">IFERROR(IF(M656="","",M656*INDEX('00 - Lists'!$M$2:$M$11,MATCH(L656,'00 - Lists'!$L$2:$L$11,0))/100000),"")</f>
        <v/>
      </c>
      <c r="P656" s="30" t="str">
        <f aca="false">IFERROR(IF(N656="","",N656*INDEX('00 - Lists'!$M$2:$M$11,MATCH(L656,'00 - Lists'!$L$2:$L$11,0))/100000),"")</f>
        <v/>
      </c>
      <c r="Q656" s="31" t="str">
        <f aca="false">IFERROR(IF(M656="","",M656*INDEX('00 - Lists'!$N$2:$N$11,MATCH(L656,'00 - Lists'!$L$2:$L$11,0))),"")</f>
        <v/>
      </c>
      <c r="R656" s="31" t="str">
        <f aca="false">IFERROR(IF(N656="","",N656*INDEX('00 - Lists'!$N$2:$N$11,MATCH(L656,'00 - Lists'!$L$2:$L$11,0))),"")</f>
        <v/>
      </c>
      <c r="S656" s="32" t="str">
        <f aca="false">IF(O656="","",IF(O656&gt;=50,"Yes","No"))</f>
        <v/>
      </c>
      <c r="T656" s="32" t="str">
        <f aca="false">IF(Q656="","",IF(Q656&gt;=100000,"Yes","No"))</f>
        <v/>
      </c>
      <c r="U656" s="28"/>
      <c r="V656" s="28"/>
      <c r="W656" s="28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J656" s="34" t="str">
        <f aca="false">IF(OR($BD656&lt;&gt;"",$BF656&lt;&gt;"",$BH656&lt;&gt;""),"Yes","No")</f>
        <v>No</v>
      </c>
      <c r="BK656" s="35" t="str">
        <f aca="false">IFERROR(IF(BD656="","",BD656*INDEX('00 - Lists'!$M$2:$M$11,MATCH(L656,'00 - Lists'!$L$2:$L$11,0))/100000),"")</f>
        <v/>
      </c>
      <c r="BL656" s="35" t="str">
        <f aca="false">IFERROR(IF(BE656="","",BE656*INDEX('00 - Lists'!$M$2:$M$11,MATCH(L656,'00 - Lists'!$L$2:$L$11,0))/100000),"")</f>
        <v/>
      </c>
      <c r="BM656" s="35" t="str">
        <f aca="false">IFERROR(IF(BF656="","",BF656*INDEX('00 - Lists'!$M$2:$M$11,MATCH(L656,'00 - Lists'!$L$2:$L$11,0))/100000),"")</f>
        <v/>
      </c>
      <c r="BN656" s="35" t="str">
        <f aca="false">IFERROR(IF(BG656="","",BG656*INDEX('00 - Lists'!$M$2:$M$11,MATCH(L656,'00 - Lists'!$L$2:$L$11,0))/100000),"")</f>
        <v/>
      </c>
      <c r="BO656" s="35" t="str">
        <f aca="false">IFERROR(IF(BH656="","",BH656*INDEX('00 - Lists'!$M$2:$M$11,MATCH(L656,'00 - Lists'!$L$2:$L$11,0))/100000),"")</f>
        <v/>
      </c>
      <c r="BP656" s="35" t="str">
        <f aca="false">IFERROR(IF(BI656="","",BI656*INDEX('00 - Lists'!$M$2:$M$11,MATCH(L656,'00 - Lists'!$L$2:$L$11,0))/100000),"")</f>
        <v/>
      </c>
      <c r="BS656" s="36" t="str">
        <f aca="false">IF(O656="","",IF(O656&gt;=20,"Yes","No"))</f>
        <v/>
      </c>
      <c r="BT656" s="36" t="str">
        <f aca="false">IF(O656="","",IF(O656&gt;=30,"Yes","No"))</f>
        <v/>
      </c>
      <c r="BU656" s="36" t="str">
        <f aca="false">IF(O656="","",IF(O656&gt;=75,"Yes","No"))</f>
        <v/>
      </c>
      <c r="BV656" s="36" t="str">
        <f aca="false">IF(O656="","",IF(O656&gt;=100,"Yes","No"))</f>
        <v/>
      </c>
      <c r="BW656" s="36" t="str">
        <f aca="false">IF(O656="","",IF(O656&gt;=150,"Yes","No"))</f>
        <v/>
      </c>
      <c r="BX656" s="36" t="str">
        <f aca="false">IF(O656="","",IF(O656&gt;=200,"Yes","No"))</f>
        <v/>
      </c>
      <c r="BY656" s="36" t="str">
        <f aca="false">IF(Q656="","",IF(Q656&gt;=150000,"Yes","No"))</f>
        <v/>
      </c>
      <c r="BZ656" s="36" t="str">
        <f aca="false">IF(Q656="","",IF(Q656&gt;=200000,"Yes","No"))</f>
        <v/>
      </c>
      <c r="CA656" s="36" t="str">
        <f aca="false">IF(Q656="","",IF(Q656&gt;=250000,"Yes","No"))</f>
        <v/>
      </c>
      <c r="CB656" s="36" t="str">
        <f aca="false">IF(Q656="","",IF(Q656&gt;=300000,"Yes","No"))</f>
        <v/>
      </c>
      <c r="CC656" s="37"/>
      <c r="CD656" s="36" t="str">
        <f aca="true">IF(B656="","",IF(TODAY()-B656&lt;=7,"🟢 0-7d",IF(TODAY()-B656&lt;=30,"🟡 8-30d",IF(TODAY()-B656&lt;=60,"🟠 31-60d","🔴 60d+"))))</f>
        <v/>
      </c>
      <c r="CE656" s="36" t="str">
        <f aca="false">IF(G656="","",IF(G656&lt;&gt;"USA","N/A - Not USA Role",IF(J656="Yes",IF(OR(F656="Intern",F656="New Grad"),"🟡 Possible","🟢 Strong"),IF(J656="No","🔴 Difficult","⚪ Unknown"))))</f>
        <v/>
      </c>
      <c r="CF656" s="37"/>
      <c r="CG656" s="37"/>
      <c r="CH656" s="38"/>
      <c r="CI656" s="38"/>
      <c r="CJ656" s="38"/>
      <c r="CK656" s="38"/>
    </row>
    <row r="657" customFormat="false" ht="15" hidden="false" customHeight="true" outlineLevel="0" collapsed="false">
      <c r="A657" s="26" t="str">
        <f aca="false">IF($C657="","",ROW()-3)</f>
        <v/>
      </c>
      <c r="B657" s="27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9"/>
      <c r="N657" s="29"/>
      <c r="O657" s="30" t="str">
        <f aca="false">IFERROR(IF(M657="","",M657*INDEX('00 - Lists'!$M$2:$M$11,MATCH(L657,'00 - Lists'!$L$2:$L$11,0))/100000),"")</f>
        <v/>
      </c>
      <c r="P657" s="30" t="str">
        <f aca="false">IFERROR(IF(N657="","",N657*INDEX('00 - Lists'!$M$2:$M$11,MATCH(L657,'00 - Lists'!$L$2:$L$11,0))/100000),"")</f>
        <v/>
      </c>
      <c r="Q657" s="31" t="str">
        <f aca="false">IFERROR(IF(M657="","",M657*INDEX('00 - Lists'!$N$2:$N$11,MATCH(L657,'00 - Lists'!$L$2:$L$11,0))),"")</f>
        <v/>
      </c>
      <c r="R657" s="31" t="str">
        <f aca="false">IFERROR(IF(N657="","",N657*INDEX('00 - Lists'!$N$2:$N$11,MATCH(L657,'00 - Lists'!$L$2:$L$11,0))),"")</f>
        <v/>
      </c>
      <c r="S657" s="32" t="str">
        <f aca="false">IF(O657="","",IF(O657&gt;=50,"Yes","No"))</f>
        <v/>
      </c>
      <c r="T657" s="32" t="str">
        <f aca="false">IF(Q657="","",IF(Q657&gt;=100000,"Yes","No"))</f>
        <v/>
      </c>
      <c r="U657" s="28"/>
      <c r="V657" s="28"/>
      <c r="W657" s="28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J657" s="34" t="str">
        <f aca="false">IF(OR($BD657&lt;&gt;"",$BF657&lt;&gt;"",$BH657&lt;&gt;""),"Yes","No")</f>
        <v>No</v>
      </c>
      <c r="BK657" s="35" t="str">
        <f aca="false">IFERROR(IF(BD657="","",BD657*INDEX('00 - Lists'!$M$2:$M$11,MATCH(L657,'00 - Lists'!$L$2:$L$11,0))/100000),"")</f>
        <v/>
      </c>
      <c r="BL657" s="35" t="str">
        <f aca="false">IFERROR(IF(BE657="","",BE657*INDEX('00 - Lists'!$M$2:$M$11,MATCH(L657,'00 - Lists'!$L$2:$L$11,0))/100000),"")</f>
        <v/>
      </c>
      <c r="BM657" s="35" t="str">
        <f aca="false">IFERROR(IF(BF657="","",BF657*INDEX('00 - Lists'!$M$2:$M$11,MATCH(L657,'00 - Lists'!$L$2:$L$11,0))/100000),"")</f>
        <v/>
      </c>
      <c r="BN657" s="35" t="str">
        <f aca="false">IFERROR(IF(BG657="","",BG657*INDEX('00 - Lists'!$M$2:$M$11,MATCH(L657,'00 - Lists'!$L$2:$L$11,0))/100000),"")</f>
        <v/>
      </c>
      <c r="BO657" s="35" t="str">
        <f aca="false">IFERROR(IF(BH657="","",BH657*INDEX('00 - Lists'!$M$2:$M$11,MATCH(L657,'00 - Lists'!$L$2:$L$11,0))/100000),"")</f>
        <v/>
      </c>
      <c r="BP657" s="35" t="str">
        <f aca="false">IFERROR(IF(BI657="","",BI657*INDEX('00 - Lists'!$M$2:$M$11,MATCH(L657,'00 - Lists'!$L$2:$L$11,0))/100000),"")</f>
        <v/>
      </c>
      <c r="BS657" s="36" t="str">
        <f aca="false">IF(O657="","",IF(O657&gt;=20,"Yes","No"))</f>
        <v/>
      </c>
      <c r="BT657" s="36" t="str">
        <f aca="false">IF(O657="","",IF(O657&gt;=30,"Yes","No"))</f>
        <v/>
      </c>
      <c r="BU657" s="36" t="str">
        <f aca="false">IF(O657="","",IF(O657&gt;=75,"Yes","No"))</f>
        <v/>
      </c>
      <c r="BV657" s="36" t="str">
        <f aca="false">IF(O657="","",IF(O657&gt;=100,"Yes","No"))</f>
        <v/>
      </c>
      <c r="BW657" s="36" t="str">
        <f aca="false">IF(O657="","",IF(O657&gt;=150,"Yes","No"))</f>
        <v/>
      </c>
      <c r="BX657" s="36" t="str">
        <f aca="false">IF(O657="","",IF(O657&gt;=200,"Yes","No"))</f>
        <v/>
      </c>
      <c r="BY657" s="36" t="str">
        <f aca="false">IF(Q657="","",IF(Q657&gt;=150000,"Yes","No"))</f>
        <v/>
      </c>
      <c r="BZ657" s="36" t="str">
        <f aca="false">IF(Q657="","",IF(Q657&gt;=200000,"Yes","No"))</f>
        <v/>
      </c>
      <c r="CA657" s="36" t="str">
        <f aca="false">IF(Q657="","",IF(Q657&gt;=250000,"Yes","No"))</f>
        <v/>
      </c>
      <c r="CB657" s="36" t="str">
        <f aca="false">IF(Q657="","",IF(Q657&gt;=300000,"Yes","No"))</f>
        <v/>
      </c>
      <c r="CC657" s="37"/>
      <c r="CD657" s="36" t="str">
        <f aca="true">IF(B657="","",IF(TODAY()-B657&lt;=7,"🟢 0-7d",IF(TODAY()-B657&lt;=30,"🟡 8-30d",IF(TODAY()-B657&lt;=60,"🟠 31-60d","🔴 60d+"))))</f>
        <v/>
      </c>
      <c r="CE657" s="36" t="str">
        <f aca="false">IF(G657="","",IF(G657&lt;&gt;"USA","N/A - Not USA Role",IF(J657="Yes",IF(OR(F657="Intern",F657="New Grad"),"🟡 Possible","🟢 Strong"),IF(J657="No","🔴 Difficult","⚪ Unknown"))))</f>
        <v/>
      </c>
      <c r="CF657" s="37"/>
      <c r="CG657" s="37"/>
      <c r="CH657" s="38"/>
      <c r="CI657" s="38"/>
      <c r="CJ657" s="38"/>
      <c r="CK657" s="38"/>
    </row>
    <row r="658" customFormat="false" ht="15" hidden="false" customHeight="true" outlineLevel="0" collapsed="false">
      <c r="A658" s="26" t="str">
        <f aca="false">IF($C658="","",ROW()-3)</f>
        <v/>
      </c>
      <c r="B658" s="27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9"/>
      <c r="N658" s="29"/>
      <c r="O658" s="30" t="str">
        <f aca="false">IFERROR(IF(M658="","",M658*INDEX('00 - Lists'!$M$2:$M$11,MATCH(L658,'00 - Lists'!$L$2:$L$11,0))/100000),"")</f>
        <v/>
      </c>
      <c r="P658" s="30" t="str">
        <f aca="false">IFERROR(IF(N658="","",N658*INDEX('00 - Lists'!$M$2:$M$11,MATCH(L658,'00 - Lists'!$L$2:$L$11,0))/100000),"")</f>
        <v/>
      </c>
      <c r="Q658" s="31" t="str">
        <f aca="false">IFERROR(IF(M658="","",M658*INDEX('00 - Lists'!$N$2:$N$11,MATCH(L658,'00 - Lists'!$L$2:$L$11,0))),"")</f>
        <v/>
      </c>
      <c r="R658" s="31" t="str">
        <f aca="false">IFERROR(IF(N658="","",N658*INDEX('00 - Lists'!$N$2:$N$11,MATCH(L658,'00 - Lists'!$L$2:$L$11,0))),"")</f>
        <v/>
      </c>
      <c r="S658" s="32" t="str">
        <f aca="false">IF(O658="","",IF(O658&gt;=50,"Yes","No"))</f>
        <v/>
      </c>
      <c r="T658" s="32" t="str">
        <f aca="false">IF(Q658="","",IF(Q658&gt;=100000,"Yes","No"))</f>
        <v/>
      </c>
      <c r="U658" s="28"/>
      <c r="V658" s="28"/>
      <c r="W658" s="28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J658" s="34" t="str">
        <f aca="false">IF(OR($BD658&lt;&gt;"",$BF658&lt;&gt;"",$BH658&lt;&gt;""),"Yes","No")</f>
        <v>No</v>
      </c>
      <c r="BK658" s="35" t="str">
        <f aca="false">IFERROR(IF(BD658="","",BD658*INDEX('00 - Lists'!$M$2:$M$11,MATCH(L658,'00 - Lists'!$L$2:$L$11,0))/100000),"")</f>
        <v/>
      </c>
      <c r="BL658" s="35" t="str">
        <f aca="false">IFERROR(IF(BE658="","",BE658*INDEX('00 - Lists'!$M$2:$M$11,MATCH(L658,'00 - Lists'!$L$2:$L$11,0))/100000),"")</f>
        <v/>
      </c>
      <c r="BM658" s="35" t="str">
        <f aca="false">IFERROR(IF(BF658="","",BF658*INDEX('00 - Lists'!$M$2:$M$11,MATCH(L658,'00 - Lists'!$L$2:$L$11,0))/100000),"")</f>
        <v/>
      </c>
      <c r="BN658" s="35" t="str">
        <f aca="false">IFERROR(IF(BG658="","",BG658*INDEX('00 - Lists'!$M$2:$M$11,MATCH(L658,'00 - Lists'!$L$2:$L$11,0))/100000),"")</f>
        <v/>
      </c>
      <c r="BO658" s="35" t="str">
        <f aca="false">IFERROR(IF(BH658="","",BH658*INDEX('00 - Lists'!$M$2:$M$11,MATCH(L658,'00 - Lists'!$L$2:$L$11,0))/100000),"")</f>
        <v/>
      </c>
      <c r="BP658" s="35" t="str">
        <f aca="false">IFERROR(IF(BI658="","",BI658*INDEX('00 - Lists'!$M$2:$M$11,MATCH(L658,'00 - Lists'!$L$2:$L$11,0))/100000),"")</f>
        <v/>
      </c>
      <c r="BS658" s="36" t="str">
        <f aca="false">IF(O658="","",IF(O658&gt;=20,"Yes","No"))</f>
        <v/>
      </c>
      <c r="BT658" s="36" t="str">
        <f aca="false">IF(O658="","",IF(O658&gt;=30,"Yes","No"))</f>
        <v/>
      </c>
      <c r="BU658" s="36" t="str">
        <f aca="false">IF(O658="","",IF(O658&gt;=75,"Yes","No"))</f>
        <v/>
      </c>
      <c r="BV658" s="36" t="str">
        <f aca="false">IF(O658="","",IF(O658&gt;=100,"Yes","No"))</f>
        <v/>
      </c>
      <c r="BW658" s="36" t="str">
        <f aca="false">IF(O658="","",IF(O658&gt;=150,"Yes","No"))</f>
        <v/>
      </c>
      <c r="BX658" s="36" t="str">
        <f aca="false">IF(O658="","",IF(O658&gt;=200,"Yes","No"))</f>
        <v/>
      </c>
      <c r="BY658" s="36" t="str">
        <f aca="false">IF(Q658="","",IF(Q658&gt;=150000,"Yes","No"))</f>
        <v/>
      </c>
      <c r="BZ658" s="36" t="str">
        <f aca="false">IF(Q658="","",IF(Q658&gt;=200000,"Yes","No"))</f>
        <v/>
      </c>
      <c r="CA658" s="36" t="str">
        <f aca="false">IF(Q658="","",IF(Q658&gt;=250000,"Yes","No"))</f>
        <v/>
      </c>
      <c r="CB658" s="36" t="str">
        <f aca="false">IF(Q658="","",IF(Q658&gt;=300000,"Yes","No"))</f>
        <v/>
      </c>
      <c r="CC658" s="37"/>
      <c r="CD658" s="36" t="str">
        <f aca="true">IF(B658="","",IF(TODAY()-B658&lt;=7,"🟢 0-7d",IF(TODAY()-B658&lt;=30,"🟡 8-30d",IF(TODAY()-B658&lt;=60,"🟠 31-60d","🔴 60d+"))))</f>
        <v/>
      </c>
      <c r="CE658" s="36" t="str">
        <f aca="false">IF(G658="","",IF(G658&lt;&gt;"USA","N/A - Not USA Role",IF(J658="Yes",IF(OR(F658="Intern",F658="New Grad"),"🟡 Possible","🟢 Strong"),IF(J658="No","🔴 Difficult","⚪ Unknown"))))</f>
        <v/>
      </c>
      <c r="CF658" s="37"/>
      <c r="CG658" s="37"/>
      <c r="CH658" s="38"/>
      <c r="CI658" s="38"/>
      <c r="CJ658" s="38"/>
      <c r="CK658" s="38"/>
    </row>
    <row r="659" customFormat="false" ht="15" hidden="false" customHeight="true" outlineLevel="0" collapsed="false">
      <c r="A659" s="26" t="str">
        <f aca="false">IF($C659="","",ROW()-3)</f>
        <v/>
      </c>
      <c r="B659" s="27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9"/>
      <c r="N659" s="29"/>
      <c r="O659" s="30" t="str">
        <f aca="false">IFERROR(IF(M659="","",M659*INDEX('00 - Lists'!$M$2:$M$11,MATCH(L659,'00 - Lists'!$L$2:$L$11,0))/100000),"")</f>
        <v/>
      </c>
      <c r="P659" s="30" t="str">
        <f aca="false">IFERROR(IF(N659="","",N659*INDEX('00 - Lists'!$M$2:$M$11,MATCH(L659,'00 - Lists'!$L$2:$L$11,0))/100000),"")</f>
        <v/>
      </c>
      <c r="Q659" s="31" t="str">
        <f aca="false">IFERROR(IF(M659="","",M659*INDEX('00 - Lists'!$N$2:$N$11,MATCH(L659,'00 - Lists'!$L$2:$L$11,0))),"")</f>
        <v/>
      </c>
      <c r="R659" s="31" t="str">
        <f aca="false">IFERROR(IF(N659="","",N659*INDEX('00 - Lists'!$N$2:$N$11,MATCH(L659,'00 - Lists'!$L$2:$L$11,0))),"")</f>
        <v/>
      </c>
      <c r="S659" s="32" t="str">
        <f aca="false">IF(O659="","",IF(O659&gt;=50,"Yes","No"))</f>
        <v/>
      </c>
      <c r="T659" s="32" t="str">
        <f aca="false">IF(Q659="","",IF(Q659&gt;=100000,"Yes","No"))</f>
        <v/>
      </c>
      <c r="U659" s="28"/>
      <c r="V659" s="28"/>
      <c r="W659" s="28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J659" s="34" t="str">
        <f aca="false">IF(OR($BD659&lt;&gt;"",$BF659&lt;&gt;"",$BH659&lt;&gt;""),"Yes","No")</f>
        <v>No</v>
      </c>
      <c r="BK659" s="35" t="str">
        <f aca="false">IFERROR(IF(BD659="","",BD659*INDEX('00 - Lists'!$M$2:$M$11,MATCH(L659,'00 - Lists'!$L$2:$L$11,0))/100000),"")</f>
        <v/>
      </c>
      <c r="BL659" s="35" t="str">
        <f aca="false">IFERROR(IF(BE659="","",BE659*INDEX('00 - Lists'!$M$2:$M$11,MATCH(L659,'00 - Lists'!$L$2:$L$11,0))/100000),"")</f>
        <v/>
      </c>
      <c r="BM659" s="35" t="str">
        <f aca="false">IFERROR(IF(BF659="","",BF659*INDEX('00 - Lists'!$M$2:$M$11,MATCH(L659,'00 - Lists'!$L$2:$L$11,0))/100000),"")</f>
        <v/>
      </c>
      <c r="BN659" s="35" t="str">
        <f aca="false">IFERROR(IF(BG659="","",BG659*INDEX('00 - Lists'!$M$2:$M$11,MATCH(L659,'00 - Lists'!$L$2:$L$11,0))/100000),"")</f>
        <v/>
      </c>
      <c r="BO659" s="35" t="str">
        <f aca="false">IFERROR(IF(BH659="","",BH659*INDEX('00 - Lists'!$M$2:$M$11,MATCH(L659,'00 - Lists'!$L$2:$L$11,0))/100000),"")</f>
        <v/>
      </c>
      <c r="BP659" s="35" t="str">
        <f aca="false">IFERROR(IF(BI659="","",BI659*INDEX('00 - Lists'!$M$2:$M$11,MATCH(L659,'00 - Lists'!$L$2:$L$11,0))/100000),"")</f>
        <v/>
      </c>
      <c r="BS659" s="36" t="str">
        <f aca="false">IF(O659="","",IF(O659&gt;=20,"Yes","No"))</f>
        <v/>
      </c>
      <c r="BT659" s="36" t="str">
        <f aca="false">IF(O659="","",IF(O659&gt;=30,"Yes","No"))</f>
        <v/>
      </c>
      <c r="BU659" s="36" t="str">
        <f aca="false">IF(O659="","",IF(O659&gt;=75,"Yes","No"))</f>
        <v/>
      </c>
      <c r="BV659" s="36" t="str">
        <f aca="false">IF(O659="","",IF(O659&gt;=100,"Yes","No"))</f>
        <v/>
      </c>
      <c r="BW659" s="36" t="str">
        <f aca="false">IF(O659="","",IF(O659&gt;=150,"Yes","No"))</f>
        <v/>
      </c>
      <c r="BX659" s="36" t="str">
        <f aca="false">IF(O659="","",IF(O659&gt;=200,"Yes","No"))</f>
        <v/>
      </c>
      <c r="BY659" s="36" t="str">
        <f aca="false">IF(Q659="","",IF(Q659&gt;=150000,"Yes","No"))</f>
        <v/>
      </c>
      <c r="BZ659" s="36" t="str">
        <f aca="false">IF(Q659="","",IF(Q659&gt;=200000,"Yes","No"))</f>
        <v/>
      </c>
      <c r="CA659" s="36" t="str">
        <f aca="false">IF(Q659="","",IF(Q659&gt;=250000,"Yes","No"))</f>
        <v/>
      </c>
      <c r="CB659" s="36" t="str">
        <f aca="false">IF(Q659="","",IF(Q659&gt;=300000,"Yes","No"))</f>
        <v/>
      </c>
      <c r="CC659" s="37"/>
      <c r="CD659" s="36" t="str">
        <f aca="true">IF(B659="","",IF(TODAY()-B659&lt;=7,"🟢 0-7d",IF(TODAY()-B659&lt;=30,"🟡 8-30d",IF(TODAY()-B659&lt;=60,"🟠 31-60d","🔴 60d+"))))</f>
        <v/>
      </c>
      <c r="CE659" s="36" t="str">
        <f aca="false">IF(G659="","",IF(G659&lt;&gt;"USA","N/A - Not USA Role",IF(J659="Yes",IF(OR(F659="Intern",F659="New Grad"),"🟡 Possible","🟢 Strong"),IF(J659="No","🔴 Difficult","⚪ Unknown"))))</f>
        <v/>
      </c>
      <c r="CF659" s="37"/>
      <c r="CG659" s="37"/>
      <c r="CH659" s="38"/>
      <c r="CI659" s="38"/>
      <c r="CJ659" s="38"/>
      <c r="CK659" s="38"/>
    </row>
    <row r="660" customFormat="false" ht="15" hidden="false" customHeight="true" outlineLevel="0" collapsed="false">
      <c r="A660" s="26" t="str">
        <f aca="false">IF($C660="","",ROW()-3)</f>
        <v/>
      </c>
      <c r="B660" s="27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9"/>
      <c r="N660" s="29"/>
      <c r="O660" s="30" t="str">
        <f aca="false">IFERROR(IF(M660="","",M660*INDEX('00 - Lists'!$M$2:$M$11,MATCH(L660,'00 - Lists'!$L$2:$L$11,0))/100000),"")</f>
        <v/>
      </c>
      <c r="P660" s="30" t="str">
        <f aca="false">IFERROR(IF(N660="","",N660*INDEX('00 - Lists'!$M$2:$M$11,MATCH(L660,'00 - Lists'!$L$2:$L$11,0))/100000),"")</f>
        <v/>
      </c>
      <c r="Q660" s="31" t="str">
        <f aca="false">IFERROR(IF(M660="","",M660*INDEX('00 - Lists'!$N$2:$N$11,MATCH(L660,'00 - Lists'!$L$2:$L$11,0))),"")</f>
        <v/>
      </c>
      <c r="R660" s="31" t="str">
        <f aca="false">IFERROR(IF(N660="","",N660*INDEX('00 - Lists'!$N$2:$N$11,MATCH(L660,'00 - Lists'!$L$2:$L$11,0))),"")</f>
        <v/>
      </c>
      <c r="S660" s="32" t="str">
        <f aca="false">IF(O660="","",IF(O660&gt;=50,"Yes","No"))</f>
        <v/>
      </c>
      <c r="T660" s="32" t="str">
        <f aca="false">IF(Q660="","",IF(Q660&gt;=100000,"Yes","No"))</f>
        <v/>
      </c>
      <c r="U660" s="28"/>
      <c r="V660" s="28"/>
      <c r="W660" s="28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J660" s="34" t="str">
        <f aca="false">IF(OR($BD660&lt;&gt;"",$BF660&lt;&gt;"",$BH660&lt;&gt;""),"Yes","No")</f>
        <v>No</v>
      </c>
      <c r="BK660" s="35" t="str">
        <f aca="false">IFERROR(IF(BD660="","",BD660*INDEX('00 - Lists'!$M$2:$M$11,MATCH(L660,'00 - Lists'!$L$2:$L$11,0))/100000),"")</f>
        <v/>
      </c>
      <c r="BL660" s="35" t="str">
        <f aca="false">IFERROR(IF(BE660="","",BE660*INDEX('00 - Lists'!$M$2:$M$11,MATCH(L660,'00 - Lists'!$L$2:$L$11,0))/100000),"")</f>
        <v/>
      </c>
      <c r="BM660" s="35" t="str">
        <f aca="false">IFERROR(IF(BF660="","",BF660*INDEX('00 - Lists'!$M$2:$M$11,MATCH(L660,'00 - Lists'!$L$2:$L$11,0))/100000),"")</f>
        <v/>
      </c>
      <c r="BN660" s="35" t="str">
        <f aca="false">IFERROR(IF(BG660="","",BG660*INDEX('00 - Lists'!$M$2:$M$11,MATCH(L660,'00 - Lists'!$L$2:$L$11,0))/100000),"")</f>
        <v/>
      </c>
      <c r="BO660" s="35" t="str">
        <f aca="false">IFERROR(IF(BH660="","",BH660*INDEX('00 - Lists'!$M$2:$M$11,MATCH(L660,'00 - Lists'!$L$2:$L$11,0))/100000),"")</f>
        <v/>
      </c>
      <c r="BP660" s="35" t="str">
        <f aca="false">IFERROR(IF(BI660="","",BI660*INDEX('00 - Lists'!$M$2:$M$11,MATCH(L660,'00 - Lists'!$L$2:$L$11,0))/100000),"")</f>
        <v/>
      </c>
      <c r="BS660" s="36" t="str">
        <f aca="false">IF(O660="","",IF(O660&gt;=20,"Yes","No"))</f>
        <v/>
      </c>
      <c r="BT660" s="36" t="str">
        <f aca="false">IF(O660="","",IF(O660&gt;=30,"Yes","No"))</f>
        <v/>
      </c>
      <c r="BU660" s="36" t="str">
        <f aca="false">IF(O660="","",IF(O660&gt;=75,"Yes","No"))</f>
        <v/>
      </c>
      <c r="BV660" s="36" t="str">
        <f aca="false">IF(O660="","",IF(O660&gt;=100,"Yes","No"))</f>
        <v/>
      </c>
      <c r="BW660" s="36" t="str">
        <f aca="false">IF(O660="","",IF(O660&gt;=150,"Yes","No"))</f>
        <v/>
      </c>
      <c r="BX660" s="36" t="str">
        <f aca="false">IF(O660="","",IF(O660&gt;=200,"Yes","No"))</f>
        <v/>
      </c>
      <c r="BY660" s="36" t="str">
        <f aca="false">IF(Q660="","",IF(Q660&gt;=150000,"Yes","No"))</f>
        <v/>
      </c>
      <c r="BZ660" s="36" t="str">
        <f aca="false">IF(Q660="","",IF(Q660&gt;=200000,"Yes","No"))</f>
        <v/>
      </c>
      <c r="CA660" s="36" t="str">
        <f aca="false">IF(Q660="","",IF(Q660&gt;=250000,"Yes","No"))</f>
        <v/>
      </c>
      <c r="CB660" s="36" t="str">
        <f aca="false">IF(Q660="","",IF(Q660&gt;=300000,"Yes","No"))</f>
        <v/>
      </c>
      <c r="CC660" s="37"/>
      <c r="CD660" s="36" t="str">
        <f aca="true">IF(B660="","",IF(TODAY()-B660&lt;=7,"🟢 0-7d",IF(TODAY()-B660&lt;=30,"🟡 8-30d",IF(TODAY()-B660&lt;=60,"🟠 31-60d","🔴 60d+"))))</f>
        <v/>
      </c>
      <c r="CE660" s="36" t="str">
        <f aca="false">IF(G660="","",IF(G660&lt;&gt;"USA","N/A - Not USA Role",IF(J660="Yes",IF(OR(F660="Intern",F660="New Grad"),"🟡 Possible","🟢 Strong"),IF(J660="No","🔴 Difficult","⚪ Unknown"))))</f>
        <v/>
      </c>
      <c r="CF660" s="37"/>
      <c r="CG660" s="37"/>
      <c r="CH660" s="38"/>
      <c r="CI660" s="38"/>
      <c r="CJ660" s="38"/>
      <c r="CK660" s="38"/>
    </row>
    <row r="661" customFormat="false" ht="15" hidden="false" customHeight="true" outlineLevel="0" collapsed="false">
      <c r="A661" s="26" t="str">
        <f aca="false">IF($C661="","",ROW()-3)</f>
        <v/>
      </c>
      <c r="B661" s="27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9"/>
      <c r="N661" s="29"/>
      <c r="O661" s="30" t="str">
        <f aca="false">IFERROR(IF(M661="","",M661*INDEX('00 - Lists'!$M$2:$M$11,MATCH(L661,'00 - Lists'!$L$2:$L$11,0))/100000),"")</f>
        <v/>
      </c>
      <c r="P661" s="30" t="str">
        <f aca="false">IFERROR(IF(N661="","",N661*INDEX('00 - Lists'!$M$2:$M$11,MATCH(L661,'00 - Lists'!$L$2:$L$11,0))/100000),"")</f>
        <v/>
      </c>
      <c r="Q661" s="31" t="str">
        <f aca="false">IFERROR(IF(M661="","",M661*INDEX('00 - Lists'!$N$2:$N$11,MATCH(L661,'00 - Lists'!$L$2:$L$11,0))),"")</f>
        <v/>
      </c>
      <c r="R661" s="31" t="str">
        <f aca="false">IFERROR(IF(N661="","",N661*INDEX('00 - Lists'!$N$2:$N$11,MATCH(L661,'00 - Lists'!$L$2:$L$11,0))),"")</f>
        <v/>
      </c>
      <c r="S661" s="32" t="str">
        <f aca="false">IF(O661="","",IF(O661&gt;=50,"Yes","No"))</f>
        <v/>
      </c>
      <c r="T661" s="32" t="str">
        <f aca="false">IF(Q661="","",IF(Q661&gt;=100000,"Yes","No"))</f>
        <v/>
      </c>
      <c r="U661" s="28"/>
      <c r="V661" s="28"/>
      <c r="W661" s="28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J661" s="34" t="str">
        <f aca="false">IF(OR($BD661&lt;&gt;"",$BF661&lt;&gt;"",$BH661&lt;&gt;""),"Yes","No")</f>
        <v>No</v>
      </c>
      <c r="BK661" s="35" t="str">
        <f aca="false">IFERROR(IF(BD661="","",BD661*INDEX('00 - Lists'!$M$2:$M$11,MATCH(L661,'00 - Lists'!$L$2:$L$11,0))/100000),"")</f>
        <v/>
      </c>
      <c r="BL661" s="35" t="str">
        <f aca="false">IFERROR(IF(BE661="","",BE661*INDEX('00 - Lists'!$M$2:$M$11,MATCH(L661,'00 - Lists'!$L$2:$L$11,0))/100000),"")</f>
        <v/>
      </c>
      <c r="BM661" s="35" t="str">
        <f aca="false">IFERROR(IF(BF661="","",BF661*INDEX('00 - Lists'!$M$2:$M$11,MATCH(L661,'00 - Lists'!$L$2:$L$11,0))/100000),"")</f>
        <v/>
      </c>
      <c r="BN661" s="35" t="str">
        <f aca="false">IFERROR(IF(BG661="","",BG661*INDEX('00 - Lists'!$M$2:$M$11,MATCH(L661,'00 - Lists'!$L$2:$L$11,0))/100000),"")</f>
        <v/>
      </c>
      <c r="BO661" s="35" t="str">
        <f aca="false">IFERROR(IF(BH661="","",BH661*INDEX('00 - Lists'!$M$2:$M$11,MATCH(L661,'00 - Lists'!$L$2:$L$11,0))/100000),"")</f>
        <v/>
      </c>
      <c r="BP661" s="35" t="str">
        <f aca="false">IFERROR(IF(BI661="","",BI661*INDEX('00 - Lists'!$M$2:$M$11,MATCH(L661,'00 - Lists'!$L$2:$L$11,0))/100000),"")</f>
        <v/>
      </c>
      <c r="BS661" s="36" t="str">
        <f aca="false">IF(O661="","",IF(O661&gt;=20,"Yes","No"))</f>
        <v/>
      </c>
      <c r="BT661" s="36" t="str">
        <f aca="false">IF(O661="","",IF(O661&gt;=30,"Yes","No"))</f>
        <v/>
      </c>
      <c r="BU661" s="36" t="str">
        <f aca="false">IF(O661="","",IF(O661&gt;=75,"Yes","No"))</f>
        <v/>
      </c>
      <c r="BV661" s="36" t="str">
        <f aca="false">IF(O661="","",IF(O661&gt;=100,"Yes","No"))</f>
        <v/>
      </c>
      <c r="BW661" s="36" t="str">
        <f aca="false">IF(O661="","",IF(O661&gt;=150,"Yes","No"))</f>
        <v/>
      </c>
      <c r="BX661" s="36" t="str">
        <f aca="false">IF(O661="","",IF(O661&gt;=200,"Yes","No"))</f>
        <v/>
      </c>
      <c r="BY661" s="36" t="str">
        <f aca="false">IF(Q661="","",IF(Q661&gt;=150000,"Yes","No"))</f>
        <v/>
      </c>
      <c r="BZ661" s="36" t="str">
        <f aca="false">IF(Q661="","",IF(Q661&gt;=200000,"Yes","No"))</f>
        <v/>
      </c>
      <c r="CA661" s="36" t="str">
        <f aca="false">IF(Q661="","",IF(Q661&gt;=250000,"Yes","No"))</f>
        <v/>
      </c>
      <c r="CB661" s="36" t="str">
        <f aca="false">IF(Q661="","",IF(Q661&gt;=300000,"Yes","No"))</f>
        <v/>
      </c>
      <c r="CC661" s="37"/>
      <c r="CD661" s="36" t="str">
        <f aca="true">IF(B661="","",IF(TODAY()-B661&lt;=7,"🟢 0-7d",IF(TODAY()-B661&lt;=30,"🟡 8-30d",IF(TODAY()-B661&lt;=60,"🟠 31-60d","🔴 60d+"))))</f>
        <v/>
      </c>
      <c r="CE661" s="36" t="str">
        <f aca="false">IF(G661="","",IF(G661&lt;&gt;"USA","N/A - Not USA Role",IF(J661="Yes",IF(OR(F661="Intern",F661="New Grad"),"🟡 Possible","🟢 Strong"),IF(J661="No","🔴 Difficult","⚪ Unknown"))))</f>
        <v/>
      </c>
      <c r="CF661" s="37"/>
      <c r="CG661" s="37"/>
      <c r="CH661" s="38"/>
      <c r="CI661" s="38"/>
      <c r="CJ661" s="38"/>
      <c r="CK661" s="38"/>
    </row>
    <row r="662" customFormat="false" ht="15" hidden="false" customHeight="true" outlineLevel="0" collapsed="false">
      <c r="A662" s="26" t="str">
        <f aca="false">IF($C662="","",ROW()-3)</f>
        <v/>
      </c>
      <c r="B662" s="27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9"/>
      <c r="N662" s="29"/>
      <c r="O662" s="30" t="str">
        <f aca="false">IFERROR(IF(M662="","",M662*INDEX('00 - Lists'!$M$2:$M$11,MATCH(L662,'00 - Lists'!$L$2:$L$11,0))/100000),"")</f>
        <v/>
      </c>
      <c r="P662" s="30" t="str">
        <f aca="false">IFERROR(IF(N662="","",N662*INDEX('00 - Lists'!$M$2:$M$11,MATCH(L662,'00 - Lists'!$L$2:$L$11,0))/100000),"")</f>
        <v/>
      </c>
      <c r="Q662" s="31" t="str">
        <f aca="false">IFERROR(IF(M662="","",M662*INDEX('00 - Lists'!$N$2:$N$11,MATCH(L662,'00 - Lists'!$L$2:$L$11,0))),"")</f>
        <v/>
      </c>
      <c r="R662" s="31" t="str">
        <f aca="false">IFERROR(IF(N662="","",N662*INDEX('00 - Lists'!$N$2:$N$11,MATCH(L662,'00 - Lists'!$L$2:$L$11,0))),"")</f>
        <v/>
      </c>
      <c r="S662" s="32" t="str">
        <f aca="false">IF(O662="","",IF(O662&gt;=50,"Yes","No"))</f>
        <v/>
      </c>
      <c r="T662" s="32" t="str">
        <f aca="false">IF(Q662="","",IF(Q662&gt;=100000,"Yes","No"))</f>
        <v/>
      </c>
      <c r="U662" s="28"/>
      <c r="V662" s="28"/>
      <c r="W662" s="28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J662" s="34" t="str">
        <f aca="false">IF(OR($BD662&lt;&gt;"",$BF662&lt;&gt;"",$BH662&lt;&gt;""),"Yes","No")</f>
        <v>No</v>
      </c>
      <c r="BK662" s="35" t="str">
        <f aca="false">IFERROR(IF(BD662="","",BD662*INDEX('00 - Lists'!$M$2:$M$11,MATCH(L662,'00 - Lists'!$L$2:$L$11,0))/100000),"")</f>
        <v/>
      </c>
      <c r="BL662" s="35" t="str">
        <f aca="false">IFERROR(IF(BE662="","",BE662*INDEX('00 - Lists'!$M$2:$M$11,MATCH(L662,'00 - Lists'!$L$2:$L$11,0))/100000),"")</f>
        <v/>
      </c>
      <c r="BM662" s="35" t="str">
        <f aca="false">IFERROR(IF(BF662="","",BF662*INDEX('00 - Lists'!$M$2:$M$11,MATCH(L662,'00 - Lists'!$L$2:$L$11,0))/100000),"")</f>
        <v/>
      </c>
      <c r="BN662" s="35" t="str">
        <f aca="false">IFERROR(IF(BG662="","",BG662*INDEX('00 - Lists'!$M$2:$M$11,MATCH(L662,'00 - Lists'!$L$2:$L$11,0))/100000),"")</f>
        <v/>
      </c>
      <c r="BO662" s="35" t="str">
        <f aca="false">IFERROR(IF(BH662="","",BH662*INDEX('00 - Lists'!$M$2:$M$11,MATCH(L662,'00 - Lists'!$L$2:$L$11,0))/100000),"")</f>
        <v/>
      </c>
      <c r="BP662" s="35" t="str">
        <f aca="false">IFERROR(IF(BI662="","",BI662*INDEX('00 - Lists'!$M$2:$M$11,MATCH(L662,'00 - Lists'!$L$2:$L$11,0))/100000),"")</f>
        <v/>
      </c>
      <c r="BS662" s="36" t="str">
        <f aca="false">IF(O662="","",IF(O662&gt;=20,"Yes","No"))</f>
        <v/>
      </c>
      <c r="BT662" s="36" t="str">
        <f aca="false">IF(O662="","",IF(O662&gt;=30,"Yes","No"))</f>
        <v/>
      </c>
      <c r="BU662" s="36" t="str">
        <f aca="false">IF(O662="","",IF(O662&gt;=75,"Yes","No"))</f>
        <v/>
      </c>
      <c r="BV662" s="36" t="str">
        <f aca="false">IF(O662="","",IF(O662&gt;=100,"Yes","No"))</f>
        <v/>
      </c>
      <c r="BW662" s="36" t="str">
        <f aca="false">IF(O662="","",IF(O662&gt;=150,"Yes","No"))</f>
        <v/>
      </c>
      <c r="BX662" s="36" t="str">
        <f aca="false">IF(O662="","",IF(O662&gt;=200,"Yes","No"))</f>
        <v/>
      </c>
      <c r="BY662" s="36" t="str">
        <f aca="false">IF(Q662="","",IF(Q662&gt;=150000,"Yes","No"))</f>
        <v/>
      </c>
      <c r="BZ662" s="36" t="str">
        <f aca="false">IF(Q662="","",IF(Q662&gt;=200000,"Yes","No"))</f>
        <v/>
      </c>
      <c r="CA662" s="36" t="str">
        <f aca="false">IF(Q662="","",IF(Q662&gt;=250000,"Yes","No"))</f>
        <v/>
      </c>
      <c r="CB662" s="36" t="str">
        <f aca="false">IF(Q662="","",IF(Q662&gt;=300000,"Yes","No"))</f>
        <v/>
      </c>
      <c r="CC662" s="37"/>
      <c r="CD662" s="36" t="str">
        <f aca="true">IF(B662="","",IF(TODAY()-B662&lt;=7,"🟢 0-7d",IF(TODAY()-B662&lt;=30,"🟡 8-30d",IF(TODAY()-B662&lt;=60,"🟠 31-60d","🔴 60d+"))))</f>
        <v/>
      </c>
      <c r="CE662" s="36" t="str">
        <f aca="false">IF(G662="","",IF(G662&lt;&gt;"USA","N/A - Not USA Role",IF(J662="Yes",IF(OR(F662="Intern",F662="New Grad"),"🟡 Possible","🟢 Strong"),IF(J662="No","🔴 Difficult","⚪ Unknown"))))</f>
        <v/>
      </c>
      <c r="CF662" s="37"/>
      <c r="CG662" s="37"/>
      <c r="CH662" s="38"/>
      <c r="CI662" s="38"/>
      <c r="CJ662" s="38"/>
      <c r="CK662" s="38"/>
    </row>
    <row r="663" customFormat="false" ht="15" hidden="false" customHeight="true" outlineLevel="0" collapsed="false">
      <c r="A663" s="26" t="str">
        <f aca="false">IF($C663="","",ROW()-3)</f>
        <v/>
      </c>
      <c r="B663" s="27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9"/>
      <c r="N663" s="29"/>
      <c r="O663" s="30" t="str">
        <f aca="false">IFERROR(IF(M663="","",M663*INDEX('00 - Lists'!$M$2:$M$11,MATCH(L663,'00 - Lists'!$L$2:$L$11,0))/100000),"")</f>
        <v/>
      </c>
      <c r="P663" s="30" t="str">
        <f aca="false">IFERROR(IF(N663="","",N663*INDEX('00 - Lists'!$M$2:$M$11,MATCH(L663,'00 - Lists'!$L$2:$L$11,0))/100000),"")</f>
        <v/>
      </c>
      <c r="Q663" s="31" t="str">
        <f aca="false">IFERROR(IF(M663="","",M663*INDEX('00 - Lists'!$N$2:$N$11,MATCH(L663,'00 - Lists'!$L$2:$L$11,0))),"")</f>
        <v/>
      </c>
      <c r="R663" s="31" t="str">
        <f aca="false">IFERROR(IF(N663="","",N663*INDEX('00 - Lists'!$N$2:$N$11,MATCH(L663,'00 - Lists'!$L$2:$L$11,0))),"")</f>
        <v/>
      </c>
      <c r="S663" s="32" t="str">
        <f aca="false">IF(O663="","",IF(O663&gt;=50,"Yes","No"))</f>
        <v/>
      </c>
      <c r="T663" s="32" t="str">
        <f aca="false">IF(Q663="","",IF(Q663&gt;=100000,"Yes","No"))</f>
        <v/>
      </c>
      <c r="U663" s="28"/>
      <c r="V663" s="28"/>
      <c r="W663" s="28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J663" s="34" t="str">
        <f aca="false">IF(OR($BD663&lt;&gt;"",$BF663&lt;&gt;"",$BH663&lt;&gt;""),"Yes","No")</f>
        <v>No</v>
      </c>
      <c r="BK663" s="35" t="str">
        <f aca="false">IFERROR(IF(BD663="","",BD663*INDEX('00 - Lists'!$M$2:$M$11,MATCH(L663,'00 - Lists'!$L$2:$L$11,0))/100000),"")</f>
        <v/>
      </c>
      <c r="BL663" s="35" t="str">
        <f aca="false">IFERROR(IF(BE663="","",BE663*INDEX('00 - Lists'!$M$2:$M$11,MATCH(L663,'00 - Lists'!$L$2:$L$11,0))/100000),"")</f>
        <v/>
      </c>
      <c r="BM663" s="35" t="str">
        <f aca="false">IFERROR(IF(BF663="","",BF663*INDEX('00 - Lists'!$M$2:$M$11,MATCH(L663,'00 - Lists'!$L$2:$L$11,0))/100000),"")</f>
        <v/>
      </c>
      <c r="BN663" s="35" t="str">
        <f aca="false">IFERROR(IF(BG663="","",BG663*INDEX('00 - Lists'!$M$2:$M$11,MATCH(L663,'00 - Lists'!$L$2:$L$11,0))/100000),"")</f>
        <v/>
      </c>
      <c r="BO663" s="35" t="str">
        <f aca="false">IFERROR(IF(BH663="","",BH663*INDEX('00 - Lists'!$M$2:$M$11,MATCH(L663,'00 - Lists'!$L$2:$L$11,0))/100000),"")</f>
        <v/>
      </c>
      <c r="BP663" s="35" t="str">
        <f aca="false">IFERROR(IF(BI663="","",BI663*INDEX('00 - Lists'!$M$2:$M$11,MATCH(L663,'00 - Lists'!$L$2:$L$11,0))/100000),"")</f>
        <v/>
      </c>
      <c r="BS663" s="36" t="str">
        <f aca="false">IF(O663="","",IF(O663&gt;=20,"Yes","No"))</f>
        <v/>
      </c>
      <c r="BT663" s="36" t="str">
        <f aca="false">IF(O663="","",IF(O663&gt;=30,"Yes","No"))</f>
        <v/>
      </c>
      <c r="BU663" s="36" t="str">
        <f aca="false">IF(O663="","",IF(O663&gt;=75,"Yes","No"))</f>
        <v/>
      </c>
      <c r="BV663" s="36" t="str">
        <f aca="false">IF(O663="","",IF(O663&gt;=100,"Yes","No"))</f>
        <v/>
      </c>
      <c r="BW663" s="36" t="str">
        <f aca="false">IF(O663="","",IF(O663&gt;=150,"Yes","No"))</f>
        <v/>
      </c>
      <c r="BX663" s="36" t="str">
        <f aca="false">IF(O663="","",IF(O663&gt;=200,"Yes","No"))</f>
        <v/>
      </c>
      <c r="BY663" s="36" t="str">
        <f aca="false">IF(Q663="","",IF(Q663&gt;=150000,"Yes","No"))</f>
        <v/>
      </c>
      <c r="BZ663" s="36" t="str">
        <f aca="false">IF(Q663="","",IF(Q663&gt;=200000,"Yes","No"))</f>
        <v/>
      </c>
      <c r="CA663" s="36" t="str">
        <f aca="false">IF(Q663="","",IF(Q663&gt;=250000,"Yes","No"))</f>
        <v/>
      </c>
      <c r="CB663" s="36" t="str">
        <f aca="false">IF(Q663="","",IF(Q663&gt;=300000,"Yes","No"))</f>
        <v/>
      </c>
      <c r="CC663" s="37"/>
      <c r="CD663" s="36" t="str">
        <f aca="true">IF(B663="","",IF(TODAY()-B663&lt;=7,"🟢 0-7d",IF(TODAY()-B663&lt;=30,"🟡 8-30d",IF(TODAY()-B663&lt;=60,"🟠 31-60d","🔴 60d+"))))</f>
        <v/>
      </c>
      <c r="CE663" s="36" t="str">
        <f aca="false">IF(G663="","",IF(G663&lt;&gt;"USA","N/A - Not USA Role",IF(J663="Yes",IF(OR(F663="Intern",F663="New Grad"),"🟡 Possible","🟢 Strong"),IF(J663="No","🔴 Difficult","⚪ Unknown"))))</f>
        <v/>
      </c>
      <c r="CF663" s="37"/>
      <c r="CG663" s="37"/>
      <c r="CH663" s="38"/>
      <c r="CI663" s="38"/>
      <c r="CJ663" s="38"/>
      <c r="CK663" s="38"/>
    </row>
    <row r="664" customFormat="false" ht="15" hidden="false" customHeight="true" outlineLevel="0" collapsed="false">
      <c r="A664" s="26" t="str">
        <f aca="false">IF($C664="","",ROW()-3)</f>
        <v/>
      </c>
      <c r="B664" s="27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9"/>
      <c r="N664" s="29"/>
      <c r="O664" s="30" t="str">
        <f aca="false">IFERROR(IF(M664="","",M664*INDEX('00 - Lists'!$M$2:$M$11,MATCH(L664,'00 - Lists'!$L$2:$L$11,0))/100000),"")</f>
        <v/>
      </c>
      <c r="P664" s="30" t="str">
        <f aca="false">IFERROR(IF(N664="","",N664*INDEX('00 - Lists'!$M$2:$M$11,MATCH(L664,'00 - Lists'!$L$2:$L$11,0))/100000),"")</f>
        <v/>
      </c>
      <c r="Q664" s="31" t="str">
        <f aca="false">IFERROR(IF(M664="","",M664*INDEX('00 - Lists'!$N$2:$N$11,MATCH(L664,'00 - Lists'!$L$2:$L$11,0))),"")</f>
        <v/>
      </c>
      <c r="R664" s="31" t="str">
        <f aca="false">IFERROR(IF(N664="","",N664*INDEX('00 - Lists'!$N$2:$N$11,MATCH(L664,'00 - Lists'!$L$2:$L$11,0))),"")</f>
        <v/>
      </c>
      <c r="S664" s="32" t="str">
        <f aca="false">IF(O664="","",IF(O664&gt;=50,"Yes","No"))</f>
        <v/>
      </c>
      <c r="T664" s="32" t="str">
        <f aca="false">IF(Q664="","",IF(Q664&gt;=100000,"Yes","No"))</f>
        <v/>
      </c>
      <c r="U664" s="28"/>
      <c r="V664" s="28"/>
      <c r="W664" s="28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J664" s="34" t="str">
        <f aca="false">IF(OR($BD664&lt;&gt;"",$BF664&lt;&gt;"",$BH664&lt;&gt;""),"Yes","No")</f>
        <v>No</v>
      </c>
      <c r="BK664" s="35" t="str">
        <f aca="false">IFERROR(IF(BD664="","",BD664*INDEX('00 - Lists'!$M$2:$M$11,MATCH(L664,'00 - Lists'!$L$2:$L$11,0))/100000),"")</f>
        <v/>
      </c>
      <c r="BL664" s="35" t="str">
        <f aca="false">IFERROR(IF(BE664="","",BE664*INDEX('00 - Lists'!$M$2:$M$11,MATCH(L664,'00 - Lists'!$L$2:$L$11,0))/100000),"")</f>
        <v/>
      </c>
      <c r="BM664" s="35" t="str">
        <f aca="false">IFERROR(IF(BF664="","",BF664*INDEX('00 - Lists'!$M$2:$M$11,MATCH(L664,'00 - Lists'!$L$2:$L$11,0))/100000),"")</f>
        <v/>
      </c>
      <c r="BN664" s="35" t="str">
        <f aca="false">IFERROR(IF(BG664="","",BG664*INDEX('00 - Lists'!$M$2:$M$11,MATCH(L664,'00 - Lists'!$L$2:$L$11,0))/100000),"")</f>
        <v/>
      </c>
      <c r="BO664" s="35" t="str">
        <f aca="false">IFERROR(IF(BH664="","",BH664*INDEX('00 - Lists'!$M$2:$M$11,MATCH(L664,'00 - Lists'!$L$2:$L$11,0))/100000),"")</f>
        <v/>
      </c>
      <c r="BP664" s="35" t="str">
        <f aca="false">IFERROR(IF(BI664="","",BI664*INDEX('00 - Lists'!$M$2:$M$11,MATCH(L664,'00 - Lists'!$L$2:$L$11,0))/100000),"")</f>
        <v/>
      </c>
      <c r="BS664" s="36" t="str">
        <f aca="false">IF(O664="","",IF(O664&gt;=20,"Yes","No"))</f>
        <v/>
      </c>
      <c r="BT664" s="36" t="str">
        <f aca="false">IF(O664="","",IF(O664&gt;=30,"Yes","No"))</f>
        <v/>
      </c>
      <c r="BU664" s="36" t="str">
        <f aca="false">IF(O664="","",IF(O664&gt;=75,"Yes","No"))</f>
        <v/>
      </c>
      <c r="BV664" s="36" t="str">
        <f aca="false">IF(O664="","",IF(O664&gt;=100,"Yes","No"))</f>
        <v/>
      </c>
      <c r="BW664" s="36" t="str">
        <f aca="false">IF(O664="","",IF(O664&gt;=150,"Yes","No"))</f>
        <v/>
      </c>
      <c r="BX664" s="36" t="str">
        <f aca="false">IF(O664="","",IF(O664&gt;=200,"Yes","No"))</f>
        <v/>
      </c>
      <c r="BY664" s="36" t="str">
        <f aca="false">IF(Q664="","",IF(Q664&gt;=150000,"Yes","No"))</f>
        <v/>
      </c>
      <c r="BZ664" s="36" t="str">
        <f aca="false">IF(Q664="","",IF(Q664&gt;=200000,"Yes","No"))</f>
        <v/>
      </c>
      <c r="CA664" s="36" t="str">
        <f aca="false">IF(Q664="","",IF(Q664&gt;=250000,"Yes","No"))</f>
        <v/>
      </c>
      <c r="CB664" s="36" t="str">
        <f aca="false">IF(Q664="","",IF(Q664&gt;=300000,"Yes","No"))</f>
        <v/>
      </c>
      <c r="CC664" s="37"/>
      <c r="CD664" s="36" t="str">
        <f aca="true">IF(B664="","",IF(TODAY()-B664&lt;=7,"🟢 0-7d",IF(TODAY()-B664&lt;=30,"🟡 8-30d",IF(TODAY()-B664&lt;=60,"🟠 31-60d","🔴 60d+"))))</f>
        <v/>
      </c>
      <c r="CE664" s="36" t="str">
        <f aca="false">IF(G664="","",IF(G664&lt;&gt;"USA","N/A - Not USA Role",IF(J664="Yes",IF(OR(F664="Intern",F664="New Grad"),"🟡 Possible","🟢 Strong"),IF(J664="No","🔴 Difficult","⚪ Unknown"))))</f>
        <v/>
      </c>
      <c r="CF664" s="37"/>
      <c r="CG664" s="37"/>
      <c r="CH664" s="38"/>
      <c r="CI664" s="38"/>
      <c r="CJ664" s="38"/>
      <c r="CK664" s="38"/>
    </row>
    <row r="665" customFormat="false" ht="15" hidden="false" customHeight="true" outlineLevel="0" collapsed="false">
      <c r="A665" s="26" t="str">
        <f aca="false">IF($C665="","",ROW()-3)</f>
        <v/>
      </c>
      <c r="B665" s="27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9"/>
      <c r="N665" s="29"/>
      <c r="O665" s="30" t="str">
        <f aca="false">IFERROR(IF(M665="","",M665*INDEX('00 - Lists'!$M$2:$M$11,MATCH(L665,'00 - Lists'!$L$2:$L$11,0))/100000),"")</f>
        <v/>
      </c>
      <c r="P665" s="30" t="str">
        <f aca="false">IFERROR(IF(N665="","",N665*INDEX('00 - Lists'!$M$2:$M$11,MATCH(L665,'00 - Lists'!$L$2:$L$11,0))/100000),"")</f>
        <v/>
      </c>
      <c r="Q665" s="31" t="str">
        <f aca="false">IFERROR(IF(M665="","",M665*INDEX('00 - Lists'!$N$2:$N$11,MATCH(L665,'00 - Lists'!$L$2:$L$11,0))),"")</f>
        <v/>
      </c>
      <c r="R665" s="31" t="str">
        <f aca="false">IFERROR(IF(N665="","",N665*INDEX('00 - Lists'!$N$2:$N$11,MATCH(L665,'00 - Lists'!$L$2:$L$11,0))),"")</f>
        <v/>
      </c>
      <c r="S665" s="32" t="str">
        <f aca="false">IF(O665="","",IF(O665&gt;=50,"Yes","No"))</f>
        <v/>
      </c>
      <c r="T665" s="32" t="str">
        <f aca="false">IF(Q665="","",IF(Q665&gt;=100000,"Yes","No"))</f>
        <v/>
      </c>
      <c r="U665" s="28"/>
      <c r="V665" s="28"/>
      <c r="W665" s="28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J665" s="34" t="str">
        <f aca="false">IF(OR($BD665&lt;&gt;"",$BF665&lt;&gt;"",$BH665&lt;&gt;""),"Yes","No")</f>
        <v>No</v>
      </c>
      <c r="BK665" s="35" t="str">
        <f aca="false">IFERROR(IF(BD665="","",BD665*INDEX('00 - Lists'!$M$2:$M$11,MATCH(L665,'00 - Lists'!$L$2:$L$11,0))/100000),"")</f>
        <v/>
      </c>
      <c r="BL665" s="35" t="str">
        <f aca="false">IFERROR(IF(BE665="","",BE665*INDEX('00 - Lists'!$M$2:$M$11,MATCH(L665,'00 - Lists'!$L$2:$L$11,0))/100000),"")</f>
        <v/>
      </c>
      <c r="BM665" s="35" t="str">
        <f aca="false">IFERROR(IF(BF665="","",BF665*INDEX('00 - Lists'!$M$2:$M$11,MATCH(L665,'00 - Lists'!$L$2:$L$11,0))/100000),"")</f>
        <v/>
      </c>
      <c r="BN665" s="35" t="str">
        <f aca="false">IFERROR(IF(BG665="","",BG665*INDEX('00 - Lists'!$M$2:$M$11,MATCH(L665,'00 - Lists'!$L$2:$L$11,0))/100000),"")</f>
        <v/>
      </c>
      <c r="BO665" s="35" t="str">
        <f aca="false">IFERROR(IF(BH665="","",BH665*INDEX('00 - Lists'!$M$2:$M$11,MATCH(L665,'00 - Lists'!$L$2:$L$11,0))/100000),"")</f>
        <v/>
      </c>
      <c r="BP665" s="35" t="str">
        <f aca="false">IFERROR(IF(BI665="","",BI665*INDEX('00 - Lists'!$M$2:$M$11,MATCH(L665,'00 - Lists'!$L$2:$L$11,0))/100000),"")</f>
        <v/>
      </c>
      <c r="BS665" s="36" t="str">
        <f aca="false">IF(O665="","",IF(O665&gt;=20,"Yes","No"))</f>
        <v/>
      </c>
      <c r="BT665" s="36" t="str">
        <f aca="false">IF(O665="","",IF(O665&gt;=30,"Yes","No"))</f>
        <v/>
      </c>
      <c r="BU665" s="36" t="str">
        <f aca="false">IF(O665="","",IF(O665&gt;=75,"Yes","No"))</f>
        <v/>
      </c>
      <c r="BV665" s="36" t="str">
        <f aca="false">IF(O665="","",IF(O665&gt;=100,"Yes","No"))</f>
        <v/>
      </c>
      <c r="BW665" s="36" t="str">
        <f aca="false">IF(O665="","",IF(O665&gt;=150,"Yes","No"))</f>
        <v/>
      </c>
      <c r="BX665" s="36" t="str">
        <f aca="false">IF(O665="","",IF(O665&gt;=200,"Yes","No"))</f>
        <v/>
      </c>
      <c r="BY665" s="36" t="str">
        <f aca="false">IF(Q665="","",IF(Q665&gt;=150000,"Yes","No"))</f>
        <v/>
      </c>
      <c r="BZ665" s="36" t="str">
        <f aca="false">IF(Q665="","",IF(Q665&gt;=200000,"Yes","No"))</f>
        <v/>
      </c>
      <c r="CA665" s="36" t="str">
        <f aca="false">IF(Q665="","",IF(Q665&gt;=250000,"Yes","No"))</f>
        <v/>
      </c>
      <c r="CB665" s="36" t="str">
        <f aca="false">IF(Q665="","",IF(Q665&gt;=300000,"Yes","No"))</f>
        <v/>
      </c>
      <c r="CC665" s="37"/>
      <c r="CD665" s="36" t="str">
        <f aca="true">IF(B665="","",IF(TODAY()-B665&lt;=7,"🟢 0-7d",IF(TODAY()-B665&lt;=30,"🟡 8-30d",IF(TODAY()-B665&lt;=60,"🟠 31-60d","🔴 60d+"))))</f>
        <v/>
      </c>
      <c r="CE665" s="36" t="str">
        <f aca="false">IF(G665="","",IF(G665&lt;&gt;"USA","N/A - Not USA Role",IF(J665="Yes",IF(OR(F665="Intern",F665="New Grad"),"🟡 Possible","🟢 Strong"),IF(J665="No","🔴 Difficult","⚪ Unknown"))))</f>
        <v/>
      </c>
      <c r="CF665" s="37"/>
      <c r="CG665" s="37"/>
      <c r="CH665" s="38"/>
      <c r="CI665" s="38"/>
      <c r="CJ665" s="38"/>
      <c r="CK665" s="38"/>
    </row>
    <row r="666" customFormat="false" ht="15" hidden="false" customHeight="true" outlineLevel="0" collapsed="false">
      <c r="A666" s="26" t="str">
        <f aca="false">IF($C666="","",ROW()-3)</f>
        <v/>
      </c>
      <c r="B666" s="27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9"/>
      <c r="N666" s="29"/>
      <c r="O666" s="30" t="str">
        <f aca="false">IFERROR(IF(M666="","",M666*INDEX('00 - Lists'!$M$2:$M$11,MATCH(L666,'00 - Lists'!$L$2:$L$11,0))/100000),"")</f>
        <v/>
      </c>
      <c r="P666" s="30" t="str">
        <f aca="false">IFERROR(IF(N666="","",N666*INDEX('00 - Lists'!$M$2:$M$11,MATCH(L666,'00 - Lists'!$L$2:$L$11,0))/100000),"")</f>
        <v/>
      </c>
      <c r="Q666" s="31" t="str">
        <f aca="false">IFERROR(IF(M666="","",M666*INDEX('00 - Lists'!$N$2:$N$11,MATCH(L666,'00 - Lists'!$L$2:$L$11,0))),"")</f>
        <v/>
      </c>
      <c r="R666" s="31" t="str">
        <f aca="false">IFERROR(IF(N666="","",N666*INDEX('00 - Lists'!$N$2:$N$11,MATCH(L666,'00 - Lists'!$L$2:$L$11,0))),"")</f>
        <v/>
      </c>
      <c r="S666" s="32" t="str">
        <f aca="false">IF(O666="","",IF(O666&gt;=50,"Yes","No"))</f>
        <v/>
      </c>
      <c r="T666" s="32" t="str">
        <f aca="false">IF(Q666="","",IF(Q666&gt;=100000,"Yes","No"))</f>
        <v/>
      </c>
      <c r="U666" s="28"/>
      <c r="V666" s="28"/>
      <c r="W666" s="28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J666" s="34" t="str">
        <f aca="false">IF(OR($BD666&lt;&gt;"",$BF666&lt;&gt;"",$BH666&lt;&gt;""),"Yes","No")</f>
        <v>No</v>
      </c>
      <c r="BK666" s="35" t="str">
        <f aca="false">IFERROR(IF(BD666="","",BD666*INDEX('00 - Lists'!$M$2:$M$11,MATCH(L666,'00 - Lists'!$L$2:$L$11,0))/100000),"")</f>
        <v/>
      </c>
      <c r="BL666" s="35" t="str">
        <f aca="false">IFERROR(IF(BE666="","",BE666*INDEX('00 - Lists'!$M$2:$M$11,MATCH(L666,'00 - Lists'!$L$2:$L$11,0))/100000),"")</f>
        <v/>
      </c>
      <c r="BM666" s="35" t="str">
        <f aca="false">IFERROR(IF(BF666="","",BF666*INDEX('00 - Lists'!$M$2:$M$11,MATCH(L666,'00 - Lists'!$L$2:$L$11,0))/100000),"")</f>
        <v/>
      </c>
      <c r="BN666" s="35" t="str">
        <f aca="false">IFERROR(IF(BG666="","",BG666*INDEX('00 - Lists'!$M$2:$M$11,MATCH(L666,'00 - Lists'!$L$2:$L$11,0))/100000),"")</f>
        <v/>
      </c>
      <c r="BO666" s="35" t="str">
        <f aca="false">IFERROR(IF(BH666="","",BH666*INDEX('00 - Lists'!$M$2:$M$11,MATCH(L666,'00 - Lists'!$L$2:$L$11,0))/100000),"")</f>
        <v/>
      </c>
      <c r="BP666" s="35" t="str">
        <f aca="false">IFERROR(IF(BI666="","",BI666*INDEX('00 - Lists'!$M$2:$M$11,MATCH(L666,'00 - Lists'!$L$2:$L$11,0))/100000),"")</f>
        <v/>
      </c>
      <c r="BS666" s="36" t="str">
        <f aca="false">IF(O666="","",IF(O666&gt;=20,"Yes","No"))</f>
        <v/>
      </c>
      <c r="BT666" s="36" t="str">
        <f aca="false">IF(O666="","",IF(O666&gt;=30,"Yes","No"))</f>
        <v/>
      </c>
      <c r="BU666" s="36" t="str">
        <f aca="false">IF(O666="","",IF(O666&gt;=75,"Yes","No"))</f>
        <v/>
      </c>
      <c r="BV666" s="36" t="str">
        <f aca="false">IF(O666="","",IF(O666&gt;=100,"Yes","No"))</f>
        <v/>
      </c>
      <c r="BW666" s="36" t="str">
        <f aca="false">IF(O666="","",IF(O666&gt;=150,"Yes","No"))</f>
        <v/>
      </c>
      <c r="BX666" s="36" t="str">
        <f aca="false">IF(O666="","",IF(O666&gt;=200,"Yes","No"))</f>
        <v/>
      </c>
      <c r="BY666" s="36" t="str">
        <f aca="false">IF(Q666="","",IF(Q666&gt;=150000,"Yes","No"))</f>
        <v/>
      </c>
      <c r="BZ666" s="36" t="str">
        <f aca="false">IF(Q666="","",IF(Q666&gt;=200000,"Yes","No"))</f>
        <v/>
      </c>
      <c r="CA666" s="36" t="str">
        <f aca="false">IF(Q666="","",IF(Q666&gt;=250000,"Yes","No"))</f>
        <v/>
      </c>
      <c r="CB666" s="36" t="str">
        <f aca="false">IF(Q666="","",IF(Q666&gt;=300000,"Yes","No"))</f>
        <v/>
      </c>
      <c r="CC666" s="37"/>
      <c r="CD666" s="36" t="str">
        <f aca="true">IF(B666="","",IF(TODAY()-B666&lt;=7,"🟢 0-7d",IF(TODAY()-B666&lt;=30,"🟡 8-30d",IF(TODAY()-B666&lt;=60,"🟠 31-60d","🔴 60d+"))))</f>
        <v/>
      </c>
      <c r="CE666" s="36" t="str">
        <f aca="false">IF(G666="","",IF(G666&lt;&gt;"USA","N/A - Not USA Role",IF(J666="Yes",IF(OR(F666="Intern",F666="New Grad"),"🟡 Possible","🟢 Strong"),IF(J666="No","🔴 Difficult","⚪ Unknown"))))</f>
        <v/>
      </c>
      <c r="CF666" s="37"/>
      <c r="CG666" s="37"/>
      <c r="CH666" s="38"/>
      <c r="CI666" s="38"/>
      <c r="CJ666" s="38"/>
      <c r="CK666" s="38"/>
    </row>
    <row r="667" customFormat="false" ht="15" hidden="false" customHeight="true" outlineLevel="0" collapsed="false">
      <c r="A667" s="26" t="str">
        <f aca="false">IF($C667="","",ROW()-3)</f>
        <v/>
      </c>
      <c r="B667" s="27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9"/>
      <c r="N667" s="29"/>
      <c r="O667" s="30" t="str">
        <f aca="false">IFERROR(IF(M667="","",M667*INDEX('00 - Lists'!$M$2:$M$11,MATCH(L667,'00 - Lists'!$L$2:$L$11,0))/100000),"")</f>
        <v/>
      </c>
      <c r="P667" s="30" t="str">
        <f aca="false">IFERROR(IF(N667="","",N667*INDEX('00 - Lists'!$M$2:$M$11,MATCH(L667,'00 - Lists'!$L$2:$L$11,0))/100000),"")</f>
        <v/>
      </c>
      <c r="Q667" s="31" t="str">
        <f aca="false">IFERROR(IF(M667="","",M667*INDEX('00 - Lists'!$N$2:$N$11,MATCH(L667,'00 - Lists'!$L$2:$L$11,0))),"")</f>
        <v/>
      </c>
      <c r="R667" s="31" t="str">
        <f aca="false">IFERROR(IF(N667="","",N667*INDEX('00 - Lists'!$N$2:$N$11,MATCH(L667,'00 - Lists'!$L$2:$L$11,0))),"")</f>
        <v/>
      </c>
      <c r="S667" s="32" t="str">
        <f aca="false">IF(O667="","",IF(O667&gt;=50,"Yes","No"))</f>
        <v/>
      </c>
      <c r="T667" s="32" t="str">
        <f aca="false">IF(Q667="","",IF(Q667&gt;=100000,"Yes","No"))</f>
        <v/>
      </c>
      <c r="U667" s="28"/>
      <c r="V667" s="28"/>
      <c r="W667" s="28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J667" s="34" t="str">
        <f aca="false">IF(OR($BD667&lt;&gt;"",$BF667&lt;&gt;"",$BH667&lt;&gt;""),"Yes","No")</f>
        <v>No</v>
      </c>
      <c r="BK667" s="35" t="str">
        <f aca="false">IFERROR(IF(BD667="","",BD667*INDEX('00 - Lists'!$M$2:$M$11,MATCH(L667,'00 - Lists'!$L$2:$L$11,0))/100000),"")</f>
        <v/>
      </c>
      <c r="BL667" s="35" t="str">
        <f aca="false">IFERROR(IF(BE667="","",BE667*INDEX('00 - Lists'!$M$2:$M$11,MATCH(L667,'00 - Lists'!$L$2:$L$11,0))/100000),"")</f>
        <v/>
      </c>
      <c r="BM667" s="35" t="str">
        <f aca="false">IFERROR(IF(BF667="","",BF667*INDEX('00 - Lists'!$M$2:$M$11,MATCH(L667,'00 - Lists'!$L$2:$L$11,0))/100000),"")</f>
        <v/>
      </c>
      <c r="BN667" s="35" t="str">
        <f aca="false">IFERROR(IF(BG667="","",BG667*INDEX('00 - Lists'!$M$2:$M$11,MATCH(L667,'00 - Lists'!$L$2:$L$11,0))/100000),"")</f>
        <v/>
      </c>
      <c r="BO667" s="35" t="str">
        <f aca="false">IFERROR(IF(BH667="","",BH667*INDEX('00 - Lists'!$M$2:$M$11,MATCH(L667,'00 - Lists'!$L$2:$L$11,0))/100000),"")</f>
        <v/>
      </c>
      <c r="BP667" s="35" t="str">
        <f aca="false">IFERROR(IF(BI667="","",BI667*INDEX('00 - Lists'!$M$2:$M$11,MATCH(L667,'00 - Lists'!$L$2:$L$11,0))/100000),"")</f>
        <v/>
      </c>
      <c r="BS667" s="36" t="str">
        <f aca="false">IF(O667="","",IF(O667&gt;=20,"Yes","No"))</f>
        <v/>
      </c>
      <c r="BT667" s="36" t="str">
        <f aca="false">IF(O667="","",IF(O667&gt;=30,"Yes","No"))</f>
        <v/>
      </c>
      <c r="BU667" s="36" t="str">
        <f aca="false">IF(O667="","",IF(O667&gt;=75,"Yes","No"))</f>
        <v/>
      </c>
      <c r="BV667" s="36" t="str">
        <f aca="false">IF(O667="","",IF(O667&gt;=100,"Yes","No"))</f>
        <v/>
      </c>
      <c r="BW667" s="36" t="str">
        <f aca="false">IF(O667="","",IF(O667&gt;=150,"Yes","No"))</f>
        <v/>
      </c>
      <c r="BX667" s="36" t="str">
        <f aca="false">IF(O667="","",IF(O667&gt;=200,"Yes","No"))</f>
        <v/>
      </c>
      <c r="BY667" s="36" t="str">
        <f aca="false">IF(Q667="","",IF(Q667&gt;=150000,"Yes","No"))</f>
        <v/>
      </c>
      <c r="BZ667" s="36" t="str">
        <f aca="false">IF(Q667="","",IF(Q667&gt;=200000,"Yes","No"))</f>
        <v/>
      </c>
      <c r="CA667" s="36" t="str">
        <f aca="false">IF(Q667="","",IF(Q667&gt;=250000,"Yes","No"))</f>
        <v/>
      </c>
      <c r="CB667" s="36" t="str">
        <f aca="false">IF(Q667="","",IF(Q667&gt;=300000,"Yes","No"))</f>
        <v/>
      </c>
      <c r="CC667" s="37"/>
      <c r="CD667" s="36" t="str">
        <f aca="true">IF(B667="","",IF(TODAY()-B667&lt;=7,"🟢 0-7d",IF(TODAY()-B667&lt;=30,"🟡 8-30d",IF(TODAY()-B667&lt;=60,"🟠 31-60d","🔴 60d+"))))</f>
        <v/>
      </c>
      <c r="CE667" s="36" t="str">
        <f aca="false">IF(G667="","",IF(G667&lt;&gt;"USA","N/A - Not USA Role",IF(J667="Yes",IF(OR(F667="Intern",F667="New Grad"),"🟡 Possible","🟢 Strong"),IF(J667="No","🔴 Difficult","⚪ Unknown"))))</f>
        <v/>
      </c>
      <c r="CF667" s="37"/>
      <c r="CG667" s="37"/>
      <c r="CH667" s="38"/>
      <c r="CI667" s="38"/>
      <c r="CJ667" s="38"/>
      <c r="CK667" s="38"/>
    </row>
    <row r="668" customFormat="false" ht="15" hidden="false" customHeight="true" outlineLevel="0" collapsed="false">
      <c r="A668" s="26" t="str">
        <f aca="false">IF($C668="","",ROW()-3)</f>
        <v/>
      </c>
      <c r="B668" s="27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9"/>
      <c r="N668" s="29"/>
      <c r="O668" s="30" t="str">
        <f aca="false">IFERROR(IF(M668="","",M668*INDEX('00 - Lists'!$M$2:$M$11,MATCH(L668,'00 - Lists'!$L$2:$L$11,0))/100000),"")</f>
        <v/>
      </c>
      <c r="P668" s="30" t="str">
        <f aca="false">IFERROR(IF(N668="","",N668*INDEX('00 - Lists'!$M$2:$M$11,MATCH(L668,'00 - Lists'!$L$2:$L$11,0))/100000),"")</f>
        <v/>
      </c>
      <c r="Q668" s="31" t="str">
        <f aca="false">IFERROR(IF(M668="","",M668*INDEX('00 - Lists'!$N$2:$N$11,MATCH(L668,'00 - Lists'!$L$2:$L$11,0))),"")</f>
        <v/>
      </c>
      <c r="R668" s="31" t="str">
        <f aca="false">IFERROR(IF(N668="","",N668*INDEX('00 - Lists'!$N$2:$N$11,MATCH(L668,'00 - Lists'!$L$2:$L$11,0))),"")</f>
        <v/>
      </c>
      <c r="S668" s="32" t="str">
        <f aca="false">IF(O668="","",IF(O668&gt;=50,"Yes","No"))</f>
        <v/>
      </c>
      <c r="T668" s="32" t="str">
        <f aca="false">IF(Q668="","",IF(Q668&gt;=100000,"Yes","No"))</f>
        <v/>
      </c>
      <c r="U668" s="28"/>
      <c r="V668" s="28"/>
      <c r="W668" s="28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J668" s="34" t="str">
        <f aca="false">IF(OR($BD668&lt;&gt;"",$BF668&lt;&gt;"",$BH668&lt;&gt;""),"Yes","No")</f>
        <v>No</v>
      </c>
      <c r="BK668" s="35" t="str">
        <f aca="false">IFERROR(IF(BD668="","",BD668*INDEX('00 - Lists'!$M$2:$M$11,MATCH(L668,'00 - Lists'!$L$2:$L$11,0))/100000),"")</f>
        <v/>
      </c>
      <c r="BL668" s="35" t="str">
        <f aca="false">IFERROR(IF(BE668="","",BE668*INDEX('00 - Lists'!$M$2:$M$11,MATCH(L668,'00 - Lists'!$L$2:$L$11,0))/100000),"")</f>
        <v/>
      </c>
      <c r="BM668" s="35" t="str">
        <f aca="false">IFERROR(IF(BF668="","",BF668*INDEX('00 - Lists'!$M$2:$M$11,MATCH(L668,'00 - Lists'!$L$2:$L$11,0))/100000),"")</f>
        <v/>
      </c>
      <c r="BN668" s="35" t="str">
        <f aca="false">IFERROR(IF(BG668="","",BG668*INDEX('00 - Lists'!$M$2:$M$11,MATCH(L668,'00 - Lists'!$L$2:$L$11,0))/100000),"")</f>
        <v/>
      </c>
      <c r="BO668" s="35" t="str">
        <f aca="false">IFERROR(IF(BH668="","",BH668*INDEX('00 - Lists'!$M$2:$M$11,MATCH(L668,'00 - Lists'!$L$2:$L$11,0))/100000),"")</f>
        <v/>
      </c>
      <c r="BP668" s="35" t="str">
        <f aca="false">IFERROR(IF(BI668="","",BI668*INDEX('00 - Lists'!$M$2:$M$11,MATCH(L668,'00 - Lists'!$L$2:$L$11,0))/100000),"")</f>
        <v/>
      </c>
      <c r="BS668" s="36" t="str">
        <f aca="false">IF(O668="","",IF(O668&gt;=20,"Yes","No"))</f>
        <v/>
      </c>
      <c r="BT668" s="36" t="str">
        <f aca="false">IF(O668="","",IF(O668&gt;=30,"Yes","No"))</f>
        <v/>
      </c>
      <c r="BU668" s="36" t="str">
        <f aca="false">IF(O668="","",IF(O668&gt;=75,"Yes","No"))</f>
        <v/>
      </c>
      <c r="BV668" s="36" t="str">
        <f aca="false">IF(O668="","",IF(O668&gt;=100,"Yes","No"))</f>
        <v/>
      </c>
      <c r="BW668" s="36" t="str">
        <f aca="false">IF(O668="","",IF(O668&gt;=150,"Yes","No"))</f>
        <v/>
      </c>
      <c r="BX668" s="36" t="str">
        <f aca="false">IF(O668="","",IF(O668&gt;=200,"Yes","No"))</f>
        <v/>
      </c>
      <c r="BY668" s="36" t="str">
        <f aca="false">IF(Q668="","",IF(Q668&gt;=150000,"Yes","No"))</f>
        <v/>
      </c>
      <c r="BZ668" s="36" t="str">
        <f aca="false">IF(Q668="","",IF(Q668&gt;=200000,"Yes","No"))</f>
        <v/>
      </c>
      <c r="CA668" s="36" t="str">
        <f aca="false">IF(Q668="","",IF(Q668&gt;=250000,"Yes","No"))</f>
        <v/>
      </c>
      <c r="CB668" s="36" t="str">
        <f aca="false">IF(Q668="","",IF(Q668&gt;=300000,"Yes","No"))</f>
        <v/>
      </c>
      <c r="CC668" s="37"/>
      <c r="CD668" s="36" t="str">
        <f aca="true">IF(B668="","",IF(TODAY()-B668&lt;=7,"🟢 0-7d",IF(TODAY()-B668&lt;=30,"🟡 8-30d",IF(TODAY()-B668&lt;=60,"🟠 31-60d","🔴 60d+"))))</f>
        <v/>
      </c>
      <c r="CE668" s="36" t="str">
        <f aca="false">IF(G668="","",IF(G668&lt;&gt;"USA","N/A - Not USA Role",IF(J668="Yes",IF(OR(F668="Intern",F668="New Grad"),"🟡 Possible","🟢 Strong"),IF(J668="No","🔴 Difficult","⚪ Unknown"))))</f>
        <v/>
      </c>
      <c r="CF668" s="37"/>
      <c r="CG668" s="37"/>
      <c r="CH668" s="38"/>
      <c r="CI668" s="38"/>
      <c r="CJ668" s="38"/>
      <c r="CK668" s="38"/>
    </row>
    <row r="669" customFormat="false" ht="15" hidden="false" customHeight="true" outlineLevel="0" collapsed="false">
      <c r="A669" s="26" t="str">
        <f aca="false">IF($C669="","",ROW()-3)</f>
        <v/>
      </c>
      <c r="B669" s="27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9"/>
      <c r="N669" s="29"/>
      <c r="O669" s="30" t="str">
        <f aca="false">IFERROR(IF(M669="","",M669*INDEX('00 - Lists'!$M$2:$M$11,MATCH(L669,'00 - Lists'!$L$2:$L$11,0))/100000),"")</f>
        <v/>
      </c>
      <c r="P669" s="30" t="str">
        <f aca="false">IFERROR(IF(N669="","",N669*INDEX('00 - Lists'!$M$2:$M$11,MATCH(L669,'00 - Lists'!$L$2:$L$11,0))/100000),"")</f>
        <v/>
      </c>
      <c r="Q669" s="31" t="str">
        <f aca="false">IFERROR(IF(M669="","",M669*INDEX('00 - Lists'!$N$2:$N$11,MATCH(L669,'00 - Lists'!$L$2:$L$11,0))),"")</f>
        <v/>
      </c>
      <c r="R669" s="31" t="str">
        <f aca="false">IFERROR(IF(N669="","",N669*INDEX('00 - Lists'!$N$2:$N$11,MATCH(L669,'00 - Lists'!$L$2:$L$11,0))),"")</f>
        <v/>
      </c>
      <c r="S669" s="32" t="str">
        <f aca="false">IF(O669="","",IF(O669&gt;=50,"Yes","No"))</f>
        <v/>
      </c>
      <c r="T669" s="32" t="str">
        <f aca="false">IF(Q669="","",IF(Q669&gt;=100000,"Yes","No"))</f>
        <v/>
      </c>
      <c r="U669" s="28"/>
      <c r="V669" s="28"/>
      <c r="W669" s="28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J669" s="34" t="str">
        <f aca="false">IF(OR($BD669&lt;&gt;"",$BF669&lt;&gt;"",$BH669&lt;&gt;""),"Yes","No")</f>
        <v>No</v>
      </c>
      <c r="BK669" s="35" t="str">
        <f aca="false">IFERROR(IF(BD669="","",BD669*INDEX('00 - Lists'!$M$2:$M$11,MATCH(L669,'00 - Lists'!$L$2:$L$11,0))/100000),"")</f>
        <v/>
      </c>
      <c r="BL669" s="35" t="str">
        <f aca="false">IFERROR(IF(BE669="","",BE669*INDEX('00 - Lists'!$M$2:$M$11,MATCH(L669,'00 - Lists'!$L$2:$L$11,0))/100000),"")</f>
        <v/>
      </c>
      <c r="BM669" s="35" t="str">
        <f aca="false">IFERROR(IF(BF669="","",BF669*INDEX('00 - Lists'!$M$2:$M$11,MATCH(L669,'00 - Lists'!$L$2:$L$11,0))/100000),"")</f>
        <v/>
      </c>
      <c r="BN669" s="35" t="str">
        <f aca="false">IFERROR(IF(BG669="","",BG669*INDEX('00 - Lists'!$M$2:$M$11,MATCH(L669,'00 - Lists'!$L$2:$L$11,0))/100000),"")</f>
        <v/>
      </c>
      <c r="BO669" s="35" t="str">
        <f aca="false">IFERROR(IF(BH669="","",BH669*INDEX('00 - Lists'!$M$2:$M$11,MATCH(L669,'00 - Lists'!$L$2:$L$11,0))/100000),"")</f>
        <v/>
      </c>
      <c r="BP669" s="35" t="str">
        <f aca="false">IFERROR(IF(BI669="","",BI669*INDEX('00 - Lists'!$M$2:$M$11,MATCH(L669,'00 - Lists'!$L$2:$L$11,0))/100000),"")</f>
        <v/>
      </c>
      <c r="BS669" s="36" t="str">
        <f aca="false">IF(O669="","",IF(O669&gt;=20,"Yes","No"))</f>
        <v/>
      </c>
      <c r="BT669" s="36" t="str">
        <f aca="false">IF(O669="","",IF(O669&gt;=30,"Yes","No"))</f>
        <v/>
      </c>
      <c r="BU669" s="36" t="str">
        <f aca="false">IF(O669="","",IF(O669&gt;=75,"Yes","No"))</f>
        <v/>
      </c>
      <c r="BV669" s="36" t="str">
        <f aca="false">IF(O669="","",IF(O669&gt;=100,"Yes","No"))</f>
        <v/>
      </c>
      <c r="BW669" s="36" t="str">
        <f aca="false">IF(O669="","",IF(O669&gt;=150,"Yes","No"))</f>
        <v/>
      </c>
      <c r="BX669" s="36" t="str">
        <f aca="false">IF(O669="","",IF(O669&gt;=200,"Yes","No"))</f>
        <v/>
      </c>
      <c r="BY669" s="36" t="str">
        <f aca="false">IF(Q669="","",IF(Q669&gt;=150000,"Yes","No"))</f>
        <v/>
      </c>
      <c r="BZ669" s="36" t="str">
        <f aca="false">IF(Q669="","",IF(Q669&gt;=200000,"Yes","No"))</f>
        <v/>
      </c>
      <c r="CA669" s="36" t="str">
        <f aca="false">IF(Q669="","",IF(Q669&gt;=250000,"Yes","No"))</f>
        <v/>
      </c>
      <c r="CB669" s="36" t="str">
        <f aca="false">IF(Q669="","",IF(Q669&gt;=300000,"Yes","No"))</f>
        <v/>
      </c>
      <c r="CC669" s="37"/>
      <c r="CD669" s="36" t="str">
        <f aca="true">IF(B669="","",IF(TODAY()-B669&lt;=7,"🟢 0-7d",IF(TODAY()-B669&lt;=30,"🟡 8-30d",IF(TODAY()-B669&lt;=60,"🟠 31-60d","🔴 60d+"))))</f>
        <v/>
      </c>
      <c r="CE669" s="36" t="str">
        <f aca="false">IF(G669="","",IF(G669&lt;&gt;"USA","N/A - Not USA Role",IF(J669="Yes",IF(OR(F669="Intern",F669="New Grad"),"🟡 Possible","🟢 Strong"),IF(J669="No","🔴 Difficult","⚪ Unknown"))))</f>
        <v/>
      </c>
      <c r="CF669" s="37"/>
      <c r="CG669" s="37"/>
      <c r="CH669" s="38"/>
      <c r="CI669" s="38"/>
      <c r="CJ669" s="38"/>
      <c r="CK669" s="38"/>
    </row>
    <row r="670" customFormat="false" ht="15" hidden="false" customHeight="true" outlineLevel="0" collapsed="false">
      <c r="A670" s="26" t="str">
        <f aca="false">IF($C670="","",ROW()-3)</f>
        <v/>
      </c>
      <c r="B670" s="27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9"/>
      <c r="N670" s="29"/>
      <c r="O670" s="30" t="str">
        <f aca="false">IFERROR(IF(M670="","",M670*INDEX('00 - Lists'!$M$2:$M$11,MATCH(L670,'00 - Lists'!$L$2:$L$11,0))/100000),"")</f>
        <v/>
      </c>
      <c r="P670" s="30" t="str">
        <f aca="false">IFERROR(IF(N670="","",N670*INDEX('00 - Lists'!$M$2:$M$11,MATCH(L670,'00 - Lists'!$L$2:$L$11,0))/100000),"")</f>
        <v/>
      </c>
      <c r="Q670" s="31" t="str">
        <f aca="false">IFERROR(IF(M670="","",M670*INDEX('00 - Lists'!$N$2:$N$11,MATCH(L670,'00 - Lists'!$L$2:$L$11,0))),"")</f>
        <v/>
      </c>
      <c r="R670" s="31" t="str">
        <f aca="false">IFERROR(IF(N670="","",N670*INDEX('00 - Lists'!$N$2:$N$11,MATCH(L670,'00 - Lists'!$L$2:$L$11,0))),"")</f>
        <v/>
      </c>
      <c r="S670" s="32" t="str">
        <f aca="false">IF(O670="","",IF(O670&gt;=50,"Yes","No"))</f>
        <v/>
      </c>
      <c r="T670" s="32" t="str">
        <f aca="false">IF(Q670="","",IF(Q670&gt;=100000,"Yes","No"))</f>
        <v/>
      </c>
      <c r="U670" s="28"/>
      <c r="V670" s="28"/>
      <c r="W670" s="28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J670" s="34" t="str">
        <f aca="false">IF(OR($BD670&lt;&gt;"",$BF670&lt;&gt;"",$BH670&lt;&gt;""),"Yes","No")</f>
        <v>No</v>
      </c>
      <c r="BK670" s="35" t="str">
        <f aca="false">IFERROR(IF(BD670="","",BD670*INDEX('00 - Lists'!$M$2:$M$11,MATCH(L670,'00 - Lists'!$L$2:$L$11,0))/100000),"")</f>
        <v/>
      </c>
      <c r="BL670" s="35" t="str">
        <f aca="false">IFERROR(IF(BE670="","",BE670*INDEX('00 - Lists'!$M$2:$M$11,MATCH(L670,'00 - Lists'!$L$2:$L$11,0))/100000),"")</f>
        <v/>
      </c>
      <c r="BM670" s="35" t="str">
        <f aca="false">IFERROR(IF(BF670="","",BF670*INDEX('00 - Lists'!$M$2:$M$11,MATCH(L670,'00 - Lists'!$L$2:$L$11,0))/100000),"")</f>
        <v/>
      </c>
      <c r="BN670" s="35" t="str">
        <f aca="false">IFERROR(IF(BG670="","",BG670*INDEX('00 - Lists'!$M$2:$M$11,MATCH(L670,'00 - Lists'!$L$2:$L$11,0))/100000),"")</f>
        <v/>
      </c>
      <c r="BO670" s="35" t="str">
        <f aca="false">IFERROR(IF(BH670="","",BH670*INDEX('00 - Lists'!$M$2:$M$11,MATCH(L670,'00 - Lists'!$L$2:$L$11,0))/100000),"")</f>
        <v/>
      </c>
      <c r="BP670" s="35" t="str">
        <f aca="false">IFERROR(IF(BI670="","",BI670*INDEX('00 - Lists'!$M$2:$M$11,MATCH(L670,'00 - Lists'!$L$2:$L$11,0))/100000),"")</f>
        <v/>
      </c>
      <c r="BS670" s="36" t="str">
        <f aca="false">IF(O670="","",IF(O670&gt;=20,"Yes","No"))</f>
        <v/>
      </c>
      <c r="BT670" s="36" t="str">
        <f aca="false">IF(O670="","",IF(O670&gt;=30,"Yes","No"))</f>
        <v/>
      </c>
      <c r="BU670" s="36" t="str">
        <f aca="false">IF(O670="","",IF(O670&gt;=75,"Yes","No"))</f>
        <v/>
      </c>
      <c r="BV670" s="36" t="str">
        <f aca="false">IF(O670="","",IF(O670&gt;=100,"Yes","No"))</f>
        <v/>
      </c>
      <c r="BW670" s="36" t="str">
        <f aca="false">IF(O670="","",IF(O670&gt;=150,"Yes","No"))</f>
        <v/>
      </c>
      <c r="BX670" s="36" t="str">
        <f aca="false">IF(O670="","",IF(O670&gt;=200,"Yes","No"))</f>
        <v/>
      </c>
      <c r="BY670" s="36" t="str">
        <f aca="false">IF(Q670="","",IF(Q670&gt;=150000,"Yes","No"))</f>
        <v/>
      </c>
      <c r="BZ670" s="36" t="str">
        <f aca="false">IF(Q670="","",IF(Q670&gt;=200000,"Yes","No"))</f>
        <v/>
      </c>
      <c r="CA670" s="36" t="str">
        <f aca="false">IF(Q670="","",IF(Q670&gt;=250000,"Yes","No"))</f>
        <v/>
      </c>
      <c r="CB670" s="36" t="str">
        <f aca="false">IF(Q670="","",IF(Q670&gt;=300000,"Yes","No"))</f>
        <v/>
      </c>
      <c r="CC670" s="37"/>
      <c r="CD670" s="36" t="str">
        <f aca="true">IF(B670="","",IF(TODAY()-B670&lt;=7,"🟢 0-7d",IF(TODAY()-B670&lt;=30,"🟡 8-30d",IF(TODAY()-B670&lt;=60,"🟠 31-60d","🔴 60d+"))))</f>
        <v/>
      </c>
      <c r="CE670" s="36" t="str">
        <f aca="false">IF(G670="","",IF(G670&lt;&gt;"USA","N/A - Not USA Role",IF(J670="Yes",IF(OR(F670="Intern",F670="New Grad"),"🟡 Possible","🟢 Strong"),IF(J670="No","🔴 Difficult","⚪ Unknown"))))</f>
        <v/>
      </c>
      <c r="CF670" s="37"/>
      <c r="CG670" s="37"/>
      <c r="CH670" s="38"/>
      <c r="CI670" s="38"/>
      <c r="CJ670" s="38"/>
      <c r="CK670" s="38"/>
    </row>
    <row r="671" customFormat="false" ht="15" hidden="false" customHeight="true" outlineLevel="0" collapsed="false">
      <c r="A671" s="26" t="str">
        <f aca="false">IF($C671="","",ROW()-3)</f>
        <v/>
      </c>
      <c r="B671" s="27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9"/>
      <c r="N671" s="29"/>
      <c r="O671" s="30" t="str">
        <f aca="false">IFERROR(IF(M671="","",M671*INDEX('00 - Lists'!$M$2:$M$11,MATCH(L671,'00 - Lists'!$L$2:$L$11,0))/100000),"")</f>
        <v/>
      </c>
      <c r="P671" s="30" t="str">
        <f aca="false">IFERROR(IF(N671="","",N671*INDEX('00 - Lists'!$M$2:$M$11,MATCH(L671,'00 - Lists'!$L$2:$L$11,0))/100000),"")</f>
        <v/>
      </c>
      <c r="Q671" s="31" t="str">
        <f aca="false">IFERROR(IF(M671="","",M671*INDEX('00 - Lists'!$N$2:$N$11,MATCH(L671,'00 - Lists'!$L$2:$L$11,0))),"")</f>
        <v/>
      </c>
      <c r="R671" s="31" t="str">
        <f aca="false">IFERROR(IF(N671="","",N671*INDEX('00 - Lists'!$N$2:$N$11,MATCH(L671,'00 - Lists'!$L$2:$L$11,0))),"")</f>
        <v/>
      </c>
      <c r="S671" s="32" t="str">
        <f aca="false">IF(O671="","",IF(O671&gt;=50,"Yes","No"))</f>
        <v/>
      </c>
      <c r="T671" s="32" t="str">
        <f aca="false">IF(Q671="","",IF(Q671&gt;=100000,"Yes","No"))</f>
        <v/>
      </c>
      <c r="U671" s="28"/>
      <c r="V671" s="28"/>
      <c r="W671" s="28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J671" s="34" t="str">
        <f aca="false">IF(OR($BD671&lt;&gt;"",$BF671&lt;&gt;"",$BH671&lt;&gt;""),"Yes","No")</f>
        <v>No</v>
      </c>
      <c r="BK671" s="35" t="str">
        <f aca="false">IFERROR(IF(BD671="","",BD671*INDEX('00 - Lists'!$M$2:$M$11,MATCH(L671,'00 - Lists'!$L$2:$L$11,0))/100000),"")</f>
        <v/>
      </c>
      <c r="BL671" s="35" t="str">
        <f aca="false">IFERROR(IF(BE671="","",BE671*INDEX('00 - Lists'!$M$2:$M$11,MATCH(L671,'00 - Lists'!$L$2:$L$11,0))/100000),"")</f>
        <v/>
      </c>
      <c r="BM671" s="35" t="str">
        <f aca="false">IFERROR(IF(BF671="","",BF671*INDEX('00 - Lists'!$M$2:$M$11,MATCH(L671,'00 - Lists'!$L$2:$L$11,0))/100000),"")</f>
        <v/>
      </c>
      <c r="BN671" s="35" t="str">
        <f aca="false">IFERROR(IF(BG671="","",BG671*INDEX('00 - Lists'!$M$2:$M$11,MATCH(L671,'00 - Lists'!$L$2:$L$11,0))/100000),"")</f>
        <v/>
      </c>
      <c r="BO671" s="35" t="str">
        <f aca="false">IFERROR(IF(BH671="","",BH671*INDEX('00 - Lists'!$M$2:$M$11,MATCH(L671,'00 - Lists'!$L$2:$L$11,0))/100000),"")</f>
        <v/>
      </c>
      <c r="BP671" s="35" t="str">
        <f aca="false">IFERROR(IF(BI671="","",BI671*INDEX('00 - Lists'!$M$2:$M$11,MATCH(L671,'00 - Lists'!$L$2:$L$11,0))/100000),"")</f>
        <v/>
      </c>
      <c r="BS671" s="36" t="str">
        <f aca="false">IF(O671="","",IF(O671&gt;=20,"Yes","No"))</f>
        <v/>
      </c>
      <c r="BT671" s="36" t="str">
        <f aca="false">IF(O671="","",IF(O671&gt;=30,"Yes","No"))</f>
        <v/>
      </c>
      <c r="BU671" s="36" t="str">
        <f aca="false">IF(O671="","",IF(O671&gt;=75,"Yes","No"))</f>
        <v/>
      </c>
      <c r="BV671" s="36" t="str">
        <f aca="false">IF(O671="","",IF(O671&gt;=100,"Yes","No"))</f>
        <v/>
      </c>
      <c r="BW671" s="36" t="str">
        <f aca="false">IF(O671="","",IF(O671&gt;=150,"Yes","No"))</f>
        <v/>
      </c>
      <c r="BX671" s="36" t="str">
        <f aca="false">IF(O671="","",IF(O671&gt;=200,"Yes","No"))</f>
        <v/>
      </c>
      <c r="BY671" s="36" t="str">
        <f aca="false">IF(Q671="","",IF(Q671&gt;=150000,"Yes","No"))</f>
        <v/>
      </c>
      <c r="BZ671" s="36" t="str">
        <f aca="false">IF(Q671="","",IF(Q671&gt;=200000,"Yes","No"))</f>
        <v/>
      </c>
      <c r="CA671" s="36" t="str">
        <f aca="false">IF(Q671="","",IF(Q671&gt;=250000,"Yes","No"))</f>
        <v/>
      </c>
      <c r="CB671" s="36" t="str">
        <f aca="false">IF(Q671="","",IF(Q671&gt;=300000,"Yes","No"))</f>
        <v/>
      </c>
      <c r="CC671" s="37"/>
      <c r="CD671" s="36" t="str">
        <f aca="true">IF(B671="","",IF(TODAY()-B671&lt;=7,"🟢 0-7d",IF(TODAY()-B671&lt;=30,"🟡 8-30d",IF(TODAY()-B671&lt;=60,"🟠 31-60d","🔴 60d+"))))</f>
        <v/>
      </c>
      <c r="CE671" s="36" t="str">
        <f aca="false">IF(G671="","",IF(G671&lt;&gt;"USA","N/A - Not USA Role",IF(J671="Yes",IF(OR(F671="Intern",F671="New Grad"),"🟡 Possible","🟢 Strong"),IF(J671="No","🔴 Difficult","⚪ Unknown"))))</f>
        <v/>
      </c>
      <c r="CF671" s="37"/>
      <c r="CG671" s="37"/>
      <c r="CH671" s="38"/>
      <c r="CI671" s="38"/>
      <c r="CJ671" s="38"/>
      <c r="CK671" s="38"/>
    </row>
    <row r="672" customFormat="false" ht="15" hidden="false" customHeight="true" outlineLevel="0" collapsed="false">
      <c r="A672" s="26" t="str">
        <f aca="false">IF($C672="","",ROW()-3)</f>
        <v/>
      </c>
      <c r="B672" s="27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9"/>
      <c r="N672" s="29"/>
      <c r="O672" s="30" t="str">
        <f aca="false">IFERROR(IF(M672="","",M672*INDEX('00 - Lists'!$M$2:$M$11,MATCH(L672,'00 - Lists'!$L$2:$L$11,0))/100000),"")</f>
        <v/>
      </c>
      <c r="P672" s="30" t="str">
        <f aca="false">IFERROR(IF(N672="","",N672*INDEX('00 - Lists'!$M$2:$M$11,MATCH(L672,'00 - Lists'!$L$2:$L$11,0))/100000),"")</f>
        <v/>
      </c>
      <c r="Q672" s="31" t="str">
        <f aca="false">IFERROR(IF(M672="","",M672*INDEX('00 - Lists'!$N$2:$N$11,MATCH(L672,'00 - Lists'!$L$2:$L$11,0))),"")</f>
        <v/>
      </c>
      <c r="R672" s="31" t="str">
        <f aca="false">IFERROR(IF(N672="","",N672*INDEX('00 - Lists'!$N$2:$N$11,MATCH(L672,'00 - Lists'!$L$2:$L$11,0))),"")</f>
        <v/>
      </c>
      <c r="S672" s="32" t="str">
        <f aca="false">IF(O672="","",IF(O672&gt;=50,"Yes","No"))</f>
        <v/>
      </c>
      <c r="T672" s="32" t="str">
        <f aca="false">IF(Q672="","",IF(Q672&gt;=100000,"Yes","No"))</f>
        <v/>
      </c>
      <c r="U672" s="28"/>
      <c r="V672" s="28"/>
      <c r="W672" s="28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J672" s="34" t="str">
        <f aca="false">IF(OR($BD672&lt;&gt;"",$BF672&lt;&gt;"",$BH672&lt;&gt;""),"Yes","No")</f>
        <v>No</v>
      </c>
      <c r="BK672" s="35" t="str">
        <f aca="false">IFERROR(IF(BD672="","",BD672*INDEX('00 - Lists'!$M$2:$M$11,MATCH(L672,'00 - Lists'!$L$2:$L$11,0))/100000),"")</f>
        <v/>
      </c>
      <c r="BL672" s="35" t="str">
        <f aca="false">IFERROR(IF(BE672="","",BE672*INDEX('00 - Lists'!$M$2:$M$11,MATCH(L672,'00 - Lists'!$L$2:$L$11,0))/100000),"")</f>
        <v/>
      </c>
      <c r="BM672" s="35" t="str">
        <f aca="false">IFERROR(IF(BF672="","",BF672*INDEX('00 - Lists'!$M$2:$M$11,MATCH(L672,'00 - Lists'!$L$2:$L$11,0))/100000),"")</f>
        <v/>
      </c>
      <c r="BN672" s="35" t="str">
        <f aca="false">IFERROR(IF(BG672="","",BG672*INDEX('00 - Lists'!$M$2:$M$11,MATCH(L672,'00 - Lists'!$L$2:$L$11,0))/100000),"")</f>
        <v/>
      </c>
      <c r="BO672" s="35" t="str">
        <f aca="false">IFERROR(IF(BH672="","",BH672*INDEX('00 - Lists'!$M$2:$M$11,MATCH(L672,'00 - Lists'!$L$2:$L$11,0))/100000),"")</f>
        <v/>
      </c>
      <c r="BP672" s="35" t="str">
        <f aca="false">IFERROR(IF(BI672="","",BI672*INDEX('00 - Lists'!$M$2:$M$11,MATCH(L672,'00 - Lists'!$L$2:$L$11,0))/100000),"")</f>
        <v/>
      </c>
      <c r="BS672" s="36" t="str">
        <f aca="false">IF(O672="","",IF(O672&gt;=20,"Yes","No"))</f>
        <v/>
      </c>
      <c r="BT672" s="36" t="str">
        <f aca="false">IF(O672="","",IF(O672&gt;=30,"Yes","No"))</f>
        <v/>
      </c>
      <c r="BU672" s="36" t="str">
        <f aca="false">IF(O672="","",IF(O672&gt;=75,"Yes","No"))</f>
        <v/>
      </c>
      <c r="BV672" s="36" t="str">
        <f aca="false">IF(O672="","",IF(O672&gt;=100,"Yes","No"))</f>
        <v/>
      </c>
      <c r="BW672" s="36" t="str">
        <f aca="false">IF(O672="","",IF(O672&gt;=150,"Yes","No"))</f>
        <v/>
      </c>
      <c r="BX672" s="36" t="str">
        <f aca="false">IF(O672="","",IF(O672&gt;=200,"Yes","No"))</f>
        <v/>
      </c>
      <c r="BY672" s="36" t="str">
        <f aca="false">IF(Q672="","",IF(Q672&gt;=150000,"Yes","No"))</f>
        <v/>
      </c>
      <c r="BZ672" s="36" t="str">
        <f aca="false">IF(Q672="","",IF(Q672&gt;=200000,"Yes","No"))</f>
        <v/>
      </c>
      <c r="CA672" s="36" t="str">
        <f aca="false">IF(Q672="","",IF(Q672&gt;=250000,"Yes","No"))</f>
        <v/>
      </c>
      <c r="CB672" s="36" t="str">
        <f aca="false">IF(Q672="","",IF(Q672&gt;=300000,"Yes","No"))</f>
        <v/>
      </c>
      <c r="CC672" s="37"/>
      <c r="CD672" s="36" t="str">
        <f aca="true">IF(B672="","",IF(TODAY()-B672&lt;=7,"🟢 0-7d",IF(TODAY()-B672&lt;=30,"🟡 8-30d",IF(TODAY()-B672&lt;=60,"🟠 31-60d","🔴 60d+"))))</f>
        <v/>
      </c>
      <c r="CE672" s="36" t="str">
        <f aca="false">IF(G672="","",IF(G672&lt;&gt;"USA","N/A - Not USA Role",IF(J672="Yes",IF(OR(F672="Intern",F672="New Grad"),"🟡 Possible","🟢 Strong"),IF(J672="No","🔴 Difficult","⚪ Unknown"))))</f>
        <v/>
      </c>
      <c r="CF672" s="37"/>
      <c r="CG672" s="37"/>
      <c r="CH672" s="38"/>
      <c r="CI672" s="38"/>
      <c r="CJ672" s="38"/>
      <c r="CK672" s="38"/>
    </row>
    <row r="673" customFormat="false" ht="15" hidden="false" customHeight="true" outlineLevel="0" collapsed="false">
      <c r="A673" s="26" t="str">
        <f aca="false">IF($C673="","",ROW()-3)</f>
        <v/>
      </c>
      <c r="B673" s="27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9"/>
      <c r="N673" s="29"/>
      <c r="O673" s="30" t="str">
        <f aca="false">IFERROR(IF(M673="","",M673*INDEX('00 - Lists'!$M$2:$M$11,MATCH(L673,'00 - Lists'!$L$2:$L$11,0))/100000),"")</f>
        <v/>
      </c>
      <c r="P673" s="30" t="str">
        <f aca="false">IFERROR(IF(N673="","",N673*INDEX('00 - Lists'!$M$2:$M$11,MATCH(L673,'00 - Lists'!$L$2:$L$11,0))/100000),"")</f>
        <v/>
      </c>
      <c r="Q673" s="31" t="str">
        <f aca="false">IFERROR(IF(M673="","",M673*INDEX('00 - Lists'!$N$2:$N$11,MATCH(L673,'00 - Lists'!$L$2:$L$11,0))),"")</f>
        <v/>
      </c>
      <c r="R673" s="31" t="str">
        <f aca="false">IFERROR(IF(N673="","",N673*INDEX('00 - Lists'!$N$2:$N$11,MATCH(L673,'00 - Lists'!$L$2:$L$11,0))),"")</f>
        <v/>
      </c>
      <c r="S673" s="32" t="str">
        <f aca="false">IF(O673="","",IF(O673&gt;=50,"Yes","No"))</f>
        <v/>
      </c>
      <c r="T673" s="32" t="str">
        <f aca="false">IF(Q673="","",IF(Q673&gt;=100000,"Yes","No"))</f>
        <v/>
      </c>
      <c r="U673" s="28"/>
      <c r="V673" s="28"/>
      <c r="W673" s="28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J673" s="34" t="str">
        <f aca="false">IF(OR($BD673&lt;&gt;"",$BF673&lt;&gt;"",$BH673&lt;&gt;""),"Yes","No")</f>
        <v>No</v>
      </c>
      <c r="BK673" s="35" t="str">
        <f aca="false">IFERROR(IF(BD673="","",BD673*INDEX('00 - Lists'!$M$2:$M$11,MATCH(L673,'00 - Lists'!$L$2:$L$11,0))/100000),"")</f>
        <v/>
      </c>
      <c r="BL673" s="35" t="str">
        <f aca="false">IFERROR(IF(BE673="","",BE673*INDEX('00 - Lists'!$M$2:$M$11,MATCH(L673,'00 - Lists'!$L$2:$L$11,0))/100000),"")</f>
        <v/>
      </c>
      <c r="BM673" s="35" t="str">
        <f aca="false">IFERROR(IF(BF673="","",BF673*INDEX('00 - Lists'!$M$2:$M$11,MATCH(L673,'00 - Lists'!$L$2:$L$11,0))/100000),"")</f>
        <v/>
      </c>
      <c r="BN673" s="35" t="str">
        <f aca="false">IFERROR(IF(BG673="","",BG673*INDEX('00 - Lists'!$M$2:$M$11,MATCH(L673,'00 - Lists'!$L$2:$L$11,0))/100000),"")</f>
        <v/>
      </c>
      <c r="BO673" s="35" t="str">
        <f aca="false">IFERROR(IF(BH673="","",BH673*INDEX('00 - Lists'!$M$2:$M$11,MATCH(L673,'00 - Lists'!$L$2:$L$11,0))/100000),"")</f>
        <v/>
      </c>
      <c r="BP673" s="35" t="str">
        <f aca="false">IFERROR(IF(BI673="","",BI673*INDEX('00 - Lists'!$M$2:$M$11,MATCH(L673,'00 - Lists'!$L$2:$L$11,0))/100000),"")</f>
        <v/>
      </c>
      <c r="BS673" s="36" t="str">
        <f aca="false">IF(O673="","",IF(O673&gt;=20,"Yes","No"))</f>
        <v/>
      </c>
      <c r="BT673" s="36" t="str">
        <f aca="false">IF(O673="","",IF(O673&gt;=30,"Yes","No"))</f>
        <v/>
      </c>
      <c r="BU673" s="36" t="str">
        <f aca="false">IF(O673="","",IF(O673&gt;=75,"Yes","No"))</f>
        <v/>
      </c>
      <c r="BV673" s="36" t="str">
        <f aca="false">IF(O673="","",IF(O673&gt;=100,"Yes","No"))</f>
        <v/>
      </c>
      <c r="BW673" s="36" t="str">
        <f aca="false">IF(O673="","",IF(O673&gt;=150,"Yes","No"))</f>
        <v/>
      </c>
      <c r="BX673" s="36" t="str">
        <f aca="false">IF(O673="","",IF(O673&gt;=200,"Yes","No"))</f>
        <v/>
      </c>
      <c r="BY673" s="36" t="str">
        <f aca="false">IF(Q673="","",IF(Q673&gt;=150000,"Yes","No"))</f>
        <v/>
      </c>
      <c r="BZ673" s="36" t="str">
        <f aca="false">IF(Q673="","",IF(Q673&gt;=200000,"Yes","No"))</f>
        <v/>
      </c>
      <c r="CA673" s="36" t="str">
        <f aca="false">IF(Q673="","",IF(Q673&gt;=250000,"Yes","No"))</f>
        <v/>
      </c>
      <c r="CB673" s="36" t="str">
        <f aca="false">IF(Q673="","",IF(Q673&gt;=300000,"Yes","No"))</f>
        <v/>
      </c>
      <c r="CC673" s="37"/>
      <c r="CD673" s="36" t="str">
        <f aca="true">IF(B673="","",IF(TODAY()-B673&lt;=7,"🟢 0-7d",IF(TODAY()-B673&lt;=30,"🟡 8-30d",IF(TODAY()-B673&lt;=60,"🟠 31-60d","🔴 60d+"))))</f>
        <v/>
      </c>
      <c r="CE673" s="36" t="str">
        <f aca="false">IF(G673="","",IF(G673&lt;&gt;"USA","N/A - Not USA Role",IF(J673="Yes",IF(OR(F673="Intern",F673="New Grad"),"🟡 Possible","🟢 Strong"),IF(J673="No","🔴 Difficult","⚪ Unknown"))))</f>
        <v/>
      </c>
      <c r="CF673" s="37"/>
      <c r="CG673" s="37"/>
      <c r="CH673" s="38"/>
      <c r="CI673" s="38"/>
      <c r="CJ673" s="38"/>
      <c r="CK673" s="38"/>
    </row>
    <row r="674" customFormat="false" ht="15" hidden="false" customHeight="true" outlineLevel="0" collapsed="false">
      <c r="A674" s="26" t="str">
        <f aca="false">IF($C674="","",ROW()-3)</f>
        <v/>
      </c>
      <c r="B674" s="27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9"/>
      <c r="N674" s="29"/>
      <c r="O674" s="30" t="str">
        <f aca="false">IFERROR(IF(M674="","",M674*INDEX('00 - Lists'!$M$2:$M$11,MATCH(L674,'00 - Lists'!$L$2:$L$11,0))/100000),"")</f>
        <v/>
      </c>
      <c r="P674" s="30" t="str">
        <f aca="false">IFERROR(IF(N674="","",N674*INDEX('00 - Lists'!$M$2:$M$11,MATCH(L674,'00 - Lists'!$L$2:$L$11,0))/100000),"")</f>
        <v/>
      </c>
      <c r="Q674" s="31" t="str">
        <f aca="false">IFERROR(IF(M674="","",M674*INDEX('00 - Lists'!$N$2:$N$11,MATCH(L674,'00 - Lists'!$L$2:$L$11,0))),"")</f>
        <v/>
      </c>
      <c r="R674" s="31" t="str">
        <f aca="false">IFERROR(IF(N674="","",N674*INDEX('00 - Lists'!$N$2:$N$11,MATCH(L674,'00 - Lists'!$L$2:$L$11,0))),"")</f>
        <v/>
      </c>
      <c r="S674" s="32" t="str">
        <f aca="false">IF(O674="","",IF(O674&gt;=50,"Yes","No"))</f>
        <v/>
      </c>
      <c r="T674" s="32" t="str">
        <f aca="false">IF(Q674="","",IF(Q674&gt;=100000,"Yes","No"))</f>
        <v/>
      </c>
      <c r="U674" s="28"/>
      <c r="V674" s="28"/>
      <c r="W674" s="28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J674" s="34" t="str">
        <f aca="false">IF(OR($BD674&lt;&gt;"",$BF674&lt;&gt;"",$BH674&lt;&gt;""),"Yes","No")</f>
        <v>No</v>
      </c>
      <c r="BK674" s="35" t="str">
        <f aca="false">IFERROR(IF(BD674="","",BD674*INDEX('00 - Lists'!$M$2:$M$11,MATCH(L674,'00 - Lists'!$L$2:$L$11,0))/100000),"")</f>
        <v/>
      </c>
      <c r="BL674" s="35" t="str">
        <f aca="false">IFERROR(IF(BE674="","",BE674*INDEX('00 - Lists'!$M$2:$M$11,MATCH(L674,'00 - Lists'!$L$2:$L$11,0))/100000),"")</f>
        <v/>
      </c>
      <c r="BM674" s="35" t="str">
        <f aca="false">IFERROR(IF(BF674="","",BF674*INDEX('00 - Lists'!$M$2:$M$11,MATCH(L674,'00 - Lists'!$L$2:$L$11,0))/100000),"")</f>
        <v/>
      </c>
      <c r="BN674" s="35" t="str">
        <f aca="false">IFERROR(IF(BG674="","",BG674*INDEX('00 - Lists'!$M$2:$M$11,MATCH(L674,'00 - Lists'!$L$2:$L$11,0))/100000),"")</f>
        <v/>
      </c>
      <c r="BO674" s="35" t="str">
        <f aca="false">IFERROR(IF(BH674="","",BH674*INDEX('00 - Lists'!$M$2:$M$11,MATCH(L674,'00 - Lists'!$L$2:$L$11,0))/100000),"")</f>
        <v/>
      </c>
      <c r="BP674" s="35" t="str">
        <f aca="false">IFERROR(IF(BI674="","",BI674*INDEX('00 - Lists'!$M$2:$M$11,MATCH(L674,'00 - Lists'!$L$2:$L$11,0))/100000),"")</f>
        <v/>
      </c>
      <c r="BS674" s="36" t="str">
        <f aca="false">IF(O674="","",IF(O674&gt;=20,"Yes","No"))</f>
        <v/>
      </c>
      <c r="BT674" s="36" t="str">
        <f aca="false">IF(O674="","",IF(O674&gt;=30,"Yes","No"))</f>
        <v/>
      </c>
      <c r="BU674" s="36" t="str">
        <f aca="false">IF(O674="","",IF(O674&gt;=75,"Yes","No"))</f>
        <v/>
      </c>
      <c r="BV674" s="36" t="str">
        <f aca="false">IF(O674="","",IF(O674&gt;=100,"Yes","No"))</f>
        <v/>
      </c>
      <c r="BW674" s="36" t="str">
        <f aca="false">IF(O674="","",IF(O674&gt;=150,"Yes","No"))</f>
        <v/>
      </c>
      <c r="BX674" s="36" t="str">
        <f aca="false">IF(O674="","",IF(O674&gt;=200,"Yes","No"))</f>
        <v/>
      </c>
      <c r="BY674" s="36" t="str">
        <f aca="false">IF(Q674="","",IF(Q674&gt;=150000,"Yes","No"))</f>
        <v/>
      </c>
      <c r="BZ674" s="36" t="str">
        <f aca="false">IF(Q674="","",IF(Q674&gt;=200000,"Yes","No"))</f>
        <v/>
      </c>
      <c r="CA674" s="36" t="str">
        <f aca="false">IF(Q674="","",IF(Q674&gt;=250000,"Yes","No"))</f>
        <v/>
      </c>
      <c r="CB674" s="36" t="str">
        <f aca="false">IF(Q674="","",IF(Q674&gt;=300000,"Yes","No"))</f>
        <v/>
      </c>
      <c r="CC674" s="37"/>
      <c r="CD674" s="36" t="str">
        <f aca="true">IF(B674="","",IF(TODAY()-B674&lt;=7,"🟢 0-7d",IF(TODAY()-B674&lt;=30,"🟡 8-30d",IF(TODAY()-B674&lt;=60,"🟠 31-60d","🔴 60d+"))))</f>
        <v/>
      </c>
      <c r="CE674" s="36" t="str">
        <f aca="false">IF(G674="","",IF(G674&lt;&gt;"USA","N/A - Not USA Role",IF(J674="Yes",IF(OR(F674="Intern",F674="New Grad"),"🟡 Possible","🟢 Strong"),IF(J674="No","🔴 Difficult","⚪ Unknown"))))</f>
        <v/>
      </c>
      <c r="CF674" s="37"/>
      <c r="CG674" s="37"/>
      <c r="CH674" s="38"/>
      <c r="CI674" s="38"/>
      <c r="CJ674" s="38"/>
      <c r="CK674" s="38"/>
    </row>
    <row r="675" customFormat="false" ht="15" hidden="false" customHeight="true" outlineLevel="0" collapsed="false">
      <c r="A675" s="26" t="str">
        <f aca="false">IF($C675="","",ROW()-3)</f>
        <v/>
      </c>
      <c r="B675" s="27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9"/>
      <c r="N675" s="29"/>
      <c r="O675" s="30" t="str">
        <f aca="false">IFERROR(IF(M675="","",M675*INDEX('00 - Lists'!$M$2:$M$11,MATCH(L675,'00 - Lists'!$L$2:$L$11,0))/100000),"")</f>
        <v/>
      </c>
      <c r="P675" s="30" t="str">
        <f aca="false">IFERROR(IF(N675="","",N675*INDEX('00 - Lists'!$M$2:$M$11,MATCH(L675,'00 - Lists'!$L$2:$L$11,0))/100000),"")</f>
        <v/>
      </c>
      <c r="Q675" s="31" t="str">
        <f aca="false">IFERROR(IF(M675="","",M675*INDEX('00 - Lists'!$N$2:$N$11,MATCH(L675,'00 - Lists'!$L$2:$L$11,0))),"")</f>
        <v/>
      </c>
      <c r="R675" s="31" t="str">
        <f aca="false">IFERROR(IF(N675="","",N675*INDEX('00 - Lists'!$N$2:$N$11,MATCH(L675,'00 - Lists'!$L$2:$L$11,0))),"")</f>
        <v/>
      </c>
      <c r="S675" s="32" t="str">
        <f aca="false">IF(O675="","",IF(O675&gt;=50,"Yes","No"))</f>
        <v/>
      </c>
      <c r="T675" s="32" t="str">
        <f aca="false">IF(Q675="","",IF(Q675&gt;=100000,"Yes","No"))</f>
        <v/>
      </c>
      <c r="U675" s="28"/>
      <c r="V675" s="28"/>
      <c r="W675" s="28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J675" s="34" t="str">
        <f aca="false">IF(OR($BD675&lt;&gt;"",$BF675&lt;&gt;"",$BH675&lt;&gt;""),"Yes","No")</f>
        <v>No</v>
      </c>
      <c r="BK675" s="35" t="str">
        <f aca="false">IFERROR(IF(BD675="","",BD675*INDEX('00 - Lists'!$M$2:$M$11,MATCH(L675,'00 - Lists'!$L$2:$L$11,0))/100000),"")</f>
        <v/>
      </c>
      <c r="BL675" s="35" t="str">
        <f aca="false">IFERROR(IF(BE675="","",BE675*INDEX('00 - Lists'!$M$2:$M$11,MATCH(L675,'00 - Lists'!$L$2:$L$11,0))/100000),"")</f>
        <v/>
      </c>
      <c r="BM675" s="35" t="str">
        <f aca="false">IFERROR(IF(BF675="","",BF675*INDEX('00 - Lists'!$M$2:$M$11,MATCH(L675,'00 - Lists'!$L$2:$L$11,0))/100000),"")</f>
        <v/>
      </c>
      <c r="BN675" s="35" t="str">
        <f aca="false">IFERROR(IF(BG675="","",BG675*INDEX('00 - Lists'!$M$2:$M$11,MATCH(L675,'00 - Lists'!$L$2:$L$11,0))/100000),"")</f>
        <v/>
      </c>
      <c r="BO675" s="35" t="str">
        <f aca="false">IFERROR(IF(BH675="","",BH675*INDEX('00 - Lists'!$M$2:$M$11,MATCH(L675,'00 - Lists'!$L$2:$L$11,0))/100000),"")</f>
        <v/>
      </c>
      <c r="BP675" s="35" t="str">
        <f aca="false">IFERROR(IF(BI675="","",BI675*INDEX('00 - Lists'!$M$2:$M$11,MATCH(L675,'00 - Lists'!$L$2:$L$11,0))/100000),"")</f>
        <v/>
      </c>
      <c r="BS675" s="36" t="str">
        <f aca="false">IF(O675="","",IF(O675&gt;=20,"Yes","No"))</f>
        <v/>
      </c>
      <c r="BT675" s="36" t="str">
        <f aca="false">IF(O675="","",IF(O675&gt;=30,"Yes","No"))</f>
        <v/>
      </c>
      <c r="BU675" s="36" t="str">
        <f aca="false">IF(O675="","",IF(O675&gt;=75,"Yes","No"))</f>
        <v/>
      </c>
      <c r="BV675" s="36" t="str">
        <f aca="false">IF(O675="","",IF(O675&gt;=100,"Yes","No"))</f>
        <v/>
      </c>
      <c r="BW675" s="36" t="str">
        <f aca="false">IF(O675="","",IF(O675&gt;=150,"Yes","No"))</f>
        <v/>
      </c>
      <c r="BX675" s="36" t="str">
        <f aca="false">IF(O675="","",IF(O675&gt;=200,"Yes","No"))</f>
        <v/>
      </c>
      <c r="BY675" s="36" t="str">
        <f aca="false">IF(Q675="","",IF(Q675&gt;=150000,"Yes","No"))</f>
        <v/>
      </c>
      <c r="BZ675" s="36" t="str">
        <f aca="false">IF(Q675="","",IF(Q675&gt;=200000,"Yes","No"))</f>
        <v/>
      </c>
      <c r="CA675" s="36" t="str">
        <f aca="false">IF(Q675="","",IF(Q675&gt;=250000,"Yes","No"))</f>
        <v/>
      </c>
      <c r="CB675" s="36" t="str">
        <f aca="false">IF(Q675="","",IF(Q675&gt;=300000,"Yes","No"))</f>
        <v/>
      </c>
      <c r="CC675" s="37"/>
      <c r="CD675" s="36" t="str">
        <f aca="true">IF(B675="","",IF(TODAY()-B675&lt;=7,"🟢 0-7d",IF(TODAY()-B675&lt;=30,"🟡 8-30d",IF(TODAY()-B675&lt;=60,"🟠 31-60d","🔴 60d+"))))</f>
        <v/>
      </c>
      <c r="CE675" s="36" t="str">
        <f aca="false">IF(G675="","",IF(G675&lt;&gt;"USA","N/A - Not USA Role",IF(J675="Yes",IF(OR(F675="Intern",F675="New Grad"),"🟡 Possible","🟢 Strong"),IF(J675="No","🔴 Difficult","⚪ Unknown"))))</f>
        <v/>
      </c>
      <c r="CF675" s="37"/>
      <c r="CG675" s="37"/>
      <c r="CH675" s="38"/>
      <c r="CI675" s="38"/>
      <c r="CJ675" s="38"/>
      <c r="CK675" s="38"/>
    </row>
    <row r="676" customFormat="false" ht="15" hidden="false" customHeight="true" outlineLevel="0" collapsed="false">
      <c r="A676" s="26" t="str">
        <f aca="false">IF($C676="","",ROW()-3)</f>
        <v/>
      </c>
      <c r="B676" s="27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9"/>
      <c r="N676" s="29"/>
      <c r="O676" s="30" t="str">
        <f aca="false">IFERROR(IF(M676="","",M676*INDEX('00 - Lists'!$M$2:$M$11,MATCH(L676,'00 - Lists'!$L$2:$L$11,0))/100000),"")</f>
        <v/>
      </c>
      <c r="P676" s="30" t="str">
        <f aca="false">IFERROR(IF(N676="","",N676*INDEX('00 - Lists'!$M$2:$M$11,MATCH(L676,'00 - Lists'!$L$2:$L$11,0))/100000),"")</f>
        <v/>
      </c>
      <c r="Q676" s="31" t="str">
        <f aca="false">IFERROR(IF(M676="","",M676*INDEX('00 - Lists'!$N$2:$N$11,MATCH(L676,'00 - Lists'!$L$2:$L$11,0))),"")</f>
        <v/>
      </c>
      <c r="R676" s="31" t="str">
        <f aca="false">IFERROR(IF(N676="","",N676*INDEX('00 - Lists'!$N$2:$N$11,MATCH(L676,'00 - Lists'!$L$2:$L$11,0))),"")</f>
        <v/>
      </c>
      <c r="S676" s="32" t="str">
        <f aca="false">IF(O676="","",IF(O676&gt;=50,"Yes","No"))</f>
        <v/>
      </c>
      <c r="T676" s="32" t="str">
        <f aca="false">IF(Q676="","",IF(Q676&gt;=100000,"Yes","No"))</f>
        <v/>
      </c>
      <c r="U676" s="28"/>
      <c r="V676" s="28"/>
      <c r="W676" s="28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J676" s="34" t="str">
        <f aca="false">IF(OR($BD676&lt;&gt;"",$BF676&lt;&gt;"",$BH676&lt;&gt;""),"Yes","No")</f>
        <v>No</v>
      </c>
      <c r="BK676" s="35" t="str">
        <f aca="false">IFERROR(IF(BD676="","",BD676*INDEX('00 - Lists'!$M$2:$M$11,MATCH(L676,'00 - Lists'!$L$2:$L$11,0))/100000),"")</f>
        <v/>
      </c>
      <c r="BL676" s="35" t="str">
        <f aca="false">IFERROR(IF(BE676="","",BE676*INDEX('00 - Lists'!$M$2:$M$11,MATCH(L676,'00 - Lists'!$L$2:$L$11,0))/100000),"")</f>
        <v/>
      </c>
      <c r="BM676" s="35" t="str">
        <f aca="false">IFERROR(IF(BF676="","",BF676*INDEX('00 - Lists'!$M$2:$M$11,MATCH(L676,'00 - Lists'!$L$2:$L$11,0))/100000),"")</f>
        <v/>
      </c>
      <c r="BN676" s="35" t="str">
        <f aca="false">IFERROR(IF(BG676="","",BG676*INDEX('00 - Lists'!$M$2:$M$11,MATCH(L676,'00 - Lists'!$L$2:$L$11,0))/100000),"")</f>
        <v/>
      </c>
      <c r="BO676" s="35" t="str">
        <f aca="false">IFERROR(IF(BH676="","",BH676*INDEX('00 - Lists'!$M$2:$M$11,MATCH(L676,'00 - Lists'!$L$2:$L$11,0))/100000),"")</f>
        <v/>
      </c>
      <c r="BP676" s="35" t="str">
        <f aca="false">IFERROR(IF(BI676="","",BI676*INDEX('00 - Lists'!$M$2:$M$11,MATCH(L676,'00 - Lists'!$L$2:$L$11,0))/100000),"")</f>
        <v/>
      </c>
      <c r="BS676" s="36" t="str">
        <f aca="false">IF(O676="","",IF(O676&gt;=20,"Yes","No"))</f>
        <v/>
      </c>
      <c r="BT676" s="36" t="str">
        <f aca="false">IF(O676="","",IF(O676&gt;=30,"Yes","No"))</f>
        <v/>
      </c>
      <c r="BU676" s="36" t="str">
        <f aca="false">IF(O676="","",IF(O676&gt;=75,"Yes","No"))</f>
        <v/>
      </c>
      <c r="BV676" s="36" t="str">
        <f aca="false">IF(O676="","",IF(O676&gt;=100,"Yes","No"))</f>
        <v/>
      </c>
      <c r="BW676" s="36" t="str">
        <f aca="false">IF(O676="","",IF(O676&gt;=150,"Yes","No"))</f>
        <v/>
      </c>
      <c r="BX676" s="36" t="str">
        <f aca="false">IF(O676="","",IF(O676&gt;=200,"Yes","No"))</f>
        <v/>
      </c>
      <c r="BY676" s="36" t="str">
        <f aca="false">IF(Q676="","",IF(Q676&gt;=150000,"Yes","No"))</f>
        <v/>
      </c>
      <c r="BZ676" s="36" t="str">
        <f aca="false">IF(Q676="","",IF(Q676&gt;=200000,"Yes","No"))</f>
        <v/>
      </c>
      <c r="CA676" s="36" t="str">
        <f aca="false">IF(Q676="","",IF(Q676&gt;=250000,"Yes","No"))</f>
        <v/>
      </c>
      <c r="CB676" s="36" t="str">
        <f aca="false">IF(Q676="","",IF(Q676&gt;=300000,"Yes","No"))</f>
        <v/>
      </c>
      <c r="CC676" s="37"/>
      <c r="CD676" s="36" t="str">
        <f aca="true">IF(B676="","",IF(TODAY()-B676&lt;=7,"🟢 0-7d",IF(TODAY()-B676&lt;=30,"🟡 8-30d",IF(TODAY()-B676&lt;=60,"🟠 31-60d","🔴 60d+"))))</f>
        <v/>
      </c>
      <c r="CE676" s="36" t="str">
        <f aca="false">IF(G676="","",IF(G676&lt;&gt;"USA","N/A - Not USA Role",IF(J676="Yes",IF(OR(F676="Intern",F676="New Grad"),"🟡 Possible","🟢 Strong"),IF(J676="No","🔴 Difficult","⚪ Unknown"))))</f>
        <v/>
      </c>
      <c r="CF676" s="37"/>
      <c r="CG676" s="37"/>
      <c r="CH676" s="38"/>
      <c r="CI676" s="38"/>
      <c r="CJ676" s="38"/>
      <c r="CK676" s="38"/>
    </row>
    <row r="677" customFormat="false" ht="15" hidden="false" customHeight="true" outlineLevel="0" collapsed="false">
      <c r="A677" s="26" t="str">
        <f aca="false">IF($C677="","",ROW()-3)</f>
        <v/>
      </c>
      <c r="B677" s="27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9"/>
      <c r="N677" s="29"/>
      <c r="O677" s="30" t="str">
        <f aca="false">IFERROR(IF(M677="","",M677*INDEX('00 - Lists'!$M$2:$M$11,MATCH(L677,'00 - Lists'!$L$2:$L$11,0))/100000),"")</f>
        <v/>
      </c>
      <c r="P677" s="30" t="str">
        <f aca="false">IFERROR(IF(N677="","",N677*INDEX('00 - Lists'!$M$2:$M$11,MATCH(L677,'00 - Lists'!$L$2:$L$11,0))/100000),"")</f>
        <v/>
      </c>
      <c r="Q677" s="31" t="str">
        <f aca="false">IFERROR(IF(M677="","",M677*INDEX('00 - Lists'!$N$2:$N$11,MATCH(L677,'00 - Lists'!$L$2:$L$11,0))),"")</f>
        <v/>
      </c>
      <c r="R677" s="31" t="str">
        <f aca="false">IFERROR(IF(N677="","",N677*INDEX('00 - Lists'!$N$2:$N$11,MATCH(L677,'00 - Lists'!$L$2:$L$11,0))),"")</f>
        <v/>
      </c>
      <c r="S677" s="32" t="str">
        <f aca="false">IF(O677="","",IF(O677&gt;=50,"Yes","No"))</f>
        <v/>
      </c>
      <c r="T677" s="32" t="str">
        <f aca="false">IF(Q677="","",IF(Q677&gt;=100000,"Yes","No"))</f>
        <v/>
      </c>
      <c r="U677" s="28"/>
      <c r="V677" s="28"/>
      <c r="W677" s="28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J677" s="34" t="str">
        <f aca="false">IF(OR($BD677&lt;&gt;"",$BF677&lt;&gt;"",$BH677&lt;&gt;""),"Yes","No")</f>
        <v>No</v>
      </c>
      <c r="BK677" s="35" t="str">
        <f aca="false">IFERROR(IF(BD677="","",BD677*INDEX('00 - Lists'!$M$2:$M$11,MATCH(L677,'00 - Lists'!$L$2:$L$11,0))/100000),"")</f>
        <v/>
      </c>
      <c r="BL677" s="35" t="str">
        <f aca="false">IFERROR(IF(BE677="","",BE677*INDEX('00 - Lists'!$M$2:$M$11,MATCH(L677,'00 - Lists'!$L$2:$L$11,0))/100000),"")</f>
        <v/>
      </c>
      <c r="BM677" s="35" t="str">
        <f aca="false">IFERROR(IF(BF677="","",BF677*INDEX('00 - Lists'!$M$2:$M$11,MATCH(L677,'00 - Lists'!$L$2:$L$11,0))/100000),"")</f>
        <v/>
      </c>
      <c r="BN677" s="35" t="str">
        <f aca="false">IFERROR(IF(BG677="","",BG677*INDEX('00 - Lists'!$M$2:$M$11,MATCH(L677,'00 - Lists'!$L$2:$L$11,0))/100000),"")</f>
        <v/>
      </c>
      <c r="BO677" s="35" t="str">
        <f aca="false">IFERROR(IF(BH677="","",BH677*INDEX('00 - Lists'!$M$2:$M$11,MATCH(L677,'00 - Lists'!$L$2:$L$11,0))/100000),"")</f>
        <v/>
      </c>
      <c r="BP677" s="35" t="str">
        <f aca="false">IFERROR(IF(BI677="","",BI677*INDEX('00 - Lists'!$M$2:$M$11,MATCH(L677,'00 - Lists'!$L$2:$L$11,0))/100000),"")</f>
        <v/>
      </c>
      <c r="BS677" s="36" t="str">
        <f aca="false">IF(O677="","",IF(O677&gt;=20,"Yes","No"))</f>
        <v/>
      </c>
      <c r="BT677" s="36" t="str">
        <f aca="false">IF(O677="","",IF(O677&gt;=30,"Yes","No"))</f>
        <v/>
      </c>
      <c r="BU677" s="36" t="str">
        <f aca="false">IF(O677="","",IF(O677&gt;=75,"Yes","No"))</f>
        <v/>
      </c>
      <c r="BV677" s="36" t="str">
        <f aca="false">IF(O677="","",IF(O677&gt;=100,"Yes","No"))</f>
        <v/>
      </c>
      <c r="BW677" s="36" t="str">
        <f aca="false">IF(O677="","",IF(O677&gt;=150,"Yes","No"))</f>
        <v/>
      </c>
      <c r="BX677" s="36" t="str">
        <f aca="false">IF(O677="","",IF(O677&gt;=200,"Yes","No"))</f>
        <v/>
      </c>
      <c r="BY677" s="36" t="str">
        <f aca="false">IF(Q677="","",IF(Q677&gt;=150000,"Yes","No"))</f>
        <v/>
      </c>
      <c r="BZ677" s="36" t="str">
        <f aca="false">IF(Q677="","",IF(Q677&gt;=200000,"Yes","No"))</f>
        <v/>
      </c>
      <c r="CA677" s="36" t="str">
        <f aca="false">IF(Q677="","",IF(Q677&gt;=250000,"Yes","No"))</f>
        <v/>
      </c>
      <c r="CB677" s="36" t="str">
        <f aca="false">IF(Q677="","",IF(Q677&gt;=300000,"Yes","No"))</f>
        <v/>
      </c>
      <c r="CC677" s="37"/>
      <c r="CD677" s="36" t="str">
        <f aca="true">IF(B677="","",IF(TODAY()-B677&lt;=7,"🟢 0-7d",IF(TODAY()-B677&lt;=30,"🟡 8-30d",IF(TODAY()-B677&lt;=60,"🟠 31-60d","🔴 60d+"))))</f>
        <v/>
      </c>
      <c r="CE677" s="36" t="str">
        <f aca="false">IF(G677="","",IF(G677&lt;&gt;"USA","N/A - Not USA Role",IF(J677="Yes",IF(OR(F677="Intern",F677="New Grad"),"🟡 Possible","🟢 Strong"),IF(J677="No","🔴 Difficult","⚪ Unknown"))))</f>
        <v/>
      </c>
      <c r="CF677" s="37"/>
      <c r="CG677" s="37"/>
      <c r="CH677" s="38"/>
      <c r="CI677" s="38"/>
      <c r="CJ677" s="38"/>
      <c r="CK677" s="38"/>
    </row>
    <row r="678" customFormat="false" ht="15" hidden="false" customHeight="true" outlineLevel="0" collapsed="false">
      <c r="A678" s="26" t="str">
        <f aca="false">IF($C678="","",ROW()-3)</f>
        <v/>
      </c>
      <c r="B678" s="27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9"/>
      <c r="N678" s="29"/>
      <c r="O678" s="30" t="str">
        <f aca="false">IFERROR(IF(M678="","",M678*INDEX('00 - Lists'!$M$2:$M$11,MATCH(L678,'00 - Lists'!$L$2:$L$11,0))/100000),"")</f>
        <v/>
      </c>
      <c r="P678" s="30" t="str">
        <f aca="false">IFERROR(IF(N678="","",N678*INDEX('00 - Lists'!$M$2:$M$11,MATCH(L678,'00 - Lists'!$L$2:$L$11,0))/100000),"")</f>
        <v/>
      </c>
      <c r="Q678" s="31" t="str">
        <f aca="false">IFERROR(IF(M678="","",M678*INDEX('00 - Lists'!$N$2:$N$11,MATCH(L678,'00 - Lists'!$L$2:$L$11,0))),"")</f>
        <v/>
      </c>
      <c r="R678" s="31" t="str">
        <f aca="false">IFERROR(IF(N678="","",N678*INDEX('00 - Lists'!$N$2:$N$11,MATCH(L678,'00 - Lists'!$L$2:$L$11,0))),"")</f>
        <v/>
      </c>
      <c r="S678" s="32" t="str">
        <f aca="false">IF(O678="","",IF(O678&gt;=50,"Yes","No"))</f>
        <v/>
      </c>
      <c r="T678" s="32" t="str">
        <f aca="false">IF(Q678="","",IF(Q678&gt;=100000,"Yes","No"))</f>
        <v/>
      </c>
      <c r="U678" s="28"/>
      <c r="V678" s="28"/>
      <c r="W678" s="28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J678" s="34" t="str">
        <f aca="false">IF(OR($BD678&lt;&gt;"",$BF678&lt;&gt;"",$BH678&lt;&gt;""),"Yes","No")</f>
        <v>No</v>
      </c>
      <c r="BK678" s="35" t="str">
        <f aca="false">IFERROR(IF(BD678="","",BD678*INDEX('00 - Lists'!$M$2:$M$11,MATCH(L678,'00 - Lists'!$L$2:$L$11,0))/100000),"")</f>
        <v/>
      </c>
      <c r="BL678" s="35" t="str">
        <f aca="false">IFERROR(IF(BE678="","",BE678*INDEX('00 - Lists'!$M$2:$M$11,MATCH(L678,'00 - Lists'!$L$2:$L$11,0))/100000),"")</f>
        <v/>
      </c>
      <c r="BM678" s="35" t="str">
        <f aca="false">IFERROR(IF(BF678="","",BF678*INDEX('00 - Lists'!$M$2:$M$11,MATCH(L678,'00 - Lists'!$L$2:$L$11,0))/100000),"")</f>
        <v/>
      </c>
      <c r="BN678" s="35" t="str">
        <f aca="false">IFERROR(IF(BG678="","",BG678*INDEX('00 - Lists'!$M$2:$M$11,MATCH(L678,'00 - Lists'!$L$2:$L$11,0))/100000),"")</f>
        <v/>
      </c>
      <c r="BO678" s="35" t="str">
        <f aca="false">IFERROR(IF(BH678="","",BH678*INDEX('00 - Lists'!$M$2:$M$11,MATCH(L678,'00 - Lists'!$L$2:$L$11,0))/100000),"")</f>
        <v/>
      </c>
      <c r="BP678" s="35" t="str">
        <f aca="false">IFERROR(IF(BI678="","",BI678*INDEX('00 - Lists'!$M$2:$M$11,MATCH(L678,'00 - Lists'!$L$2:$L$11,0))/100000),"")</f>
        <v/>
      </c>
      <c r="BS678" s="36" t="str">
        <f aca="false">IF(O678="","",IF(O678&gt;=20,"Yes","No"))</f>
        <v/>
      </c>
      <c r="BT678" s="36" t="str">
        <f aca="false">IF(O678="","",IF(O678&gt;=30,"Yes","No"))</f>
        <v/>
      </c>
      <c r="BU678" s="36" t="str">
        <f aca="false">IF(O678="","",IF(O678&gt;=75,"Yes","No"))</f>
        <v/>
      </c>
      <c r="BV678" s="36" t="str">
        <f aca="false">IF(O678="","",IF(O678&gt;=100,"Yes","No"))</f>
        <v/>
      </c>
      <c r="BW678" s="36" t="str">
        <f aca="false">IF(O678="","",IF(O678&gt;=150,"Yes","No"))</f>
        <v/>
      </c>
      <c r="BX678" s="36" t="str">
        <f aca="false">IF(O678="","",IF(O678&gt;=200,"Yes","No"))</f>
        <v/>
      </c>
      <c r="BY678" s="36" t="str">
        <f aca="false">IF(Q678="","",IF(Q678&gt;=150000,"Yes","No"))</f>
        <v/>
      </c>
      <c r="BZ678" s="36" t="str">
        <f aca="false">IF(Q678="","",IF(Q678&gt;=200000,"Yes","No"))</f>
        <v/>
      </c>
      <c r="CA678" s="36" t="str">
        <f aca="false">IF(Q678="","",IF(Q678&gt;=250000,"Yes","No"))</f>
        <v/>
      </c>
      <c r="CB678" s="36" t="str">
        <f aca="false">IF(Q678="","",IF(Q678&gt;=300000,"Yes","No"))</f>
        <v/>
      </c>
      <c r="CC678" s="37"/>
      <c r="CD678" s="36" t="str">
        <f aca="true">IF(B678="","",IF(TODAY()-B678&lt;=7,"🟢 0-7d",IF(TODAY()-B678&lt;=30,"🟡 8-30d",IF(TODAY()-B678&lt;=60,"🟠 31-60d","🔴 60d+"))))</f>
        <v/>
      </c>
      <c r="CE678" s="36" t="str">
        <f aca="false">IF(G678="","",IF(G678&lt;&gt;"USA","N/A - Not USA Role",IF(J678="Yes",IF(OR(F678="Intern",F678="New Grad"),"🟡 Possible","🟢 Strong"),IF(J678="No","🔴 Difficult","⚪ Unknown"))))</f>
        <v/>
      </c>
      <c r="CF678" s="37"/>
      <c r="CG678" s="37"/>
      <c r="CH678" s="38"/>
      <c r="CI678" s="38"/>
      <c r="CJ678" s="38"/>
      <c r="CK678" s="38"/>
    </row>
    <row r="679" customFormat="false" ht="15" hidden="false" customHeight="true" outlineLevel="0" collapsed="false">
      <c r="A679" s="26" t="str">
        <f aca="false">IF($C679="","",ROW()-3)</f>
        <v/>
      </c>
      <c r="B679" s="27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9"/>
      <c r="N679" s="29"/>
      <c r="O679" s="30" t="str">
        <f aca="false">IFERROR(IF(M679="","",M679*INDEX('00 - Lists'!$M$2:$M$11,MATCH(L679,'00 - Lists'!$L$2:$L$11,0))/100000),"")</f>
        <v/>
      </c>
      <c r="P679" s="30" t="str">
        <f aca="false">IFERROR(IF(N679="","",N679*INDEX('00 - Lists'!$M$2:$M$11,MATCH(L679,'00 - Lists'!$L$2:$L$11,0))/100000),"")</f>
        <v/>
      </c>
      <c r="Q679" s="31" t="str">
        <f aca="false">IFERROR(IF(M679="","",M679*INDEX('00 - Lists'!$N$2:$N$11,MATCH(L679,'00 - Lists'!$L$2:$L$11,0))),"")</f>
        <v/>
      </c>
      <c r="R679" s="31" t="str">
        <f aca="false">IFERROR(IF(N679="","",N679*INDEX('00 - Lists'!$N$2:$N$11,MATCH(L679,'00 - Lists'!$L$2:$L$11,0))),"")</f>
        <v/>
      </c>
      <c r="S679" s="32" t="str">
        <f aca="false">IF(O679="","",IF(O679&gt;=50,"Yes","No"))</f>
        <v/>
      </c>
      <c r="T679" s="32" t="str">
        <f aca="false">IF(Q679="","",IF(Q679&gt;=100000,"Yes","No"))</f>
        <v/>
      </c>
      <c r="U679" s="28"/>
      <c r="V679" s="28"/>
      <c r="W679" s="28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J679" s="34" t="str">
        <f aca="false">IF(OR($BD679&lt;&gt;"",$BF679&lt;&gt;"",$BH679&lt;&gt;""),"Yes","No")</f>
        <v>No</v>
      </c>
      <c r="BK679" s="35" t="str">
        <f aca="false">IFERROR(IF(BD679="","",BD679*INDEX('00 - Lists'!$M$2:$M$11,MATCH(L679,'00 - Lists'!$L$2:$L$11,0))/100000),"")</f>
        <v/>
      </c>
      <c r="BL679" s="35" t="str">
        <f aca="false">IFERROR(IF(BE679="","",BE679*INDEX('00 - Lists'!$M$2:$M$11,MATCH(L679,'00 - Lists'!$L$2:$L$11,0))/100000),"")</f>
        <v/>
      </c>
      <c r="BM679" s="35" t="str">
        <f aca="false">IFERROR(IF(BF679="","",BF679*INDEX('00 - Lists'!$M$2:$M$11,MATCH(L679,'00 - Lists'!$L$2:$L$11,0))/100000),"")</f>
        <v/>
      </c>
      <c r="BN679" s="35" t="str">
        <f aca="false">IFERROR(IF(BG679="","",BG679*INDEX('00 - Lists'!$M$2:$M$11,MATCH(L679,'00 - Lists'!$L$2:$L$11,0))/100000),"")</f>
        <v/>
      </c>
      <c r="BO679" s="35" t="str">
        <f aca="false">IFERROR(IF(BH679="","",BH679*INDEX('00 - Lists'!$M$2:$M$11,MATCH(L679,'00 - Lists'!$L$2:$L$11,0))/100000),"")</f>
        <v/>
      </c>
      <c r="BP679" s="35" t="str">
        <f aca="false">IFERROR(IF(BI679="","",BI679*INDEX('00 - Lists'!$M$2:$M$11,MATCH(L679,'00 - Lists'!$L$2:$L$11,0))/100000),"")</f>
        <v/>
      </c>
      <c r="BS679" s="36" t="str">
        <f aca="false">IF(O679="","",IF(O679&gt;=20,"Yes","No"))</f>
        <v/>
      </c>
      <c r="BT679" s="36" t="str">
        <f aca="false">IF(O679="","",IF(O679&gt;=30,"Yes","No"))</f>
        <v/>
      </c>
      <c r="BU679" s="36" t="str">
        <f aca="false">IF(O679="","",IF(O679&gt;=75,"Yes","No"))</f>
        <v/>
      </c>
      <c r="BV679" s="36" t="str">
        <f aca="false">IF(O679="","",IF(O679&gt;=100,"Yes","No"))</f>
        <v/>
      </c>
      <c r="BW679" s="36" t="str">
        <f aca="false">IF(O679="","",IF(O679&gt;=150,"Yes","No"))</f>
        <v/>
      </c>
      <c r="BX679" s="36" t="str">
        <f aca="false">IF(O679="","",IF(O679&gt;=200,"Yes","No"))</f>
        <v/>
      </c>
      <c r="BY679" s="36" t="str">
        <f aca="false">IF(Q679="","",IF(Q679&gt;=150000,"Yes","No"))</f>
        <v/>
      </c>
      <c r="BZ679" s="36" t="str">
        <f aca="false">IF(Q679="","",IF(Q679&gt;=200000,"Yes","No"))</f>
        <v/>
      </c>
      <c r="CA679" s="36" t="str">
        <f aca="false">IF(Q679="","",IF(Q679&gt;=250000,"Yes","No"))</f>
        <v/>
      </c>
      <c r="CB679" s="36" t="str">
        <f aca="false">IF(Q679="","",IF(Q679&gt;=300000,"Yes","No"))</f>
        <v/>
      </c>
      <c r="CC679" s="37"/>
      <c r="CD679" s="36" t="str">
        <f aca="true">IF(B679="","",IF(TODAY()-B679&lt;=7,"🟢 0-7d",IF(TODAY()-B679&lt;=30,"🟡 8-30d",IF(TODAY()-B679&lt;=60,"🟠 31-60d","🔴 60d+"))))</f>
        <v/>
      </c>
      <c r="CE679" s="36" t="str">
        <f aca="false">IF(G679="","",IF(G679&lt;&gt;"USA","N/A - Not USA Role",IF(J679="Yes",IF(OR(F679="Intern",F679="New Grad"),"🟡 Possible","🟢 Strong"),IF(J679="No","🔴 Difficult","⚪ Unknown"))))</f>
        <v/>
      </c>
      <c r="CF679" s="37"/>
      <c r="CG679" s="37"/>
      <c r="CH679" s="38"/>
      <c r="CI679" s="38"/>
      <c r="CJ679" s="38"/>
      <c r="CK679" s="38"/>
    </row>
    <row r="680" customFormat="false" ht="15" hidden="false" customHeight="true" outlineLevel="0" collapsed="false">
      <c r="A680" s="26" t="str">
        <f aca="false">IF($C680="","",ROW()-3)</f>
        <v/>
      </c>
      <c r="B680" s="27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9"/>
      <c r="N680" s="29"/>
      <c r="O680" s="30" t="str">
        <f aca="false">IFERROR(IF(M680="","",M680*INDEX('00 - Lists'!$M$2:$M$11,MATCH(L680,'00 - Lists'!$L$2:$L$11,0))/100000),"")</f>
        <v/>
      </c>
      <c r="P680" s="30" t="str">
        <f aca="false">IFERROR(IF(N680="","",N680*INDEX('00 - Lists'!$M$2:$M$11,MATCH(L680,'00 - Lists'!$L$2:$L$11,0))/100000),"")</f>
        <v/>
      </c>
      <c r="Q680" s="31" t="str">
        <f aca="false">IFERROR(IF(M680="","",M680*INDEX('00 - Lists'!$N$2:$N$11,MATCH(L680,'00 - Lists'!$L$2:$L$11,0))),"")</f>
        <v/>
      </c>
      <c r="R680" s="31" t="str">
        <f aca="false">IFERROR(IF(N680="","",N680*INDEX('00 - Lists'!$N$2:$N$11,MATCH(L680,'00 - Lists'!$L$2:$L$11,0))),"")</f>
        <v/>
      </c>
      <c r="S680" s="32" t="str">
        <f aca="false">IF(O680="","",IF(O680&gt;=50,"Yes","No"))</f>
        <v/>
      </c>
      <c r="T680" s="32" t="str">
        <f aca="false">IF(Q680="","",IF(Q680&gt;=100000,"Yes","No"))</f>
        <v/>
      </c>
      <c r="U680" s="28"/>
      <c r="V680" s="28"/>
      <c r="W680" s="28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J680" s="34" t="str">
        <f aca="false">IF(OR($BD680&lt;&gt;"",$BF680&lt;&gt;"",$BH680&lt;&gt;""),"Yes","No")</f>
        <v>No</v>
      </c>
      <c r="BK680" s="35" t="str">
        <f aca="false">IFERROR(IF(BD680="","",BD680*INDEX('00 - Lists'!$M$2:$M$11,MATCH(L680,'00 - Lists'!$L$2:$L$11,0))/100000),"")</f>
        <v/>
      </c>
      <c r="BL680" s="35" t="str">
        <f aca="false">IFERROR(IF(BE680="","",BE680*INDEX('00 - Lists'!$M$2:$M$11,MATCH(L680,'00 - Lists'!$L$2:$L$11,0))/100000),"")</f>
        <v/>
      </c>
      <c r="BM680" s="35" t="str">
        <f aca="false">IFERROR(IF(BF680="","",BF680*INDEX('00 - Lists'!$M$2:$M$11,MATCH(L680,'00 - Lists'!$L$2:$L$11,0))/100000),"")</f>
        <v/>
      </c>
      <c r="BN680" s="35" t="str">
        <f aca="false">IFERROR(IF(BG680="","",BG680*INDEX('00 - Lists'!$M$2:$M$11,MATCH(L680,'00 - Lists'!$L$2:$L$11,0))/100000),"")</f>
        <v/>
      </c>
      <c r="BO680" s="35" t="str">
        <f aca="false">IFERROR(IF(BH680="","",BH680*INDEX('00 - Lists'!$M$2:$M$11,MATCH(L680,'00 - Lists'!$L$2:$L$11,0))/100000),"")</f>
        <v/>
      </c>
      <c r="BP680" s="35" t="str">
        <f aca="false">IFERROR(IF(BI680="","",BI680*INDEX('00 - Lists'!$M$2:$M$11,MATCH(L680,'00 - Lists'!$L$2:$L$11,0))/100000),"")</f>
        <v/>
      </c>
      <c r="BS680" s="36" t="str">
        <f aca="false">IF(O680="","",IF(O680&gt;=20,"Yes","No"))</f>
        <v/>
      </c>
      <c r="BT680" s="36" t="str">
        <f aca="false">IF(O680="","",IF(O680&gt;=30,"Yes","No"))</f>
        <v/>
      </c>
      <c r="BU680" s="36" t="str">
        <f aca="false">IF(O680="","",IF(O680&gt;=75,"Yes","No"))</f>
        <v/>
      </c>
      <c r="BV680" s="36" t="str">
        <f aca="false">IF(O680="","",IF(O680&gt;=100,"Yes","No"))</f>
        <v/>
      </c>
      <c r="BW680" s="36" t="str">
        <f aca="false">IF(O680="","",IF(O680&gt;=150,"Yes","No"))</f>
        <v/>
      </c>
      <c r="BX680" s="36" t="str">
        <f aca="false">IF(O680="","",IF(O680&gt;=200,"Yes","No"))</f>
        <v/>
      </c>
      <c r="BY680" s="36" t="str">
        <f aca="false">IF(Q680="","",IF(Q680&gt;=150000,"Yes","No"))</f>
        <v/>
      </c>
      <c r="BZ680" s="36" t="str">
        <f aca="false">IF(Q680="","",IF(Q680&gt;=200000,"Yes","No"))</f>
        <v/>
      </c>
      <c r="CA680" s="36" t="str">
        <f aca="false">IF(Q680="","",IF(Q680&gt;=250000,"Yes","No"))</f>
        <v/>
      </c>
      <c r="CB680" s="36" t="str">
        <f aca="false">IF(Q680="","",IF(Q680&gt;=300000,"Yes","No"))</f>
        <v/>
      </c>
      <c r="CC680" s="37"/>
      <c r="CD680" s="36" t="str">
        <f aca="true">IF(B680="","",IF(TODAY()-B680&lt;=7,"🟢 0-7d",IF(TODAY()-B680&lt;=30,"🟡 8-30d",IF(TODAY()-B680&lt;=60,"🟠 31-60d","🔴 60d+"))))</f>
        <v/>
      </c>
      <c r="CE680" s="36" t="str">
        <f aca="false">IF(G680="","",IF(G680&lt;&gt;"USA","N/A - Not USA Role",IF(J680="Yes",IF(OR(F680="Intern",F680="New Grad"),"🟡 Possible","🟢 Strong"),IF(J680="No","🔴 Difficult","⚪ Unknown"))))</f>
        <v/>
      </c>
      <c r="CF680" s="37"/>
      <c r="CG680" s="37"/>
      <c r="CH680" s="38"/>
      <c r="CI680" s="38"/>
      <c r="CJ680" s="38"/>
      <c r="CK680" s="38"/>
    </row>
    <row r="681" customFormat="false" ht="15" hidden="false" customHeight="true" outlineLevel="0" collapsed="false">
      <c r="A681" s="26" t="str">
        <f aca="false">IF($C681="","",ROW()-3)</f>
        <v/>
      </c>
      <c r="B681" s="27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9"/>
      <c r="N681" s="29"/>
      <c r="O681" s="30" t="str">
        <f aca="false">IFERROR(IF(M681="","",M681*INDEX('00 - Lists'!$M$2:$M$11,MATCH(L681,'00 - Lists'!$L$2:$L$11,0))/100000),"")</f>
        <v/>
      </c>
      <c r="P681" s="30" t="str">
        <f aca="false">IFERROR(IF(N681="","",N681*INDEX('00 - Lists'!$M$2:$M$11,MATCH(L681,'00 - Lists'!$L$2:$L$11,0))/100000),"")</f>
        <v/>
      </c>
      <c r="Q681" s="31" t="str">
        <f aca="false">IFERROR(IF(M681="","",M681*INDEX('00 - Lists'!$N$2:$N$11,MATCH(L681,'00 - Lists'!$L$2:$L$11,0))),"")</f>
        <v/>
      </c>
      <c r="R681" s="31" t="str">
        <f aca="false">IFERROR(IF(N681="","",N681*INDEX('00 - Lists'!$N$2:$N$11,MATCH(L681,'00 - Lists'!$L$2:$L$11,0))),"")</f>
        <v/>
      </c>
      <c r="S681" s="32" t="str">
        <f aca="false">IF(O681="","",IF(O681&gt;=50,"Yes","No"))</f>
        <v/>
      </c>
      <c r="T681" s="32" t="str">
        <f aca="false">IF(Q681="","",IF(Q681&gt;=100000,"Yes","No"))</f>
        <v/>
      </c>
      <c r="U681" s="28"/>
      <c r="V681" s="28"/>
      <c r="W681" s="28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J681" s="34" t="str">
        <f aca="false">IF(OR($BD681&lt;&gt;"",$BF681&lt;&gt;"",$BH681&lt;&gt;""),"Yes","No")</f>
        <v>No</v>
      </c>
      <c r="BK681" s="35" t="str">
        <f aca="false">IFERROR(IF(BD681="","",BD681*INDEX('00 - Lists'!$M$2:$M$11,MATCH(L681,'00 - Lists'!$L$2:$L$11,0))/100000),"")</f>
        <v/>
      </c>
      <c r="BL681" s="35" t="str">
        <f aca="false">IFERROR(IF(BE681="","",BE681*INDEX('00 - Lists'!$M$2:$M$11,MATCH(L681,'00 - Lists'!$L$2:$L$11,0))/100000),"")</f>
        <v/>
      </c>
      <c r="BM681" s="35" t="str">
        <f aca="false">IFERROR(IF(BF681="","",BF681*INDEX('00 - Lists'!$M$2:$M$11,MATCH(L681,'00 - Lists'!$L$2:$L$11,0))/100000),"")</f>
        <v/>
      </c>
      <c r="BN681" s="35" t="str">
        <f aca="false">IFERROR(IF(BG681="","",BG681*INDEX('00 - Lists'!$M$2:$M$11,MATCH(L681,'00 - Lists'!$L$2:$L$11,0))/100000),"")</f>
        <v/>
      </c>
      <c r="BO681" s="35" t="str">
        <f aca="false">IFERROR(IF(BH681="","",BH681*INDEX('00 - Lists'!$M$2:$M$11,MATCH(L681,'00 - Lists'!$L$2:$L$11,0))/100000),"")</f>
        <v/>
      </c>
      <c r="BP681" s="35" t="str">
        <f aca="false">IFERROR(IF(BI681="","",BI681*INDEX('00 - Lists'!$M$2:$M$11,MATCH(L681,'00 - Lists'!$L$2:$L$11,0))/100000),"")</f>
        <v/>
      </c>
      <c r="BS681" s="36" t="str">
        <f aca="false">IF(O681="","",IF(O681&gt;=20,"Yes","No"))</f>
        <v/>
      </c>
      <c r="BT681" s="36" t="str">
        <f aca="false">IF(O681="","",IF(O681&gt;=30,"Yes","No"))</f>
        <v/>
      </c>
      <c r="BU681" s="36" t="str">
        <f aca="false">IF(O681="","",IF(O681&gt;=75,"Yes","No"))</f>
        <v/>
      </c>
      <c r="BV681" s="36" t="str">
        <f aca="false">IF(O681="","",IF(O681&gt;=100,"Yes","No"))</f>
        <v/>
      </c>
      <c r="BW681" s="36" t="str">
        <f aca="false">IF(O681="","",IF(O681&gt;=150,"Yes","No"))</f>
        <v/>
      </c>
      <c r="BX681" s="36" t="str">
        <f aca="false">IF(O681="","",IF(O681&gt;=200,"Yes","No"))</f>
        <v/>
      </c>
      <c r="BY681" s="36" t="str">
        <f aca="false">IF(Q681="","",IF(Q681&gt;=150000,"Yes","No"))</f>
        <v/>
      </c>
      <c r="BZ681" s="36" t="str">
        <f aca="false">IF(Q681="","",IF(Q681&gt;=200000,"Yes","No"))</f>
        <v/>
      </c>
      <c r="CA681" s="36" t="str">
        <f aca="false">IF(Q681="","",IF(Q681&gt;=250000,"Yes","No"))</f>
        <v/>
      </c>
      <c r="CB681" s="36" t="str">
        <f aca="false">IF(Q681="","",IF(Q681&gt;=300000,"Yes","No"))</f>
        <v/>
      </c>
      <c r="CC681" s="37"/>
      <c r="CD681" s="36" t="str">
        <f aca="true">IF(B681="","",IF(TODAY()-B681&lt;=7,"🟢 0-7d",IF(TODAY()-B681&lt;=30,"🟡 8-30d",IF(TODAY()-B681&lt;=60,"🟠 31-60d","🔴 60d+"))))</f>
        <v/>
      </c>
      <c r="CE681" s="36" t="str">
        <f aca="false">IF(G681="","",IF(G681&lt;&gt;"USA","N/A - Not USA Role",IF(J681="Yes",IF(OR(F681="Intern",F681="New Grad"),"🟡 Possible","🟢 Strong"),IF(J681="No","🔴 Difficult","⚪ Unknown"))))</f>
        <v/>
      </c>
      <c r="CF681" s="37"/>
      <c r="CG681" s="37"/>
      <c r="CH681" s="38"/>
      <c r="CI681" s="38"/>
      <c r="CJ681" s="38"/>
      <c r="CK681" s="38"/>
    </row>
    <row r="682" customFormat="false" ht="15" hidden="false" customHeight="true" outlineLevel="0" collapsed="false">
      <c r="A682" s="26" t="str">
        <f aca="false">IF($C682="","",ROW()-3)</f>
        <v/>
      </c>
      <c r="B682" s="27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9"/>
      <c r="N682" s="29"/>
      <c r="O682" s="30" t="str">
        <f aca="false">IFERROR(IF(M682="","",M682*INDEX('00 - Lists'!$M$2:$M$11,MATCH(L682,'00 - Lists'!$L$2:$L$11,0))/100000),"")</f>
        <v/>
      </c>
      <c r="P682" s="30" t="str">
        <f aca="false">IFERROR(IF(N682="","",N682*INDEX('00 - Lists'!$M$2:$M$11,MATCH(L682,'00 - Lists'!$L$2:$L$11,0))/100000),"")</f>
        <v/>
      </c>
      <c r="Q682" s="31" t="str">
        <f aca="false">IFERROR(IF(M682="","",M682*INDEX('00 - Lists'!$N$2:$N$11,MATCH(L682,'00 - Lists'!$L$2:$L$11,0))),"")</f>
        <v/>
      </c>
      <c r="R682" s="31" t="str">
        <f aca="false">IFERROR(IF(N682="","",N682*INDEX('00 - Lists'!$N$2:$N$11,MATCH(L682,'00 - Lists'!$L$2:$L$11,0))),"")</f>
        <v/>
      </c>
      <c r="S682" s="32" t="str">
        <f aca="false">IF(O682="","",IF(O682&gt;=50,"Yes","No"))</f>
        <v/>
      </c>
      <c r="T682" s="32" t="str">
        <f aca="false">IF(Q682="","",IF(Q682&gt;=100000,"Yes","No"))</f>
        <v/>
      </c>
      <c r="U682" s="28"/>
      <c r="V682" s="28"/>
      <c r="W682" s="28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J682" s="34" t="str">
        <f aca="false">IF(OR($BD682&lt;&gt;"",$BF682&lt;&gt;"",$BH682&lt;&gt;""),"Yes","No")</f>
        <v>No</v>
      </c>
      <c r="BK682" s="35" t="str">
        <f aca="false">IFERROR(IF(BD682="","",BD682*INDEX('00 - Lists'!$M$2:$M$11,MATCH(L682,'00 - Lists'!$L$2:$L$11,0))/100000),"")</f>
        <v/>
      </c>
      <c r="BL682" s="35" t="str">
        <f aca="false">IFERROR(IF(BE682="","",BE682*INDEX('00 - Lists'!$M$2:$M$11,MATCH(L682,'00 - Lists'!$L$2:$L$11,0))/100000),"")</f>
        <v/>
      </c>
      <c r="BM682" s="35" t="str">
        <f aca="false">IFERROR(IF(BF682="","",BF682*INDEX('00 - Lists'!$M$2:$M$11,MATCH(L682,'00 - Lists'!$L$2:$L$11,0))/100000),"")</f>
        <v/>
      </c>
      <c r="BN682" s="35" t="str">
        <f aca="false">IFERROR(IF(BG682="","",BG682*INDEX('00 - Lists'!$M$2:$M$11,MATCH(L682,'00 - Lists'!$L$2:$L$11,0))/100000),"")</f>
        <v/>
      </c>
      <c r="BO682" s="35" t="str">
        <f aca="false">IFERROR(IF(BH682="","",BH682*INDEX('00 - Lists'!$M$2:$M$11,MATCH(L682,'00 - Lists'!$L$2:$L$11,0))/100000),"")</f>
        <v/>
      </c>
      <c r="BP682" s="35" t="str">
        <f aca="false">IFERROR(IF(BI682="","",BI682*INDEX('00 - Lists'!$M$2:$M$11,MATCH(L682,'00 - Lists'!$L$2:$L$11,0))/100000),"")</f>
        <v/>
      </c>
      <c r="BS682" s="36" t="str">
        <f aca="false">IF(O682="","",IF(O682&gt;=20,"Yes","No"))</f>
        <v/>
      </c>
      <c r="BT682" s="36" t="str">
        <f aca="false">IF(O682="","",IF(O682&gt;=30,"Yes","No"))</f>
        <v/>
      </c>
      <c r="BU682" s="36" t="str">
        <f aca="false">IF(O682="","",IF(O682&gt;=75,"Yes","No"))</f>
        <v/>
      </c>
      <c r="BV682" s="36" t="str">
        <f aca="false">IF(O682="","",IF(O682&gt;=100,"Yes","No"))</f>
        <v/>
      </c>
      <c r="BW682" s="36" t="str">
        <f aca="false">IF(O682="","",IF(O682&gt;=150,"Yes","No"))</f>
        <v/>
      </c>
      <c r="BX682" s="36" t="str">
        <f aca="false">IF(O682="","",IF(O682&gt;=200,"Yes","No"))</f>
        <v/>
      </c>
      <c r="BY682" s="36" t="str">
        <f aca="false">IF(Q682="","",IF(Q682&gt;=150000,"Yes","No"))</f>
        <v/>
      </c>
      <c r="BZ682" s="36" t="str">
        <f aca="false">IF(Q682="","",IF(Q682&gt;=200000,"Yes","No"))</f>
        <v/>
      </c>
      <c r="CA682" s="36" t="str">
        <f aca="false">IF(Q682="","",IF(Q682&gt;=250000,"Yes","No"))</f>
        <v/>
      </c>
      <c r="CB682" s="36" t="str">
        <f aca="false">IF(Q682="","",IF(Q682&gt;=300000,"Yes","No"))</f>
        <v/>
      </c>
      <c r="CC682" s="37"/>
      <c r="CD682" s="36" t="str">
        <f aca="true">IF(B682="","",IF(TODAY()-B682&lt;=7,"🟢 0-7d",IF(TODAY()-B682&lt;=30,"🟡 8-30d",IF(TODAY()-B682&lt;=60,"🟠 31-60d","🔴 60d+"))))</f>
        <v/>
      </c>
      <c r="CE682" s="36" t="str">
        <f aca="false">IF(G682="","",IF(G682&lt;&gt;"USA","N/A - Not USA Role",IF(J682="Yes",IF(OR(F682="Intern",F682="New Grad"),"🟡 Possible","🟢 Strong"),IF(J682="No","🔴 Difficult","⚪ Unknown"))))</f>
        <v/>
      </c>
      <c r="CF682" s="37"/>
      <c r="CG682" s="37"/>
      <c r="CH682" s="38"/>
      <c r="CI682" s="38"/>
      <c r="CJ682" s="38"/>
      <c r="CK682" s="38"/>
    </row>
    <row r="683" customFormat="false" ht="15" hidden="false" customHeight="true" outlineLevel="0" collapsed="false">
      <c r="A683" s="26" t="str">
        <f aca="false">IF($C683="","",ROW()-3)</f>
        <v/>
      </c>
      <c r="B683" s="27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9"/>
      <c r="N683" s="29"/>
      <c r="O683" s="30" t="str">
        <f aca="false">IFERROR(IF(M683="","",M683*INDEX('00 - Lists'!$M$2:$M$11,MATCH(L683,'00 - Lists'!$L$2:$L$11,0))/100000),"")</f>
        <v/>
      </c>
      <c r="P683" s="30" t="str">
        <f aca="false">IFERROR(IF(N683="","",N683*INDEX('00 - Lists'!$M$2:$M$11,MATCH(L683,'00 - Lists'!$L$2:$L$11,0))/100000),"")</f>
        <v/>
      </c>
      <c r="Q683" s="31" t="str">
        <f aca="false">IFERROR(IF(M683="","",M683*INDEX('00 - Lists'!$N$2:$N$11,MATCH(L683,'00 - Lists'!$L$2:$L$11,0))),"")</f>
        <v/>
      </c>
      <c r="R683" s="31" t="str">
        <f aca="false">IFERROR(IF(N683="","",N683*INDEX('00 - Lists'!$N$2:$N$11,MATCH(L683,'00 - Lists'!$L$2:$L$11,0))),"")</f>
        <v/>
      </c>
      <c r="S683" s="32" t="str">
        <f aca="false">IF(O683="","",IF(O683&gt;=50,"Yes","No"))</f>
        <v/>
      </c>
      <c r="T683" s="32" t="str">
        <f aca="false">IF(Q683="","",IF(Q683&gt;=100000,"Yes","No"))</f>
        <v/>
      </c>
      <c r="U683" s="28"/>
      <c r="V683" s="28"/>
      <c r="W683" s="28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J683" s="34" t="str">
        <f aca="false">IF(OR($BD683&lt;&gt;"",$BF683&lt;&gt;"",$BH683&lt;&gt;""),"Yes","No")</f>
        <v>No</v>
      </c>
      <c r="BK683" s="35" t="str">
        <f aca="false">IFERROR(IF(BD683="","",BD683*INDEX('00 - Lists'!$M$2:$M$11,MATCH(L683,'00 - Lists'!$L$2:$L$11,0))/100000),"")</f>
        <v/>
      </c>
      <c r="BL683" s="35" t="str">
        <f aca="false">IFERROR(IF(BE683="","",BE683*INDEX('00 - Lists'!$M$2:$M$11,MATCH(L683,'00 - Lists'!$L$2:$L$11,0))/100000),"")</f>
        <v/>
      </c>
      <c r="BM683" s="35" t="str">
        <f aca="false">IFERROR(IF(BF683="","",BF683*INDEX('00 - Lists'!$M$2:$M$11,MATCH(L683,'00 - Lists'!$L$2:$L$11,0))/100000),"")</f>
        <v/>
      </c>
      <c r="BN683" s="35" t="str">
        <f aca="false">IFERROR(IF(BG683="","",BG683*INDEX('00 - Lists'!$M$2:$M$11,MATCH(L683,'00 - Lists'!$L$2:$L$11,0))/100000),"")</f>
        <v/>
      </c>
      <c r="BO683" s="35" t="str">
        <f aca="false">IFERROR(IF(BH683="","",BH683*INDEX('00 - Lists'!$M$2:$M$11,MATCH(L683,'00 - Lists'!$L$2:$L$11,0))/100000),"")</f>
        <v/>
      </c>
      <c r="BP683" s="35" t="str">
        <f aca="false">IFERROR(IF(BI683="","",BI683*INDEX('00 - Lists'!$M$2:$M$11,MATCH(L683,'00 - Lists'!$L$2:$L$11,0))/100000),"")</f>
        <v/>
      </c>
      <c r="BS683" s="36" t="str">
        <f aca="false">IF(O683="","",IF(O683&gt;=20,"Yes","No"))</f>
        <v/>
      </c>
      <c r="BT683" s="36" t="str">
        <f aca="false">IF(O683="","",IF(O683&gt;=30,"Yes","No"))</f>
        <v/>
      </c>
      <c r="BU683" s="36" t="str">
        <f aca="false">IF(O683="","",IF(O683&gt;=75,"Yes","No"))</f>
        <v/>
      </c>
      <c r="BV683" s="36" t="str">
        <f aca="false">IF(O683="","",IF(O683&gt;=100,"Yes","No"))</f>
        <v/>
      </c>
      <c r="BW683" s="36" t="str">
        <f aca="false">IF(O683="","",IF(O683&gt;=150,"Yes","No"))</f>
        <v/>
      </c>
      <c r="BX683" s="36" t="str">
        <f aca="false">IF(O683="","",IF(O683&gt;=200,"Yes","No"))</f>
        <v/>
      </c>
      <c r="BY683" s="36" t="str">
        <f aca="false">IF(Q683="","",IF(Q683&gt;=150000,"Yes","No"))</f>
        <v/>
      </c>
      <c r="BZ683" s="36" t="str">
        <f aca="false">IF(Q683="","",IF(Q683&gt;=200000,"Yes","No"))</f>
        <v/>
      </c>
      <c r="CA683" s="36" t="str">
        <f aca="false">IF(Q683="","",IF(Q683&gt;=250000,"Yes","No"))</f>
        <v/>
      </c>
      <c r="CB683" s="36" t="str">
        <f aca="false">IF(Q683="","",IF(Q683&gt;=300000,"Yes","No"))</f>
        <v/>
      </c>
      <c r="CC683" s="37"/>
      <c r="CD683" s="36" t="str">
        <f aca="true">IF(B683="","",IF(TODAY()-B683&lt;=7,"🟢 0-7d",IF(TODAY()-B683&lt;=30,"🟡 8-30d",IF(TODAY()-B683&lt;=60,"🟠 31-60d","🔴 60d+"))))</f>
        <v/>
      </c>
      <c r="CE683" s="36" t="str">
        <f aca="false">IF(G683="","",IF(G683&lt;&gt;"USA","N/A - Not USA Role",IF(J683="Yes",IF(OR(F683="Intern",F683="New Grad"),"🟡 Possible","🟢 Strong"),IF(J683="No","🔴 Difficult","⚪ Unknown"))))</f>
        <v/>
      </c>
      <c r="CF683" s="37"/>
      <c r="CG683" s="37"/>
      <c r="CH683" s="38"/>
      <c r="CI683" s="38"/>
      <c r="CJ683" s="38"/>
      <c r="CK683" s="38"/>
    </row>
    <row r="684" customFormat="false" ht="15" hidden="false" customHeight="true" outlineLevel="0" collapsed="false">
      <c r="A684" s="26" t="str">
        <f aca="false">IF($C684="","",ROW()-3)</f>
        <v/>
      </c>
      <c r="B684" s="27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9"/>
      <c r="N684" s="29"/>
      <c r="O684" s="30" t="str">
        <f aca="false">IFERROR(IF(M684="","",M684*INDEX('00 - Lists'!$M$2:$M$11,MATCH(L684,'00 - Lists'!$L$2:$L$11,0))/100000),"")</f>
        <v/>
      </c>
      <c r="P684" s="30" t="str">
        <f aca="false">IFERROR(IF(N684="","",N684*INDEX('00 - Lists'!$M$2:$M$11,MATCH(L684,'00 - Lists'!$L$2:$L$11,0))/100000),"")</f>
        <v/>
      </c>
      <c r="Q684" s="31" t="str">
        <f aca="false">IFERROR(IF(M684="","",M684*INDEX('00 - Lists'!$N$2:$N$11,MATCH(L684,'00 - Lists'!$L$2:$L$11,0))),"")</f>
        <v/>
      </c>
      <c r="R684" s="31" t="str">
        <f aca="false">IFERROR(IF(N684="","",N684*INDEX('00 - Lists'!$N$2:$N$11,MATCH(L684,'00 - Lists'!$L$2:$L$11,0))),"")</f>
        <v/>
      </c>
      <c r="S684" s="32" t="str">
        <f aca="false">IF(O684="","",IF(O684&gt;=50,"Yes","No"))</f>
        <v/>
      </c>
      <c r="T684" s="32" t="str">
        <f aca="false">IF(Q684="","",IF(Q684&gt;=100000,"Yes","No"))</f>
        <v/>
      </c>
      <c r="U684" s="28"/>
      <c r="V684" s="28"/>
      <c r="W684" s="28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J684" s="34" t="str">
        <f aca="false">IF(OR($BD684&lt;&gt;"",$BF684&lt;&gt;"",$BH684&lt;&gt;""),"Yes","No")</f>
        <v>No</v>
      </c>
      <c r="BK684" s="35" t="str">
        <f aca="false">IFERROR(IF(BD684="","",BD684*INDEX('00 - Lists'!$M$2:$M$11,MATCH(L684,'00 - Lists'!$L$2:$L$11,0))/100000),"")</f>
        <v/>
      </c>
      <c r="BL684" s="35" t="str">
        <f aca="false">IFERROR(IF(BE684="","",BE684*INDEX('00 - Lists'!$M$2:$M$11,MATCH(L684,'00 - Lists'!$L$2:$L$11,0))/100000),"")</f>
        <v/>
      </c>
      <c r="BM684" s="35" t="str">
        <f aca="false">IFERROR(IF(BF684="","",BF684*INDEX('00 - Lists'!$M$2:$M$11,MATCH(L684,'00 - Lists'!$L$2:$L$11,0))/100000),"")</f>
        <v/>
      </c>
      <c r="BN684" s="35" t="str">
        <f aca="false">IFERROR(IF(BG684="","",BG684*INDEX('00 - Lists'!$M$2:$M$11,MATCH(L684,'00 - Lists'!$L$2:$L$11,0))/100000),"")</f>
        <v/>
      </c>
      <c r="BO684" s="35" t="str">
        <f aca="false">IFERROR(IF(BH684="","",BH684*INDEX('00 - Lists'!$M$2:$M$11,MATCH(L684,'00 - Lists'!$L$2:$L$11,0))/100000),"")</f>
        <v/>
      </c>
      <c r="BP684" s="35" t="str">
        <f aca="false">IFERROR(IF(BI684="","",BI684*INDEX('00 - Lists'!$M$2:$M$11,MATCH(L684,'00 - Lists'!$L$2:$L$11,0))/100000),"")</f>
        <v/>
      </c>
      <c r="BS684" s="36" t="str">
        <f aca="false">IF(O684="","",IF(O684&gt;=20,"Yes","No"))</f>
        <v/>
      </c>
      <c r="BT684" s="36" t="str">
        <f aca="false">IF(O684="","",IF(O684&gt;=30,"Yes","No"))</f>
        <v/>
      </c>
      <c r="BU684" s="36" t="str">
        <f aca="false">IF(O684="","",IF(O684&gt;=75,"Yes","No"))</f>
        <v/>
      </c>
      <c r="BV684" s="36" t="str">
        <f aca="false">IF(O684="","",IF(O684&gt;=100,"Yes","No"))</f>
        <v/>
      </c>
      <c r="BW684" s="36" t="str">
        <f aca="false">IF(O684="","",IF(O684&gt;=150,"Yes","No"))</f>
        <v/>
      </c>
      <c r="BX684" s="36" t="str">
        <f aca="false">IF(O684="","",IF(O684&gt;=200,"Yes","No"))</f>
        <v/>
      </c>
      <c r="BY684" s="36" t="str">
        <f aca="false">IF(Q684="","",IF(Q684&gt;=150000,"Yes","No"))</f>
        <v/>
      </c>
      <c r="BZ684" s="36" t="str">
        <f aca="false">IF(Q684="","",IF(Q684&gt;=200000,"Yes","No"))</f>
        <v/>
      </c>
      <c r="CA684" s="36" t="str">
        <f aca="false">IF(Q684="","",IF(Q684&gt;=250000,"Yes","No"))</f>
        <v/>
      </c>
      <c r="CB684" s="36" t="str">
        <f aca="false">IF(Q684="","",IF(Q684&gt;=300000,"Yes","No"))</f>
        <v/>
      </c>
      <c r="CC684" s="37"/>
      <c r="CD684" s="36" t="str">
        <f aca="true">IF(B684="","",IF(TODAY()-B684&lt;=7,"🟢 0-7d",IF(TODAY()-B684&lt;=30,"🟡 8-30d",IF(TODAY()-B684&lt;=60,"🟠 31-60d","🔴 60d+"))))</f>
        <v/>
      </c>
      <c r="CE684" s="36" t="str">
        <f aca="false">IF(G684="","",IF(G684&lt;&gt;"USA","N/A - Not USA Role",IF(J684="Yes",IF(OR(F684="Intern",F684="New Grad"),"🟡 Possible","🟢 Strong"),IF(J684="No","🔴 Difficult","⚪ Unknown"))))</f>
        <v/>
      </c>
      <c r="CF684" s="37"/>
      <c r="CG684" s="37"/>
      <c r="CH684" s="38"/>
      <c r="CI684" s="38"/>
      <c r="CJ684" s="38"/>
      <c r="CK684" s="38"/>
    </row>
    <row r="685" customFormat="false" ht="15" hidden="false" customHeight="true" outlineLevel="0" collapsed="false">
      <c r="A685" s="26" t="str">
        <f aca="false">IF($C685="","",ROW()-3)</f>
        <v/>
      </c>
      <c r="B685" s="27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9"/>
      <c r="N685" s="29"/>
      <c r="O685" s="30" t="str">
        <f aca="false">IFERROR(IF(M685="","",M685*INDEX('00 - Lists'!$M$2:$M$11,MATCH(L685,'00 - Lists'!$L$2:$L$11,0))/100000),"")</f>
        <v/>
      </c>
      <c r="P685" s="30" t="str">
        <f aca="false">IFERROR(IF(N685="","",N685*INDEX('00 - Lists'!$M$2:$M$11,MATCH(L685,'00 - Lists'!$L$2:$L$11,0))/100000),"")</f>
        <v/>
      </c>
      <c r="Q685" s="31" t="str">
        <f aca="false">IFERROR(IF(M685="","",M685*INDEX('00 - Lists'!$N$2:$N$11,MATCH(L685,'00 - Lists'!$L$2:$L$11,0))),"")</f>
        <v/>
      </c>
      <c r="R685" s="31" t="str">
        <f aca="false">IFERROR(IF(N685="","",N685*INDEX('00 - Lists'!$N$2:$N$11,MATCH(L685,'00 - Lists'!$L$2:$L$11,0))),"")</f>
        <v/>
      </c>
      <c r="S685" s="32" t="str">
        <f aca="false">IF(O685="","",IF(O685&gt;=50,"Yes","No"))</f>
        <v/>
      </c>
      <c r="T685" s="32" t="str">
        <f aca="false">IF(Q685="","",IF(Q685&gt;=100000,"Yes","No"))</f>
        <v/>
      </c>
      <c r="U685" s="28"/>
      <c r="V685" s="28"/>
      <c r="W685" s="28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J685" s="34" t="str">
        <f aca="false">IF(OR($BD685&lt;&gt;"",$BF685&lt;&gt;"",$BH685&lt;&gt;""),"Yes","No")</f>
        <v>No</v>
      </c>
      <c r="BK685" s="35" t="str">
        <f aca="false">IFERROR(IF(BD685="","",BD685*INDEX('00 - Lists'!$M$2:$M$11,MATCH(L685,'00 - Lists'!$L$2:$L$11,0))/100000),"")</f>
        <v/>
      </c>
      <c r="BL685" s="35" t="str">
        <f aca="false">IFERROR(IF(BE685="","",BE685*INDEX('00 - Lists'!$M$2:$M$11,MATCH(L685,'00 - Lists'!$L$2:$L$11,0))/100000),"")</f>
        <v/>
      </c>
      <c r="BM685" s="35" t="str">
        <f aca="false">IFERROR(IF(BF685="","",BF685*INDEX('00 - Lists'!$M$2:$M$11,MATCH(L685,'00 - Lists'!$L$2:$L$11,0))/100000),"")</f>
        <v/>
      </c>
      <c r="BN685" s="35" t="str">
        <f aca="false">IFERROR(IF(BG685="","",BG685*INDEX('00 - Lists'!$M$2:$M$11,MATCH(L685,'00 - Lists'!$L$2:$L$11,0))/100000),"")</f>
        <v/>
      </c>
      <c r="BO685" s="35" t="str">
        <f aca="false">IFERROR(IF(BH685="","",BH685*INDEX('00 - Lists'!$M$2:$M$11,MATCH(L685,'00 - Lists'!$L$2:$L$11,0))/100000),"")</f>
        <v/>
      </c>
      <c r="BP685" s="35" t="str">
        <f aca="false">IFERROR(IF(BI685="","",BI685*INDEX('00 - Lists'!$M$2:$M$11,MATCH(L685,'00 - Lists'!$L$2:$L$11,0))/100000),"")</f>
        <v/>
      </c>
      <c r="BS685" s="36" t="str">
        <f aca="false">IF(O685="","",IF(O685&gt;=20,"Yes","No"))</f>
        <v/>
      </c>
      <c r="BT685" s="36" t="str">
        <f aca="false">IF(O685="","",IF(O685&gt;=30,"Yes","No"))</f>
        <v/>
      </c>
      <c r="BU685" s="36" t="str">
        <f aca="false">IF(O685="","",IF(O685&gt;=75,"Yes","No"))</f>
        <v/>
      </c>
      <c r="BV685" s="36" t="str">
        <f aca="false">IF(O685="","",IF(O685&gt;=100,"Yes","No"))</f>
        <v/>
      </c>
      <c r="BW685" s="36" t="str">
        <f aca="false">IF(O685="","",IF(O685&gt;=150,"Yes","No"))</f>
        <v/>
      </c>
      <c r="BX685" s="36" t="str">
        <f aca="false">IF(O685="","",IF(O685&gt;=200,"Yes","No"))</f>
        <v/>
      </c>
      <c r="BY685" s="36" t="str">
        <f aca="false">IF(Q685="","",IF(Q685&gt;=150000,"Yes","No"))</f>
        <v/>
      </c>
      <c r="BZ685" s="36" t="str">
        <f aca="false">IF(Q685="","",IF(Q685&gt;=200000,"Yes","No"))</f>
        <v/>
      </c>
      <c r="CA685" s="36" t="str">
        <f aca="false">IF(Q685="","",IF(Q685&gt;=250000,"Yes","No"))</f>
        <v/>
      </c>
      <c r="CB685" s="36" t="str">
        <f aca="false">IF(Q685="","",IF(Q685&gt;=300000,"Yes","No"))</f>
        <v/>
      </c>
      <c r="CC685" s="37"/>
      <c r="CD685" s="36" t="str">
        <f aca="true">IF(B685="","",IF(TODAY()-B685&lt;=7,"🟢 0-7d",IF(TODAY()-B685&lt;=30,"🟡 8-30d",IF(TODAY()-B685&lt;=60,"🟠 31-60d","🔴 60d+"))))</f>
        <v/>
      </c>
      <c r="CE685" s="36" t="str">
        <f aca="false">IF(G685="","",IF(G685&lt;&gt;"USA","N/A - Not USA Role",IF(J685="Yes",IF(OR(F685="Intern",F685="New Grad"),"🟡 Possible","🟢 Strong"),IF(J685="No","🔴 Difficult","⚪ Unknown"))))</f>
        <v/>
      </c>
      <c r="CF685" s="37"/>
      <c r="CG685" s="37"/>
      <c r="CH685" s="38"/>
      <c r="CI685" s="38"/>
      <c r="CJ685" s="38"/>
      <c r="CK685" s="38"/>
    </row>
    <row r="686" customFormat="false" ht="15" hidden="false" customHeight="true" outlineLevel="0" collapsed="false">
      <c r="A686" s="26" t="str">
        <f aca="false">IF($C686="","",ROW()-3)</f>
        <v/>
      </c>
      <c r="B686" s="27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9"/>
      <c r="N686" s="29"/>
      <c r="O686" s="30" t="str">
        <f aca="false">IFERROR(IF(M686="","",M686*INDEX('00 - Lists'!$M$2:$M$11,MATCH(L686,'00 - Lists'!$L$2:$L$11,0))/100000),"")</f>
        <v/>
      </c>
      <c r="P686" s="30" t="str">
        <f aca="false">IFERROR(IF(N686="","",N686*INDEX('00 - Lists'!$M$2:$M$11,MATCH(L686,'00 - Lists'!$L$2:$L$11,0))/100000),"")</f>
        <v/>
      </c>
      <c r="Q686" s="31" t="str">
        <f aca="false">IFERROR(IF(M686="","",M686*INDEX('00 - Lists'!$N$2:$N$11,MATCH(L686,'00 - Lists'!$L$2:$L$11,0))),"")</f>
        <v/>
      </c>
      <c r="R686" s="31" t="str">
        <f aca="false">IFERROR(IF(N686="","",N686*INDEX('00 - Lists'!$N$2:$N$11,MATCH(L686,'00 - Lists'!$L$2:$L$11,0))),"")</f>
        <v/>
      </c>
      <c r="S686" s="32" t="str">
        <f aca="false">IF(O686="","",IF(O686&gt;=50,"Yes","No"))</f>
        <v/>
      </c>
      <c r="T686" s="32" t="str">
        <f aca="false">IF(Q686="","",IF(Q686&gt;=100000,"Yes","No"))</f>
        <v/>
      </c>
      <c r="U686" s="28"/>
      <c r="V686" s="28"/>
      <c r="W686" s="28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J686" s="34" t="str">
        <f aca="false">IF(OR($BD686&lt;&gt;"",$BF686&lt;&gt;"",$BH686&lt;&gt;""),"Yes","No")</f>
        <v>No</v>
      </c>
      <c r="BK686" s="35" t="str">
        <f aca="false">IFERROR(IF(BD686="","",BD686*INDEX('00 - Lists'!$M$2:$M$11,MATCH(L686,'00 - Lists'!$L$2:$L$11,0))/100000),"")</f>
        <v/>
      </c>
      <c r="BL686" s="35" t="str">
        <f aca="false">IFERROR(IF(BE686="","",BE686*INDEX('00 - Lists'!$M$2:$M$11,MATCH(L686,'00 - Lists'!$L$2:$L$11,0))/100000),"")</f>
        <v/>
      </c>
      <c r="BM686" s="35" t="str">
        <f aca="false">IFERROR(IF(BF686="","",BF686*INDEX('00 - Lists'!$M$2:$M$11,MATCH(L686,'00 - Lists'!$L$2:$L$11,0))/100000),"")</f>
        <v/>
      </c>
      <c r="BN686" s="35" t="str">
        <f aca="false">IFERROR(IF(BG686="","",BG686*INDEX('00 - Lists'!$M$2:$M$11,MATCH(L686,'00 - Lists'!$L$2:$L$11,0))/100000),"")</f>
        <v/>
      </c>
      <c r="BO686" s="35" t="str">
        <f aca="false">IFERROR(IF(BH686="","",BH686*INDEX('00 - Lists'!$M$2:$M$11,MATCH(L686,'00 - Lists'!$L$2:$L$11,0))/100000),"")</f>
        <v/>
      </c>
      <c r="BP686" s="35" t="str">
        <f aca="false">IFERROR(IF(BI686="","",BI686*INDEX('00 - Lists'!$M$2:$M$11,MATCH(L686,'00 - Lists'!$L$2:$L$11,0))/100000),"")</f>
        <v/>
      </c>
      <c r="BS686" s="36" t="str">
        <f aca="false">IF(O686="","",IF(O686&gt;=20,"Yes","No"))</f>
        <v/>
      </c>
      <c r="BT686" s="36" t="str">
        <f aca="false">IF(O686="","",IF(O686&gt;=30,"Yes","No"))</f>
        <v/>
      </c>
      <c r="BU686" s="36" t="str">
        <f aca="false">IF(O686="","",IF(O686&gt;=75,"Yes","No"))</f>
        <v/>
      </c>
      <c r="BV686" s="36" t="str">
        <f aca="false">IF(O686="","",IF(O686&gt;=100,"Yes","No"))</f>
        <v/>
      </c>
      <c r="BW686" s="36" t="str">
        <f aca="false">IF(O686="","",IF(O686&gt;=150,"Yes","No"))</f>
        <v/>
      </c>
      <c r="BX686" s="36" t="str">
        <f aca="false">IF(O686="","",IF(O686&gt;=200,"Yes","No"))</f>
        <v/>
      </c>
      <c r="BY686" s="36" t="str">
        <f aca="false">IF(Q686="","",IF(Q686&gt;=150000,"Yes","No"))</f>
        <v/>
      </c>
      <c r="BZ686" s="36" t="str">
        <f aca="false">IF(Q686="","",IF(Q686&gt;=200000,"Yes","No"))</f>
        <v/>
      </c>
      <c r="CA686" s="36" t="str">
        <f aca="false">IF(Q686="","",IF(Q686&gt;=250000,"Yes","No"))</f>
        <v/>
      </c>
      <c r="CB686" s="36" t="str">
        <f aca="false">IF(Q686="","",IF(Q686&gt;=300000,"Yes","No"))</f>
        <v/>
      </c>
      <c r="CC686" s="37"/>
      <c r="CD686" s="36" t="str">
        <f aca="true">IF(B686="","",IF(TODAY()-B686&lt;=7,"🟢 0-7d",IF(TODAY()-B686&lt;=30,"🟡 8-30d",IF(TODAY()-B686&lt;=60,"🟠 31-60d","🔴 60d+"))))</f>
        <v/>
      </c>
      <c r="CE686" s="36" t="str">
        <f aca="false">IF(G686="","",IF(G686&lt;&gt;"USA","N/A - Not USA Role",IF(J686="Yes",IF(OR(F686="Intern",F686="New Grad"),"🟡 Possible","🟢 Strong"),IF(J686="No","🔴 Difficult","⚪ Unknown"))))</f>
        <v/>
      </c>
      <c r="CF686" s="37"/>
      <c r="CG686" s="37"/>
      <c r="CH686" s="38"/>
      <c r="CI686" s="38"/>
      <c r="CJ686" s="38"/>
      <c r="CK686" s="38"/>
    </row>
    <row r="687" customFormat="false" ht="15" hidden="false" customHeight="true" outlineLevel="0" collapsed="false">
      <c r="A687" s="26" t="str">
        <f aca="false">IF($C687="","",ROW()-3)</f>
        <v/>
      </c>
      <c r="B687" s="27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9"/>
      <c r="N687" s="29"/>
      <c r="O687" s="30" t="str">
        <f aca="false">IFERROR(IF(M687="","",M687*INDEX('00 - Lists'!$M$2:$M$11,MATCH(L687,'00 - Lists'!$L$2:$L$11,0))/100000),"")</f>
        <v/>
      </c>
      <c r="P687" s="30" t="str">
        <f aca="false">IFERROR(IF(N687="","",N687*INDEX('00 - Lists'!$M$2:$M$11,MATCH(L687,'00 - Lists'!$L$2:$L$11,0))/100000),"")</f>
        <v/>
      </c>
      <c r="Q687" s="31" t="str">
        <f aca="false">IFERROR(IF(M687="","",M687*INDEX('00 - Lists'!$N$2:$N$11,MATCH(L687,'00 - Lists'!$L$2:$L$11,0))),"")</f>
        <v/>
      </c>
      <c r="R687" s="31" t="str">
        <f aca="false">IFERROR(IF(N687="","",N687*INDEX('00 - Lists'!$N$2:$N$11,MATCH(L687,'00 - Lists'!$L$2:$L$11,0))),"")</f>
        <v/>
      </c>
      <c r="S687" s="32" t="str">
        <f aca="false">IF(O687="","",IF(O687&gt;=50,"Yes","No"))</f>
        <v/>
      </c>
      <c r="T687" s="32" t="str">
        <f aca="false">IF(Q687="","",IF(Q687&gt;=100000,"Yes","No"))</f>
        <v/>
      </c>
      <c r="U687" s="28"/>
      <c r="V687" s="28"/>
      <c r="W687" s="28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J687" s="34" t="str">
        <f aca="false">IF(OR($BD687&lt;&gt;"",$BF687&lt;&gt;"",$BH687&lt;&gt;""),"Yes","No")</f>
        <v>No</v>
      </c>
      <c r="BK687" s="35" t="str">
        <f aca="false">IFERROR(IF(BD687="","",BD687*INDEX('00 - Lists'!$M$2:$M$11,MATCH(L687,'00 - Lists'!$L$2:$L$11,0))/100000),"")</f>
        <v/>
      </c>
      <c r="BL687" s="35" t="str">
        <f aca="false">IFERROR(IF(BE687="","",BE687*INDEX('00 - Lists'!$M$2:$M$11,MATCH(L687,'00 - Lists'!$L$2:$L$11,0))/100000),"")</f>
        <v/>
      </c>
      <c r="BM687" s="35" t="str">
        <f aca="false">IFERROR(IF(BF687="","",BF687*INDEX('00 - Lists'!$M$2:$M$11,MATCH(L687,'00 - Lists'!$L$2:$L$11,0))/100000),"")</f>
        <v/>
      </c>
      <c r="BN687" s="35" t="str">
        <f aca="false">IFERROR(IF(BG687="","",BG687*INDEX('00 - Lists'!$M$2:$M$11,MATCH(L687,'00 - Lists'!$L$2:$L$11,0))/100000),"")</f>
        <v/>
      </c>
      <c r="BO687" s="35" t="str">
        <f aca="false">IFERROR(IF(BH687="","",BH687*INDEX('00 - Lists'!$M$2:$M$11,MATCH(L687,'00 - Lists'!$L$2:$L$11,0))/100000),"")</f>
        <v/>
      </c>
      <c r="BP687" s="35" t="str">
        <f aca="false">IFERROR(IF(BI687="","",BI687*INDEX('00 - Lists'!$M$2:$M$11,MATCH(L687,'00 - Lists'!$L$2:$L$11,0))/100000),"")</f>
        <v/>
      </c>
      <c r="BS687" s="36" t="str">
        <f aca="false">IF(O687="","",IF(O687&gt;=20,"Yes","No"))</f>
        <v/>
      </c>
      <c r="BT687" s="36" t="str">
        <f aca="false">IF(O687="","",IF(O687&gt;=30,"Yes","No"))</f>
        <v/>
      </c>
      <c r="BU687" s="36" t="str">
        <f aca="false">IF(O687="","",IF(O687&gt;=75,"Yes","No"))</f>
        <v/>
      </c>
      <c r="BV687" s="36" t="str">
        <f aca="false">IF(O687="","",IF(O687&gt;=100,"Yes","No"))</f>
        <v/>
      </c>
      <c r="BW687" s="36" t="str">
        <f aca="false">IF(O687="","",IF(O687&gt;=150,"Yes","No"))</f>
        <v/>
      </c>
      <c r="BX687" s="36" t="str">
        <f aca="false">IF(O687="","",IF(O687&gt;=200,"Yes","No"))</f>
        <v/>
      </c>
      <c r="BY687" s="36" t="str">
        <f aca="false">IF(Q687="","",IF(Q687&gt;=150000,"Yes","No"))</f>
        <v/>
      </c>
      <c r="BZ687" s="36" t="str">
        <f aca="false">IF(Q687="","",IF(Q687&gt;=200000,"Yes","No"))</f>
        <v/>
      </c>
      <c r="CA687" s="36" t="str">
        <f aca="false">IF(Q687="","",IF(Q687&gt;=250000,"Yes","No"))</f>
        <v/>
      </c>
      <c r="CB687" s="36" t="str">
        <f aca="false">IF(Q687="","",IF(Q687&gt;=300000,"Yes","No"))</f>
        <v/>
      </c>
      <c r="CC687" s="37"/>
      <c r="CD687" s="36" t="str">
        <f aca="true">IF(B687="","",IF(TODAY()-B687&lt;=7,"🟢 0-7d",IF(TODAY()-B687&lt;=30,"🟡 8-30d",IF(TODAY()-B687&lt;=60,"🟠 31-60d","🔴 60d+"))))</f>
        <v/>
      </c>
      <c r="CE687" s="36" t="str">
        <f aca="false">IF(G687="","",IF(G687&lt;&gt;"USA","N/A - Not USA Role",IF(J687="Yes",IF(OR(F687="Intern",F687="New Grad"),"🟡 Possible","🟢 Strong"),IF(J687="No","🔴 Difficult","⚪ Unknown"))))</f>
        <v/>
      </c>
      <c r="CF687" s="37"/>
      <c r="CG687" s="37"/>
      <c r="CH687" s="38"/>
      <c r="CI687" s="38"/>
      <c r="CJ687" s="38"/>
      <c r="CK687" s="38"/>
    </row>
    <row r="688" customFormat="false" ht="15" hidden="false" customHeight="true" outlineLevel="0" collapsed="false">
      <c r="A688" s="26" t="str">
        <f aca="false">IF($C688="","",ROW()-3)</f>
        <v/>
      </c>
      <c r="B688" s="27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9"/>
      <c r="N688" s="29"/>
      <c r="O688" s="30" t="str">
        <f aca="false">IFERROR(IF(M688="","",M688*INDEX('00 - Lists'!$M$2:$M$11,MATCH(L688,'00 - Lists'!$L$2:$L$11,0))/100000),"")</f>
        <v/>
      </c>
      <c r="P688" s="30" t="str">
        <f aca="false">IFERROR(IF(N688="","",N688*INDEX('00 - Lists'!$M$2:$M$11,MATCH(L688,'00 - Lists'!$L$2:$L$11,0))/100000),"")</f>
        <v/>
      </c>
      <c r="Q688" s="31" t="str">
        <f aca="false">IFERROR(IF(M688="","",M688*INDEX('00 - Lists'!$N$2:$N$11,MATCH(L688,'00 - Lists'!$L$2:$L$11,0))),"")</f>
        <v/>
      </c>
      <c r="R688" s="31" t="str">
        <f aca="false">IFERROR(IF(N688="","",N688*INDEX('00 - Lists'!$N$2:$N$11,MATCH(L688,'00 - Lists'!$L$2:$L$11,0))),"")</f>
        <v/>
      </c>
      <c r="S688" s="32" t="str">
        <f aca="false">IF(O688="","",IF(O688&gt;=50,"Yes","No"))</f>
        <v/>
      </c>
      <c r="T688" s="32" t="str">
        <f aca="false">IF(Q688="","",IF(Q688&gt;=100000,"Yes","No"))</f>
        <v/>
      </c>
      <c r="U688" s="28"/>
      <c r="V688" s="28"/>
      <c r="W688" s="28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J688" s="34" t="str">
        <f aca="false">IF(OR($BD688&lt;&gt;"",$BF688&lt;&gt;"",$BH688&lt;&gt;""),"Yes","No")</f>
        <v>No</v>
      </c>
      <c r="BK688" s="35" t="str">
        <f aca="false">IFERROR(IF(BD688="","",BD688*INDEX('00 - Lists'!$M$2:$M$11,MATCH(L688,'00 - Lists'!$L$2:$L$11,0))/100000),"")</f>
        <v/>
      </c>
      <c r="BL688" s="35" t="str">
        <f aca="false">IFERROR(IF(BE688="","",BE688*INDEX('00 - Lists'!$M$2:$M$11,MATCH(L688,'00 - Lists'!$L$2:$L$11,0))/100000),"")</f>
        <v/>
      </c>
      <c r="BM688" s="35" t="str">
        <f aca="false">IFERROR(IF(BF688="","",BF688*INDEX('00 - Lists'!$M$2:$M$11,MATCH(L688,'00 - Lists'!$L$2:$L$11,0))/100000),"")</f>
        <v/>
      </c>
      <c r="BN688" s="35" t="str">
        <f aca="false">IFERROR(IF(BG688="","",BG688*INDEX('00 - Lists'!$M$2:$M$11,MATCH(L688,'00 - Lists'!$L$2:$L$11,0))/100000),"")</f>
        <v/>
      </c>
      <c r="BO688" s="35" t="str">
        <f aca="false">IFERROR(IF(BH688="","",BH688*INDEX('00 - Lists'!$M$2:$M$11,MATCH(L688,'00 - Lists'!$L$2:$L$11,0))/100000),"")</f>
        <v/>
      </c>
      <c r="BP688" s="35" t="str">
        <f aca="false">IFERROR(IF(BI688="","",BI688*INDEX('00 - Lists'!$M$2:$M$11,MATCH(L688,'00 - Lists'!$L$2:$L$11,0))/100000),"")</f>
        <v/>
      </c>
      <c r="BS688" s="36" t="str">
        <f aca="false">IF(O688="","",IF(O688&gt;=20,"Yes","No"))</f>
        <v/>
      </c>
      <c r="BT688" s="36" t="str">
        <f aca="false">IF(O688="","",IF(O688&gt;=30,"Yes","No"))</f>
        <v/>
      </c>
      <c r="BU688" s="36" t="str">
        <f aca="false">IF(O688="","",IF(O688&gt;=75,"Yes","No"))</f>
        <v/>
      </c>
      <c r="BV688" s="36" t="str">
        <f aca="false">IF(O688="","",IF(O688&gt;=100,"Yes","No"))</f>
        <v/>
      </c>
      <c r="BW688" s="36" t="str">
        <f aca="false">IF(O688="","",IF(O688&gt;=150,"Yes","No"))</f>
        <v/>
      </c>
      <c r="BX688" s="36" t="str">
        <f aca="false">IF(O688="","",IF(O688&gt;=200,"Yes","No"))</f>
        <v/>
      </c>
      <c r="BY688" s="36" t="str">
        <f aca="false">IF(Q688="","",IF(Q688&gt;=150000,"Yes","No"))</f>
        <v/>
      </c>
      <c r="BZ688" s="36" t="str">
        <f aca="false">IF(Q688="","",IF(Q688&gt;=200000,"Yes","No"))</f>
        <v/>
      </c>
      <c r="CA688" s="36" t="str">
        <f aca="false">IF(Q688="","",IF(Q688&gt;=250000,"Yes","No"))</f>
        <v/>
      </c>
      <c r="CB688" s="36" t="str">
        <f aca="false">IF(Q688="","",IF(Q688&gt;=300000,"Yes","No"))</f>
        <v/>
      </c>
      <c r="CC688" s="37"/>
      <c r="CD688" s="36" t="str">
        <f aca="true">IF(B688="","",IF(TODAY()-B688&lt;=7,"🟢 0-7d",IF(TODAY()-B688&lt;=30,"🟡 8-30d",IF(TODAY()-B688&lt;=60,"🟠 31-60d","🔴 60d+"))))</f>
        <v/>
      </c>
      <c r="CE688" s="36" t="str">
        <f aca="false">IF(G688="","",IF(G688&lt;&gt;"USA","N/A - Not USA Role",IF(J688="Yes",IF(OR(F688="Intern",F688="New Grad"),"🟡 Possible","🟢 Strong"),IF(J688="No","🔴 Difficult","⚪ Unknown"))))</f>
        <v/>
      </c>
      <c r="CF688" s="37"/>
      <c r="CG688" s="37"/>
      <c r="CH688" s="38"/>
      <c r="CI688" s="38"/>
      <c r="CJ688" s="38"/>
      <c r="CK688" s="38"/>
    </row>
    <row r="689" customFormat="false" ht="15" hidden="false" customHeight="true" outlineLevel="0" collapsed="false">
      <c r="A689" s="26" t="str">
        <f aca="false">IF($C689="","",ROW()-3)</f>
        <v/>
      </c>
      <c r="B689" s="27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9"/>
      <c r="N689" s="29"/>
      <c r="O689" s="30" t="str">
        <f aca="false">IFERROR(IF(M689="","",M689*INDEX('00 - Lists'!$M$2:$M$11,MATCH(L689,'00 - Lists'!$L$2:$L$11,0))/100000),"")</f>
        <v/>
      </c>
      <c r="P689" s="30" t="str">
        <f aca="false">IFERROR(IF(N689="","",N689*INDEX('00 - Lists'!$M$2:$M$11,MATCH(L689,'00 - Lists'!$L$2:$L$11,0))/100000),"")</f>
        <v/>
      </c>
      <c r="Q689" s="31" t="str">
        <f aca="false">IFERROR(IF(M689="","",M689*INDEX('00 - Lists'!$N$2:$N$11,MATCH(L689,'00 - Lists'!$L$2:$L$11,0))),"")</f>
        <v/>
      </c>
      <c r="R689" s="31" t="str">
        <f aca="false">IFERROR(IF(N689="","",N689*INDEX('00 - Lists'!$N$2:$N$11,MATCH(L689,'00 - Lists'!$L$2:$L$11,0))),"")</f>
        <v/>
      </c>
      <c r="S689" s="32" t="str">
        <f aca="false">IF(O689="","",IF(O689&gt;=50,"Yes","No"))</f>
        <v/>
      </c>
      <c r="T689" s="32" t="str">
        <f aca="false">IF(Q689="","",IF(Q689&gt;=100000,"Yes","No"))</f>
        <v/>
      </c>
      <c r="U689" s="28"/>
      <c r="V689" s="28"/>
      <c r="W689" s="28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J689" s="34" t="str">
        <f aca="false">IF(OR($BD689&lt;&gt;"",$BF689&lt;&gt;"",$BH689&lt;&gt;""),"Yes","No")</f>
        <v>No</v>
      </c>
      <c r="BK689" s="35" t="str">
        <f aca="false">IFERROR(IF(BD689="","",BD689*INDEX('00 - Lists'!$M$2:$M$11,MATCH(L689,'00 - Lists'!$L$2:$L$11,0))/100000),"")</f>
        <v/>
      </c>
      <c r="BL689" s="35" t="str">
        <f aca="false">IFERROR(IF(BE689="","",BE689*INDEX('00 - Lists'!$M$2:$M$11,MATCH(L689,'00 - Lists'!$L$2:$L$11,0))/100000),"")</f>
        <v/>
      </c>
      <c r="BM689" s="35" t="str">
        <f aca="false">IFERROR(IF(BF689="","",BF689*INDEX('00 - Lists'!$M$2:$M$11,MATCH(L689,'00 - Lists'!$L$2:$L$11,0))/100000),"")</f>
        <v/>
      </c>
      <c r="BN689" s="35" t="str">
        <f aca="false">IFERROR(IF(BG689="","",BG689*INDEX('00 - Lists'!$M$2:$M$11,MATCH(L689,'00 - Lists'!$L$2:$L$11,0))/100000),"")</f>
        <v/>
      </c>
      <c r="BO689" s="35" t="str">
        <f aca="false">IFERROR(IF(BH689="","",BH689*INDEX('00 - Lists'!$M$2:$M$11,MATCH(L689,'00 - Lists'!$L$2:$L$11,0))/100000),"")</f>
        <v/>
      </c>
      <c r="BP689" s="35" t="str">
        <f aca="false">IFERROR(IF(BI689="","",BI689*INDEX('00 - Lists'!$M$2:$M$11,MATCH(L689,'00 - Lists'!$L$2:$L$11,0))/100000),"")</f>
        <v/>
      </c>
      <c r="BS689" s="36" t="str">
        <f aca="false">IF(O689="","",IF(O689&gt;=20,"Yes","No"))</f>
        <v/>
      </c>
      <c r="BT689" s="36" t="str">
        <f aca="false">IF(O689="","",IF(O689&gt;=30,"Yes","No"))</f>
        <v/>
      </c>
      <c r="BU689" s="36" t="str">
        <f aca="false">IF(O689="","",IF(O689&gt;=75,"Yes","No"))</f>
        <v/>
      </c>
      <c r="BV689" s="36" t="str">
        <f aca="false">IF(O689="","",IF(O689&gt;=100,"Yes","No"))</f>
        <v/>
      </c>
      <c r="BW689" s="36" t="str">
        <f aca="false">IF(O689="","",IF(O689&gt;=150,"Yes","No"))</f>
        <v/>
      </c>
      <c r="BX689" s="36" t="str">
        <f aca="false">IF(O689="","",IF(O689&gt;=200,"Yes","No"))</f>
        <v/>
      </c>
      <c r="BY689" s="36" t="str">
        <f aca="false">IF(Q689="","",IF(Q689&gt;=150000,"Yes","No"))</f>
        <v/>
      </c>
      <c r="BZ689" s="36" t="str">
        <f aca="false">IF(Q689="","",IF(Q689&gt;=200000,"Yes","No"))</f>
        <v/>
      </c>
      <c r="CA689" s="36" t="str">
        <f aca="false">IF(Q689="","",IF(Q689&gt;=250000,"Yes","No"))</f>
        <v/>
      </c>
      <c r="CB689" s="36" t="str">
        <f aca="false">IF(Q689="","",IF(Q689&gt;=300000,"Yes","No"))</f>
        <v/>
      </c>
      <c r="CC689" s="37"/>
      <c r="CD689" s="36" t="str">
        <f aca="true">IF(B689="","",IF(TODAY()-B689&lt;=7,"🟢 0-7d",IF(TODAY()-B689&lt;=30,"🟡 8-30d",IF(TODAY()-B689&lt;=60,"🟠 31-60d","🔴 60d+"))))</f>
        <v/>
      </c>
      <c r="CE689" s="36" t="str">
        <f aca="false">IF(G689="","",IF(G689&lt;&gt;"USA","N/A - Not USA Role",IF(J689="Yes",IF(OR(F689="Intern",F689="New Grad"),"🟡 Possible","🟢 Strong"),IF(J689="No","🔴 Difficult","⚪ Unknown"))))</f>
        <v/>
      </c>
      <c r="CF689" s="37"/>
      <c r="CG689" s="37"/>
      <c r="CH689" s="38"/>
      <c r="CI689" s="38"/>
      <c r="CJ689" s="38"/>
      <c r="CK689" s="38"/>
    </row>
    <row r="690" customFormat="false" ht="15" hidden="false" customHeight="true" outlineLevel="0" collapsed="false">
      <c r="A690" s="26" t="str">
        <f aca="false">IF($C690="","",ROW()-3)</f>
        <v/>
      </c>
      <c r="B690" s="27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9"/>
      <c r="N690" s="29"/>
      <c r="O690" s="30" t="str">
        <f aca="false">IFERROR(IF(M690="","",M690*INDEX('00 - Lists'!$M$2:$M$11,MATCH(L690,'00 - Lists'!$L$2:$L$11,0))/100000),"")</f>
        <v/>
      </c>
      <c r="P690" s="30" t="str">
        <f aca="false">IFERROR(IF(N690="","",N690*INDEX('00 - Lists'!$M$2:$M$11,MATCH(L690,'00 - Lists'!$L$2:$L$11,0))/100000),"")</f>
        <v/>
      </c>
      <c r="Q690" s="31" t="str">
        <f aca="false">IFERROR(IF(M690="","",M690*INDEX('00 - Lists'!$N$2:$N$11,MATCH(L690,'00 - Lists'!$L$2:$L$11,0))),"")</f>
        <v/>
      </c>
      <c r="R690" s="31" t="str">
        <f aca="false">IFERROR(IF(N690="","",N690*INDEX('00 - Lists'!$N$2:$N$11,MATCH(L690,'00 - Lists'!$L$2:$L$11,0))),"")</f>
        <v/>
      </c>
      <c r="S690" s="32" t="str">
        <f aca="false">IF(O690="","",IF(O690&gt;=50,"Yes","No"))</f>
        <v/>
      </c>
      <c r="T690" s="32" t="str">
        <f aca="false">IF(Q690="","",IF(Q690&gt;=100000,"Yes","No"))</f>
        <v/>
      </c>
      <c r="U690" s="28"/>
      <c r="V690" s="28"/>
      <c r="W690" s="28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J690" s="34" t="str">
        <f aca="false">IF(OR($BD690&lt;&gt;"",$BF690&lt;&gt;"",$BH690&lt;&gt;""),"Yes","No")</f>
        <v>No</v>
      </c>
      <c r="BK690" s="35" t="str">
        <f aca="false">IFERROR(IF(BD690="","",BD690*INDEX('00 - Lists'!$M$2:$M$11,MATCH(L690,'00 - Lists'!$L$2:$L$11,0))/100000),"")</f>
        <v/>
      </c>
      <c r="BL690" s="35" t="str">
        <f aca="false">IFERROR(IF(BE690="","",BE690*INDEX('00 - Lists'!$M$2:$M$11,MATCH(L690,'00 - Lists'!$L$2:$L$11,0))/100000),"")</f>
        <v/>
      </c>
      <c r="BM690" s="35" t="str">
        <f aca="false">IFERROR(IF(BF690="","",BF690*INDEX('00 - Lists'!$M$2:$M$11,MATCH(L690,'00 - Lists'!$L$2:$L$11,0))/100000),"")</f>
        <v/>
      </c>
      <c r="BN690" s="35" t="str">
        <f aca="false">IFERROR(IF(BG690="","",BG690*INDEX('00 - Lists'!$M$2:$M$11,MATCH(L690,'00 - Lists'!$L$2:$L$11,0))/100000),"")</f>
        <v/>
      </c>
      <c r="BO690" s="35" t="str">
        <f aca="false">IFERROR(IF(BH690="","",BH690*INDEX('00 - Lists'!$M$2:$M$11,MATCH(L690,'00 - Lists'!$L$2:$L$11,0))/100000),"")</f>
        <v/>
      </c>
      <c r="BP690" s="35" t="str">
        <f aca="false">IFERROR(IF(BI690="","",BI690*INDEX('00 - Lists'!$M$2:$M$11,MATCH(L690,'00 - Lists'!$L$2:$L$11,0))/100000),"")</f>
        <v/>
      </c>
      <c r="BS690" s="36" t="str">
        <f aca="false">IF(O690="","",IF(O690&gt;=20,"Yes","No"))</f>
        <v/>
      </c>
      <c r="BT690" s="36" t="str">
        <f aca="false">IF(O690="","",IF(O690&gt;=30,"Yes","No"))</f>
        <v/>
      </c>
      <c r="BU690" s="36" t="str">
        <f aca="false">IF(O690="","",IF(O690&gt;=75,"Yes","No"))</f>
        <v/>
      </c>
      <c r="BV690" s="36" t="str">
        <f aca="false">IF(O690="","",IF(O690&gt;=100,"Yes","No"))</f>
        <v/>
      </c>
      <c r="BW690" s="36" t="str">
        <f aca="false">IF(O690="","",IF(O690&gt;=150,"Yes","No"))</f>
        <v/>
      </c>
      <c r="BX690" s="36" t="str">
        <f aca="false">IF(O690="","",IF(O690&gt;=200,"Yes","No"))</f>
        <v/>
      </c>
      <c r="BY690" s="36" t="str">
        <f aca="false">IF(Q690="","",IF(Q690&gt;=150000,"Yes","No"))</f>
        <v/>
      </c>
      <c r="BZ690" s="36" t="str">
        <f aca="false">IF(Q690="","",IF(Q690&gt;=200000,"Yes","No"))</f>
        <v/>
      </c>
      <c r="CA690" s="36" t="str">
        <f aca="false">IF(Q690="","",IF(Q690&gt;=250000,"Yes","No"))</f>
        <v/>
      </c>
      <c r="CB690" s="36" t="str">
        <f aca="false">IF(Q690="","",IF(Q690&gt;=300000,"Yes","No"))</f>
        <v/>
      </c>
      <c r="CC690" s="37"/>
      <c r="CD690" s="36" t="str">
        <f aca="true">IF(B690="","",IF(TODAY()-B690&lt;=7,"🟢 0-7d",IF(TODAY()-B690&lt;=30,"🟡 8-30d",IF(TODAY()-B690&lt;=60,"🟠 31-60d","🔴 60d+"))))</f>
        <v/>
      </c>
      <c r="CE690" s="36" t="str">
        <f aca="false">IF(G690="","",IF(G690&lt;&gt;"USA","N/A - Not USA Role",IF(J690="Yes",IF(OR(F690="Intern",F690="New Grad"),"🟡 Possible","🟢 Strong"),IF(J690="No","🔴 Difficult","⚪ Unknown"))))</f>
        <v/>
      </c>
      <c r="CF690" s="37"/>
      <c r="CG690" s="37"/>
      <c r="CH690" s="38"/>
      <c r="CI690" s="38"/>
      <c r="CJ690" s="38"/>
      <c r="CK690" s="38"/>
    </row>
    <row r="691" customFormat="false" ht="15" hidden="false" customHeight="true" outlineLevel="0" collapsed="false">
      <c r="A691" s="26" t="str">
        <f aca="false">IF($C691="","",ROW()-3)</f>
        <v/>
      </c>
      <c r="B691" s="27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9"/>
      <c r="N691" s="29"/>
      <c r="O691" s="30" t="str">
        <f aca="false">IFERROR(IF(M691="","",M691*INDEX('00 - Lists'!$M$2:$M$11,MATCH(L691,'00 - Lists'!$L$2:$L$11,0))/100000),"")</f>
        <v/>
      </c>
      <c r="P691" s="30" t="str">
        <f aca="false">IFERROR(IF(N691="","",N691*INDEX('00 - Lists'!$M$2:$M$11,MATCH(L691,'00 - Lists'!$L$2:$L$11,0))/100000),"")</f>
        <v/>
      </c>
      <c r="Q691" s="31" t="str">
        <f aca="false">IFERROR(IF(M691="","",M691*INDEX('00 - Lists'!$N$2:$N$11,MATCH(L691,'00 - Lists'!$L$2:$L$11,0))),"")</f>
        <v/>
      </c>
      <c r="R691" s="31" t="str">
        <f aca="false">IFERROR(IF(N691="","",N691*INDEX('00 - Lists'!$N$2:$N$11,MATCH(L691,'00 - Lists'!$L$2:$L$11,0))),"")</f>
        <v/>
      </c>
      <c r="S691" s="32" t="str">
        <f aca="false">IF(O691="","",IF(O691&gt;=50,"Yes","No"))</f>
        <v/>
      </c>
      <c r="T691" s="32" t="str">
        <f aca="false">IF(Q691="","",IF(Q691&gt;=100000,"Yes","No"))</f>
        <v/>
      </c>
      <c r="U691" s="28"/>
      <c r="V691" s="28"/>
      <c r="W691" s="28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J691" s="34" t="str">
        <f aca="false">IF(OR($BD691&lt;&gt;"",$BF691&lt;&gt;"",$BH691&lt;&gt;""),"Yes","No")</f>
        <v>No</v>
      </c>
      <c r="BK691" s="35" t="str">
        <f aca="false">IFERROR(IF(BD691="","",BD691*INDEX('00 - Lists'!$M$2:$M$11,MATCH(L691,'00 - Lists'!$L$2:$L$11,0))/100000),"")</f>
        <v/>
      </c>
      <c r="BL691" s="35" t="str">
        <f aca="false">IFERROR(IF(BE691="","",BE691*INDEX('00 - Lists'!$M$2:$M$11,MATCH(L691,'00 - Lists'!$L$2:$L$11,0))/100000),"")</f>
        <v/>
      </c>
      <c r="BM691" s="35" t="str">
        <f aca="false">IFERROR(IF(BF691="","",BF691*INDEX('00 - Lists'!$M$2:$M$11,MATCH(L691,'00 - Lists'!$L$2:$L$11,0))/100000),"")</f>
        <v/>
      </c>
      <c r="BN691" s="35" t="str">
        <f aca="false">IFERROR(IF(BG691="","",BG691*INDEX('00 - Lists'!$M$2:$M$11,MATCH(L691,'00 - Lists'!$L$2:$L$11,0))/100000),"")</f>
        <v/>
      </c>
      <c r="BO691" s="35" t="str">
        <f aca="false">IFERROR(IF(BH691="","",BH691*INDEX('00 - Lists'!$M$2:$M$11,MATCH(L691,'00 - Lists'!$L$2:$L$11,0))/100000),"")</f>
        <v/>
      </c>
      <c r="BP691" s="35" t="str">
        <f aca="false">IFERROR(IF(BI691="","",BI691*INDEX('00 - Lists'!$M$2:$M$11,MATCH(L691,'00 - Lists'!$L$2:$L$11,0))/100000),"")</f>
        <v/>
      </c>
      <c r="BS691" s="36" t="str">
        <f aca="false">IF(O691="","",IF(O691&gt;=20,"Yes","No"))</f>
        <v/>
      </c>
      <c r="BT691" s="36" t="str">
        <f aca="false">IF(O691="","",IF(O691&gt;=30,"Yes","No"))</f>
        <v/>
      </c>
      <c r="BU691" s="36" t="str">
        <f aca="false">IF(O691="","",IF(O691&gt;=75,"Yes","No"))</f>
        <v/>
      </c>
      <c r="BV691" s="36" t="str">
        <f aca="false">IF(O691="","",IF(O691&gt;=100,"Yes","No"))</f>
        <v/>
      </c>
      <c r="BW691" s="36" t="str">
        <f aca="false">IF(O691="","",IF(O691&gt;=150,"Yes","No"))</f>
        <v/>
      </c>
      <c r="BX691" s="36" t="str">
        <f aca="false">IF(O691="","",IF(O691&gt;=200,"Yes","No"))</f>
        <v/>
      </c>
      <c r="BY691" s="36" t="str">
        <f aca="false">IF(Q691="","",IF(Q691&gt;=150000,"Yes","No"))</f>
        <v/>
      </c>
      <c r="BZ691" s="36" t="str">
        <f aca="false">IF(Q691="","",IF(Q691&gt;=200000,"Yes","No"))</f>
        <v/>
      </c>
      <c r="CA691" s="36" t="str">
        <f aca="false">IF(Q691="","",IF(Q691&gt;=250000,"Yes","No"))</f>
        <v/>
      </c>
      <c r="CB691" s="36" t="str">
        <f aca="false">IF(Q691="","",IF(Q691&gt;=300000,"Yes","No"))</f>
        <v/>
      </c>
      <c r="CC691" s="37"/>
      <c r="CD691" s="36" t="str">
        <f aca="true">IF(B691="","",IF(TODAY()-B691&lt;=7,"🟢 0-7d",IF(TODAY()-B691&lt;=30,"🟡 8-30d",IF(TODAY()-B691&lt;=60,"🟠 31-60d","🔴 60d+"))))</f>
        <v/>
      </c>
      <c r="CE691" s="36" t="str">
        <f aca="false">IF(G691="","",IF(G691&lt;&gt;"USA","N/A - Not USA Role",IF(J691="Yes",IF(OR(F691="Intern",F691="New Grad"),"🟡 Possible","🟢 Strong"),IF(J691="No","🔴 Difficult","⚪ Unknown"))))</f>
        <v/>
      </c>
      <c r="CF691" s="37"/>
      <c r="CG691" s="37"/>
      <c r="CH691" s="38"/>
      <c r="CI691" s="38"/>
      <c r="CJ691" s="38"/>
      <c r="CK691" s="38"/>
    </row>
    <row r="692" customFormat="false" ht="15" hidden="false" customHeight="true" outlineLevel="0" collapsed="false">
      <c r="A692" s="26" t="str">
        <f aca="false">IF($C692="","",ROW()-3)</f>
        <v/>
      </c>
      <c r="B692" s="27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9"/>
      <c r="N692" s="29"/>
      <c r="O692" s="30" t="str">
        <f aca="false">IFERROR(IF(M692="","",M692*INDEX('00 - Lists'!$M$2:$M$11,MATCH(L692,'00 - Lists'!$L$2:$L$11,0))/100000),"")</f>
        <v/>
      </c>
      <c r="P692" s="30" t="str">
        <f aca="false">IFERROR(IF(N692="","",N692*INDEX('00 - Lists'!$M$2:$M$11,MATCH(L692,'00 - Lists'!$L$2:$L$11,0))/100000),"")</f>
        <v/>
      </c>
      <c r="Q692" s="31" t="str">
        <f aca="false">IFERROR(IF(M692="","",M692*INDEX('00 - Lists'!$N$2:$N$11,MATCH(L692,'00 - Lists'!$L$2:$L$11,0))),"")</f>
        <v/>
      </c>
      <c r="R692" s="31" t="str">
        <f aca="false">IFERROR(IF(N692="","",N692*INDEX('00 - Lists'!$N$2:$N$11,MATCH(L692,'00 - Lists'!$L$2:$L$11,0))),"")</f>
        <v/>
      </c>
      <c r="S692" s="32" t="str">
        <f aca="false">IF(O692="","",IF(O692&gt;=50,"Yes","No"))</f>
        <v/>
      </c>
      <c r="T692" s="32" t="str">
        <f aca="false">IF(Q692="","",IF(Q692&gt;=100000,"Yes","No"))</f>
        <v/>
      </c>
      <c r="U692" s="28"/>
      <c r="V692" s="28"/>
      <c r="W692" s="28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J692" s="34" t="str">
        <f aca="false">IF(OR($BD692&lt;&gt;"",$BF692&lt;&gt;"",$BH692&lt;&gt;""),"Yes","No")</f>
        <v>No</v>
      </c>
      <c r="BK692" s="35" t="str">
        <f aca="false">IFERROR(IF(BD692="","",BD692*INDEX('00 - Lists'!$M$2:$M$11,MATCH(L692,'00 - Lists'!$L$2:$L$11,0))/100000),"")</f>
        <v/>
      </c>
      <c r="BL692" s="35" t="str">
        <f aca="false">IFERROR(IF(BE692="","",BE692*INDEX('00 - Lists'!$M$2:$M$11,MATCH(L692,'00 - Lists'!$L$2:$L$11,0))/100000),"")</f>
        <v/>
      </c>
      <c r="BM692" s="35" t="str">
        <f aca="false">IFERROR(IF(BF692="","",BF692*INDEX('00 - Lists'!$M$2:$M$11,MATCH(L692,'00 - Lists'!$L$2:$L$11,0))/100000),"")</f>
        <v/>
      </c>
      <c r="BN692" s="35" t="str">
        <f aca="false">IFERROR(IF(BG692="","",BG692*INDEX('00 - Lists'!$M$2:$M$11,MATCH(L692,'00 - Lists'!$L$2:$L$11,0))/100000),"")</f>
        <v/>
      </c>
      <c r="BO692" s="35" t="str">
        <f aca="false">IFERROR(IF(BH692="","",BH692*INDEX('00 - Lists'!$M$2:$M$11,MATCH(L692,'00 - Lists'!$L$2:$L$11,0))/100000),"")</f>
        <v/>
      </c>
      <c r="BP692" s="35" t="str">
        <f aca="false">IFERROR(IF(BI692="","",BI692*INDEX('00 - Lists'!$M$2:$M$11,MATCH(L692,'00 - Lists'!$L$2:$L$11,0))/100000),"")</f>
        <v/>
      </c>
      <c r="BS692" s="36" t="str">
        <f aca="false">IF(O692="","",IF(O692&gt;=20,"Yes","No"))</f>
        <v/>
      </c>
      <c r="BT692" s="36" t="str">
        <f aca="false">IF(O692="","",IF(O692&gt;=30,"Yes","No"))</f>
        <v/>
      </c>
      <c r="BU692" s="36" t="str">
        <f aca="false">IF(O692="","",IF(O692&gt;=75,"Yes","No"))</f>
        <v/>
      </c>
      <c r="BV692" s="36" t="str">
        <f aca="false">IF(O692="","",IF(O692&gt;=100,"Yes","No"))</f>
        <v/>
      </c>
      <c r="BW692" s="36" t="str">
        <f aca="false">IF(O692="","",IF(O692&gt;=150,"Yes","No"))</f>
        <v/>
      </c>
      <c r="BX692" s="36" t="str">
        <f aca="false">IF(O692="","",IF(O692&gt;=200,"Yes","No"))</f>
        <v/>
      </c>
      <c r="BY692" s="36" t="str">
        <f aca="false">IF(Q692="","",IF(Q692&gt;=150000,"Yes","No"))</f>
        <v/>
      </c>
      <c r="BZ692" s="36" t="str">
        <f aca="false">IF(Q692="","",IF(Q692&gt;=200000,"Yes","No"))</f>
        <v/>
      </c>
      <c r="CA692" s="36" t="str">
        <f aca="false">IF(Q692="","",IF(Q692&gt;=250000,"Yes","No"))</f>
        <v/>
      </c>
      <c r="CB692" s="36" t="str">
        <f aca="false">IF(Q692="","",IF(Q692&gt;=300000,"Yes","No"))</f>
        <v/>
      </c>
      <c r="CC692" s="37"/>
      <c r="CD692" s="36" t="str">
        <f aca="true">IF(B692="","",IF(TODAY()-B692&lt;=7,"🟢 0-7d",IF(TODAY()-B692&lt;=30,"🟡 8-30d",IF(TODAY()-B692&lt;=60,"🟠 31-60d","🔴 60d+"))))</f>
        <v/>
      </c>
      <c r="CE692" s="36" t="str">
        <f aca="false">IF(G692="","",IF(G692&lt;&gt;"USA","N/A - Not USA Role",IF(J692="Yes",IF(OR(F692="Intern",F692="New Grad"),"🟡 Possible","🟢 Strong"),IF(J692="No","🔴 Difficult","⚪ Unknown"))))</f>
        <v/>
      </c>
      <c r="CF692" s="37"/>
      <c r="CG692" s="37"/>
      <c r="CH692" s="38"/>
      <c r="CI692" s="38"/>
      <c r="CJ692" s="38"/>
      <c r="CK692" s="38"/>
    </row>
    <row r="693" customFormat="false" ht="15" hidden="false" customHeight="true" outlineLevel="0" collapsed="false">
      <c r="A693" s="26" t="str">
        <f aca="false">IF($C693="","",ROW()-3)</f>
        <v/>
      </c>
      <c r="B693" s="27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9"/>
      <c r="N693" s="29"/>
      <c r="O693" s="30" t="str">
        <f aca="false">IFERROR(IF(M693="","",M693*INDEX('00 - Lists'!$M$2:$M$11,MATCH(L693,'00 - Lists'!$L$2:$L$11,0))/100000),"")</f>
        <v/>
      </c>
      <c r="P693" s="30" t="str">
        <f aca="false">IFERROR(IF(N693="","",N693*INDEX('00 - Lists'!$M$2:$M$11,MATCH(L693,'00 - Lists'!$L$2:$L$11,0))/100000),"")</f>
        <v/>
      </c>
      <c r="Q693" s="31" t="str">
        <f aca="false">IFERROR(IF(M693="","",M693*INDEX('00 - Lists'!$N$2:$N$11,MATCH(L693,'00 - Lists'!$L$2:$L$11,0))),"")</f>
        <v/>
      </c>
      <c r="R693" s="31" t="str">
        <f aca="false">IFERROR(IF(N693="","",N693*INDEX('00 - Lists'!$N$2:$N$11,MATCH(L693,'00 - Lists'!$L$2:$L$11,0))),"")</f>
        <v/>
      </c>
      <c r="S693" s="32" t="str">
        <f aca="false">IF(O693="","",IF(O693&gt;=50,"Yes","No"))</f>
        <v/>
      </c>
      <c r="T693" s="32" t="str">
        <f aca="false">IF(Q693="","",IF(Q693&gt;=100000,"Yes","No"))</f>
        <v/>
      </c>
      <c r="U693" s="28"/>
      <c r="V693" s="28"/>
      <c r="W693" s="28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J693" s="34" t="str">
        <f aca="false">IF(OR($BD693&lt;&gt;"",$BF693&lt;&gt;"",$BH693&lt;&gt;""),"Yes","No")</f>
        <v>No</v>
      </c>
      <c r="BK693" s="35" t="str">
        <f aca="false">IFERROR(IF(BD693="","",BD693*INDEX('00 - Lists'!$M$2:$M$11,MATCH(L693,'00 - Lists'!$L$2:$L$11,0))/100000),"")</f>
        <v/>
      </c>
      <c r="BL693" s="35" t="str">
        <f aca="false">IFERROR(IF(BE693="","",BE693*INDEX('00 - Lists'!$M$2:$M$11,MATCH(L693,'00 - Lists'!$L$2:$L$11,0))/100000),"")</f>
        <v/>
      </c>
      <c r="BM693" s="35" t="str">
        <f aca="false">IFERROR(IF(BF693="","",BF693*INDEX('00 - Lists'!$M$2:$M$11,MATCH(L693,'00 - Lists'!$L$2:$L$11,0))/100000),"")</f>
        <v/>
      </c>
      <c r="BN693" s="35" t="str">
        <f aca="false">IFERROR(IF(BG693="","",BG693*INDEX('00 - Lists'!$M$2:$M$11,MATCH(L693,'00 - Lists'!$L$2:$L$11,0))/100000),"")</f>
        <v/>
      </c>
      <c r="BO693" s="35" t="str">
        <f aca="false">IFERROR(IF(BH693="","",BH693*INDEX('00 - Lists'!$M$2:$M$11,MATCH(L693,'00 - Lists'!$L$2:$L$11,0))/100000),"")</f>
        <v/>
      </c>
      <c r="BP693" s="35" t="str">
        <f aca="false">IFERROR(IF(BI693="","",BI693*INDEX('00 - Lists'!$M$2:$M$11,MATCH(L693,'00 - Lists'!$L$2:$L$11,0))/100000),"")</f>
        <v/>
      </c>
      <c r="BS693" s="36" t="str">
        <f aca="false">IF(O693="","",IF(O693&gt;=20,"Yes","No"))</f>
        <v/>
      </c>
      <c r="BT693" s="36" t="str">
        <f aca="false">IF(O693="","",IF(O693&gt;=30,"Yes","No"))</f>
        <v/>
      </c>
      <c r="BU693" s="36" t="str">
        <f aca="false">IF(O693="","",IF(O693&gt;=75,"Yes","No"))</f>
        <v/>
      </c>
      <c r="BV693" s="36" t="str">
        <f aca="false">IF(O693="","",IF(O693&gt;=100,"Yes","No"))</f>
        <v/>
      </c>
      <c r="BW693" s="36" t="str">
        <f aca="false">IF(O693="","",IF(O693&gt;=150,"Yes","No"))</f>
        <v/>
      </c>
      <c r="BX693" s="36" t="str">
        <f aca="false">IF(O693="","",IF(O693&gt;=200,"Yes","No"))</f>
        <v/>
      </c>
      <c r="BY693" s="36" t="str">
        <f aca="false">IF(Q693="","",IF(Q693&gt;=150000,"Yes","No"))</f>
        <v/>
      </c>
      <c r="BZ693" s="36" t="str">
        <f aca="false">IF(Q693="","",IF(Q693&gt;=200000,"Yes","No"))</f>
        <v/>
      </c>
      <c r="CA693" s="36" t="str">
        <f aca="false">IF(Q693="","",IF(Q693&gt;=250000,"Yes","No"))</f>
        <v/>
      </c>
      <c r="CB693" s="36" t="str">
        <f aca="false">IF(Q693="","",IF(Q693&gt;=300000,"Yes","No"))</f>
        <v/>
      </c>
      <c r="CC693" s="37"/>
      <c r="CD693" s="36" t="str">
        <f aca="true">IF(B693="","",IF(TODAY()-B693&lt;=7,"🟢 0-7d",IF(TODAY()-B693&lt;=30,"🟡 8-30d",IF(TODAY()-B693&lt;=60,"🟠 31-60d","🔴 60d+"))))</f>
        <v/>
      </c>
      <c r="CE693" s="36" t="str">
        <f aca="false">IF(G693="","",IF(G693&lt;&gt;"USA","N/A - Not USA Role",IF(J693="Yes",IF(OR(F693="Intern",F693="New Grad"),"🟡 Possible","🟢 Strong"),IF(J693="No","🔴 Difficult","⚪ Unknown"))))</f>
        <v/>
      </c>
      <c r="CF693" s="37"/>
      <c r="CG693" s="37"/>
      <c r="CH693" s="38"/>
      <c r="CI693" s="38"/>
      <c r="CJ693" s="38"/>
      <c r="CK693" s="38"/>
    </row>
    <row r="694" customFormat="false" ht="15" hidden="false" customHeight="true" outlineLevel="0" collapsed="false">
      <c r="A694" s="26" t="str">
        <f aca="false">IF($C694="","",ROW()-3)</f>
        <v/>
      </c>
      <c r="B694" s="27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9"/>
      <c r="N694" s="29"/>
      <c r="O694" s="30" t="str">
        <f aca="false">IFERROR(IF(M694="","",M694*INDEX('00 - Lists'!$M$2:$M$11,MATCH(L694,'00 - Lists'!$L$2:$L$11,0))/100000),"")</f>
        <v/>
      </c>
      <c r="P694" s="30" t="str">
        <f aca="false">IFERROR(IF(N694="","",N694*INDEX('00 - Lists'!$M$2:$M$11,MATCH(L694,'00 - Lists'!$L$2:$L$11,0))/100000),"")</f>
        <v/>
      </c>
      <c r="Q694" s="31" t="str">
        <f aca="false">IFERROR(IF(M694="","",M694*INDEX('00 - Lists'!$N$2:$N$11,MATCH(L694,'00 - Lists'!$L$2:$L$11,0))),"")</f>
        <v/>
      </c>
      <c r="R694" s="31" t="str">
        <f aca="false">IFERROR(IF(N694="","",N694*INDEX('00 - Lists'!$N$2:$N$11,MATCH(L694,'00 - Lists'!$L$2:$L$11,0))),"")</f>
        <v/>
      </c>
      <c r="S694" s="32" t="str">
        <f aca="false">IF(O694="","",IF(O694&gt;=50,"Yes","No"))</f>
        <v/>
      </c>
      <c r="T694" s="32" t="str">
        <f aca="false">IF(Q694="","",IF(Q694&gt;=100000,"Yes","No"))</f>
        <v/>
      </c>
      <c r="U694" s="28"/>
      <c r="V694" s="28"/>
      <c r="W694" s="28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J694" s="34" t="str">
        <f aca="false">IF(OR($BD694&lt;&gt;"",$BF694&lt;&gt;"",$BH694&lt;&gt;""),"Yes","No")</f>
        <v>No</v>
      </c>
      <c r="BK694" s="35" t="str">
        <f aca="false">IFERROR(IF(BD694="","",BD694*INDEX('00 - Lists'!$M$2:$M$11,MATCH(L694,'00 - Lists'!$L$2:$L$11,0))/100000),"")</f>
        <v/>
      </c>
      <c r="BL694" s="35" t="str">
        <f aca="false">IFERROR(IF(BE694="","",BE694*INDEX('00 - Lists'!$M$2:$M$11,MATCH(L694,'00 - Lists'!$L$2:$L$11,0))/100000),"")</f>
        <v/>
      </c>
      <c r="BM694" s="35" t="str">
        <f aca="false">IFERROR(IF(BF694="","",BF694*INDEX('00 - Lists'!$M$2:$M$11,MATCH(L694,'00 - Lists'!$L$2:$L$11,0))/100000),"")</f>
        <v/>
      </c>
      <c r="BN694" s="35" t="str">
        <f aca="false">IFERROR(IF(BG694="","",BG694*INDEX('00 - Lists'!$M$2:$M$11,MATCH(L694,'00 - Lists'!$L$2:$L$11,0))/100000),"")</f>
        <v/>
      </c>
      <c r="BO694" s="35" t="str">
        <f aca="false">IFERROR(IF(BH694="","",BH694*INDEX('00 - Lists'!$M$2:$M$11,MATCH(L694,'00 - Lists'!$L$2:$L$11,0))/100000),"")</f>
        <v/>
      </c>
      <c r="BP694" s="35" t="str">
        <f aca="false">IFERROR(IF(BI694="","",BI694*INDEX('00 - Lists'!$M$2:$M$11,MATCH(L694,'00 - Lists'!$L$2:$L$11,0))/100000),"")</f>
        <v/>
      </c>
      <c r="BS694" s="36" t="str">
        <f aca="false">IF(O694="","",IF(O694&gt;=20,"Yes","No"))</f>
        <v/>
      </c>
      <c r="BT694" s="36" t="str">
        <f aca="false">IF(O694="","",IF(O694&gt;=30,"Yes","No"))</f>
        <v/>
      </c>
      <c r="BU694" s="36" t="str">
        <f aca="false">IF(O694="","",IF(O694&gt;=75,"Yes","No"))</f>
        <v/>
      </c>
      <c r="BV694" s="36" t="str">
        <f aca="false">IF(O694="","",IF(O694&gt;=100,"Yes","No"))</f>
        <v/>
      </c>
      <c r="BW694" s="36" t="str">
        <f aca="false">IF(O694="","",IF(O694&gt;=150,"Yes","No"))</f>
        <v/>
      </c>
      <c r="BX694" s="36" t="str">
        <f aca="false">IF(O694="","",IF(O694&gt;=200,"Yes","No"))</f>
        <v/>
      </c>
      <c r="BY694" s="36" t="str">
        <f aca="false">IF(Q694="","",IF(Q694&gt;=150000,"Yes","No"))</f>
        <v/>
      </c>
      <c r="BZ694" s="36" t="str">
        <f aca="false">IF(Q694="","",IF(Q694&gt;=200000,"Yes","No"))</f>
        <v/>
      </c>
      <c r="CA694" s="36" t="str">
        <f aca="false">IF(Q694="","",IF(Q694&gt;=250000,"Yes","No"))</f>
        <v/>
      </c>
      <c r="CB694" s="36" t="str">
        <f aca="false">IF(Q694="","",IF(Q694&gt;=300000,"Yes","No"))</f>
        <v/>
      </c>
      <c r="CC694" s="37"/>
      <c r="CD694" s="36" t="str">
        <f aca="true">IF(B694="","",IF(TODAY()-B694&lt;=7,"🟢 0-7d",IF(TODAY()-B694&lt;=30,"🟡 8-30d",IF(TODAY()-B694&lt;=60,"🟠 31-60d","🔴 60d+"))))</f>
        <v/>
      </c>
      <c r="CE694" s="36" t="str">
        <f aca="false">IF(G694="","",IF(G694&lt;&gt;"USA","N/A - Not USA Role",IF(J694="Yes",IF(OR(F694="Intern",F694="New Grad"),"🟡 Possible","🟢 Strong"),IF(J694="No","🔴 Difficult","⚪ Unknown"))))</f>
        <v/>
      </c>
      <c r="CF694" s="37"/>
      <c r="CG694" s="37"/>
      <c r="CH694" s="38"/>
      <c r="CI694" s="38"/>
      <c r="CJ694" s="38"/>
      <c r="CK694" s="38"/>
    </row>
    <row r="695" customFormat="false" ht="15" hidden="false" customHeight="true" outlineLevel="0" collapsed="false">
      <c r="A695" s="26" t="str">
        <f aca="false">IF($C695="","",ROW()-3)</f>
        <v/>
      </c>
      <c r="B695" s="27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9"/>
      <c r="N695" s="29"/>
      <c r="O695" s="30" t="str">
        <f aca="false">IFERROR(IF(M695="","",M695*INDEX('00 - Lists'!$M$2:$M$11,MATCH(L695,'00 - Lists'!$L$2:$L$11,0))/100000),"")</f>
        <v/>
      </c>
      <c r="P695" s="30" t="str">
        <f aca="false">IFERROR(IF(N695="","",N695*INDEX('00 - Lists'!$M$2:$M$11,MATCH(L695,'00 - Lists'!$L$2:$L$11,0))/100000),"")</f>
        <v/>
      </c>
      <c r="Q695" s="31" t="str">
        <f aca="false">IFERROR(IF(M695="","",M695*INDEX('00 - Lists'!$N$2:$N$11,MATCH(L695,'00 - Lists'!$L$2:$L$11,0))),"")</f>
        <v/>
      </c>
      <c r="R695" s="31" t="str">
        <f aca="false">IFERROR(IF(N695="","",N695*INDEX('00 - Lists'!$N$2:$N$11,MATCH(L695,'00 - Lists'!$L$2:$L$11,0))),"")</f>
        <v/>
      </c>
      <c r="S695" s="32" t="str">
        <f aca="false">IF(O695="","",IF(O695&gt;=50,"Yes","No"))</f>
        <v/>
      </c>
      <c r="T695" s="32" t="str">
        <f aca="false">IF(Q695="","",IF(Q695&gt;=100000,"Yes","No"))</f>
        <v/>
      </c>
      <c r="U695" s="28"/>
      <c r="V695" s="28"/>
      <c r="W695" s="28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J695" s="34" t="str">
        <f aca="false">IF(OR($BD695&lt;&gt;"",$BF695&lt;&gt;"",$BH695&lt;&gt;""),"Yes","No")</f>
        <v>No</v>
      </c>
      <c r="BK695" s="35" t="str">
        <f aca="false">IFERROR(IF(BD695="","",BD695*INDEX('00 - Lists'!$M$2:$M$11,MATCH(L695,'00 - Lists'!$L$2:$L$11,0))/100000),"")</f>
        <v/>
      </c>
      <c r="BL695" s="35" t="str">
        <f aca="false">IFERROR(IF(BE695="","",BE695*INDEX('00 - Lists'!$M$2:$M$11,MATCH(L695,'00 - Lists'!$L$2:$L$11,0))/100000),"")</f>
        <v/>
      </c>
      <c r="BM695" s="35" t="str">
        <f aca="false">IFERROR(IF(BF695="","",BF695*INDEX('00 - Lists'!$M$2:$M$11,MATCH(L695,'00 - Lists'!$L$2:$L$11,0))/100000),"")</f>
        <v/>
      </c>
      <c r="BN695" s="35" t="str">
        <f aca="false">IFERROR(IF(BG695="","",BG695*INDEX('00 - Lists'!$M$2:$M$11,MATCH(L695,'00 - Lists'!$L$2:$L$11,0))/100000),"")</f>
        <v/>
      </c>
      <c r="BO695" s="35" t="str">
        <f aca="false">IFERROR(IF(BH695="","",BH695*INDEX('00 - Lists'!$M$2:$M$11,MATCH(L695,'00 - Lists'!$L$2:$L$11,0))/100000),"")</f>
        <v/>
      </c>
      <c r="BP695" s="35" t="str">
        <f aca="false">IFERROR(IF(BI695="","",BI695*INDEX('00 - Lists'!$M$2:$M$11,MATCH(L695,'00 - Lists'!$L$2:$L$11,0))/100000),"")</f>
        <v/>
      </c>
      <c r="BS695" s="36" t="str">
        <f aca="false">IF(O695="","",IF(O695&gt;=20,"Yes","No"))</f>
        <v/>
      </c>
      <c r="BT695" s="36" t="str">
        <f aca="false">IF(O695="","",IF(O695&gt;=30,"Yes","No"))</f>
        <v/>
      </c>
      <c r="BU695" s="36" t="str">
        <f aca="false">IF(O695="","",IF(O695&gt;=75,"Yes","No"))</f>
        <v/>
      </c>
      <c r="BV695" s="36" t="str">
        <f aca="false">IF(O695="","",IF(O695&gt;=100,"Yes","No"))</f>
        <v/>
      </c>
      <c r="BW695" s="36" t="str">
        <f aca="false">IF(O695="","",IF(O695&gt;=150,"Yes","No"))</f>
        <v/>
      </c>
      <c r="BX695" s="36" t="str">
        <f aca="false">IF(O695="","",IF(O695&gt;=200,"Yes","No"))</f>
        <v/>
      </c>
      <c r="BY695" s="36" t="str">
        <f aca="false">IF(Q695="","",IF(Q695&gt;=150000,"Yes","No"))</f>
        <v/>
      </c>
      <c r="BZ695" s="36" t="str">
        <f aca="false">IF(Q695="","",IF(Q695&gt;=200000,"Yes","No"))</f>
        <v/>
      </c>
      <c r="CA695" s="36" t="str">
        <f aca="false">IF(Q695="","",IF(Q695&gt;=250000,"Yes","No"))</f>
        <v/>
      </c>
      <c r="CB695" s="36" t="str">
        <f aca="false">IF(Q695="","",IF(Q695&gt;=300000,"Yes","No"))</f>
        <v/>
      </c>
      <c r="CC695" s="37"/>
      <c r="CD695" s="36" t="str">
        <f aca="true">IF(B695="","",IF(TODAY()-B695&lt;=7,"🟢 0-7d",IF(TODAY()-B695&lt;=30,"🟡 8-30d",IF(TODAY()-B695&lt;=60,"🟠 31-60d","🔴 60d+"))))</f>
        <v/>
      </c>
      <c r="CE695" s="36" t="str">
        <f aca="false">IF(G695="","",IF(G695&lt;&gt;"USA","N/A - Not USA Role",IF(J695="Yes",IF(OR(F695="Intern",F695="New Grad"),"🟡 Possible","🟢 Strong"),IF(J695="No","🔴 Difficult","⚪ Unknown"))))</f>
        <v/>
      </c>
      <c r="CF695" s="37"/>
      <c r="CG695" s="37"/>
      <c r="CH695" s="38"/>
      <c r="CI695" s="38"/>
      <c r="CJ695" s="38"/>
      <c r="CK695" s="38"/>
    </row>
    <row r="696" customFormat="false" ht="15" hidden="false" customHeight="true" outlineLevel="0" collapsed="false">
      <c r="A696" s="26" t="str">
        <f aca="false">IF($C696="","",ROW()-3)</f>
        <v/>
      </c>
      <c r="B696" s="27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9"/>
      <c r="N696" s="29"/>
      <c r="O696" s="30" t="str">
        <f aca="false">IFERROR(IF(M696="","",M696*INDEX('00 - Lists'!$M$2:$M$11,MATCH(L696,'00 - Lists'!$L$2:$L$11,0))/100000),"")</f>
        <v/>
      </c>
      <c r="P696" s="30" t="str">
        <f aca="false">IFERROR(IF(N696="","",N696*INDEX('00 - Lists'!$M$2:$M$11,MATCH(L696,'00 - Lists'!$L$2:$L$11,0))/100000),"")</f>
        <v/>
      </c>
      <c r="Q696" s="31" t="str">
        <f aca="false">IFERROR(IF(M696="","",M696*INDEX('00 - Lists'!$N$2:$N$11,MATCH(L696,'00 - Lists'!$L$2:$L$11,0))),"")</f>
        <v/>
      </c>
      <c r="R696" s="31" t="str">
        <f aca="false">IFERROR(IF(N696="","",N696*INDEX('00 - Lists'!$N$2:$N$11,MATCH(L696,'00 - Lists'!$L$2:$L$11,0))),"")</f>
        <v/>
      </c>
      <c r="S696" s="32" t="str">
        <f aca="false">IF(O696="","",IF(O696&gt;=50,"Yes","No"))</f>
        <v/>
      </c>
      <c r="T696" s="32" t="str">
        <f aca="false">IF(Q696="","",IF(Q696&gt;=100000,"Yes","No"))</f>
        <v/>
      </c>
      <c r="U696" s="28"/>
      <c r="V696" s="28"/>
      <c r="W696" s="28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J696" s="34" t="str">
        <f aca="false">IF(OR($BD696&lt;&gt;"",$BF696&lt;&gt;"",$BH696&lt;&gt;""),"Yes","No")</f>
        <v>No</v>
      </c>
      <c r="BK696" s="35" t="str">
        <f aca="false">IFERROR(IF(BD696="","",BD696*INDEX('00 - Lists'!$M$2:$M$11,MATCH(L696,'00 - Lists'!$L$2:$L$11,0))/100000),"")</f>
        <v/>
      </c>
      <c r="BL696" s="35" t="str">
        <f aca="false">IFERROR(IF(BE696="","",BE696*INDEX('00 - Lists'!$M$2:$M$11,MATCH(L696,'00 - Lists'!$L$2:$L$11,0))/100000),"")</f>
        <v/>
      </c>
      <c r="BM696" s="35" t="str">
        <f aca="false">IFERROR(IF(BF696="","",BF696*INDEX('00 - Lists'!$M$2:$M$11,MATCH(L696,'00 - Lists'!$L$2:$L$11,0))/100000),"")</f>
        <v/>
      </c>
      <c r="BN696" s="35" t="str">
        <f aca="false">IFERROR(IF(BG696="","",BG696*INDEX('00 - Lists'!$M$2:$M$11,MATCH(L696,'00 - Lists'!$L$2:$L$11,0))/100000),"")</f>
        <v/>
      </c>
      <c r="BO696" s="35" t="str">
        <f aca="false">IFERROR(IF(BH696="","",BH696*INDEX('00 - Lists'!$M$2:$M$11,MATCH(L696,'00 - Lists'!$L$2:$L$11,0))/100000),"")</f>
        <v/>
      </c>
      <c r="BP696" s="35" t="str">
        <f aca="false">IFERROR(IF(BI696="","",BI696*INDEX('00 - Lists'!$M$2:$M$11,MATCH(L696,'00 - Lists'!$L$2:$L$11,0))/100000),"")</f>
        <v/>
      </c>
      <c r="BS696" s="36" t="str">
        <f aca="false">IF(O696="","",IF(O696&gt;=20,"Yes","No"))</f>
        <v/>
      </c>
      <c r="BT696" s="36" t="str">
        <f aca="false">IF(O696="","",IF(O696&gt;=30,"Yes","No"))</f>
        <v/>
      </c>
      <c r="BU696" s="36" t="str">
        <f aca="false">IF(O696="","",IF(O696&gt;=75,"Yes","No"))</f>
        <v/>
      </c>
      <c r="BV696" s="36" t="str">
        <f aca="false">IF(O696="","",IF(O696&gt;=100,"Yes","No"))</f>
        <v/>
      </c>
      <c r="BW696" s="36" t="str">
        <f aca="false">IF(O696="","",IF(O696&gt;=150,"Yes","No"))</f>
        <v/>
      </c>
      <c r="BX696" s="36" t="str">
        <f aca="false">IF(O696="","",IF(O696&gt;=200,"Yes","No"))</f>
        <v/>
      </c>
      <c r="BY696" s="36" t="str">
        <f aca="false">IF(Q696="","",IF(Q696&gt;=150000,"Yes","No"))</f>
        <v/>
      </c>
      <c r="BZ696" s="36" t="str">
        <f aca="false">IF(Q696="","",IF(Q696&gt;=200000,"Yes","No"))</f>
        <v/>
      </c>
      <c r="CA696" s="36" t="str">
        <f aca="false">IF(Q696="","",IF(Q696&gt;=250000,"Yes","No"))</f>
        <v/>
      </c>
      <c r="CB696" s="36" t="str">
        <f aca="false">IF(Q696="","",IF(Q696&gt;=300000,"Yes","No"))</f>
        <v/>
      </c>
      <c r="CC696" s="37"/>
      <c r="CD696" s="36" t="str">
        <f aca="true">IF(B696="","",IF(TODAY()-B696&lt;=7,"🟢 0-7d",IF(TODAY()-B696&lt;=30,"🟡 8-30d",IF(TODAY()-B696&lt;=60,"🟠 31-60d","🔴 60d+"))))</f>
        <v/>
      </c>
      <c r="CE696" s="36" t="str">
        <f aca="false">IF(G696="","",IF(G696&lt;&gt;"USA","N/A - Not USA Role",IF(J696="Yes",IF(OR(F696="Intern",F696="New Grad"),"🟡 Possible","🟢 Strong"),IF(J696="No","🔴 Difficult","⚪ Unknown"))))</f>
        <v/>
      </c>
      <c r="CF696" s="37"/>
      <c r="CG696" s="37"/>
      <c r="CH696" s="38"/>
      <c r="CI696" s="38"/>
      <c r="CJ696" s="38"/>
      <c r="CK696" s="38"/>
    </row>
    <row r="697" customFormat="false" ht="15" hidden="false" customHeight="true" outlineLevel="0" collapsed="false">
      <c r="A697" s="26" t="str">
        <f aca="false">IF($C697="","",ROW()-3)</f>
        <v/>
      </c>
      <c r="B697" s="27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9"/>
      <c r="N697" s="29"/>
      <c r="O697" s="30" t="str">
        <f aca="false">IFERROR(IF(M697="","",M697*INDEX('00 - Lists'!$M$2:$M$11,MATCH(L697,'00 - Lists'!$L$2:$L$11,0))/100000),"")</f>
        <v/>
      </c>
      <c r="P697" s="30" t="str">
        <f aca="false">IFERROR(IF(N697="","",N697*INDEX('00 - Lists'!$M$2:$M$11,MATCH(L697,'00 - Lists'!$L$2:$L$11,0))/100000),"")</f>
        <v/>
      </c>
      <c r="Q697" s="31" t="str">
        <f aca="false">IFERROR(IF(M697="","",M697*INDEX('00 - Lists'!$N$2:$N$11,MATCH(L697,'00 - Lists'!$L$2:$L$11,0))),"")</f>
        <v/>
      </c>
      <c r="R697" s="31" t="str">
        <f aca="false">IFERROR(IF(N697="","",N697*INDEX('00 - Lists'!$N$2:$N$11,MATCH(L697,'00 - Lists'!$L$2:$L$11,0))),"")</f>
        <v/>
      </c>
      <c r="S697" s="32" t="str">
        <f aca="false">IF(O697="","",IF(O697&gt;=50,"Yes","No"))</f>
        <v/>
      </c>
      <c r="T697" s="32" t="str">
        <f aca="false">IF(Q697="","",IF(Q697&gt;=100000,"Yes","No"))</f>
        <v/>
      </c>
      <c r="U697" s="28"/>
      <c r="V697" s="28"/>
      <c r="W697" s="28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J697" s="34" t="str">
        <f aca="false">IF(OR($BD697&lt;&gt;"",$BF697&lt;&gt;"",$BH697&lt;&gt;""),"Yes","No")</f>
        <v>No</v>
      </c>
      <c r="BK697" s="35" t="str">
        <f aca="false">IFERROR(IF(BD697="","",BD697*INDEX('00 - Lists'!$M$2:$M$11,MATCH(L697,'00 - Lists'!$L$2:$L$11,0))/100000),"")</f>
        <v/>
      </c>
      <c r="BL697" s="35" t="str">
        <f aca="false">IFERROR(IF(BE697="","",BE697*INDEX('00 - Lists'!$M$2:$M$11,MATCH(L697,'00 - Lists'!$L$2:$L$11,0))/100000),"")</f>
        <v/>
      </c>
      <c r="BM697" s="35" t="str">
        <f aca="false">IFERROR(IF(BF697="","",BF697*INDEX('00 - Lists'!$M$2:$M$11,MATCH(L697,'00 - Lists'!$L$2:$L$11,0))/100000),"")</f>
        <v/>
      </c>
      <c r="BN697" s="35" t="str">
        <f aca="false">IFERROR(IF(BG697="","",BG697*INDEX('00 - Lists'!$M$2:$M$11,MATCH(L697,'00 - Lists'!$L$2:$L$11,0))/100000),"")</f>
        <v/>
      </c>
      <c r="BO697" s="35" t="str">
        <f aca="false">IFERROR(IF(BH697="","",BH697*INDEX('00 - Lists'!$M$2:$M$11,MATCH(L697,'00 - Lists'!$L$2:$L$11,0))/100000),"")</f>
        <v/>
      </c>
      <c r="BP697" s="35" t="str">
        <f aca="false">IFERROR(IF(BI697="","",BI697*INDEX('00 - Lists'!$M$2:$M$11,MATCH(L697,'00 - Lists'!$L$2:$L$11,0))/100000),"")</f>
        <v/>
      </c>
      <c r="BS697" s="36" t="str">
        <f aca="false">IF(O697="","",IF(O697&gt;=20,"Yes","No"))</f>
        <v/>
      </c>
      <c r="BT697" s="36" t="str">
        <f aca="false">IF(O697="","",IF(O697&gt;=30,"Yes","No"))</f>
        <v/>
      </c>
      <c r="BU697" s="36" t="str">
        <f aca="false">IF(O697="","",IF(O697&gt;=75,"Yes","No"))</f>
        <v/>
      </c>
      <c r="BV697" s="36" t="str">
        <f aca="false">IF(O697="","",IF(O697&gt;=100,"Yes","No"))</f>
        <v/>
      </c>
      <c r="BW697" s="36" t="str">
        <f aca="false">IF(O697="","",IF(O697&gt;=150,"Yes","No"))</f>
        <v/>
      </c>
      <c r="BX697" s="36" t="str">
        <f aca="false">IF(O697="","",IF(O697&gt;=200,"Yes","No"))</f>
        <v/>
      </c>
      <c r="BY697" s="36" t="str">
        <f aca="false">IF(Q697="","",IF(Q697&gt;=150000,"Yes","No"))</f>
        <v/>
      </c>
      <c r="BZ697" s="36" t="str">
        <f aca="false">IF(Q697="","",IF(Q697&gt;=200000,"Yes","No"))</f>
        <v/>
      </c>
      <c r="CA697" s="36" t="str">
        <f aca="false">IF(Q697="","",IF(Q697&gt;=250000,"Yes","No"))</f>
        <v/>
      </c>
      <c r="CB697" s="36" t="str">
        <f aca="false">IF(Q697="","",IF(Q697&gt;=300000,"Yes","No"))</f>
        <v/>
      </c>
      <c r="CC697" s="37"/>
      <c r="CD697" s="36" t="str">
        <f aca="true">IF(B697="","",IF(TODAY()-B697&lt;=7,"🟢 0-7d",IF(TODAY()-B697&lt;=30,"🟡 8-30d",IF(TODAY()-B697&lt;=60,"🟠 31-60d","🔴 60d+"))))</f>
        <v/>
      </c>
      <c r="CE697" s="36" t="str">
        <f aca="false">IF(G697="","",IF(G697&lt;&gt;"USA","N/A - Not USA Role",IF(J697="Yes",IF(OR(F697="Intern",F697="New Grad"),"🟡 Possible","🟢 Strong"),IF(J697="No","🔴 Difficult","⚪ Unknown"))))</f>
        <v/>
      </c>
      <c r="CF697" s="37"/>
      <c r="CG697" s="37"/>
      <c r="CH697" s="38"/>
      <c r="CI697" s="38"/>
      <c r="CJ697" s="38"/>
      <c r="CK697" s="38"/>
    </row>
    <row r="698" customFormat="false" ht="15" hidden="false" customHeight="true" outlineLevel="0" collapsed="false">
      <c r="A698" s="26" t="str">
        <f aca="false">IF($C698="","",ROW()-3)</f>
        <v/>
      </c>
      <c r="B698" s="27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9"/>
      <c r="N698" s="29"/>
      <c r="O698" s="30" t="str">
        <f aca="false">IFERROR(IF(M698="","",M698*INDEX('00 - Lists'!$M$2:$M$11,MATCH(L698,'00 - Lists'!$L$2:$L$11,0))/100000),"")</f>
        <v/>
      </c>
      <c r="P698" s="30" t="str">
        <f aca="false">IFERROR(IF(N698="","",N698*INDEX('00 - Lists'!$M$2:$M$11,MATCH(L698,'00 - Lists'!$L$2:$L$11,0))/100000),"")</f>
        <v/>
      </c>
      <c r="Q698" s="31" t="str">
        <f aca="false">IFERROR(IF(M698="","",M698*INDEX('00 - Lists'!$N$2:$N$11,MATCH(L698,'00 - Lists'!$L$2:$L$11,0))),"")</f>
        <v/>
      </c>
      <c r="R698" s="31" t="str">
        <f aca="false">IFERROR(IF(N698="","",N698*INDEX('00 - Lists'!$N$2:$N$11,MATCH(L698,'00 - Lists'!$L$2:$L$11,0))),"")</f>
        <v/>
      </c>
      <c r="S698" s="32" t="str">
        <f aca="false">IF(O698="","",IF(O698&gt;=50,"Yes","No"))</f>
        <v/>
      </c>
      <c r="T698" s="32" t="str">
        <f aca="false">IF(Q698="","",IF(Q698&gt;=100000,"Yes","No"))</f>
        <v/>
      </c>
      <c r="U698" s="28"/>
      <c r="V698" s="28"/>
      <c r="W698" s="28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J698" s="34" t="str">
        <f aca="false">IF(OR($BD698&lt;&gt;"",$BF698&lt;&gt;"",$BH698&lt;&gt;""),"Yes","No")</f>
        <v>No</v>
      </c>
      <c r="BK698" s="35" t="str">
        <f aca="false">IFERROR(IF(BD698="","",BD698*INDEX('00 - Lists'!$M$2:$M$11,MATCH(L698,'00 - Lists'!$L$2:$L$11,0))/100000),"")</f>
        <v/>
      </c>
      <c r="BL698" s="35" t="str">
        <f aca="false">IFERROR(IF(BE698="","",BE698*INDEX('00 - Lists'!$M$2:$M$11,MATCH(L698,'00 - Lists'!$L$2:$L$11,0))/100000),"")</f>
        <v/>
      </c>
      <c r="BM698" s="35" t="str">
        <f aca="false">IFERROR(IF(BF698="","",BF698*INDEX('00 - Lists'!$M$2:$M$11,MATCH(L698,'00 - Lists'!$L$2:$L$11,0))/100000),"")</f>
        <v/>
      </c>
      <c r="BN698" s="35" t="str">
        <f aca="false">IFERROR(IF(BG698="","",BG698*INDEX('00 - Lists'!$M$2:$M$11,MATCH(L698,'00 - Lists'!$L$2:$L$11,0))/100000),"")</f>
        <v/>
      </c>
      <c r="BO698" s="35" t="str">
        <f aca="false">IFERROR(IF(BH698="","",BH698*INDEX('00 - Lists'!$M$2:$M$11,MATCH(L698,'00 - Lists'!$L$2:$L$11,0))/100000),"")</f>
        <v/>
      </c>
      <c r="BP698" s="35" t="str">
        <f aca="false">IFERROR(IF(BI698="","",BI698*INDEX('00 - Lists'!$M$2:$M$11,MATCH(L698,'00 - Lists'!$L$2:$L$11,0))/100000),"")</f>
        <v/>
      </c>
      <c r="BS698" s="36" t="str">
        <f aca="false">IF(O698="","",IF(O698&gt;=20,"Yes","No"))</f>
        <v/>
      </c>
      <c r="BT698" s="36" t="str">
        <f aca="false">IF(O698="","",IF(O698&gt;=30,"Yes","No"))</f>
        <v/>
      </c>
      <c r="BU698" s="36" t="str">
        <f aca="false">IF(O698="","",IF(O698&gt;=75,"Yes","No"))</f>
        <v/>
      </c>
      <c r="BV698" s="36" t="str">
        <f aca="false">IF(O698="","",IF(O698&gt;=100,"Yes","No"))</f>
        <v/>
      </c>
      <c r="BW698" s="36" t="str">
        <f aca="false">IF(O698="","",IF(O698&gt;=150,"Yes","No"))</f>
        <v/>
      </c>
      <c r="BX698" s="36" t="str">
        <f aca="false">IF(O698="","",IF(O698&gt;=200,"Yes","No"))</f>
        <v/>
      </c>
      <c r="BY698" s="36" t="str">
        <f aca="false">IF(Q698="","",IF(Q698&gt;=150000,"Yes","No"))</f>
        <v/>
      </c>
      <c r="BZ698" s="36" t="str">
        <f aca="false">IF(Q698="","",IF(Q698&gt;=200000,"Yes","No"))</f>
        <v/>
      </c>
      <c r="CA698" s="36" t="str">
        <f aca="false">IF(Q698="","",IF(Q698&gt;=250000,"Yes","No"))</f>
        <v/>
      </c>
      <c r="CB698" s="36" t="str">
        <f aca="false">IF(Q698="","",IF(Q698&gt;=300000,"Yes","No"))</f>
        <v/>
      </c>
      <c r="CC698" s="37"/>
      <c r="CD698" s="36" t="str">
        <f aca="true">IF(B698="","",IF(TODAY()-B698&lt;=7,"🟢 0-7d",IF(TODAY()-B698&lt;=30,"🟡 8-30d",IF(TODAY()-B698&lt;=60,"🟠 31-60d","🔴 60d+"))))</f>
        <v/>
      </c>
      <c r="CE698" s="36" t="str">
        <f aca="false">IF(G698="","",IF(G698&lt;&gt;"USA","N/A - Not USA Role",IF(J698="Yes",IF(OR(F698="Intern",F698="New Grad"),"🟡 Possible","🟢 Strong"),IF(J698="No","🔴 Difficult","⚪ Unknown"))))</f>
        <v/>
      </c>
      <c r="CF698" s="37"/>
      <c r="CG698" s="37"/>
      <c r="CH698" s="38"/>
      <c r="CI698" s="38"/>
      <c r="CJ698" s="38"/>
      <c r="CK698" s="38"/>
    </row>
    <row r="699" customFormat="false" ht="15" hidden="false" customHeight="true" outlineLevel="0" collapsed="false">
      <c r="A699" s="26" t="str">
        <f aca="false">IF($C699="","",ROW()-3)</f>
        <v/>
      </c>
      <c r="B699" s="27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9"/>
      <c r="N699" s="29"/>
      <c r="O699" s="30" t="str">
        <f aca="false">IFERROR(IF(M699="","",M699*INDEX('00 - Lists'!$M$2:$M$11,MATCH(L699,'00 - Lists'!$L$2:$L$11,0))/100000),"")</f>
        <v/>
      </c>
      <c r="P699" s="30" t="str">
        <f aca="false">IFERROR(IF(N699="","",N699*INDEX('00 - Lists'!$M$2:$M$11,MATCH(L699,'00 - Lists'!$L$2:$L$11,0))/100000),"")</f>
        <v/>
      </c>
      <c r="Q699" s="31" t="str">
        <f aca="false">IFERROR(IF(M699="","",M699*INDEX('00 - Lists'!$N$2:$N$11,MATCH(L699,'00 - Lists'!$L$2:$L$11,0))),"")</f>
        <v/>
      </c>
      <c r="R699" s="31" t="str">
        <f aca="false">IFERROR(IF(N699="","",N699*INDEX('00 - Lists'!$N$2:$N$11,MATCH(L699,'00 - Lists'!$L$2:$L$11,0))),"")</f>
        <v/>
      </c>
      <c r="S699" s="32" t="str">
        <f aca="false">IF(O699="","",IF(O699&gt;=50,"Yes","No"))</f>
        <v/>
      </c>
      <c r="T699" s="32" t="str">
        <f aca="false">IF(Q699="","",IF(Q699&gt;=100000,"Yes","No"))</f>
        <v/>
      </c>
      <c r="U699" s="28"/>
      <c r="V699" s="28"/>
      <c r="W699" s="28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J699" s="34" t="str">
        <f aca="false">IF(OR($BD699&lt;&gt;"",$BF699&lt;&gt;"",$BH699&lt;&gt;""),"Yes","No")</f>
        <v>No</v>
      </c>
      <c r="BK699" s="35" t="str">
        <f aca="false">IFERROR(IF(BD699="","",BD699*INDEX('00 - Lists'!$M$2:$M$11,MATCH(L699,'00 - Lists'!$L$2:$L$11,0))/100000),"")</f>
        <v/>
      </c>
      <c r="BL699" s="35" t="str">
        <f aca="false">IFERROR(IF(BE699="","",BE699*INDEX('00 - Lists'!$M$2:$M$11,MATCH(L699,'00 - Lists'!$L$2:$L$11,0))/100000),"")</f>
        <v/>
      </c>
      <c r="BM699" s="35" t="str">
        <f aca="false">IFERROR(IF(BF699="","",BF699*INDEX('00 - Lists'!$M$2:$M$11,MATCH(L699,'00 - Lists'!$L$2:$L$11,0))/100000),"")</f>
        <v/>
      </c>
      <c r="BN699" s="35" t="str">
        <f aca="false">IFERROR(IF(BG699="","",BG699*INDEX('00 - Lists'!$M$2:$M$11,MATCH(L699,'00 - Lists'!$L$2:$L$11,0))/100000),"")</f>
        <v/>
      </c>
      <c r="BO699" s="35" t="str">
        <f aca="false">IFERROR(IF(BH699="","",BH699*INDEX('00 - Lists'!$M$2:$M$11,MATCH(L699,'00 - Lists'!$L$2:$L$11,0))/100000),"")</f>
        <v/>
      </c>
      <c r="BP699" s="35" t="str">
        <f aca="false">IFERROR(IF(BI699="","",BI699*INDEX('00 - Lists'!$M$2:$M$11,MATCH(L699,'00 - Lists'!$L$2:$L$11,0))/100000),"")</f>
        <v/>
      </c>
      <c r="BS699" s="36" t="str">
        <f aca="false">IF(O699="","",IF(O699&gt;=20,"Yes","No"))</f>
        <v/>
      </c>
      <c r="BT699" s="36" t="str">
        <f aca="false">IF(O699="","",IF(O699&gt;=30,"Yes","No"))</f>
        <v/>
      </c>
      <c r="BU699" s="36" t="str">
        <f aca="false">IF(O699="","",IF(O699&gt;=75,"Yes","No"))</f>
        <v/>
      </c>
      <c r="BV699" s="36" t="str">
        <f aca="false">IF(O699="","",IF(O699&gt;=100,"Yes","No"))</f>
        <v/>
      </c>
      <c r="BW699" s="36" t="str">
        <f aca="false">IF(O699="","",IF(O699&gt;=150,"Yes","No"))</f>
        <v/>
      </c>
      <c r="BX699" s="36" t="str">
        <f aca="false">IF(O699="","",IF(O699&gt;=200,"Yes","No"))</f>
        <v/>
      </c>
      <c r="BY699" s="36" t="str">
        <f aca="false">IF(Q699="","",IF(Q699&gt;=150000,"Yes","No"))</f>
        <v/>
      </c>
      <c r="BZ699" s="36" t="str">
        <f aca="false">IF(Q699="","",IF(Q699&gt;=200000,"Yes","No"))</f>
        <v/>
      </c>
      <c r="CA699" s="36" t="str">
        <f aca="false">IF(Q699="","",IF(Q699&gt;=250000,"Yes","No"))</f>
        <v/>
      </c>
      <c r="CB699" s="36" t="str">
        <f aca="false">IF(Q699="","",IF(Q699&gt;=300000,"Yes","No"))</f>
        <v/>
      </c>
      <c r="CC699" s="37"/>
      <c r="CD699" s="36" t="str">
        <f aca="true">IF(B699="","",IF(TODAY()-B699&lt;=7,"🟢 0-7d",IF(TODAY()-B699&lt;=30,"🟡 8-30d",IF(TODAY()-B699&lt;=60,"🟠 31-60d","🔴 60d+"))))</f>
        <v/>
      </c>
      <c r="CE699" s="36" t="str">
        <f aca="false">IF(G699="","",IF(G699&lt;&gt;"USA","N/A - Not USA Role",IF(J699="Yes",IF(OR(F699="Intern",F699="New Grad"),"🟡 Possible","🟢 Strong"),IF(J699="No","🔴 Difficult","⚪ Unknown"))))</f>
        <v/>
      </c>
      <c r="CF699" s="37"/>
      <c r="CG699" s="37"/>
      <c r="CH699" s="38"/>
      <c r="CI699" s="38"/>
      <c r="CJ699" s="38"/>
      <c r="CK699" s="38"/>
    </row>
    <row r="700" customFormat="false" ht="15" hidden="false" customHeight="true" outlineLevel="0" collapsed="false">
      <c r="A700" s="26" t="str">
        <f aca="false">IF($C700="","",ROW()-3)</f>
        <v/>
      </c>
      <c r="B700" s="27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9"/>
      <c r="N700" s="29"/>
      <c r="O700" s="30" t="str">
        <f aca="false">IFERROR(IF(M700="","",M700*INDEX('00 - Lists'!$M$2:$M$11,MATCH(L700,'00 - Lists'!$L$2:$L$11,0))/100000),"")</f>
        <v/>
      </c>
      <c r="P700" s="30" t="str">
        <f aca="false">IFERROR(IF(N700="","",N700*INDEX('00 - Lists'!$M$2:$M$11,MATCH(L700,'00 - Lists'!$L$2:$L$11,0))/100000),"")</f>
        <v/>
      </c>
      <c r="Q700" s="31" t="str">
        <f aca="false">IFERROR(IF(M700="","",M700*INDEX('00 - Lists'!$N$2:$N$11,MATCH(L700,'00 - Lists'!$L$2:$L$11,0))),"")</f>
        <v/>
      </c>
      <c r="R700" s="31" t="str">
        <f aca="false">IFERROR(IF(N700="","",N700*INDEX('00 - Lists'!$N$2:$N$11,MATCH(L700,'00 - Lists'!$L$2:$L$11,0))),"")</f>
        <v/>
      </c>
      <c r="S700" s="32" t="str">
        <f aca="false">IF(O700="","",IF(O700&gt;=50,"Yes","No"))</f>
        <v/>
      </c>
      <c r="T700" s="32" t="str">
        <f aca="false">IF(Q700="","",IF(Q700&gt;=100000,"Yes","No"))</f>
        <v/>
      </c>
      <c r="U700" s="28"/>
      <c r="V700" s="28"/>
      <c r="W700" s="28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J700" s="34" t="str">
        <f aca="false">IF(OR($BD700&lt;&gt;"",$BF700&lt;&gt;"",$BH700&lt;&gt;""),"Yes","No")</f>
        <v>No</v>
      </c>
      <c r="BK700" s="35" t="str">
        <f aca="false">IFERROR(IF(BD700="","",BD700*INDEX('00 - Lists'!$M$2:$M$11,MATCH(L700,'00 - Lists'!$L$2:$L$11,0))/100000),"")</f>
        <v/>
      </c>
      <c r="BL700" s="35" t="str">
        <f aca="false">IFERROR(IF(BE700="","",BE700*INDEX('00 - Lists'!$M$2:$M$11,MATCH(L700,'00 - Lists'!$L$2:$L$11,0))/100000),"")</f>
        <v/>
      </c>
      <c r="BM700" s="35" t="str">
        <f aca="false">IFERROR(IF(BF700="","",BF700*INDEX('00 - Lists'!$M$2:$M$11,MATCH(L700,'00 - Lists'!$L$2:$L$11,0))/100000),"")</f>
        <v/>
      </c>
      <c r="BN700" s="35" t="str">
        <f aca="false">IFERROR(IF(BG700="","",BG700*INDEX('00 - Lists'!$M$2:$M$11,MATCH(L700,'00 - Lists'!$L$2:$L$11,0))/100000),"")</f>
        <v/>
      </c>
      <c r="BO700" s="35" t="str">
        <f aca="false">IFERROR(IF(BH700="","",BH700*INDEX('00 - Lists'!$M$2:$M$11,MATCH(L700,'00 - Lists'!$L$2:$L$11,0))/100000),"")</f>
        <v/>
      </c>
      <c r="BP700" s="35" t="str">
        <f aca="false">IFERROR(IF(BI700="","",BI700*INDEX('00 - Lists'!$M$2:$M$11,MATCH(L700,'00 - Lists'!$L$2:$L$11,0))/100000),"")</f>
        <v/>
      </c>
      <c r="BS700" s="36" t="str">
        <f aca="false">IF(O700="","",IF(O700&gt;=20,"Yes","No"))</f>
        <v/>
      </c>
      <c r="BT700" s="36" t="str">
        <f aca="false">IF(O700="","",IF(O700&gt;=30,"Yes","No"))</f>
        <v/>
      </c>
      <c r="BU700" s="36" t="str">
        <f aca="false">IF(O700="","",IF(O700&gt;=75,"Yes","No"))</f>
        <v/>
      </c>
      <c r="BV700" s="36" t="str">
        <f aca="false">IF(O700="","",IF(O700&gt;=100,"Yes","No"))</f>
        <v/>
      </c>
      <c r="BW700" s="36" t="str">
        <f aca="false">IF(O700="","",IF(O700&gt;=150,"Yes","No"))</f>
        <v/>
      </c>
      <c r="BX700" s="36" t="str">
        <f aca="false">IF(O700="","",IF(O700&gt;=200,"Yes","No"))</f>
        <v/>
      </c>
      <c r="BY700" s="36" t="str">
        <f aca="false">IF(Q700="","",IF(Q700&gt;=150000,"Yes","No"))</f>
        <v/>
      </c>
      <c r="BZ700" s="36" t="str">
        <f aca="false">IF(Q700="","",IF(Q700&gt;=200000,"Yes","No"))</f>
        <v/>
      </c>
      <c r="CA700" s="36" t="str">
        <f aca="false">IF(Q700="","",IF(Q700&gt;=250000,"Yes","No"))</f>
        <v/>
      </c>
      <c r="CB700" s="36" t="str">
        <f aca="false">IF(Q700="","",IF(Q700&gt;=300000,"Yes","No"))</f>
        <v/>
      </c>
      <c r="CC700" s="37"/>
      <c r="CD700" s="36" t="str">
        <f aca="true">IF(B700="","",IF(TODAY()-B700&lt;=7,"🟢 0-7d",IF(TODAY()-B700&lt;=30,"🟡 8-30d",IF(TODAY()-B700&lt;=60,"🟠 31-60d","🔴 60d+"))))</f>
        <v/>
      </c>
      <c r="CE700" s="36" t="str">
        <f aca="false">IF(G700="","",IF(G700&lt;&gt;"USA","N/A - Not USA Role",IF(J700="Yes",IF(OR(F700="Intern",F700="New Grad"),"🟡 Possible","🟢 Strong"),IF(J700="No","🔴 Difficult","⚪ Unknown"))))</f>
        <v/>
      </c>
      <c r="CF700" s="37"/>
      <c r="CG700" s="37"/>
      <c r="CH700" s="38"/>
      <c r="CI700" s="38"/>
      <c r="CJ700" s="38"/>
      <c r="CK700" s="38"/>
    </row>
    <row r="701" customFormat="false" ht="15" hidden="false" customHeight="true" outlineLevel="0" collapsed="false">
      <c r="A701" s="26" t="str">
        <f aca="false">IF($C701="","",ROW()-3)</f>
        <v/>
      </c>
      <c r="B701" s="27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9"/>
      <c r="N701" s="29"/>
      <c r="O701" s="30" t="str">
        <f aca="false">IFERROR(IF(M701="","",M701*INDEX('00 - Lists'!$M$2:$M$11,MATCH(L701,'00 - Lists'!$L$2:$L$11,0))/100000),"")</f>
        <v/>
      </c>
      <c r="P701" s="30" t="str">
        <f aca="false">IFERROR(IF(N701="","",N701*INDEX('00 - Lists'!$M$2:$M$11,MATCH(L701,'00 - Lists'!$L$2:$L$11,0))/100000),"")</f>
        <v/>
      </c>
      <c r="Q701" s="31" t="str">
        <f aca="false">IFERROR(IF(M701="","",M701*INDEX('00 - Lists'!$N$2:$N$11,MATCH(L701,'00 - Lists'!$L$2:$L$11,0))),"")</f>
        <v/>
      </c>
      <c r="R701" s="31" t="str">
        <f aca="false">IFERROR(IF(N701="","",N701*INDEX('00 - Lists'!$N$2:$N$11,MATCH(L701,'00 - Lists'!$L$2:$L$11,0))),"")</f>
        <v/>
      </c>
      <c r="S701" s="32" t="str">
        <f aca="false">IF(O701="","",IF(O701&gt;=50,"Yes","No"))</f>
        <v/>
      </c>
      <c r="T701" s="32" t="str">
        <f aca="false">IF(Q701="","",IF(Q701&gt;=100000,"Yes","No"))</f>
        <v/>
      </c>
      <c r="U701" s="28"/>
      <c r="V701" s="28"/>
      <c r="W701" s="28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J701" s="34" t="str">
        <f aca="false">IF(OR($BD701&lt;&gt;"",$BF701&lt;&gt;"",$BH701&lt;&gt;""),"Yes","No")</f>
        <v>No</v>
      </c>
      <c r="BK701" s="35" t="str">
        <f aca="false">IFERROR(IF(BD701="","",BD701*INDEX('00 - Lists'!$M$2:$M$11,MATCH(L701,'00 - Lists'!$L$2:$L$11,0))/100000),"")</f>
        <v/>
      </c>
      <c r="BL701" s="35" t="str">
        <f aca="false">IFERROR(IF(BE701="","",BE701*INDEX('00 - Lists'!$M$2:$M$11,MATCH(L701,'00 - Lists'!$L$2:$L$11,0))/100000),"")</f>
        <v/>
      </c>
      <c r="BM701" s="35" t="str">
        <f aca="false">IFERROR(IF(BF701="","",BF701*INDEX('00 - Lists'!$M$2:$M$11,MATCH(L701,'00 - Lists'!$L$2:$L$11,0))/100000),"")</f>
        <v/>
      </c>
      <c r="BN701" s="35" t="str">
        <f aca="false">IFERROR(IF(BG701="","",BG701*INDEX('00 - Lists'!$M$2:$M$11,MATCH(L701,'00 - Lists'!$L$2:$L$11,0))/100000),"")</f>
        <v/>
      </c>
      <c r="BO701" s="35" t="str">
        <f aca="false">IFERROR(IF(BH701="","",BH701*INDEX('00 - Lists'!$M$2:$M$11,MATCH(L701,'00 - Lists'!$L$2:$L$11,0))/100000),"")</f>
        <v/>
      </c>
      <c r="BP701" s="35" t="str">
        <f aca="false">IFERROR(IF(BI701="","",BI701*INDEX('00 - Lists'!$M$2:$M$11,MATCH(L701,'00 - Lists'!$L$2:$L$11,0))/100000),"")</f>
        <v/>
      </c>
      <c r="BS701" s="36" t="str">
        <f aca="false">IF(O701="","",IF(O701&gt;=20,"Yes","No"))</f>
        <v/>
      </c>
      <c r="BT701" s="36" t="str">
        <f aca="false">IF(O701="","",IF(O701&gt;=30,"Yes","No"))</f>
        <v/>
      </c>
      <c r="BU701" s="36" t="str">
        <f aca="false">IF(O701="","",IF(O701&gt;=75,"Yes","No"))</f>
        <v/>
      </c>
      <c r="BV701" s="36" t="str">
        <f aca="false">IF(O701="","",IF(O701&gt;=100,"Yes","No"))</f>
        <v/>
      </c>
      <c r="BW701" s="36" t="str">
        <f aca="false">IF(O701="","",IF(O701&gt;=150,"Yes","No"))</f>
        <v/>
      </c>
      <c r="BX701" s="36" t="str">
        <f aca="false">IF(O701="","",IF(O701&gt;=200,"Yes","No"))</f>
        <v/>
      </c>
      <c r="BY701" s="36" t="str">
        <f aca="false">IF(Q701="","",IF(Q701&gt;=150000,"Yes","No"))</f>
        <v/>
      </c>
      <c r="BZ701" s="36" t="str">
        <f aca="false">IF(Q701="","",IF(Q701&gt;=200000,"Yes","No"))</f>
        <v/>
      </c>
      <c r="CA701" s="36" t="str">
        <f aca="false">IF(Q701="","",IF(Q701&gt;=250000,"Yes","No"))</f>
        <v/>
      </c>
      <c r="CB701" s="36" t="str">
        <f aca="false">IF(Q701="","",IF(Q701&gt;=300000,"Yes","No"))</f>
        <v/>
      </c>
      <c r="CC701" s="37"/>
      <c r="CD701" s="36" t="str">
        <f aca="true">IF(B701="","",IF(TODAY()-B701&lt;=7,"🟢 0-7d",IF(TODAY()-B701&lt;=30,"🟡 8-30d",IF(TODAY()-B701&lt;=60,"🟠 31-60d","🔴 60d+"))))</f>
        <v/>
      </c>
      <c r="CE701" s="36" t="str">
        <f aca="false">IF(G701="","",IF(G701&lt;&gt;"USA","N/A - Not USA Role",IF(J701="Yes",IF(OR(F701="Intern",F701="New Grad"),"🟡 Possible","🟢 Strong"),IF(J701="No","🔴 Difficult","⚪ Unknown"))))</f>
        <v/>
      </c>
      <c r="CF701" s="37"/>
      <c r="CG701" s="37"/>
      <c r="CH701" s="38"/>
      <c r="CI701" s="38"/>
      <c r="CJ701" s="38"/>
      <c r="CK701" s="38"/>
    </row>
    <row r="702" customFormat="false" ht="15" hidden="false" customHeight="true" outlineLevel="0" collapsed="false">
      <c r="A702" s="26" t="str">
        <f aca="false">IF($C702="","",ROW()-3)</f>
        <v/>
      </c>
      <c r="B702" s="27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9"/>
      <c r="N702" s="29"/>
      <c r="O702" s="30" t="str">
        <f aca="false">IFERROR(IF(M702="","",M702*INDEX('00 - Lists'!$M$2:$M$11,MATCH(L702,'00 - Lists'!$L$2:$L$11,0))/100000),"")</f>
        <v/>
      </c>
      <c r="P702" s="30" t="str">
        <f aca="false">IFERROR(IF(N702="","",N702*INDEX('00 - Lists'!$M$2:$M$11,MATCH(L702,'00 - Lists'!$L$2:$L$11,0))/100000),"")</f>
        <v/>
      </c>
      <c r="Q702" s="31" t="str">
        <f aca="false">IFERROR(IF(M702="","",M702*INDEX('00 - Lists'!$N$2:$N$11,MATCH(L702,'00 - Lists'!$L$2:$L$11,0))),"")</f>
        <v/>
      </c>
      <c r="R702" s="31" t="str">
        <f aca="false">IFERROR(IF(N702="","",N702*INDEX('00 - Lists'!$N$2:$N$11,MATCH(L702,'00 - Lists'!$L$2:$L$11,0))),"")</f>
        <v/>
      </c>
      <c r="S702" s="32" t="str">
        <f aca="false">IF(O702="","",IF(O702&gt;=50,"Yes","No"))</f>
        <v/>
      </c>
      <c r="T702" s="32" t="str">
        <f aca="false">IF(Q702="","",IF(Q702&gt;=100000,"Yes","No"))</f>
        <v/>
      </c>
      <c r="U702" s="28"/>
      <c r="V702" s="28"/>
      <c r="W702" s="28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J702" s="34" t="str">
        <f aca="false">IF(OR($BD702&lt;&gt;"",$BF702&lt;&gt;"",$BH702&lt;&gt;""),"Yes","No")</f>
        <v>No</v>
      </c>
      <c r="BK702" s="35" t="str">
        <f aca="false">IFERROR(IF(BD702="","",BD702*INDEX('00 - Lists'!$M$2:$M$11,MATCH(L702,'00 - Lists'!$L$2:$L$11,0))/100000),"")</f>
        <v/>
      </c>
      <c r="BL702" s="35" t="str">
        <f aca="false">IFERROR(IF(BE702="","",BE702*INDEX('00 - Lists'!$M$2:$M$11,MATCH(L702,'00 - Lists'!$L$2:$L$11,0))/100000),"")</f>
        <v/>
      </c>
      <c r="BM702" s="35" t="str">
        <f aca="false">IFERROR(IF(BF702="","",BF702*INDEX('00 - Lists'!$M$2:$M$11,MATCH(L702,'00 - Lists'!$L$2:$L$11,0))/100000),"")</f>
        <v/>
      </c>
      <c r="BN702" s="35" t="str">
        <f aca="false">IFERROR(IF(BG702="","",BG702*INDEX('00 - Lists'!$M$2:$M$11,MATCH(L702,'00 - Lists'!$L$2:$L$11,0))/100000),"")</f>
        <v/>
      </c>
      <c r="BO702" s="35" t="str">
        <f aca="false">IFERROR(IF(BH702="","",BH702*INDEX('00 - Lists'!$M$2:$M$11,MATCH(L702,'00 - Lists'!$L$2:$L$11,0))/100000),"")</f>
        <v/>
      </c>
      <c r="BP702" s="35" t="str">
        <f aca="false">IFERROR(IF(BI702="","",BI702*INDEX('00 - Lists'!$M$2:$M$11,MATCH(L702,'00 - Lists'!$L$2:$L$11,0))/100000),"")</f>
        <v/>
      </c>
      <c r="BS702" s="36" t="str">
        <f aca="false">IF(O702="","",IF(O702&gt;=20,"Yes","No"))</f>
        <v/>
      </c>
      <c r="BT702" s="36" t="str">
        <f aca="false">IF(O702="","",IF(O702&gt;=30,"Yes","No"))</f>
        <v/>
      </c>
      <c r="BU702" s="36" t="str">
        <f aca="false">IF(O702="","",IF(O702&gt;=75,"Yes","No"))</f>
        <v/>
      </c>
      <c r="BV702" s="36" t="str">
        <f aca="false">IF(O702="","",IF(O702&gt;=100,"Yes","No"))</f>
        <v/>
      </c>
      <c r="BW702" s="36" t="str">
        <f aca="false">IF(O702="","",IF(O702&gt;=150,"Yes","No"))</f>
        <v/>
      </c>
      <c r="BX702" s="36" t="str">
        <f aca="false">IF(O702="","",IF(O702&gt;=200,"Yes","No"))</f>
        <v/>
      </c>
      <c r="BY702" s="36" t="str">
        <f aca="false">IF(Q702="","",IF(Q702&gt;=150000,"Yes","No"))</f>
        <v/>
      </c>
      <c r="BZ702" s="36" t="str">
        <f aca="false">IF(Q702="","",IF(Q702&gt;=200000,"Yes","No"))</f>
        <v/>
      </c>
      <c r="CA702" s="36" t="str">
        <f aca="false">IF(Q702="","",IF(Q702&gt;=250000,"Yes","No"))</f>
        <v/>
      </c>
      <c r="CB702" s="36" t="str">
        <f aca="false">IF(Q702="","",IF(Q702&gt;=300000,"Yes","No"))</f>
        <v/>
      </c>
      <c r="CC702" s="37"/>
      <c r="CD702" s="36" t="str">
        <f aca="true">IF(B702="","",IF(TODAY()-B702&lt;=7,"🟢 0-7d",IF(TODAY()-B702&lt;=30,"🟡 8-30d",IF(TODAY()-B702&lt;=60,"🟠 31-60d","🔴 60d+"))))</f>
        <v/>
      </c>
      <c r="CE702" s="36" t="str">
        <f aca="false">IF(G702="","",IF(G702&lt;&gt;"USA","N/A - Not USA Role",IF(J702="Yes",IF(OR(F702="Intern",F702="New Grad"),"🟡 Possible","🟢 Strong"),IF(J702="No","🔴 Difficult","⚪ Unknown"))))</f>
        <v/>
      </c>
      <c r="CF702" s="37"/>
      <c r="CG702" s="37"/>
      <c r="CH702" s="38"/>
      <c r="CI702" s="38"/>
      <c r="CJ702" s="38"/>
      <c r="CK702" s="38"/>
    </row>
    <row r="703" customFormat="false" ht="15" hidden="false" customHeight="true" outlineLevel="0" collapsed="false">
      <c r="A703" s="26" t="str">
        <f aca="false">IF($C703="","",ROW()-3)</f>
        <v/>
      </c>
      <c r="B703" s="27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9"/>
      <c r="N703" s="29"/>
      <c r="O703" s="30" t="str">
        <f aca="false">IFERROR(IF(M703="","",M703*INDEX('00 - Lists'!$M$2:$M$11,MATCH(L703,'00 - Lists'!$L$2:$L$11,0))/100000),"")</f>
        <v/>
      </c>
      <c r="P703" s="30" t="str">
        <f aca="false">IFERROR(IF(N703="","",N703*INDEX('00 - Lists'!$M$2:$M$11,MATCH(L703,'00 - Lists'!$L$2:$L$11,0))/100000),"")</f>
        <v/>
      </c>
      <c r="Q703" s="31" t="str">
        <f aca="false">IFERROR(IF(M703="","",M703*INDEX('00 - Lists'!$N$2:$N$11,MATCH(L703,'00 - Lists'!$L$2:$L$11,0))),"")</f>
        <v/>
      </c>
      <c r="R703" s="31" t="str">
        <f aca="false">IFERROR(IF(N703="","",N703*INDEX('00 - Lists'!$N$2:$N$11,MATCH(L703,'00 - Lists'!$L$2:$L$11,0))),"")</f>
        <v/>
      </c>
      <c r="S703" s="32" t="str">
        <f aca="false">IF(O703="","",IF(O703&gt;=50,"Yes","No"))</f>
        <v/>
      </c>
      <c r="T703" s="32" t="str">
        <f aca="false">IF(Q703="","",IF(Q703&gt;=100000,"Yes","No"))</f>
        <v/>
      </c>
      <c r="U703" s="28"/>
      <c r="V703" s="28"/>
      <c r="W703" s="28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J703" s="34" t="str">
        <f aca="false">IF(OR($BD703&lt;&gt;"",$BF703&lt;&gt;"",$BH703&lt;&gt;""),"Yes","No")</f>
        <v>No</v>
      </c>
      <c r="BK703" s="35" t="str">
        <f aca="false">IFERROR(IF(BD703="","",BD703*INDEX('00 - Lists'!$M$2:$M$11,MATCH(L703,'00 - Lists'!$L$2:$L$11,0))/100000),"")</f>
        <v/>
      </c>
      <c r="BL703" s="35" t="str">
        <f aca="false">IFERROR(IF(BE703="","",BE703*INDEX('00 - Lists'!$M$2:$M$11,MATCH(L703,'00 - Lists'!$L$2:$L$11,0))/100000),"")</f>
        <v/>
      </c>
      <c r="BM703" s="35" t="str">
        <f aca="false">IFERROR(IF(BF703="","",BF703*INDEX('00 - Lists'!$M$2:$M$11,MATCH(L703,'00 - Lists'!$L$2:$L$11,0))/100000),"")</f>
        <v/>
      </c>
      <c r="BN703" s="35" t="str">
        <f aca="false">IFERROR(IF(BG703="","",BG703*INDEX('00 - Lists'!$M$2:$M$11,MATCH(L703,'00 - Lists'!$L$2:$L$11,0))/100000),"")</f>
        <v/>
      </c>
      <c r="BO703" s="35" t="str">
        <f aca="false">IFERROR(IF(BH703="","",BH703*INDEX('00 - Lists'!$M$2:$M$11,MATCH(L703,'00 - Lists'!$L$2:$L$11,0))/100000),"")</f>
        <v/>
      </c>
      <c r="BP703" s="35" t="str">
        <f aca="false">IFERROR(IF(BI703="","",BI703*INDEX('00 - Lists'!$M$2:$M$11,MATCH(L703,'00 - Lists'!$L$2:$L$11,0))/100000),"")</f>
        <v/>
      </c>
      <c r="BS703" s="36" t="str">
        <f aca="false">IF(O703="","",IF(O703&gt;=20,"Yes","No"))</f>
        <v/>
      </c>
      <c r="BT703" s="36" t="str">
        <f aca="false">IF(O703="","",IF(O703&gt;=30,"Yes","No"))</f>
        <v/>
      </c>
      <c r="BU703" s="36" t="str">
        <f aca="false">IF(O703="","",IF(O703&gt;=75,"Yes","No"))</f>
        <v/>
      </c>
      <c r="BV703" s="36" t="str">
        <f aca="false">IF(O703="","",IF(O703&gt;=100,"Yes","No"))</f>
        <v/>
      </c>
      <c r="BW703" s="36" t="str">
        <f aca="false">IF(O703="","",IF(O703&gt;=150,"Yes","No"))</f>
        <v/>
      </c>
      <c r="BX703" s="36" t="str">
        <f aca="false">IF(O703="","",IF(O703&gt;=200,"Yes","No"))</f>
        <v/>
      </c>
      <c r="BY703" s="36" t="str">
        <f aca="false">IF(Q703="","",IF(Q703&gt;=150000,"Yes","No"))</f>
        <v/>
      </c>
      <c r="BZ703" s="36" t="str">
        <f aca="false">IF(Q703="","",IF(Q703&gt;=200000,"Yes","No"))</f>
        <v/>
      </c>
      <c r="CA703" s="36" t="str">
        <f aca="false">IF(Q703="","",IF(Q703&gt;=250000,"Yes","No"))</f>
        <v/>
      </c>
      <c r="CB703" s="36" t="str">
        <f aca="false">IF(Q703="","",IF(Q703&gt;=300000,"Yes","No"))</f>
        <v/>
      </c>
      <c r="CC703" s="37"/>
      <c r="CD703" s="36" t="str">
        <f aca="true">IF(B703="","",IF(TODAY()-B703&lt;=7,"🟢 0-7d",IF(TODAY()-B703&lt;=30,"🟡 8-30d",IF(TODAY()-B703&lt;=60,"🟠 31-60d","🔴 60d+"))))</f>
        <v/>
      </c>
      <c r="CE703" s="36" t="str">
        <f aca="false">IF(G703="","",IF(G703&lt;&gt;"USA","N/A - Not USA Role",IF(J703="Yes",IF(OR(F703="Intern",F703="New Grad"),"🟡 Possible","🟢 Strong"),IF(J703="No","🔴 Difficult","⚪ Unknown"))))</f>
        <v/>
      </c>
      <c r="CF703" s="37"/>
      <c r="CG703" s="37"/>
      <c r="CH703" s="38"/>
      <c r="CI703" s="38"/>
      <c r="CJ703" s="38"/>
      <c r="CK703" s="38"/>
    </row>
    <row r="704" customFormat="false" ht="15" hidden="false" customHeight="true" outlineLevel="0" collapsed="false">
      <c r="A704" s="26" t="str">
        <f aca="false">IF($C704="","",ROW()-3)</f>
        <v/>
      </c>
      <c r="B704" s="27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9"/>
      <c r="N704" s="29"/>
      <c r="O704" s="30" t="str">
        <f aca="false">IFERROR(IF(M704="","",M704*INDEX('00 - Lists'!$M$2:$M$11,MATCH(L704,'00 - Lists'!$L$2:$L$11,0))/100000),"")</f>
        <v/>
      </c>
      <c r="P704" s="30" t="str">
        <f aca="false">IFERROR(IF(N704="","",N704*INDEX('00 - Lists'!$M$2:$M$11,MATCH(L704,'00 - Lists'!$L$2:$L$11,0))/100000),"")</f>
        <v/>
      </c>
      <c r="Q704" s="31" t="str">
        <f aca="false">IFERROR(IF(M704="","",M704*INDEX('00 - Lists'!$N$2:$N$11,MATCH(L704,'00 - Lists'!$L$2:$L$11,0))),"")</f>
        <v/>
      </c>
      <c r="R704" s="31" t="str">
        <f aca="false">IFERROR(IF(N704="","",N704*INDEX('00 - Lists'!$N$2:$N$11,MATCH(L704,'00 - Lists'!$L$2:$L$11,0))),"")</f>
        <v/>
      </c>
      <c r="S704" s="32" t="str">
        <f aca="false">IF(O704="","",IF(O704&gt;=50,"Yes","No"))</f>
        <v/>
      </c>
      <c r="T704" s="32" t="str">
        <f aca="false">IF(Q704="","",IF(Q704&gt;=100000,"Yes","No"))</f>
        <v/>
      </c>
      <c r="U704" s="28"/>
      <c r="V704" s="28"/>
      <c r="W704" s="28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J704" s="34" t="str">
        <f aca="false">IF(OR($BD704&lt;&gt;"",$BF704&lt;&gt;"",$BH704&lt;&gt;""),"Yes","No")</f>
        <v>No</v>
      </c>
      <c r="BK704" s="35" t="str">
        <f aca="false">IFERROR(IF(BD704="","",BD704*INDEX('00 - Lists'!$M$2:$M$11,MATCH(L704,'00 - Lists'!$L$2:$L$11,0))/100000),"")</f>
        <v/>
      </c>
      <c r="BL704" s="35" t="str">
        <f aca="false">IFERROR(IF(BE704="","",BE704*INDEX('00 - Lists'!$M$2:$M$11,MATCH(L704,'00 - Lists'!$L$2:$L$11,0))/100000),"")</f>
        <v/>
      </c>
      <c r="BM704" s="35" t="str">
        <f aca="false">IFERROR(IF(BF704="","",BF704*INDEX('00 - Lists'!$M$2:$M$11,MATCH(L704,'00 - Lists'!$L$2:$L$11,0))/100000),"")</f>
        <v/>
      </c>
      <c r="BN704" s="35" t="str">
        <f aca="false">IFERROR(IF(BG704="","",BG704*INDEX('00 - Lists'!$M$2:$M$11,MATCH(L704,'00 - Lists'!$L$2:$L$11,0))/100000),"")</f>
        <v/>
      </c>
      <c r="BO704" s="35" t="str">
        <f aca="false">IFERROR(IF(BH704="","",BH704*INDEX('00 - Lists'!$M$2:$M$11,MATCH(L704,'00 - Lists'!$L$2:$L$11,0))/100000),"")</f>
        <v/>
      </c>
      <c r="BP704" s="35" t="str">
        <f aca="false">IFERROR(IF(BI704="","",BI704*INDEX('00 - Lists'!$M$2:$M$11,MATCH(L704,'00 - Lists'!$L$2:$L$11,0))/100000),"")</f>
        <v/>
      </c>
      <c r="BS704" s="36" t="str">
        <f aca="false">IF(O704="","",IF(O704&gt;=20,"Yes","No"))</f>
        <v/>
      </c>
      <c r="BT704" s="36" t="str">
        <f aca="false">IF(O704="","",IF(O704&gt;=30,"Yes","No"))</f>
        <v/>
      </c>
      <c r="BU704" s="36" t="str">
        <f aca="false">IF(O704="","",IF(O704&gt;=75,"Yes","No"))</f>
        <v/>
      </c>
      <c r="BV704" s="36" t="str">
        <f aca="false">IF(O704="","",IF(O704&gt;=100,"Yes","No"))</f>
        <v/>
      </c>
      <c r="BW704" s="36" t="str">
        <f aca="false">IF(O704="","",IF(O704&gt;=150,"Yes","No"))</f>
        <v/>
      </c>
      <c r="BX704" s="36" t="str">
        <f aca="false">IF(O704="","",IF(O704&gt;=200,"Yes","No"))</f>
        <v/>
      </c>
      <c r="BY704" s="36" t="str">
        <f aca="false">IF(Q704="","",IF(Q704&gt;=150000,"Yes","No"))</f>
        <v/>
      </c>
      <c r="BZ704" s="36" t="str">
        <f aca="false">IF(Q704="","",IF(Q704&gt;=200000,"Yes","No"))</f>
        <v/>
      </c>
      <c r="CA704" s="36" t="str">
        <f aca="false">IF(Q704="","",IF(Q704&gt;=250000,"Yes","No"))</f>
        <v/>
      </c>
      <c r="CB704" s="36" t="str">
        <f aca="false">IF(Q704="","",IF(Q704&gt;=300000,"Yes","No"))</f>
        <v/>
      </c>
      <c r="CC704" s="37"/>
      <c r="CD704" s="36" t="str">
        <f aca="true">IF(B704="","",IF(TODAY()-B704&lt;=7,"🟢 0-7d",IF(TODAY()-B704&lt;=30,"🟡 8-30d",IF(TODAY()-B704&lt;=60,"🟠 31-60d","🔴 60d+"))))</f>
        <v/>
      </c>
      <c r="CE704" s="36" t="str">
        <f aca="false">IF(G704="","",IF(G704&lt;&gt;"USA","N/A - Not USA Role",IF(J704="Yes",IF(OR(F704="Intern",F704="New Grad"),"🟡 Possible","🟢 Strong"),IF(J704="No","🔴 Difficult","⚪ Unknown"))))</f>
        <v/>
      </c>
      <c r="CF704" s="37"/>
      <c r="CG704" s="37"/>
      <c r="CH704" s="38"/>
      <c r="CI704" s="38"/>
      <c r="CJ704" s="38"/>
      <c r="CK704" s="38"/>
    </row>
    <row r="705" customFormat="false" ht="15" hidden="false" customHeight="true" outlineLevel="0" collapsed="false">
      <c r="A705" s="26" t="str">
        <f aca="false">IF($C705="","",ROW()-3)</f>
        <v/>
      </c>
      <c r="B705" s="27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9"/>
      <c r="N705" s="29"/>
      <c r="O705" s="30" t="str">
        <f aca="false">IFERROR(IF(M705="","",M705*INDEX('00 - Lists'!$M$2:$M$11,MATCH(L705,'00 - Lists'!$L$2:$L$11,0))/100000),"")</f>
        <v/>
      </c>
      <c r="P705" s="30" t="str">
        <f aca="false">IFERROR(IF(N705="","",N705*INDEX('00 - Lists'!$M$2:$M$11,MATCH(L705,'00 - Lists'!$L$2:$L$11,0))/100000),"")</f>
        <v/>
      </c>
      <c r="Q705" s="31" t="str">
        <f aca="false">IFERROR(IF(M705="","",M705*INDEX('00 - Lists'!$N$2:$N$11,MATCH(L705,'00 - Lists'!$L$2:$L$11,0))),"")</f>
        <v/>
      </c>
      <c r="R705" s="31" t="str">
        <f aca="false">IFERROR(IF(N705="","",N705*INDEX('00 - Lists'!$N$2:$N$11,MATCH(L705,'00 - Lists'!$L$2:$L$11,0))),"")</f>
        <v/>
      </c>
      <c r="S705" s="32" t="str">
        <f aca="false">IF(O705="","",IF(O705&gt;=50,"Yes","No"))</f>
        <v/>
      </c>
      <c r="T705" s="32" t="str">
        <f aca="false">IF(Q705="","",IF(Q705&gt;=100000,"Yes","No"))</f>
        <v/>
      </c>
      <c r="U705" s="28"/>
      <c r="V705" s="28"/>
      <c r="W705" s="28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J705" s="34" t="str">
        <f aca="false">IF(OR($BD705&lt;&gt;"",$BF705&lt;&gt;"",$BH705&lt;&gt;""),"Yes","No")</f>
        <v>No</v>
      </c>
      <c r="BK705" s="35" t="str">
        <f aca="false">IFERROR(IF(BD705="","",BD705*INDEX('00 - Lists'!$M$2:$M$11,MATCH(L705,'00 - Lists'!$L$2:$L$11,0))/100000),"")</f>
        <v/>
      </c>
      <c r="BL705" s="35" t="str">
        <f aca="false">IFERROR(IF(BE705="","",BE705*INDEX('00 - Lists'!$M$2:$M$11,MATCH(L705,'00 - Lists'!$L$2:$L$11,0))/100000),"")</f>
        <v/>
      </c>
      <c r="BM705" s="35" t="str">
        <f aca="false">IFERROR(IF(BF705="","",BF705*INDEX('00 - Lists'!$M$2:$M$11,MATCH(L705,'00 - Lists'!$L$2:$L$11,0))/100000),"")</f>
        <v/>
      </c>
      <c r="BN705" s="35" t="str">
        <f aca="false">IFERROR(IF(BG705="","",BG705*INDEX('00 - Lists'!$M$2:$M$11,MATCH(L705,'00 - Lists'!$L$2:$L$11,0))/100000),"")</f>
        <v/>
      </c>
      <c r="BO705" s="35" t="str">
        <f aca="false">IFERROR(IF(BH705="","",BH705*INDEX('00 - Lists'!$M$2:$M$11,MATCH(L705,'00 - Lists'!$L$2:$L$11,0))/100000),"")</f>
        <v/>
      </c>
      <c r="BP705" s="35" t="str">
        <f aca="false">IFERROR(IF(BI705="","",BI705*INDEX('00 - Lists'!$M$2:$M$11,MATCH(L705,'00 - Lists'!$L$2:$L$11,0))/100000),"")</f>
        <v/>
      </c>
      <c r="BS705" s="36" t="str">
        <f aca="false">IF(O705="","",IF(O705&gt;=20,"Yes","No"))</f>
        <v/>
      </c>
      <c r="BT705" s="36" t="str">
        <f aca="false">IF(O705="","",IF(O705&gt;=30,"Yes","No"))</f>
        <v/>
      </c>
      <c r="BU705" s="36" t="str">
        <f aca="false">IF(O705="","",IF(O705&gt;=75,"Yes","No"))</f>
        <v/>
      </c>
      <c r="BV705" s="36" t="str">
        <f aca="false">IF(O705="","",IF(O705&gt;=100,"Yes","No"))</f>
        <v/>
      </c>
      <c r="BW705" s="36" t="str">
        <f aca="false">IF(O705="","",IF(O705&gt;=150,"Yes","No"))</f>
        <v/>
      </c>
      <c r="BX705" s="36" t="str">
        <f aca="false">IF(O705="","",IF(O705&gt;=200,"Yes","No"))</f>
        <v/>
      </c>
      <c r="BY705" s="36" t="str">
        <f aca="false">IF(Q705="","",IF(Q705&gt;=150000,"Yes","No"))</f>
        <v/>
      </c>
      <c r="BZ705" s="36" t="str">
        <f aca="false">IF(Q705="","",IF(Q705&gt;=200000,"Yes","No"))</f>
        <v/>
      </c>
      <c r="CA705" s="36" t="str">
        <f aca="false">IF(Q705="","",IF(Q705&gt;=250000,"Yes","No"))</f>
        <v/>
      </c>
      <c r="CB705" s="36" t="str">
        <f aca="false">IF(Q705="","",IF(Q705&gt;=300000,"Yes","No"))</f>
        <v/>
      </c>
      <c r="CC705" s="37"/>
      <c r="CD705" s="36" t="str">
        <f aca="true">IF(B705="","",IF(TODAY()-B705&lt;=7,"🟢 0-7d",IF(TODAY()-B705&lt;=30,"🟡 8-30d",IF(TODAY()-B705&lt;=60,"🟠 31-60d","🔴 60d+"))))</f>
        <v/>
      </c>
      <c r="CE705" s="36" t="str">
        <f aca="false">IF(G705="","",IF(G705&lt;&gt;"USA","N/A - Not USA Role",IF(J705="Yes",IF(OR(F705="Intern",F705="New Grad"),"🟡 Possible","🟢 Strong"),IF(J705="No","🔴 Difficult","⚪ Unknown"))))</f>
        <v/>
      </c>
      <c r="CF705" s="37"/>
      <c r="CG705" s="37"/>
      <c r="CH705" s="38"/>
      <c r="CI705" s="38"/>
      <c r="CJ705" s="38"/>
      <c r="CK705" s="38"/>
    </row>
    <row r="706" customFormat="false" ht="15" hidden="false" customHeight="true" outlineLevel="0" collapsed="false">
      <c r="A706" s="26" t="str">
        <f aca="false">IF($C706="","",ROW()-3)</f>
        <v/>
      </c>
      <c r="B706" s="27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9"/>
      <c r="N706" s="29"/>
      <c r="O706" s="30" t="str">
        <f aca="false">IFERROR(IF(M706="","",M706*INDEX('00 - Lists'!$M$2:$M$11,MATCH(L706,'00 - Lists'!$L$2:$L$11,0))/100000),"")</f>
        <v/>
      </c>
      <c r="P706" s="30" t="str">
        <f aca="false">IFERROR(IF(N706="","",N706*INDEX('00 - Lists'!$M$2:$M$11,MATCH(L706,'00 - Lists'!$L$2:$L$11,0))/100000),"")</f>
        <v/>
      </c>
      <c r="Q706" s="31" t="str">
        <f aca="false">IFERROR(IF(M706="","",M706*INDEX('00 - Lists'!$N$2:$N$11,MATCH(L706,'00 - Lists'!$L$2:$L$11,0))),"")</f>
        <v/>
      </c>
      <c r="R706" s="31" t="str">
        <f aca="false">IFERROR(IF(N706="","",N706*INDEX('00 - Lists'!$N$2:$N$11,MATCH(L706,'00 - Lists'!$L$2:$L$11,0))),"")</f>
        <v/>
      </c>
      <c r="S706" s="32" t="str">
        <f aca="false">IF(O706="","",IF(O706&gt;=50,"Yes","No"))</f>
        <v/>
      </c>
      <c r="T706" s="32" t="str">
        <f aca="false">IF(Q706="","",IF(Q706&gt;=100000,"Yes","No"))</f>
        <v/>
      </c>
      <c r="U706" s="28"/>
      <c r="V706" s="28"/>
      <c r="W706" s="28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J706" s="34" t="str">
        <f aca="false">IF(OR($BD706&lt;&gt;"",$BF706&lt;&gt;"",$BH706&lt;&gt;""),"Yes","No")</f>
        <v>No</v>
      </c>
      <c r="BK706" s="35" t="str">
        <f aca="false">IFERROR(IF(BD706="","",BD706*INDEX('00 - Lists'!$M$2:$M$11,MATCH(L706,'00 - Lists'!$L$2:$L$11,0))/100000),"")</f>
        <v/>
      </c>
      <c r="BL706" s="35" t="str">
        <f aca="false">IFERROR(IF(BE706="","",BE706*INDEX('00 - Lists'!$M$2:$M$11,MATCH(L706,'00 - Lists'!$L$2:$L$11,0))/100000),"")</f>
        <v/>
      </c>
      <c r="BM706" s="35" t="str">
        <f aca="false">IFERROR(IF(BF706="","",BF706*INDEX('00 - Lists'!$M$2:$M$11,MATCH(L706,'00 - Lists'!$L$2:$L$11,0))/100000),"")</f>
        <v/>
      </c>
      <c r="BN706" s="35" t="str">
        <f aca="false">IFERROR(IF(BG706="","",BG706*INDEX('00 - Lists'!$M$2:$M$11,MATCH(L706,'00 - Lists'!$L$2:$L$11,0))/100000),"")</f>
        <v/>
      </c>
      <c r="BO706" s="35" t="str">
        <f aca="false">IFERROR(IF(BH706="","",BH706*INDEX('00 - Lists'!$M$2:$M$11,MATCH(L706,'00 - Lists'!$L$2:$L$11,0))/100000),"")</f>
        <v/>
      </c>
      <c r="BP706" s="35" t="str">
        <f aca="false">IFERROR(IF(BI706="","",BI706*INDEX('00 - Lists'!$M$2:$M$11,MATCH(L706,'00 - Lists'!$L$2:$L$11,0))/100000),"")</f>
        <v/>
      </c>
      <c r="BS706" s="36" t="str">
        <f aca="false">IF(O706="","",IF(O706&gt;=20,"Yes","No"))</f>
        <v/>
      </c>
      <c r="BT706" s="36" t="str">
        <f aca="false">IF(O706="","",IF(O706&gt;=30,"Yes","No"))</f>
        <v/>
      </c>
      <c r="BU706" s="36" t="str">
        <f aca="false">IF(O706="","",IF(O706&gt;=75,"Yes","No"))</f>
        <v/>
      </c>
      <c r="BV706" s="36" t="str">
        <f aca="false">IF(O706="","",IF(O706&gt;=100,"Yes","No"))</f>
        <v/>
      </c>
      <c r="BW706" s="36" t="str">
        <f aca="false">IF(O706="","",IF(O706&gt;=150,"Yes","No"))</f>
        <v/>
      </c>
      <c r="BX706" s="36" t="str">
        <f aca="false">IF(O706="","",IF(O706&gt;=200,"Yes","No"))</f>
        <v/>
      </c>
      <c r="BY706" s="36" t="str">
        <f aca="false">IF(Q706="","",IF(Q706&gt;=150000,"Yes","No"))</f>
        <v/>
      </c>
      <c r="BZ706" s="36" t="str">
        <f aca="false">IF(Q706="","",IF(Q706&gt;=200000,"Yes","No"))</f>
        <v/>
      </c>
      <c r="CA706" s="36" t="str">
        <f aca="false">IF(Q706="","",IF(Q706&gt;=250000,"Yes","No"))</f>
        <v/>
      </c>
      <c r="CB706" s="36" t="str">
        <f aca="false">IF(Q706="","",IF(Q706&gt;=300000,"Yes","No"))</f>
        <v/>
      </c>
      <c r="CC706" s="37"/>
      <c r="CD706" s="36" t="str">
        <f aca="true">IF(B706="","",IF(TODAY()-B706&lt;=7,"🟢 0-7d",IF(TODAY()-B706&lt;=30,"🟡 8-30d",IF(TODAY()-B706&lt;=60,"🟠 31-60d","🔴 60d+"))))</f>
        <v/>
      </c>
      <c r="CE706" s="36" t="str">
        <f aca="false">IF(G706="","",IF(G706&lt;&gt;"USA","N/A - Not USA Role",IF(J706="Yes",IF(OR(F706="Intern",F706="New Grad"),"🟡 Possible","🟢 Strong"),IF(J706="No","🔴 Difficult","⚪ Unknown"))))</f>
        <v/>
      </c>
      <c r="CF706" s="37"/>
      <c r="CG706" s="37"/>
      <c r="CH706" s="38"/>
      <c r="CI706" s="38"/>
      <c r="CJ706" s="38"/>
      <c r="CK706" s="38"/>
    </row>
    <row r="707" customFormat="false" ht="15" hidden="false" customHeight="true" outlineLevel="0" collapsed="false">
      <c r="A707" s="26" t="str">
        <f aca="false">IF($C707="","",ROW()-3)</f>
        <v/>
      </c>
      <c r="B707" s="27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9"/>
      <c r="N707" s="29"/>
      <c r="O707" s="30" t="str">
        <f aca="false">IFERROR(IF(M707="","",M707*INDEX('00 - Lists'!$M$2:$M$11,MATCH(L707,'00 - Lists'!$L$2:$L$11,0))/100000),"")</f>
        <v/>
      </c>
      <c r="P707" s="30" t="str">
        <f aca="false">IFERROR(IF(N707="","",N707*INDEX('00 - Lists'!$M$2:$M$11,MATCH(L707,'00 - Lists'!$L$2:$L$11,0))/100000),"")</f>
        <v/>
      </c>
      <c r="Q707" s="31" t="str">
        <f aca="false">IFERROR(IF(M707="","",M707*INDEX('00 - Lists'!$N$2:$N$11,MATCH(L707,'00 - Lists'!$L$2:$L$11,0))),"")</f>
        <v/>
      </c>
      <c r="R707" s="31" t="str">
        <f aca="false">IFERROR(IF(N707="","",N707*INDEX('00 - Lists'!$N$2:$N$11,MATCH(L707,'00 - Lists'!$L$2:$L$11,0))),"")</f>
        <v/>
      </c>
      <c r="S707" s="32" t="str">
        <f aca="false">IF(O707="","",IF(O707&gt;=50,"Yes","No"))</f>
        <v/>
      </c>
      <c r="T707" s="32" t="str">
        <f aca="false">IF(Q707="","",IF(Q707&gt;=100000,"Yes","No"))</f>
        <v/>
      </c>
      <c r="U707" s="28"/>
      <c r="V707" s="28"/>
      <c r="W707" s="28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J707" s="34" t="str">
        <f aca="false">IF(OR($BD707&lt;&gt;"",$BF707&lt;&gt;"",$BH707&lt;&gt;""),"Yes","No")</f>
        <v>No</v>
      </c>
      <c r="BK707" s="35" t="str">
        <f aca="false">IFERROR(IF(BD707="","",BD707*INDEX('00 - Lists'!$M$2:$M$11,MATCH(L707,'00 - Lists'!$L$2:$L$11,0))/100000),"")</f>
        <v/>
      </c>
      <c r="BL707" s="35" t="str">
        <f aca="false">IFERROR(IF(BE707="","",BE707*INDEX('00 - Lists'!$M$2:$M$11,MATCH(L707,'00 - Lists'!$L$2:$L$11,0))/100000),"")</f>
        <v/>
      </c>
      <c r="BM707" s="35" t="str">
        <f aca="false">IFERROR(IF(BF707="","",BF707*INDEX('00 - Lists'!$M$2:$M$11,MATCH(L707,'00 - Lists'!$L$2:$L$11,0))/100000),"")</f>
        <v/>
      </c>
      <c r="BN707" s="35" t="str">
        <f aca="false">IFERROR(IF(BG707="","",BG707*INDEX('00 - Lists'!$M$2:$M$11,MATCH(L707,'00 - Lists'!$L$2:$L$11,0))/100000),"")</f>
        <v/>
      </c>
      <c r="BO707" s="35" t="str">
        <f aca="false">IFERROR(IF(BH707="","",BH707*INDEX('00 - Lists'!$M$2:$M$11,MATCH(L707,'00 - Lists'!$L$2:$L$11,0))/100000),"")</f>
        <v/>
      </c>
      <c r="BP707" s="35" t="str">
        <f aca="false">IFERROR(IF(BI707="","",BI707*INDEX('00 - Lists'!$M$2:$M$11,MATCH(L707,'00 - Lists'!$L$2:$L$11,0))/100000),"")</f>
        <v/>
      </c>
      <c r="BS707" s="36" t="str">
        <f aca="false">IF(O707="","",IF(O707&gt;=20,"Yes","No"))</f>
        <v/>
      </c>
      <c r="BT707" s="36" t="str">
        <f aca="false">IF(O707="","",IF(O707&gt;=30,"Yes","No"))</f>
        <v/>
      </c>
      <c r="BU707" s="36" t="str">
        <f aca="false">IF(O707="","",IF(O707&gt;=75,"Yes","No"))</f>
        <v/>
      </c>
      <c r="BV707" s="36" t="str">
        <f aca="false">IF(O707="","",IF(O707&gt;=100,"Yes","No"))</f>
        <v/>
      </c>
      <c r="BW707" s="36" t="str">
        <f aca="false">IF(O707="","",IF(O707&gt;=150,"Yes","No"))</f>
        <v/>
      </c>
      <c r="BX707" s="36" t="str">
        <f aca="false">IF(O707="","",IF(O707&gt;=200,"Yes","No"))</f>
        <v/>
      </c>
      <c r="BY707" s="36" t="str">
        <f aca="false">IF(Q707="","",IF(Q707&gt;=150000,"Yes","No"))</f>
        <v/>
      </c>
      <c r="BZ707" s="36" t="str">
        <f aca="false">IF(Q707="","",IF(Q707&gt;=200000,"Yes","No"))</f>
        <v/>
      </c>
      <c r="CA707" s="36" t="str">
        <f aca="false">IF(Q707="","",IF(Q707&gt;=250000,"Yes","No"))</f>
        <v/>
      </c>
      <c r="CB707" s="36" t="str">
        <f aca="false">IF(Q707="","",IF(Q707&gt;=300000,"Yes","No"))</f>
        <v/>
      </c>
      <c r="CC707" s="37"/>
      <c r="CD707" s="36" t="str">
        <f aca="true">IF(B707="","",IF(TODAY()-B707&lt;=7,"🟢 0-7d",IF(TODAY()-B707&lt;=30,"🟡 8-30d",IF(TODAY()-B707&lt;=60,"🟠 31-60d","🔴 60d+"))))</f>
        <v/>
      </c>
      <c r="CE707" s="36" t="str">
        <f aca="false">IF(G707="","",IF(G707&lt;&gt;"USA","N/A - Not USA Role",IF(J707="Yes",IF(OR(F707="Intern",F707="New Grad"),"🟡 Possible","🟢 Strong"),IF(J707="No","🔴 Difficult","⚪ Unknown"))))</f>
        <v/>
      </c>
      <c r="CF707" s="37"/>
      <c r="CG707" s="37"/>
      <c r="CH707" s="38"/>
      <c r="CI707" s="38"/>
      <c r="CJ707" s="38"/>
      <c r="CK707" s="38"/>
    </row>
    <row r="708" customFormat="false" ht="15" hidden="false" customHeight="true" outlineLevel="0" collapsed="false">
      <c r="A708" s="26" t="str">
        <f aca="false">IF($C708="","",ROW()-3)</f>
        <v/>
      </c>
      <c r="B708" s="27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9"/>
      <c r="N708" s="29"/>
      <c r="O708" s="30" t="str">
        <f aca="false">IFERROR(IF(M708="","",M708*INDEX('00 - Lists'!$M$2:$M$11,MATCH(L708,'00 - Lists'!$L$2:$L$11,0))/100000),"")</f>
        <v/>
      </c>
      <c r="P708" s="30" t="str">
        <f aca="false">IFERROR(IF(N708="","",N708*INDEX('00 - Lists'!$M$2:$M$11,MATCH(L708,'00 - Lists'!$L$2:$L$11,0))/100000),"")</f>
        <v/>
      </c>
      <c r="Q708" s="31" t="str">
        <f aca="false">IFERROR(IF(M708="","",M708*INDEX('00 - Lists'!$N$2:$N$11,MATCH(L708,'00 - Lists'!$L$2:$L$11,0))),"")</f>
        <v/>
      </c>
      <c r="R708" s="31" t="str">
        <f aca="false">IFERROR(IF(N708="","",N708*INDEX('00 - Lists'!$N$2:$N$11,MATCH(L708,'00 - Lists'!$L$2:$L$11,0))),"")</f>
        <v/>
      </c>
      <c r="S708" s="32" t="str">
        <f aca="false">IF(O708="","",IF(O708&gt;=50,"Yes","No"))</f>
        <v/>
      </c>
      <c r="T708" s="32" t="str">
        <f aca="false">IF(Q708="","",IF(Q708&gt;=100000,"Yes","No"))</f>
        <v/>
      </c>
      <c r="U708" s="28"/>
      <c r="V708" s="28"/>
      <c r="W708" s="28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J708" s="34" t="str">
        <f aca="false">IF(OR($BD708&lt;&gt;"",$BF708&lt;&gt;"",$BH708&lt;&gt;""),"Yes","No")</f>
        <v>No</v>
      </c>
      <c r="BK708" s="35" t="str">
        <f aca="false">IFERROR(IF(BD708="","",BD708*INDEX('00 - Lists'!$M$2:$M$11,MATCH(L708,'00 - Lists'!$L$2:$L$11,0))/100000),"")</f>
        <v/>
      </c>
      <c r="BL708" s="35" t="str">
        <f aca="false">IFERROR(IF(BE708="","",BE708*INDEX('00 - Lists'!$M$2:$M$11,MATCH(L708,'00 - Lists'!$L$2:$L$11,0))/100000),"")</f>
        <v/>
      </c>
      <c r="BM708" s="35" t="str">
        <f aca="false">IFERROR(IF(BF708="","",BF708*INDEX('00 - Lists'!$M$2:$M$11,MATCH(L708,'00 - Lists'!$L$2:$L$11,0))/100000),"")</f>
        <v/>
      </c>
      <c r="BN708" s="35" t="str">
        <f aca="false">IFERROR(IF(BG708="","",BG708*INDEX('00 - Lists'!$M$2:$M$11,MATCH(L708,'00 - Lists'!$L$2:$L$11,0))/100000),"")</f>
        <v/>
      </c>
      <c r="BO708" s="35" t="str">
        <f aca="false">IFERROR(IF(BH708="","",BH708*INDEX('00 - Lists'!$M$2:$M$11,MATCH(L708,'00 - Lists'!$L$2:$L$11,0))/100000),"")</f>
        <v/>
      </c>
      <c r="BP708" s="35" t="str">
        <f aca="false">IFERROR(IF(BI708="","",BI708*INDEX('00 - Lists'!$M$2:$M$11,MATCH(L708,'00 - Lists'!$L$2:$L$11,0))/100000),"")</f>
        <v/>
      </c>
      <c r="BS708" s="36" t="str">
        <f aca="false">IF(O708="","",IF(O708&gt;=20,"Yes","No"))</f>
        <v/>
      </c>
      <c r="BT708" s="36" t="str">
        <f aca="false">IF(O708="","",IF(O708&gt;=30,"Yes","No"))</f>
        <v/>
      </c>
      <c r="BU708" s="36" t="str">
        <f aca="false">IF(O708="","",IF(O708&gt;=75,"Yes","No"))</f>
        <v/>
      </c>
      <c r="BV708" s="36" t="str">
        <f aca="false">IF(O708="","",IF(O708&gt;=100,"Yes","No"))</f>
        <v/>
      </c>
      <c r="BW708" s="36" t="str">
        <f aca="false">IF(O708="","",IF(O708&gt;=150,"Yes","No"))</f>
        <v/>
      </c>
      <c r="BX708" s="36" t="str">
        <f aca="false">IF(O708="","",IF(O708&gt;=200,"Yes","No"))</f>
        <v/>
      </c>
      <c r="BY708" s="36" t="str">
        <f aca="false">IF(Q708="","",IF(Q708&gt;=150000,"Yes","No"))</f>
        <v/>
      </c>
      <c r="BZ708" s="36" t="str">
        <f aca="false">IF(Q708="","",IF(Q708&gt;=200000,"Yes","No"))</f>
        <v/>
      </c>
      <c r="CA708" s="36" t="str">
        <f aca="false">IF(Q708="","",IF(Q708&gt;=250000,"Yes","No"))</f>
        <v/>
      </c>
      <c r="CB708" s="36" t="str">
        <f aca="false">IF(Q708="","",IF(Q708&gt;=300000,"Yes","No"))</f>
        <v/>
      </c>
      <c r="CC708" s="37"/>
      <c r="CD708" s="36" t="str">
        <f aca="true">IF(B708="","",IF(TODAY()-B708&lt;=7,"🟢 0-7d",IF(TODAY()-B708&lt;=30,"🟡 8-30d",IF(TODAY()-B708&lt;=60,"🟠 31-60d","🔴 60d+"))))</f>
        <v/>
      </c>
      <c r="CE708" s="36" t="str">
        <f aca="false">IF(G708="","",IF(G708&lt;&gt;"USA","N/A - Not USA Role",IF(J708="Yes",IF(OR(F708="Intern",F708="New Grad"),"🟡 Possible","🟢 Strong"),IF(J708="No","🔴 Difficult","⚪ Unknown"))))</f>
        <v/>
      </c>
      <c r="CF708" s="37"/>
      <c r="CG708" s="37"/>
      <c r="CH708" s="38"/>
      <c r="CI708" s="38"/>
      <c r="CJ708" s="38"/>
      <c r="CK708" s="38"/>
    </row>
    <row r="709" customFormat="false" ht="15" hidden="false" customHeight="true" outlineLevel="0" collapsed="false">
      <c r="A709" s="26" t="str">
        <f aca="false">IF($C709="","",ROW()-3)</f>
        <v/>
      </c>
      <c r="B709" s="27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9"/>
      <c r="N709" s="29"/>
      <c r="O709" s="30" t="str">
        <f aca="false">IFERROR(IF(M709="","",M709*INDEX('00 - Lists'!$M$2:$M$11,MATCH(L709,'00 - Lists'!$L$2:$L$11,0))/100000),"")</f>
        <v/>
      </c>
      <c r="P709" s="30" t="str">
        <f aca="false">IFERROR(IF(N709="","",N709*INDEX('00 - Lists'!$M$2:$M$11,MATCH(L709,'00 - Lists'!$L$2:$L$11,0))/100000),"")</f>
        <v/>
      </c>
      <c r="Q709" s="31" t="str">
        <f aca="false">IFERROR(IF(M709="","",M709*INDEX('00 - Lists'!$N$2:$N$11,MATCH(L709,'00 - Lists'!$L$2:$L$11,0))),"")</f>
        <v/>
      </c>
      <c r="R709" s="31" t="str">
        <f aca="false">IFERROR(IF(N709="","",N709*INDEX('00 - Lists'!$N$2:$N$11,MATCH(L709,'00 - Lists'!$L$2:$L$11,0))),"")</f>
        <v/>
      </c>
      <c r="S709" s="32" t="str">
        <f aca="false">IF(O709="","",IF(O709&gt;=50,"Yes","No"))</f>
        <v/>
      </c>
      <c r="T709" s="32" t="str">
        <f aca="false">IF(Q709="","",IF(Q709&gt;=100000,"Yes","No"))</f>
        <v/>
      </c>
      <c r="U709" s="28"/>
      <c r="V709" s="28"/>
      <c r="W709" s="28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J709" s="34" t="str">
        <f aca="false">IF(OR($BD709&lt;&gt;"",$BF709&lt;&gt;"",$BH709&lt;&gt;""),"Yes","No")</f>
        <v>No</v>
      </c>
      <c r="BK709" s="35" t="str">
        <f aca="false">IFERROR(IF(BD709="","",BD709*INDEX('00 - Lists'!$M$2:$M$11,MATCH(L709,'00 - Lists'!$L$2:$L$11,0))/100000),"")</f>
        <v/>
      </c>
      <c r="BL709" s="35" t="str">
        <f aca="false">IFERROR(IF(BE709="","",BE709*INDEX('00 - Lists'!$M$2:$M$11,MATCH(L709,'00 - Lists'!$L$2:$L$11,0))/100000),"")</f>
        <v/>
      </c>
      <c r="BM709" s="35" t="str">
        <f aca="false">IFERROR(IF(BF709="","",BF709*INDEX('00 - Lists'!$M$2:$M$11,MATCH(L709,'00 - Lists'!$L$2:$L$11,0))/100000),"")</f>
        <v/>
      </c>
      <c r="BN709" s="35" t="str">
        <f aca="false">IFERROR(IF(BG709="","",BG709*INDEX('00 - Lists'!$M$2:$M$11,MATCH(L709,'00 - Lists'!$L$2:$L$11,0))/100000),"")</f>
        <v/>
      </c>
      <c r="BO709" s="35" t="str">
        <f aca="false">IFERROR(IF(BH709="","",BH709*INDEX('00 - Lists'!$M$2:$M$11,MATCH(L709,'00 - Lists'!$L$2:$L$11,0))/100000),"")</f>
        <v/>
      </c>
      <c r="BP709" s="35" t="str">
        <f aca="false">IFERROR(IF(BI709="","",BI709*INDEX('00 - Lists'!$M$2:$M$11,MATCH(L709,'00 - Lists'!$L$2:$L$11,0))/100000),"")</f>
        <v/>
      </c>
      <c r="BS709" s="36" t="str">
        <f aca="false">IF(O709="","",IF(O709&gt;=20,"Yes","No"))</f>
        <v/>
      </c>
      <c r="BT709" s="36" t="str">
        <f aca="false">IF(O709="","",IF(O709&gt;=30,"Yes","No"))</f>
        <v/>
      </c>
      <c r="BU709" s="36" t="str">
        <f aca="false">IF(O709="","",IF(O709&gt;=75,"Yes","No"))</f>
        <v/>
      </c>
      <c r="BV709" s="36" t="str">
        <f aca="false">IF(O709="","",IF(O709&gt;=100,"Yes","No"))</f>
        <v/>
      </c>
      <c r="BW709" s="36" t="str">
        <f aca="false">IF(O709="","",IF(O709&gt;=150,"Yes","No"))</f>
        <v/>
      </c>
      <c r="BX709" s="36" t="str">
        <f aca="false">IF(O709="","",IF(O709&gt;=200,"Yes","No"))</f>
        <v/>
      </c>
      <c r="BY709" s="36" t="str">
        <f aca="false">IF(Q709="","",IF(Q709&gt;=150000,"Yes","No"))</f>
        <v/>
      </c>
      <c r="BZ709" s="36" t="str">
        <f aca="false">IF(Q709="","",IF(Q709&gt;=200000,"Yes","No"))</f>
        <v/>
      </c>
      <c r="CA709" s="36" t="str">
        <f aca="false">IF(Q709="","",IF(Q709&gt;=250000,"Yes","No"))</f>
        <v/>
      </c>
      <c r="CB709" s="36" t="str">
        <f aca="false">IF(Q709="","",IF(Q709&gt;=300000,"Yes","No"))</f>
        <v/>
      </c>
      <c r="CC709" s="37"/>
      <c r="CD709" s="36" t="str">
        <f aca="true">IF(B709="","",IF(TODAY()-B709&lt;=7,"🟢 0-7d",IF(TODAY()-B709&lt;=30,"🟡 8-30d",IF(TODAY()-B709&lt;=60,"🟠 31-60d","🔴 60d+"))))</f>
        <v/>
      </c>
      <c r="CE709" s="36" t="str">
        <f aca="false">IF(G709="","",IF(G709&lt;&gt;"USA","N/A - Not USA Role",IF(J709="Yes",IF(OR(F709="Intern",F709="New Grad"),"🟡 Possible","🟢 Strong"),IF(J709="No","🔴 Difficult","⚪ Unknown"))))</f>
        <v/>
      </c>
      <c r="CF709" s="37"/>
      <c r="CG709" s="37"/>
      <c r="CH709" s="38"/>
      <c r="CI709" s="38"/>
      <c r="CJ709" s="38"/>
      <c r="CK709" s="38"/>
    </row>
    <row r="710" customFormat="false" ht="15" hidden="false" customHeight="true" outlineLevel="0" collapsed="false">
      <c r="A710" s="26" t="str">
        <f aca="false">IF($C710="","",ROW()-3)</f>
        <v/>
      </c>
      <c r="B710" s="27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9"/>
      <c r="N710" s="29"/>
      <c r="O710" s="30" t="str">
        <f aca="false">IFERROR(IF(M710="","",M710*INDEX('00 - Lists'!$M$2:$M$11,MATCH(L710,'00 - Lists'!$L$2:$L$11,0))/100000),"")</f>
        <v/>
      </c>
      <c r="P710" s="30" t="str">
        <f aca="false">IFERROR(IF(N710="","",N710*INDEX('00 - Lists'!$M$2:$M$11,MATCH(L710,'00 - Lists'!$L$2:$L$11,0))/100000),"")</f>
        <v/>
      </c>
      <c r="Q710" s="31" t="str">
        <f aca="false">IFERROR(IF(M710="","",M710*INDEX('00 - Lists'!$N$2:$N$11,MATCH(L710,'00 - Lists'!$L$2:$L$11,0))),"")</f>
        <v/>
      </c>
      <c r="R710" s="31" t="str">
        <f aca="false">IFERROR(IF(N710="","",N710*INDEX('00 - Lists'!$N$2:$N$11,MATCH(L710,'00 - Lists'!$L$2:$L$11,0))),"")</f>
        <v/>
      </c>
      <c r="S710" s="32" t="str">
        <f aca="false">IF(O710="","",IF(O710&gt;=50,"Yes","No"))</f>
        <v/>
      </c>
      <c r="T710" s="32" t="str">
        <f aca="false">IF(Q710="","",IF(Q710&gt;=100000,"Yes","No"))</f>
        <v/>
      </c>
      <c r="U710" s="28"/>
      <c r="V710" s="28"/>
      <c r="W710" s="28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J710" s="34" t="str">
        <f aca="false">IF(OR($BD710&lt;&gt;"",$BF710&lt;&gt;"",$BH710&lt;&gt;""),"Yes","No")</f>
        <v>No</v>
      </c>
      <c r="BK710" s="35" t="str">
        <f aca="false">IFERROR(IF(BD710="","",BD710*INDEX('00 - Lists'!$M$2:$M$11,MATCH(L710,'00 - Lists'!$L$2:$L$11,0))/100000),"")</f>
        <v/>
      </c>
      <c r="BL710" s="35" t="str">
        <f aca="false">IFERROR(IF(BE710="","",BE710*INDEX('00 - Lists'!$M$2:$M$11,MATCH(L710,'00 - Lists'!$L$2:$L$11,0))/100000),"")</f>
        <v/>
      </c>
      <c r="BM710" s="35" t="str">
        <f aca="false">IFERROR(IF(BF710="","",BF710*INDEX('00 - Lists'!$M$2:$M$11,MATCH(L710,'00 - Lists'!$L$2:$L$11,0))/100000),"")</f>
        <v/>
      </c>
      <c r="BN710" s="35" t="str">
        <f aca="false">IFERROR(IF(BG710="","",BG710*INDEX('00 - Lists'!$M$2:$M$11,MATCH(L710,'00 - Lists'!$L$2:$L$11,0))/100000),"")</f>
        <v/>
      </c>
      <c r="BO710" s="35" t="str">
        <f aca="false">IFERROR(IF(BH710="","",BH710*INDEX('00 - Lists'!$M$2:$M$11,MATCH(L710,'00 - Lists'!$L$2:$L$11,0))/100000),"")</f>
        <v/>
      </c>
      <c r="BP710" s="35" t="str">
        <f aca="false">IFERROR(IF(BI710="","",BI710*INDEX('00 - Lists'!$M$2:$M$11,MATCH(L710,'00 - Lists'!$L$2:$L$11,0))/100000),"")</f>
        <v/>
      </c>
      <c r="BS710" s="36" t="str">
        <f aca="false">IF(O710="","",IF(O710&gt;=20,"Yes","No"))</f>
        <v/>
      </c>
      <c r="BT710" s="36" t="str">
        <f aca="false">IF(O710="","",IF(O710&gt;=30,"Yes","No"))</f>
        <v/>
      </c>
      <c r="BU710" s="36" t="str">
        <f aca="false">IF(O710="","",IF(O710&gt;=75,"Yes","No"))</f>
        <v/>
      </c>
      <c r="BV710" s="36" t="str">
        <f aca="false">IF(O710="","",IF(O710&gt;=100,"Yes","No"))</f>
        <v/>
      </c>
      <c r="BW710" s="36" t="str">
        <f aca="false">IF(O710="","",IF(O710&gt;=150,"Yes","No"))</f>
        <v/>
      </c>
      <c r="BX710" s="36" t="str">
        <f aca="false">IF(O710="","",IF(O710&gt;=200,"Yes","No"))</f>
        <v/>
      </c>
      <c r="BY710" s="36" t="str">
        <f aca="false">IF(Q710="","",IF(Q710&gt;=150000,"Yes","No"))</f>
        <v/>
      </c>
      <c r="BZ710" s="36" t="str">
        <f aca="false">IF(Q710="","",IF(Q710&gt;=200000,"Yes","No"))</f>
        <v/>
      </c>
      <c r="CA710" s="36" t="str">
        <f aca="false">IF(Q710="","",IF(Q710&gt;=250000,"Yes","No"))</f>
        <v/>
      </c>
      <c r="CB710" s="36" t="str">
        <f aca="false">IF(Q710="","",IF(Q710&gt;=300000,"Yes","No"))</f>
        <v/>
      </c>
      <c r="CC710" s="37"/>
      <c r="CD710" s="36" t="str">
        <f aca="true">IF(B710="","",IF(TODAY()-B710&lt;=7,"🟢 0-7d",IF(TODAY()-B710&lt;=30,"🟡 8-30d",IF(TODAY()-B710&lt;=60,"🟠 31-60d","🔴 60d+"))))</f>
        <v/>
      </c>
      <c r="CE710" s="36" t="str">
        <f aca="false">IF(G710="","",IF(G710&lt;&gt;"USA","N/A - Not USA Role",IF(J710="Yes",IF(OR(F710="Intern",F710="New Grad"),"🟡 Possible","🟢 Strong"),IF(J710="No","🔴 Difficult","⚪ Unknown"))))</f>
        <v/>
      </c>
      <c r="CF710" s="37"/>
      <c r="CG710" s="37"/>
      <c r="CH710" s="38"/>
      <c r="CI710" s="38"/>
      <c r="CJ710" s="38"/>
      <c r="CK710" s="38"/>
    </row>
    <row r="711" customFormat="false" ht="15" hidden="false" customHeight="true" outlineLevel="0" collapsed="false">
      <c r="A711" s="26" t="str">
        <f aca="false">IF($C711="","",ROW()-3)</f>
        <v/>
      </c>
      <c r="B711" s="27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9"/>
      <c r="N711" s="29"/>
      <c r="O711" s="30" t="str">
        <f aca="false">IFERROR(IF(M711="","",M711*INDEX('00 - Lists'!$M$2:$M$11,MATCH(L711,'00 - Lists'!$L$2:$L$11,0))/100000),"")</f>
        <v/>
      </c>
      <c r="P711" s="30" t="str">
        <f aca="false">IFERROR(IF(N711="","",N711*INDEX('00 - Lists'!$M$2:$M$11,MATCH(L711,'00 - Lists'!$L$2:$L$11,0))/100000),"")</f>
        <v/>
      </c>
      <c r="Q711" s="31" t="str">
        <f aca="false">IFERROR(IF(M711="","",M711*INDEX('00 - Lists'!$N$2:$N$11,MATCH(L711,'00 - Lists'!$L$2:$L$11,0))),"")</f>
        <v/>
      </c>
      <c r="R711" s="31" t="str">
        <f aca="false">IFERROR(IF(N711="","",N711*INDEX('00 - Lists'!$N$2:$N$11,MATCH(L711,'00 - Lists'!$L$2:$L$11,0))),"")</f>
        <v/>
      </c>
      <c r="S711" s="32" t="str">
        <f aca="false">IF(O711="","",IF(O711&gt;=50,"Yes","No"))</f>
        <v/>
      </c>
      <c r="T711" s="32" t="str">
        <f aca="false">IF(Q711="","",IF(Q711&gt;=100000,"Yes","No"))</f>
        <v/>
      </c>
      <c r="U711" s="28"/>
      <c r="V711" s="28"/>
      <c r="W711" s="28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J711" s="34" t="str">
        <f aca="false">IF(OR($BD711&lt;&gt;"",$BF711&lt;&gt;"",$BH711&lt;&gt;""),"Yes","No")</f>
        <v>No</v>
      </c>
      <c r="BK711" s="35" t="str">
        <f aca="false">IFERROR(IF(BD711="","",BD711*INDEX('00 - Lists'!$M$2:$M$11,MATCH(L711,'00 - Lists'!$L$2:$L$11,0))/100000),"")</f>
        <v/>
      </c>
      <c r="BL711" s="35" t="str">
        <f aca="false">IFERROR(IF(BE711="","",BE711*INDEX('00 - Lists'!$M$2:$M$11,MATCH(L711,'00 - Lists'!$L$2:$L$11,0))/100000),"")</f>
        <v/>
      </c>
      <c r="BM711" s="35" t="str">
        <f aca="false">IFERROR(IF(BF711="","",BF711*INDEX('00 - Lists'!$M$2:$M$11,MATCH(L711,'00 - Lists'!$L$2:$L$11,0))/100000),"")</f>
        <v/>
      </c>
      <c r="BN711" s="35" t="str">
        <f aca="false">IFERROR(IF(BG711="","",BG711*INDEX('00 - Lists'!$M$2:$M$11,MATCH(L711,'00 - Lists'!$L$2:$L$11,0))/100000),"")</f>
        <v/>
      </c>
      <c r="BO711" s="35" t="str">
        <f aca="false">IFERROR(IF(BH711="","",BH711*INDEX('00 - Lists'!$M$2:$M$11,MATCH(L711,'00 - Lists'!$L$2:$L$11,0))/100000),"")</f>
        <v/>
      </c>
      <c r="BP711" s="35" t="str">
        <f aca="false">IFERROR(IF(BI711="","",BI711*INDEX('00 - Lists'!$M$2:$M$11,MATCH(L711,'00 - Lists'!$L$2:$L$11,0))/100000),"")</f>
        <v/>
      </c>
      <c r="BS711" s="36" t="str">
        <f aca="false">IF(O711="","",IF(O711&gt;=20,"Yes","No"))</f>
        <v/>
      </c>
      <c r="BT711" s="36" t="str">
        <f aca="false">IF(O711="","",IF(O711&gt;=30,"Yes","No"))</f>
        <v/>
      </c>
      <c r="BU711" s="36" t="str">
        <f aca="false">IF(O711="","",IF(O711&gt;=75,"Yes","No"))</f>
        <v/>
      </c>
      <c r="BV711" s="36" t="str">
        <f aca="false">IF(O711="","",IF(O711&gt;=100,"Yes","No"))</f>
        <v/>
      </c>
      <c r="BW711" s="36" t="str">
        <f aca="false">IF(O711="","",IF(O711&gt;=150,"Yes","No"))</f>
        <v/>
      </c>
      <c r="BX711" s="36" t="str">
        <f aca="false">IF(O711="","",IF(O711&gt;=200,"Yes","No"))</f>
        <v/>
      </c>
      <c r="BY711" s="36" t="str">
        <f aca="false">IF(Q711="","",IF(Q711&gt;=150000,"Yes","No"))</f>
        <v/>
      </c>
      <c r="BZ711" s="36" t="str">
        <f aca="false">IF(Q711="","",IF(Q711&gt;=200000,"Yes","No"))</f>
        <v/>
      </c>
      <c r="CA711" s="36" t="str">
        <f aca="false">IF(Q711="","",IF(Q711&gt;=250000,"Yes","No"))</f>
        <v/>
      </c>
      <c r="CB711" s="36" t="str">
        <f aca="false">IF(Q711="","",IF(Q711&gt;=300000,"Yes","No"))</f>
        <v/>
      </c>
      <c r="CC711" s="37"/>
      <c r="CD711" s="36" t="str">
        <f aca="true">IF(B711="","",IF(TODAY()-B711&lt;=7,"🟢 0-7d",IF(TODAY()-B711&lt;=30,"🟡 8-30d",IF(TODAY()-B711&lt;=60,"🟠 31-60d","🔴 60d+"))))</f>
        <v/>
      </c>
      <c r="CE711" s="36" t="str">
        <f aca="false">IF(G711="","",IF(G711&lt;&gt;"USA","N/A - Not USA Role",IF(J711="Yes",IF(OR(F711="Intern",F711="New Grad"),"🟡 Possible","🟢 Strong"),IF(J711="No","🔴 Difficult","⚪ Unknown"))))</f>
        <v/>
      </c>
      <c r="CF711" s="37"/>
      <c r="CG711" s="37"/>
      <c r="CH711" s="38"/>
      <c r="CI711" s="38"/>
      <c r="CJ711" s="38"/>
      <c r="CK711" s="38"/>
    </row>
    <row r="712" customFormat="false" ht="15" hidden="false" customHeight="true" outlineLevel="0" collapsed="false">
      <c r="A712" s="26" t="str">
        <f aca="false">IF($C712="","",ROW()-3)</f>
        <v/>
      </c>
      <c r="B712" s="27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9"/>
      <c r="N712" s="29"/>
      <c r="O712" s="30" t="str">
        <f aca="false">IFERROR(IF(M712="","",M712*INDEX('00 - Lists'!$M$2:$M$11,MATCH(L712,'00 - Lists'!$L$2:$L$11,0))/100000),"")</f>
        <v/>
      </c>
      <c r="P712" s="30" t="str">
        <f aca="false">IFERROR(IF(N712="","",N712*INDEX('00 - Lists'!$M$2:$M$11,MATCH(L712,'00 - Lists'!$L$2:$L$11,0))/100000),"")</f>
        <v/>
      </c>
      <c r="Q712" s="31" t="str">
        <f aca="false">IFERROR(IF(M712="","",M712*INDEX('00 - Lists'!$N$2:$N$11,MATCH(L712,'00 - Lists'!$L$2:$L$11,0))),"")</f>
        <v/>
      </c>
      <c r="R712" s="31" t="str">
        <f aca="false">IFERROR(IF(N712="","",N712*INDEX('00 - Lists'!$N$2:$N$11,MATCH(L712,'00 - Lists'!$L$2:$L$11,0))),"")</f>
        <v/>
      </c>
      <c r="S712" s="32" t="str">
        <f aca="false">IF(O712="","",IF(O712&gt;=50,"Yes","No"))</f>
        <v/>
      </c>
      <c r="T712" s="32" t="str">
        <f aca="false">IF(Q712="","",IF(Q712&gt;=100000,"Yes","No"))</f>
        <v/>
      </c>
      <c r="U712" s="28"/>
      <c r="V712" s="28"/>
      <c r="W712" s="28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J712" s="34" t="str">
        <f aca="false">IF(OR($BD712&lt;&gt;"",$BF712&lt;&gt;"",$BH712&lt;&gt;""),"Yes","No")</f>
        <v>No</v>
      </c>
      <c r="BK712" s="35" t="str">
        <f aca="false">IFERROR(IF(BD712="","",BD712*INDEX('00 - Lists'!$M$2:$M$11,MATCH(L712,'00 - Lists'!$L$2:$L$11,0))/100000),"")</f>
        <v/>
      </c>
      <c r="BL712" s="35" t="str">
        <f aca="false">IFERROR(IF(BE712="","",BE712*INDEX('00 - Lists'!$M$2:$M$11,MATCH(L712,'00 - Lists'!$L$2:$L$11,0))/100000),"")</f>
        <v/>
      </c>
      <c r="BM712" s="35" t="str">
        <f aca="false">IFERROR(IF(BF712="","",BF712*INDEX('00 - Lists'!$M$2:$M$11,MATCH(L712,'00 - Lists'!$L$2:$L$11,0))/100000),"")</f>
        <v/>
      </c>
      <c r="BN712" s="35" t="str">
        <f aca="false">IFERROR(IF(BG712="","",BG712*INDEX('00 - Lists'!$M$2:$M$11,MATCH(L712,'00 - Lists'!$L$2:$L$11,0))/100000),"")</f>
        <v/>
      </c>
      <c r="BO712" s="35" t="str">
        <f aca="false">IFERROR(IF(BH712="","",BH712*INDEX('00 - Lists'!$M$2:$M$11,MATCH(L712,'00 - Lists'!$L$2:$L$11,0))/100000),"")</f>
        <v/>
      </c>
      <c r="BP712" s="35" t="str">
        <f aca="false">IFERROR(IF(BI712="","",BI712*INDEX('00 - Lists'!$M$2:$M$11,MATCH(L712,'00 - Lists'!$L$2:$L$11,0))/100000),"")</f>
        <v/>
      </c>
      <c r="BS712" s="36" t="str">
        <f aca="false">IF(O712="","",IF(O712&gt;=20,"Yes","No"))</f>
        <v/>
      </c>
      <c r="BT712" s="36" t="str">
        <f aca="false">IF(O712="","",IF(O712&gt;=30,"Yes","No"))</f>
        <v/>
      </c>
      <c r="BU712" s="36" t="str">
        <f aca="false">IF(O712="","",IF(O712&gt;=75,"Yes","No"))</f>
        <v/>
      </c>
      <c r="BV712" s="36" t="str">
        <f aca="false">IF(O712="","",IF(O712&gt;=100,"Yes","No"))</f>
        <v/>
      </c>
      <c r="BW712" s="36" t="str">
        <f aca="false">IF(O712="","",IF(O712&gt;=150,"Yes","No"))</f>
        <v/>
      </c>
      <c r="BX712" s="36" t="str">
        <f aca="false">IF(O712="","",IF(O712&gt;=200,"Yes","No"))</f>
        <v/>
      </c>
      <c r="BY712" s="36" t="str">
        <f aca="false">IF(Q712="","",IF(Q712&gt;=150000,"Yes","No"))</f>
        <v/>
      </c>
      <c r="BZ712" s="36" t="str">
        <f aca="false">IF(Q712="","",IF(Q712&gt;=200000,"Yes","No"))</f>
        <v/>
      </c>
      <c r="CA712" s="36" t="str">
        <f aca="false">IF(Q712="","",IF(Q712&gt;=250000,"Yes","No"))</f>
        <v/>
      </c>
      <c r="CB712" s="36" t="str">
        <f aca="false">IF(Q712="","",IF(Q712&gt;=300000,"Yes","No"))</f>
        <v/>
      </c>
      <c r="CC712" s="37"/>
      <c r="CD712" s="36" t="str">
        <f aca="true">IF(B712="","",IF(TODAY()-B712&lt;=7,"🟢 0-7d",IF(TODAY()-B712&lt;=30,"🟡 8-30d",IF(TODAY()-B712&lt;=60,"🟠 31-60d","🔴 60d+"))))</f>
        <v/>
      </c>
      <c r="CE712" s="36" t="str">
        <f aca="false">IF(G712="","",IF(G712&lt;&gt;"USA","N/A - Not USA Role",IF(J712="Yes",IF(OR(F712="Intern",F712="New Grad"),"🟡 Possible","🟢 Strong"),IF(J712="No","🔴 Difficult","⚪ Unknown"))))</f>
        <v/>
      </c>
      <c r="CF712" s="37"/>
      <c r="CG712" s="37"/>
      <c r="CH712" s="38"/>
      <c r="CI712" s="38"/>
      <c r="CJ712" s="38"/>
      <c r="CK712" s="38"/>
    </row>
    <row r="713" customFormat="false" ht="15" hidden="false" customHeight="true" outlineLevel="0" collapsed="false">
      <c r="A713" s="26" t="str">
        <f aca="false">IF($C713="","",ROW()-3)</f>
        <v/>
      </c>
      <c r="B713" s="27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9"/>
      <c r="N713" s="29"/>
      <c r="O713" s="30" t="str">
        <f aca="false">IFERROR(IF(M713="","",M713*INDEX('00 - Lists'!$M$2:$M$11,MATCH(L713,'00 - Lists'!$L$2:$L$11,0))/100000),"")</f>
        <v/>
      </c>
      <c r="P713" s="30" t="str">
        <f aca="false">IFERROR(IF(N713="","",N713*INDEX('00 - Lists'!$M$2:$M$11,MATCH(L713,'00 - Lists'!$L$2:$L$11,0))/100000),"")</f>
        <v/>
      </c>
      <c r="Q713" s="31" t="str">
        <f aca="false">IFERROR(IF(M713="","",M713*INDEX('00 - Lists'!$N$2:$N$11,MATCH(L713,'00 - Lists'!$L$2:$L$11,0))),"")</f>
        <v/>
      </c>
      <c r="R713" s="31" t="str">
        <f aca="false">IFERROR(IF(N713="","",N713*INDEX('00 - Lists'!$N$2:$N$11,MATCH(L713,'00 - Lists'!$L$2:$L$11,0))),"")</f>
        <v/>
      </c>
      <c r="S713" s="32" t="str">
        <f aca="false">IF(O713="","",IF(O713&gt;=50,"Yes","No"))</f>
        <v/>
      </c>
      <c r="T713" s="32" t="str">
        <f aca="false">IF(Q713="","",IF(Q713&gt;=100000,"Yes","No"))</f>
        <v/>
      </c>
      <c r="U713" s="28"/>
      <c r="V713" s="28"/>
      <c r="W713" s="28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J713" s="34" t="str">
        <f aca="false">IF(OR($BD713&lt;&gt;"",$BF713&lt;&gt;"",$BH713&lt;&gt;""),"Yes","No")</f>
        <v>No</v>
      </c>
      <c r="BK713" s="35" t="str">
        <f aca="false">IFERROR(IF(BD713="","",BD713*INDEX('00 - Lists'!$M$2:$M$11,MATCH(L713,'00 - Lists'!$L$2:$L$11,0))/100000),"")</f>
        <v/>
      </c>
      <c r="BL713" s="35" t="str">
        <f aca="false">IFERROR(IF(BE713="","",BE713*INDEX('00 - Lists'!$M$2:$M$11,MATCH(L713,'00 - Lists'!$L$2:$L$11,0))/100000),"")</f>
        <v/>
      </c>
      <c r="BM713" s="35" t="str">
        <f aca="false">IFERROR(IF(BF713="","",BF713*INDEX('00 - Lists'!$M$2:$M$11,MATCH(L713,'00 - Lists'!$L$2:$L$11,0))/100000),"")</f>
        <v/>
      </c>
      <c r="BN713" s="35" t="str">
        <f aca="false">IFERROR(IF(BG713="","",BG713*INDEX('00 - Lists'!$M$2:$M$11,MATCH(L713,'00 - Lists'!$L$2:$L$11,0))/100000),"")</f>
        <v/>
      </c>
      <c r="BO713" s="35" t="str">
        <f aca="false">IFERROR(IF(BH713="","",BH713*INDEX('00 - Lists'!$M$2:$M$11,MATCH(L713,'00 - Lists'!$L$2:$L$11,0))/100000),"")</f>
        <v/>
      </c>
      <c r="BP713" s="35" t="str">
        <f aca="false">IFERROR(IF(BI713="","",BI713*INDEX('00 - Lists'!$M$2:$M$11,MATCH(L713,'00 - Lists'!$L$2:$L$11,0))/100000),"")</f>
        <v/>
      </c>
      <c r="BS713" s="36" t="str">
        <f aca="false">IF(O713="","",IF(O713&gt;=20,"Yes","No"))</f>
        <v/>
      </c>
      <c r="BT713" s="36" t="str">
        <f aca="false">IF(O713="","",IF(O713&gt;=30,"Yes","No"))</f>
        <v/>
      </c>
      <c r="BU713" s="36" t="str">
        <f aca="false">IF(O713="","",IF(O713&gt;=75,"Yes","No"))</f>
        <v/>
      </c>
      <c r="BV713" s="36" t="str">
        <f aca="false">IF(O713="","",IF(O713&gt;=100,"Yes","No"))</f>
        <v/>
      </c>
      <c r="BW713" s="36" t="str">
        <f aca="false">IF(O713="","",IF(O713&gt;=150,"Yes","No"))</f>
        <v/>
      </c>
      <c r="BX713" s="36" t="str">
        <f aca="false">IF(O713="","",IF(O713&gt;=200,"Yes","No"))</f>
        <v/>
      </c>
      <c r="BY713" s="36" t="str">
        <f aca="false">IF(Q713="","",IF(Q713&gt;=150000,"Yes","No"))</f>
        <v/>
      </c>
      <c r="BZ713" s="36" t="str">
        <f aca="false">IF(Q713="","",IF(Q713&gt;=200000,"Yes","No"))</f>
        <v/>
      </c>
      <c r="CA713" s="36" t="str">
        <f aca="false">IF(Q713="","",IF(Q713&gt;=250000,"Yes","No"))</f>
        <v/>
      </c>
      <c r="CB713" s="36" t="str">
        <f aca="false">IF(Q713="","",IF(Q713&gt;=300000,"Yes","No"))</f>
        <v/>
      </c>
      <c r="CC713" s="37"/>
      <c r="CD713" s="36" t="str">
        <f aca="true">IF(B713="","",IF(TODAY()-B713&lt;=7,"🟢 0-7d",IF(TODAY()-B713&lt;=30,"🟡 8-30d",IF(TODAY()-B713&lt;=60,"🟠 31-60d","🔴 60d+"))))</f>
        <v/>
      </c>
      <c r="CE713" s="36" t="str">
        <f aca="false">IF(G713="","",IF(G713&lt;&gt;"USA","N/A - Not USA Role",IF(J713="Yes",IF(OR(F713="Intern",F713="New Grad"),"🟡 Possible","🟢 Strong"),IF(J713="No","🔴 Difficult","⚪ Unknown"))))</f>
        <v/>
      </c>
      <c r="CF713" s="37"/>
      <c r="CG713" s="37"/>
      <c r="CH713" s="38"/>
      <c r="CI713" s="38"/>
      <c r="CJ713" s="38"/>
      <c r="CK713" s="38"/>
    </row>
    <row r="714" customFormat="false" ht="15" hidden="false" customHeight="true" outlineLevel="0" collapsed="false">
      <c r="A714" s="26" t="str">
        <f aca="false">IF($C714="","",ROW()-3)</f>
        <v/>
      </c>
      <c r="B714" s="27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9"/>
      <c r="N714" s="29"/>
      <c r="O714" s="30" t="str">
        <f aca="false">IFERROR(IF(M714="","",M714*INDEX('00 - Lists'!$M$2:$M$11,MATCH(L714,'00 - Lists'!$L$2:$L$11,0))/100000),"")</f>
        <v/>
      </c>
      <c r="P714" s="30" t="str">
        <f aca="false">IFERROR(IF(N714="","",N714*INDEX('00 - Lists'!$M$2:$M$11,MATCH(L714,'00 - Lists'!$L$2:$L$11,0))/100000),"")</f>
        <v/>
      </c>
      <c r="Q714" s="31" t="str">
        <f aca="false">IFERROR(IF(M714="","",M714*INDEX('00 - Lists'!$N$2:$N$11,MATCH(L714,'00 - Lists'!$L$2:$L$11,0))),"")</f>
        <v/>
      </c>
      <c r="R714" s="31" t="str">
        <f aca="false">IFERROR(IF(N714="","",N714*INDEX('00 - Lists'!$N$2:$N$11,MATCH(L714,'00 - Lists'!$L$2:$L$11,0))),"")</f>
        <v/>
      </c>
      <c r="S714" s="32" t="str">
        <f aca="false">IF(O714="","",IF(O714&gt;=50,"Yes","No"))</f>
        <v/>
      </c>
      <c r="T714" s="32" t="str">
        <f aca="false">IF(Q714="","",IF(Q714&gt;=100000,"Yes","No"))</f>
        <v/>
      </c>
      <c r="U714" s="28"/>
      <c r="V714" s="28"/>
      <c r="W714" s="28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J714" s="34" t="str">
        <f aca="false">IF(OR($BD714&lt;&gt;"",$BF714&lt;&gt;"",$BH714&lt;&gt;""),"Yes","No")</f>
        <v>No</v>
      </c>
      <c r="BK714" s="35" t="str">
        <f aca="false">IFERROR(IF(BD714="","",BD714*INDEX('00 - Lists'!$M$2:$M$11,MATCH(L714,'00 - Lists'!$L$2:$L$11,0))/100000),"")</f>
        <v/>
      </c>
      <c r="BL714" s="35" t="str">
        <f aca="false">IFERROR(IF(BE714="","",BE714*INDEX('00 - Lists'!$M$2:$M$11,MATCH(L714,'00 - Lists'!$L$2:$L$11,0))/100000),"")</f>
        <v/>
      </c>
      <c r="BM714" s="35" t="str">
        <f aca="false">IFERROR(IF(BF714="","",BF714*INDEX('00 - Lists'!$M$2:$M$11,MATCH(L714,'00 - Lists'!$L$2:$L$11,0))/100000),"")</f>
        <v/>
      </c>
      <c r="BN714" s="35" t="str">
        <f aca="false">IFERROR(IF(BG714="","",BG714*INDEX('00 - Lists'!$M$2:$M$11,MATCH(L714,'00 - Lists'!$L$2:$L$11,0))/100000),"")</f>
        <v/>
      </c>
      <c r="BO714" s="35" t="str">
        <f aca="false">IFERROR(IF(BH714="","",BH714*INDEX('00 - Lists'!$M$2:$M$11,MATCH(L714,'00 - Lists'!$L$2:$L$11,0))/100000),"")</f>
        <v/>
      </c>
      <c r="BP714" s="35" t="str">
        <f aca="false">IFERROR(IF(BI714="","",BI714*INDEX('00 - Lists'!$M$2:$M$11,MATCH(L714,'00 - Lists'!$L$2:$L$11,0))/100000),"")</f>
        <v/>
      </c>
      <c r="BS714" s="36" t="str">
        <f aca="false">IF(O714="","",IF(O714&gt;=20,"Yes","No"))</f>
        <v/>
      </c>
      <c r="BT714" s="36" t="str">
        <f aca="false">IF(O714="","",IF(O714&gt;=30,"Yes","No"))</f>
        <v/>
      </c>
      <c r="BU714" s="36" t="str">
        <f aca="false">IF(O714="","",IF(O714&gt;=75,"Yes","No"))</f>
        <v/>
      </c>
      <c r="BV714" s="36" t="str">
        <f aca="false">IF(O714="","",IF(O714&gt;=100,"Yes","No"))</f>
        <v/>
      </c>
      <c r="BW714" s="36" t="str">
        <f aca="false">IF(O714="","",IF(O714&gt;=150,"Yes","No"))</f>
        <v/>
      </c>
      <c r="BX714" s="36" t="str">
        <f aca="false">IF(O714="","",IF(O714&gt;=200,"Yes","No"))</f>
        <v/>
      </c>
      <c r="BY714" s="36" t="str">
        <f aca="false">IF(Q714="","",IF(Q714&gt;=150000,"Yes","No"))</f>
        <v/>
      </c>
      <c r="BZ714" s="36" t="str">
        <f aca="false">IF(Q714="","",IF(Q714&gt;=200000,"Yes","No"))</f>
        <v/>
      </c>
      <c r="CA714" s="36" t="str">
        <f aca="false">IF(Q714="","",IF(Q714&gt;=250000,"Yes","No"))</f>
        <v/>
      </c>
      <c r="CB714" s="36" t="str">
        <f aca="false">IF(Q714="","",IF(Q714&gt;=300000,"Yes","No"))</f>
        <v/>
      </c>
      <c r="CC714" s="37"/>
      <c r="CD714" s="36" t="str">
        <f aca="true">IF(B714="","",IF(TODAY()-B714&lt;=7,"🟢 0-7d",IF(TODAY()-B714&lt;=30,"🟡 8-30d",IF(TODAY()-B714&lt;=60,"🟠 31-60d","🔴 60d+"))))</f>
        <v/>
      </c>
      <c r="CE714" s="36" t="str">
        <f aca="false">IF(G714="","",IF(G714&lt;&gt;"USA","N/A - Not USA Role",IF(J714="Yes",IF(OR(F714="Intern",F714="New Grad"),"🟡 Possible","🟢 Strong"),IF(J714="No","🔴 Difficult","⚪ Unknown"))))</f>
        <v/>
      </c>
      <c r="CF714" s="37"/>
      <c r="CG714" s="37"/>
      <c r="CH714" s="38"/>
      <c r="CI714" s="38"/>
      <c r="CJ714" s="38"/>
      <c r="CK714" s="38"/>
    </row>
    <row r="715" customFormat="false" ht="15" hidden="false" customHeight="true" outlineLevel="0" collapsed="false">
      <c r="A715" s="26" t="str">
        <f aca="false">IF($C715="","",ROW()-3)</f>
        <v/>
      </c>
      <c r="B715" s="27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9"/>
      <c r="N715" s="29"/>
      <c r="O715" s="30" t="str">
        <f aca="false">IFERROR(IF(M715="","",M715*INDEX('00 - Lists'!$M$2:$M$11,MATCH(L715,'00 - Lists'!$L$2:$L$11,0))/100000),"")</f>
        <v/>
      </c>
      <c r="P715" s="30" t="str">
        <f aca="false">IFERROR(IF(N715="","",N715*INDEX('00 - Lists'!$M$2:$M$11,MATCH(L715,'00 - Lists'!$L$2:$L$11,0))/100000),"")</f>
        <v/>
      </c>
      <c r="Q715" s="31" t="str">
        <f aca="false">IFERROR(IF(M715="","",M715*INDEX('00 - Lists'!$N$2:$N$11,MATCH(L715,'00 - Lists'!$L$2:$L$11,0))),"")</f>
        <v/>
      </c>
      <c r="R715" s="31" t="str">
        <f aca="false">IFERROR(IF(N715="","",N715*INDEX('00 - Lists'!$N$2:$N$11,MATCH(L715,'00 - Lists'!$L$2:$L$11,0))),"")</f>
        <v/>
      </c>
      <c r="S715" s="32" t="str">
        <f aca="false">IF(O715="","",IF(O715&gt;=50,"Yes","No"))</f>
        <v/>
      </c>
      <c r="T715" s="32" t="str">
        <f aca="false">IF(Q715="","",IF(Q715&gt;=100000,"Yes","No"))</f>
        <v/>
      </c>
      <c r="U715" s="28"/>
      <c r="V715" s="28"/>
      <c r="W715" s="28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J715" s="34" t="str">
        <f aca="false">IF(OR($BD715&lt;&gt;"",$BF715&lt;&gt;"",$BH715&lt;&gt;""),"Yes","No")</f>
        <v>No</v>
      </c>
      <c r="BK715" s="35" t="str">
        <f aca="false">IFERROR(IF(BD715="","",BD715*INDEX('00 - Lists'!$M$2:$M$11,MATCH(L715,'00 - Lists'!$L$2:$L$11,0))/100000),"")</f>
        <v/>
      </c>
      <c r="BL715" s="35" t="str">
        <f aca="false">IFERROR(IF(BE715="","",BE715*INDEX('00 - Lists'!$M$2:$M$11,MATCH(L715,'00 - Lists'!$L$2:$L$11,0))/100000),"")</f>
        <v/>
      </c>
      <c r="BM715" s="35" t="str">
        <f aca="false">IFERROR(IF(BF715="","",BF715*INDEX('00 - Lists'!$M$2:$M$11,MATCH(L715,'00 - Lists'!$L$2:$L$11,0))/100000),"")</f>
        <v/>
      </c>
      <c r="BN715" s="35" t="str">
        <f aca="false">IFERROR(IF(BG715="","",BG715*INDEX('00 - Lists'!$M$2:$M$11,MATCH(L715,'00 - Lists'!$L$2:$L$11,0))/100000),"")</f>
        <v/>
      </c>
      <c r="BO715" s="35" t="str">
        <f aca="false">IFERROR(IF(BH715="","",BH715*INDEX('00 - Lists'!$M$2:$M$11,MATCH(L715,'00 - Lists'!$L$2:$L$11,0))/100000),"")</f>
        <v/>
      </c>
      <c r="BP715" s="35" t="str">
        <f aca="false">IFERROR(IF(BI715="","",BI715*INDEX('00 - Lists'!$M$2:$M$11,MATCH(L715,'00 - Lists'!$L$2:$L$11,0))/100000),"")</f>
        <v/>
      </c>
      <c r="BS715" s="36" t="str">
        <f aca="false">IF(O715="","",IF(O715&gt;=20,"Yes","No"))</f>
        <v/>
      </c>
      <c r="BT715" s="36" t="str">
        <f aca="false">IF(O715="","",IF(O715&gt;=30,"Yes","No"))</f>
        <v/>
      </c>
      <c r="BU715" s="36" t="str">
        <f aca="false">IF(O715="","",IF(O715&gt;=75,"Yes","No"))</f>
        <v/>
      </c>
      <c r="BV715" s="36" t="str">
        <f aca="false">IF(O715="","",IF(O715&gt;=100,"Yes","No"))</f>
        <v/>
      </c>
      <c r="BW715" s="36" t="str">
        <f aca="false">IF(O715="","",IF(O715&gt;=150,"Yes","No"))</f>
        <v/>
      </c>
      <c r="BX715" s="36" t="str">
        <f aca="false">IF(O715="","",IF(O715&gt;=200,"Yes","No"))</f>
        <v/>
      </c>
      <c r="BY715" s="36" t="str">
        <f aca="false">IF(Q715="","",IF(Q715&gt;=150000,"Yes","No"))</f>
        <v/>
      </c>
      <c r="BZ715" s="36" t="str">
        <f aca="false">IF(Q715="","",IF(Q715&gt;=200000,"Yes","No"))</f>
        <v/>
      </c>
      <c r="CA715" s="36" t="str">
        <f aca="false">IF(Q715="","",IF(Q715&gt;=250000,"Yes","No"))</f>
        <v/>
      </c>
      <c r="CB715" s="36" t="str">
        <f aca="false">IF(Q715="","",IF(Q715&gt;=300000,"Yes","No"))</f>
        <v/>
      </c>
      <c r="CC715" s="37"/>
      <c r="CD715" s="36" t="str">
        <f aca="true">IF(B715="","",IF(TODAY()-B715&lt;=7,"🟢 0-7d",IF(TODAY()-B715&lt;=30,"🟡 8-30d",IF(TODAY()-B715&lt;=60,"🟠 31-60d","🔴 60d+"))))</f>
        <v/>
      </c>
      <c r="CE715" s="36" t="str">
        <f aca="false">IF(G715="","",IF(G715&lt;&gt;"USA","N/A - Not USA Role",IF(J715="Yes",IF(OR(F715="Intern",F715="New Grad"),"🟡 Possible","🟢 Strong"),IF(J715="No","🔴 Difficult","⚪ Unknown"))))</f>
        <v/>
      </c>
      <c r="CF715" s="37"/>
      <c r="CG715" s="37"/>
      <c r="CH715" s="38"/>
      <c r="CI715" s="38"/>
      <c r="CJ715" s="38"/>
      <c r="CK715" s="38"/>
    </row>
    <row r="716" customFormat="false" ht="15" hidden="false" customHeight="true" outlineLevel="0" collapsed="false">
      <c r="A716" s="26" t="str">
        <f aca="false">IF($C716="","",ROW()-3)</f>
        <v/>
      </c>
      <c r="B716" s="27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9"/>
      <c r="N716" s="29"/>
      <c r="O716" s="30" t="str">
        <f aca="false">IFERROR(IF(M716="","",M716*INDEX('00 - Lists'!$M$2:$M$11,MATCH(L716,'00 - Lists'!$L$2:$L$11,0))/100000),"")</f>
        <v/>
      </c>
      <c r="P716" s="30" t="str">
        <f aca="false">IFERROR(IF(N716="","",N716*INDEX('00 - Lists'!$M$2:$M$11,MATCH(L716,'00 - Lists'!$L$2:$L$11,0))/100000),"")</f>
        <v/>
      </c>
      <c r="Q716" s="31" t="str">
        <f aca="false">IFERROR(IF(M716="","",M716*INDEX('00 - Lists'!$N$2:$N$11,MATCH(L716,'00 - Lists'!$L$2:$L$11,0))),"")</f>
        <v/>
      </c>
      <c r="R716" s="31" t="str">
        <f aca="false">IFERROR(IF(N716="","",N716*INDEX('00 - Lists'!$N$2:$N$11,MATCH(L716,'00 - Lists'!$L$2:$L$11,0))),"")</f>
        <v/>
      </c>
      <c r="S716" s="32" t="str">
        <f aca="false">IF(O716="","",IF(O716&gt;=50,"Yes","No"))</f>
        <v/>
      </c>
      <c r="T716" s="32" t="str">
        <f aca="false">IF(Q716="","",IF(Q716&gt;=100000,"Yes","No"))</f>
        <v/>
      </c>
      <c r="U716" s="28"/>
      <c r="V716" s="28"/>
      <c r="W716" s="28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J716" s="34" t="str">
        <f aca="false">IF(OR($BD716&lt;&gt;"",$BF716&lt;&gt;"",$BH716&lt;&gt;""),"Yes","No")</f>
        <v>No</v>
      </c>
      <c r="BK716" s="35" t="str">
        <f aca="false">IFERROR(IF(BD716="","",BD716*INDEX('00 - Lists'!$M$2:$M$11,MATCH(L716,'00 - Lists'!$L$2:$L$11,0))/100000),"")</f>
        <v/>
      </c>
      <c r="BL716" s="35" t="str">
        <f aca="false">IFERROR(IF(BE716="","",BE716*INDEX('00 - Lists'!$M$2:$M$11,MATCH(L716,'00 - Lists'!$L$2:$L$11,0))/100000),"")</f>
        <v/>
      </c>
      <c r="BM716" s="35" t="str">
        <f aca="false">IFERROR(IF(BF716="","",BF716*INDEX('00 - Lists'!$M$2:$M$11,MATCH(L716,'00 - Lists'!$L$2:$L$11,0))/100000),"")</f>
        <v/>
      </c>
      <c r="BN716" s="35" t="str">
        <f aca="false">IFERROR(IF(BG716="","",BG716*INDEX('00 - Lists'!$M$2:$M$11,MATCH(L716,'00 - Lists'!$L$2:$L$11,0))/100000),"")</f>
        <v/>
      </c>
      <c r="BO716" s="35" t="str">
        <f aca="false">IFERROR(IF(BH716="","",BH716*INDEX('00 - Lists'!$M$2:$M$11,MATCH(L716,'00 - Lists'!$L$2:$L$11,0))/100000),"")</f>
        <v/>
      </c>
      <c r="BP716" s="35" t="str">
        <f aca="false">IFERROR(IF(BI716="","",BI716*INDEX('00 - Lists'!$M$2:$M$11,MATCH(L716,'00 - Lists'!$L$2:$L$11,0))/100000),"")</f>
        <v/>
      </c>
      <c r="BS716" s="36" t="str">
        <f aca="false">IF(O716="","",IF(O716&gt;=20,"Yes","No"))</f>
        <v/>
      </c>
      <c r="BT716" s="36" t="str">
        <f aca="false">IF(O716="","",IF(O716&gt;=30,"Yes","No"))</f>
        <v/>
      </c>
      <c r="BU716" s="36" t="str">
        <f aca="false">IF(O716="","",IF(O716&gt;=75,"Yes","No"))</f>
        <v/>
      </c>
      <c r="BV716" s="36" t="str">
        <f aca="false">IF(O716="","",IF(O716&gt;=100,"Yes","No"))</f>
        <v/>
      </c>
      <c r="BW716" s="36" t="str">
        <f aca="false">IF(O716="","",IF(O716&gt;=150,"Yes","No"))</f>
        <v/>
      </c>
      <c r="BX716" s="36" t="str">
        <f aca="false">IF(O716="","",IF(O716&gt;=200,"Yes","No"))</f>
        <v/>
      </c>
      <c r="BY716" s="36" t="str">
        <f aca="false">IF(Q716="","",IF(Q716&gt;=150000,"Yes","No"))</f>
        <v/>
      </c>
      <c r="BZ716" s="36" t="str">
        <f aca="false">IF(Q716="","",IF(Q716&gt;=200000,"Yes","No"))</f>
        <v/>
      </c>
      <c r="CA716" s="36" t="str">
        <f aca="false">IF(Q716="","",IF(Q716&gt;=250000,"Yes","No"))</f>
        <v/>
      </c>
      <c r="CB716" s="36" t="str">
        <f aca="false">IF(Q716="","",IF(Q716&gt;=300000,"Yes","No"))</f>
        <v/>
      </c>
      <c r="CC716" s="37"/>
      <c r="CD716" s="36" t="str">
        <f aca="true">IF(B716="","",IF(TODAY()-B716&lt;=7,"🟢 0-7d",IF(TODAY()-B716&lt;=30,"🟡 8-30d",IF(TODAY()-B716&lt;=60,"🟠 31-60d","🔴 60d+"))))</f>
        <v/>
      </c>
      <c r="CE716" s="36" t="str">
        <f aca="false">IF(G716="","",IF(G716&lt;&gt;"USA","N/A - Not USA Role",IF(J716="Yes",IF(OR(F716="Intern",F716="New Grad"),"🟡 Possible","🟢 Strong"),IF(J716="No","🔴 Difficult","⚪ Unknown"))))</f>
        <v/>
      </c>
      <c r="CF716" s="37"/>
      <c r="CG716" s="37"/>
      <c r="CH716" s="38"/>
      <c r="CI716" s="38"/>
      <c r="CJ716" s="38"/>
      <c r="CK716" s="38"/>
    </row>
    <row r="717" customFormat="false" ht="15" hidden="false" customHeight="true" outlineLevel="0" collapsed="false">
      <c r="A717" s="26" t="str">
        <f aca="false">IF($C717="","",ROW()-3)</f>
        <v/>
      </c>
      <c r="B717" s="27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9"/>
      <c r="N717" s="29"/>
      <c r="O717" s="30" t="str">
        <f aca="false">IFERROR(IF(M717="","",M717*INDEX('00 - Lists'!$M$2:$M$11,MATCH(L717,'00 - Lists'!$L$2:$L$11,0))/100000),"")</f>
        <v/>
      </c>
      <c r="P717" s="30" t="str">
        <f aca="false">IFERROR(IF(N717="","",N717*INDEX('00 - Lists'!$M$2:$M$11,MATCH(L717,'00 - Lists'!$L$2:$L$11,0))/100000),"")</f>
        <v/>
      </c>
      <c r="Q717" s="31" t="str">
        <f aca="false">IFERROR(IF(M717="","",M717*INDEX('00 - Lists'!$N$2:$N$11,MATCH(L717,'00 - Lists'!$L$2:$L$11,0))),"")</f>
        <v/>
      </c>
      <c r="R717" s="31" t="str">
        <f aca="false">IFERROR(IF(N717="","",N717*INDEX('00 - Lists'!$N$2:$N$11,MATCH(L717,'00 - Lists'!$L$2:$L$11,0))),"")</f>
        <v/>
      </c>
      <c r="S717" s="32" t="str">
        <f aca="false">IF(O717="","",IF(O717&gt;=50,"Yes","No"))</f>
        <v/>
      </c>
      <c r="T717" s="32" t="str">
        <f aca="false">IF(Q717="","",IF(Q717&gt;=100000,"Yes","No"))</f>
        <v/>
      </c>
      <c r="U717" s="28"/>
      <c r="V717" s="28"/>
      <c r="W717" s="28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J717" s="34" t="str">
        <f aca="false">IF(OR($BD717&lt;&gt;"",$BF717&lt;&gt;"",$BH717&lt;&gt;""),"Yes","No")</f>
        <v>No</v>
      </c>
      <c r="BK717" s="35" t="str">
        <f aca="false">IFERROR(IF(BD717="","",BD717*INDEX('00 - Lists'!$M$2:$M$11,MATCH(L717,'00 - Lists'!$L$2:$L$11,0))/100000),"")</f>
        <v/>
      </c>
      <c r="BL717" s="35" t="str">
        <f aca="false">IFERROR(IF(BE717="","",BE717*INDEX('00 - Lists'!$M$2:$M$11,MATCH(L717,'00 - Lists'!$L$2:$L$11,0))/100000),"")</f>
        <v/>
      </c>
      <c r="BM717" s="35" t="str">
        <f aca="false">IFERROR(IF(BF717="","",BF717*INDEX('00 - Lists'!$M$2:$M$11,MATCH(L717,'00 - Lists'!$L$2:$L$11,0))/100000),"")</f>
        <v/>
      </c>
      <c r="BN717" s="35" t="str">
        <f aca="false">IFERROR(IF(BG717="","",BG717*INDEX('00 - Lists'!$M$2:$M$11,MATCH(L717,'00 - Lists'!$L$2:$L$11,0))/100000),"")</f>
        <v/>
      </c>
      <c r="BO717" s="35" t="str">
        <f aca="false">IFERROR(IF(BH717="","",BH717*INDEX('00 - Lists'!$M$2:$M$11,MATCH(L717,'00 - Lists'!$L$2:$L$11,0))/100000),"")</f>
        <v/>
      </c>
      <c r="BP717" s="35" t="str">
        <f aca="false">IFERROR(IF(BI717="","",BI717*INDEX('00 - Lists'!$M$2:$M$11,MATCH(L717,'00 - Lists'!$L$2:$L$11,0))/100000),"")</f>
        <v/>
      </c>
      <c r="BS717" s="36" t="str">
        <f aca="false">IF(O717="","",IF(O717&gt;=20,"Yes","No"))</f>
        <v/>
      </c>
      <c r="BT717" s="36" t="str">
        <f aca="false">IF(O717="","",IF(O717&gt;=30,"Yes","No"))</f>
        <v/>
      </c>
      <c r="BU717" s="36" t="str">
        <f aca="false">IF(O717="","",IF(O717&gt;=75,"Yes","No"))</f>
        <v/>
      </c>
      <c r="BV717" s="36" t="str">
        <f aca="false">IF(O717="","",IF(O717&gt;=100,"Yes","No"))</f>
        <v/>
      </c>
      <c r="BW717" s="36" t="str">
        <f aca="false">IF(O717="","",IF(O717&gt;=150,"Yes","No"))</f>
        <v/>
      </c>
      <c r="BX717" s="36" t="str">
        <f aca="false">IF(O717="","",IF(O717&gt;=200,"Yes","No"))</f>
        <v/>
      </c>
      <c r="BY717" s="36" t="str">
        <f aca="false">IF(Q717="","",IF(Q717&gt;=150000,"Yes","No"))</f>
        <v/>
      </c>
      <c r="BZ717" s="36" t="str">
        <f aca="false">IF(Q717="","",IF(Q717&gt;=200000,"Yes","No"))</f>
        <v/>
      </c>
      <c r="CA717" s="36" t="str">
        <f aca="false">IF(Q717="","",IF(Q717&gt;=250000,"Yes","No"))</f>
        <v/>
      </c>
      <c r="CB717" s="36" t="str">
        <f aca="false">IF(Q717="","",IF(Q717&gt;=300000,"Yes","No"))</f>
        <v/>
      </c>
      <c r="CC717" s="37"/>
      <c r="CD717" s="36" t="str">
        <f aca="true">IF(B717="","",IF(TODAY()-B717&lt;=7,"🟢 0-7d",IF(TODAY()-B717&lt;=30,"🟡 8-30d",IF(TODAY()-B717&lt;=60,"🟠 31-60d","🔴 60d+"))))</f>
        <v/>
      </c>
      <c r="CE717" s="36" t="str">
        <f aca="false">IF(G717="","",IF(G717&lt;&gt;"USA","N/A - Not USA Role",IF(J717="Yes",IF(OR(F717="Intern",F717="New Grad"),"🟡 Possible","🟢 Strong"),IF(J717="No","🔴 Difficult","⚪ Unknown"))))</f>
        <v/>
      </c>
      <c r="CF717" s="37"/>
      <c r="CG717" s="37"/>
      <c r="CH717" s="38"/>
      <c r="CI717" s="38"/>
      <c r="CJ717" s="38"/>
      <c r="CK717" s="38"/>
    </row>
    <row r="718" customFormat="false" ht="15" hidden="false" customHeight="true" outlineLevel="0" collapsed="false">
      <c r="A718" s="26" t="str">
        <f aca="false">IF($C718="","",ROW()-3)</f>
        <v/>
      </c>
      <c r="B718" s="27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9"/>
      <c r="N718" s="29"/>
      <c r="O718" s="30" t="str">
        <f aca="false">IFERROR(IF(M718="","",M718*INDEX('00 - Lists'!$M$2:$M$11,MATCH(L718,'00 - Lists'!$L$2:$L$11,0))/100000),"")</f>
        <v/>
      </c>
      <c r="P718" s="30" t="str">
        <f aca="false">IFERROR(IF(N718="","",N718*INDEX('00 - Lists'!$M$2:$M$11,MATCH(L718,'00 - Lists'!$L$2:$L$11,0))/100000),"")</f>
        <v/>
      </c>
      <c r="Q718" s="31" t="str">
        <f aca="false">IFERROR(IF(M718="","",M718*INDEX('00 - Lists'!$N$2:$N$11,MATCH(L718,'00 - Lists'!$L$2:$L$11,0))),"")</f>
        <v/>
      </c>
      <c r="R718" s="31" t="str">
        <f aca="false">IFERROR(IF(N718="","",N718*INDEX('00 - Lists'!$N$2:$N$11,MATCH(L718,'00 - Lists'!$L$2:$L$11,0))),"")</f>
        <v/>
      </c>
      <c r="S718" s="32" t="str">
        <f aca="false">IF(O718="","",IF(O718&gt;=50,"Yes","No"))</f>
        <v/>
      </c>
      <c r="T718" s="32" t="str">
        <f aca="false">IF(Q718="","",IF(Q718&gt;=100000,"Yes","No"))</f>
        <v/>
      </c>
      <c r="U718" s="28"/>
      <c r="V718" s="28"/>
      <c r="W718" s="28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J718" s="34" t="str">
        <f aca="false">IF(OR($BD718&lt;&gt;"",$BF718&lt;&gt;"",$BH718&lt;&gt;""),"Yes","No")</f>
        <v>No</v>
      </c>
      <c r="BK718" s="35" t="str">
        <f aca="false">IFERROR(IF(BD718="","",BD718*INDEX('00 - Lists'!$M$2:$M$11,MATCH(L718,'00 - Lists'!$L$2:$L$11,0))/100000),"")</f>
        <v/>
      </c>
      <c r="BL718" s="35" t="str">
        <f aca="false">IFERROR(IF(BE718="","",BE718*INDEX('00 - Lists'!$M$2:$M$11,MATCH(L718,'00 - Lists'!$L$2:$L$11,0))/100000),"")</f>
        <v/>
      </c>
      <c r="BM718" s="35" t="str">
        <f aca="false">IFERROR(IF(BF718="","",BF718*INDEX('00 - Lists'!$M$2:$M$11,MATCH(L718,'00 - Lists'!$L$2:$L$11,0))/100000),"")</f>
        <v/>
      </c>
      <c r="BN718" s="35" t="str">
        <f aca="false">IFERROR(IF(BG718="","",BG718*INDEX('00 - Lists'!$M$2:$M$11,MATCH(L718,'00 - Lists'!$L$2:$L$11,0))/100000),"")</f>
        <v/>
      </c>
      <c r="BO718" s="35" t="str">
        <f aca="false">IFERROR(IF(BH718="","",BH718*INDEX('00 - Lists'!$M$2:$M$11,MATCH(L718,'00 - Lists'!$L$2:$L$11,0))/100000),"")</f>
        <v/>
      </c>
      <c r="BP718" s="35" t="str">
        <f aca="false">IFERROR(IF(BI718="","",BI718*INDEX('00 - Lists'!$M$2:$M$11,MATCH(L718,'00 - Lists'!$L$2:$L$11,0))/100000),"")</f>
        <v/>
      </c>
      <c r="BS718" s="36" t="str">
        <f aca="false">IF(O718="","",IF(O718&gt;=20,"Yes","No"))</f>
        <v/>
      </c>
      <c r="BT718" s="36" t="str">
        <f aca="false">IF(O718="","",IF(O718&gt;=30,"Yes","No"))</f>
        <v/>
      </c>
      <c r="BU718" s="36" t="str">
        <f aca="false">IF(O718="","",IF(O718&gt;=75,"Yes","No"))</f>
        <v/>
      </c>
      <c r="BV718" s="36" t="str">
        <f aca="false">IF(O718="","",IF(O718&gt;=100,"Yes","No"))</f>
        <v/>
      </c>
      <c r="BW718" s="36" t="str">
        <f aca="false">IF(O718="","",IF(O718&gt;=150,"Yes","No"))</f>
        <v/>
      </c>
      <c r="BX718" s="36" t="str">
        <f aca="false">IF(O718="","",IF(O718&gt;=200,"Yes","No"))</f>
        <v/>
      </c>
      <c r="BY718" s="36" t="str">
        <f aca="false">IF(Q718="","",IF(Q718&gt;=150000,"Yes","No"))</f>
        <v/>
      </c>
      <c r="BZ718" s="36" t="str">
        <f aca="false">IF(Q718="","",IF(Q718&gt;=200000,"Yes","No"))</f>
        <v/>
      </c>
      <c r="CA718" s="36" t="str">
        <f aca="false">IF(Q718="","",IF(Q718&gt;=250000,"Yes","No"))</f>
        <v/>
      </c>
      <c r="CB718" s="36" t="str">
        <f aca="false">IF(Q718="","",IF(Q718&gt;=300000,"Yes","No"))</f>
        <v/>
      </c>
      <c r="CC718" s="37"/>
      <c r="CD718" s="36" t="str">
        <f aca="true">IF(B718="","",IF(TODAY()-B718&lt;=7,"🟢 0-7d",IF(TODAY()-B718&lt;=30,"🟡 8-30d",IF(TODAY()-B718&lt;=60,"🟠 31-60d","🔴 60d+"))))</f>
        <v/>
      </c>
      <c r="CE718" s="36" t="str">
        <f aca="false">IF(G718="","",IF(G718&lt;&gt;"USA","N/A - Not USA Role",IF(J718="Yes",IF(OR(F718="Intern",F718="New Grad"),"🟡 Possible","🟢 Strong"),IF(J718="No","🔴 Difficult","⚪ Unknown"))))</f>
        <v/>
      </c>
      <c r="CF718" s="37"/>
      <c r="CG718" s="37"/>
      <c r="CH718" s="38"/>
      <c r="CI718" s="38"/>
      <c r="CJ718" s="38"/>
      <c r="CK718" s="38"/>
    </row>
    <row r="719" customFormat="false" ht="15" hidden="false" customHeight="true" outlineLevel="0" collapsed="false">
      <c r="A719" s="26" t="str">
        <f aca="false">IF($C719="","",ROW()-3)</f>
        <v/>
      </c>
      <c r="B719" s="27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9"/>
      <c r="N719" s="29"/>
      <c r="O719" s="30" t="str">
        <f aca="false">IFERROR(IF(M719="","",M719*INDEX('00 - Lists'!$M$2:$M$11,MATCH(L719,'00 - Lists'!$L$2:$L$11,0))/100000),"")</f>
        <v/>
      </c>
      <c r="P719" s="30" t="str">
        <f aca="false">IFERROR(IF(N719="","",N719*INDEX('00 - Lists'!$M$2:$M$11,MATCH(L719,'00 - Lists'!$L$2:$L$11,0))/100000),"")</f>
        <v/>
      </c>
      <c r="Q719" s="31" t="str">
        <f aca="false">IFERROR(IF(M719="","",M719*INDEX('00 - Lists'!$N$2:$N$11,MATCH(L719,'00 - Lists'!$L$2:$L$11,0))),"")</f>
        <v/>
      </c>
      <c r="R719" s="31" t="str">
        <f aca="false">IFERROR(IF(N719="","",N719*INDEX('00 - Lists'!$N$2:$N$11,MATCH(L719,'00 - Lists'!$L$2:$L$11,0))),"")</f>
        <v/>
      </c>
      <c r="S719" s="32" t="str">
        <f aca="false">IF(O719="","",IF(O719&gt;=50,"Yes","No"))</f>
        <v/>
      </c>
      <c r="T719" s="32" t="str">
        <f aca="false">IF(Q719="","",IF(Q719&gt;=100000,"Yes","No"))</f>
        <v/>
      </c>
      <c r="U719" s="28"/>
      <c r="V719" s="28"/>
      <c r="W719" s="28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J719" s="34" t="str">
        <f aca="false">IF(OR($BD719&lt;&gt;"",$BF719&lt;&gt;"",$BH719&lt;&gt;""),"Yes","No")</f>
        <v>No</v>
      </c>
      <c r="BK719" s="35" t="str">
        <f aca="false">IFERROR(IF(BD719="","",BD719*INDEX('00 - Lists'!$M$2:$M$11,MATCH(L719,'00 - Lists'!$L$2:$L$11,0))/100000),"")</f>
        <v/>
      </c>
      <c r="BL719" s="35" t="str">
        <f aca="false">IFERROR(IF(BE719="","",BE719*INDEX('00 - Lists'!$M$2:$M$11,MATCH(L719,'00 - Lists'!$L$2:$L$11,0))/100000),"")</f>
        <v/>
      </c>
      <c r="BM719" s="35" t="str">
        <f aca="false">IFERROR(IF(BF719="","",BF719*INDEX('00 - Lists'!$M$2:$M$11,MATCH(L719,'00 - Lists'!$L$2:$L$11,0))/100000),"")</f>
        <v/>
      </c>
      <c r="BN719" s="35" t="str">
        <f aca="false">IFERROR(IF(BG719="","",BG719*INDEX('00 - Lists'!$M$2:$M$11,MATCH(L719,'00 - Lists'!$L$2:$L$11,0))/100000),"")</f>
        <v/>
      </c>
      <c r="BO719" s="35" t="str">
        <f aca="false">IFERROR(IF(BH719="","",BH719*INDEX('00 - Lists'!$M$2:$M$11,MATCH(L719,'00 - Lists'!$L$2:$L$11,0))/100000),"")</f>
        <v/>
      </c>
      <c r="BP719" s="35" t="str">
        <f aca="false">IFERROR(IF(BI719="","",BI719*INDEX('00 - Lists'!$M$2:$M$11,MATCH(L719,'00 - Lists'!$L$2:$L$11,0))/100000),"")</f>
        <v/>
      </c>
      <c r="BS719" s="36" t="str">
        <f aca="false">IF(O719="","",IF(O719&gt;=20,"Yes","No"))</f>
        <v/>
      </c>
      <c r="BT719" s="36" t="str">
        <f aca="false">IF(O719="","",IF(O719&gt;=30,"Yes","No"))</f>
        <v/>
      </c>
      <c r="BU719" s="36" t="str">
        <f aca="false">IF(O719="","",IF(O719&gt;=75,"Yes","No"))</f>
        <v/>
      </c>
      <c r="BV719" s="36" t="str">
        <f aca="false">IF(O719="","",IF(O719&gt;=100,"Yes","No"))</f>
        <v/>
      </c>
      <c r="BW719" s="36" t="str">
        <f aca="false">IF(O719="","",IF(O719&gt;=150,"Yes","No"))</f>
        <v/>
      </c>
      <c r="BX719" s="36" t="str">
        <f aca="false">IF(O719="","",IF(O719&gt;=200,"Yes","No"))</f>
        <v/>
      </c>
      <c r="BY719" s="36" t="str">
        <f aca="false">IF(Q719="","",IF(Q719&gt;=150000,"Yes","No"))</f>
        <v/>
      </c>
      <c r="BZ719" s="36" t="str">
        <f aca="false">IF(Q719="","",IF(Q719&gt;=200000,"Yes","No"))</f>
        <v/>
      </c>
      <c r="CA719" s="36" t="str">
        <f aca="false">IF(Q719="","",IF(Q719&gt;=250000,"Yes","No"))</f>
        <v/>
      </c>
      <c r="CB719" s="36" t="str">
        <f aca="false">IF(Q719="","",IF(Q719&gt;=300000,"Yes","No"))</f>
        <v/>
      </c>
      <c r="CC719" s="37"/>
      <c r="CD719" s="36" t="str">
        <f aca="true">IF(B719="","",IF(TODAY()-B719&lt;=7,"🟢 0-7d",IF(TODAY()-B719&lt;=30,"🟡 8-30d",IF(TODAY()-B719&lt;=60,"🟠 31-60d","🔴 60d+"))))</f>
        <v/>
      </c>
      <c r="CE719" s="36" t="str">
        <f aca="false">IF(G719="","",IF(G719&lt;&gt;"USA","N/A - Not USA Role",IF(J719="Yes",IF(OR(F719="Intern",F719="New Grad"),"🟡 Possible","🟢 Strong"),IF(J719="No","🔴 Difficult","⚪ Unknown"))))</f>
        <v/>
      </c>
      <c r="CF719" s="37"/>
      <c r="CG719" s="37"/>
      <c r="CH719" s="38"/>
      <c r="CI719" s="38"/>
      <c r="CJ719" s="38"/>
      <c r="CK719" s="38"/>
    </row>
    <row r="720" customFormat="false" ht="15" hidden="false" customHeight="true" outlineLevel="0" collapsed="false">
      <c r="A720" s="26" t="str">
        <f aca="false">IF($C720="","",ROW()-3)</f>
        <v/>
      </c>
      <c r="B720" s="27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9"/>
      <c r="N720" s="29"/>
      <c r="O720" s="30" t="str">
        <f aca="false">IFERROR(IF(M720="","",M720*INDEX('00 - Lists'!$M$2:$M$11,MATCH(L720,'00 - Lists'!$L$2:$L$11,0))/100000),"")</f>
        <v/>
      </c>
      <c r="P720" s="30" t="str">
        <f aca="false">IFERROR(IF(N720="","",N720*INDEX('00 - Lists'!$M$2:$M$11,MATCH(L720,'00 - Lists'!$L$2:$L$11,0))/100000),"")</f>
        <v/>
      </c>
      <c r="Q720" s="31" t="str">
        <f aca="false">IFERROR(IF(M720="","",M720*INDEX('00 - Lists'!$N$2:$N$11,MATCH(L720,'00 - Lists'!$L$2:$L$11,0))),"")</f>
        <v/>
      </c>
      <c r="R720" s="31" t="str">
        <f aca="false">IFERROR(IF(N720="","",N720*INDEX('00 - Lists'!$N$2:$N$11,MATCH(L720,'00 - Lists'!$L$2:$L$11,0))),"")</f>
        <v/>
      </c>
      <c r="S720" s="32" t="str">
        <f aca="false">IF(O720="","",IF(O720&gt;=50,"Yes","No"))</f>
        <v/>
      </c>
      <c r="T720" s="32" t="str">
        <f aca="false">IF(Q720="","",IF(Q720&gt;=100000,"Yes","No"))</f>
        <v/>
      </c>
      <c r="U720" s="28"/>
      <c r="V720" s="28"/>
      <c r="W720" s="28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J720" s="34" t="str">
        <f aca="false">IF(OR($BD720&lt;&gt;"",$BF720&lt;&gt;"",$BH720&lt;&gt;""),"Yes","No")</f>
        <v>No</v>
      </c>
      <c r="BK720" s="35" t="str">
        <f aca="false">IFERROR(IF(BD720="","",BD720*INDEX('00 - Lists'!$M$2:$M$11,MATCH(L720,'00 - Lists'!$L$2:$L$11,0))/100000),"")</f>
        <v/>
      </c>
      <c r="BL720" s="35" t="str">
        <f aca="false">IFERROR(IF(BE720="","",BE720*INDEX('00 - Lists'!$M$2:$M$11,MATCH(L720,'00 - Lists'!$L$2:$L$11,0))/100000),"")</f>
        <v/>
      </c>
      <c r="BM720" s="35" t="str">
        <f aca="false">IFERROR(IF(BF720="","",BF720*INDEX('00 - Lists'!$M$2:$M$11,MATCH(L720,'00 - Lists'!$L$2:$L$11,0))/100000),"")</f>
        <v/>
      </c>
      <c r="BN720" s="35" t="str">
        <f aca="false">IFERROR(IF(BG720="","",BG720*INDEX('00 - Lists'!$M$2:$M$11,MATCH(L720,'00 - Lists'!$L$2:$L$11,0))/100000),"")</f>
        <v/>
      </c>
      <c r="BO720" s="35" t="str">
        <f aca="false">IFERROR(IF(BH720="","",BH720*INDEX('00 - Lists'!$M$2:$M$11,MATCH(L720,'00 - Lists'!$L$2:$L$11,0))/100000),"")</f>
        <v/>
      </c>
      <c r="BP720" s="35" t="str">
        <f aca="false">IFERROR(IF(BI720="","",BI720*INDEX('00 - Lists'!$M$2:$M$11,MATCH(L720,'00 - Lists'!$L$2:$L$11,0))/100000),"")</f>
        <v/>
      </c>
      <c r="BS720" s="36" t="str">
        <f aca="false">IF(O720="","",IF(O720&gt;=20,"Yes","No"))</f>
        <v/>
      </c>
      <c r="BT720" s="36" t="str">
        <f aca="false">IF(O720="","",IF(O720&gt;=30,"Yes","No"))</f>
        <v/>
      </c>
      <c r="BU720" s="36" t="str">
        <f aca="false">IF(O720="","",IF(O720&gt;=75,"Yes","No"))</f>
        <v/>
      </c>
      <c r="BV720" s="36" t="str">
        <f aca="false">IF(O720="","",IF(O720&gt;=100,"Yes","No"))</f>
        <v/>
      </c>
      <c r="BW720" s="36" t="str">
        <f aca="false">IF(O720="","",IF(O720&gt;=150,"Yes","No"))</f>
        <v/>
      </c>
      <c r="BX720" s="36" t="str">
        <f aca="false">IF(O720="","",IF(O720&gt;=200,"Yes","No"))</f>
        <v/>
      </c>
      <c r="BY720" s="36" t="str">
        <f aca="false">IF(Q720="","",IF(Q720&gt;=150000,"Yes","No"))</f>
        <v/>
      </c>
      <c r="BZ720" s="36" t="str">
        <f aca="false">IF(Q720="","",IF(Q720&gt;=200000,"Yes","No"))</f>
        <v/>
      </c>
      <c r="CA720" s="36" t="str">
        <f aca="false">IF(Q720="","",IF(Q720&gt;=250000,"Yes","No"))</f>
        <v/>
      </c>
      <c r="CB720" s="36" t="str">
        <f aca="false">IF(Q720="","",IF(Q720&gt;=300000,"Yes","No"))</f>
        <v/>
      </c>
      <c r="CC720" s="37"/>
      <c r="CD720" s="36" t="str">
        <f aca="true">IF(B720="","",IF(TODAY()-B720&lt;=7,"🟢 0-7d",IF(TODAY()-B720&lt;=30,"🟡 8-30d",IF(TODAY()-B720&lt;=60,"🟠 31-60d","🔴 60d+"))))</f>
        <v/>
      </c>
      <c r="CE720" s="36" t="str">
        <f aca="false">IF(G720="","",IF(G720&lt;&gt;"USA","N/A - Not USA Role",IF(J720="Yes",IF(OR(F720="Intern",F720="New Grad"),"🟡 Possible","🟢 Strong"),IF(J720="No","🔴 Difficult","⚪ Unknown"))))</f>
        <v/>
      </c>
      <c r="CF720" s="37"/>
      <c r="CG720" s="37"/>
      <c r="CH720" s="38"/>
      <c r="CI720" s="38"/>
      <c r="CJ720" s="38"/>
      <c r="CK720" s="38"/>
    </row>
    <row r="721" customFormat="false" ht="15" hidden="false" customHeight="true" outlineLevel="0" collapsed="false">
      <c r="A721" s="26" t="str">
        <f aca="false">IF($C721="","",ROW()-3)</f>
        <v/>
      </c>
      <c r="B721" s="27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9"/>
      <c r="N721" s="29"/>
      <c r="O721" s="30" t="str">
        <f aca="false">IFERROR(IF(M721="","",M721*INDEX('00 - Lists'!$M$2:$M$11,MATCH(L721,'00 - Lists'!$L$2:$L$11,0))/100000),"")</f>
        <v/>
      </c>
      <c r="P721" s="30" t="str">
        <f aca="false">IFERROR(IF(N721="","",N721*INDEX('00 - Lists'!$M$2:$M$11,MATCH(L721,'00 - Lists'!$L$2:$L$11,0))/100000),"")</f>
        <v/>
      </c>
      <c r="Q721" s="31" t="str">
        <f aca="false">IFERROR(IF(M721="","",M721*INDEX('00 - Lists'!$N$2:$N$11,MATCH(L721,'00 - Lists'!$L$2:$L$11,0))),"")</f>
        <v/>
      </c>
      <c r="R721" s="31" t="str">
        <f aca="false">IFERROR(IF(N721="","",N721*INDEX('00 - Lists'!$N$2:$N$11,MATCH(L721,'00 - Lists'!$L$2:$L$11,0))),"")</f>
        <v/>
      </c>
      <c r="S721" s="32" t="str">
        <f aca="false">IF(O721="","",IF(O721&gt;=50,"Yes","No"))</f>
        <v/>
      </c>
      <c r="T721" s="32" t="str">
        <f aca="false">IF(Q721="","",IF(Q721&gt;=100000,"Yes","No"))</f>
        <v/>
      </c>
      <c r="U721" s="28"/>
      <c r="V721" s="28"/>
      <c r="W721" s="28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J721" s="34" t="str">
        <f aca="false">IF(OR($BD721&lt;&gt;"",$BF721&lt;&gt;"",$BH721&lt;&gt;""),"Yes","No")</f>
        <v>No</v>
      </c>
      <c r="BK721" s="35" t="str">
        <f aca="false">IFERROR(IF(BD721="","",BD721*INDEX('00 - Lists'!$M$2:$M$11,MATCH(L721,'00 - Lists'!$L$2:$L$11,0))/100000),"")</f>
        <v/>
      </c>
      <c r="BL721" s="35" t="str">
        <f aca="false">IFERROR(IF(BE721="","",BE721*INDEX('00 - Lists'!$M$2:$M$11,MATCH(L721,'00 - Lists'!$L$2:$L$11,0))/100000),"")</f>
        <v/>
      </c>
      <c r="BM721" s="35" t="str">
        <f aca="false">IFERROR(IF(BF721="","",BF721*INDEX('00 - Lists'!$M$2:$M$11,MATCH(L721,'00 - Lists'!$L$2:$L$11,0))/100000),"")</f>
        <v/>
      </c>
      <c r="BN721" s="35" t="str">
        <f aca="false">IFERROR(IF(BG721="","",BG721*INDEX('00 - Lists'!$M$2:$M$11,MATCH(L721,'00 - Lists'!$L$2:$L$11,0))/100000),"")</f>
        <v/>
      </c>
      <c r="BO721" s="35" t="str">
        <f aca="false">IFERROR(IF(BH721="","",BH721*INDEX('00 - Lists'!$M$2:$M$11,MATCH(L721,'00 - Lists'!$L$2:$L$11,0))/100000),"")</f>
        <v/>
      </c>
      <c r="BP721" s="35" t="str">
        <f aca="false">IFERROR(IF(BI721="","",BI721*INDEX('00 - Lists'!$M$2:$M$11,MATCH(L721,'00 - Lists'!$L$2:$L$11,0))/100000),"")</f>
        <v/>
      </c>
      <c r="BS721" s="36" t="str">
        <f aca="false">IF(O721="","",IF(O721&gt;=20,"Yes","No"))</f>
        <v/>
      </c>
      <c r="BT721" s="36" t="str">
        <f aca="false">IF(O721="","",IF(O721&gt;=30,"Yes","No"))</f>
        <v/>
      </c>
      <c r="BU721" s="36" t="str">
        <f aca="false">IF(O721="","",IF(O721&gt;=75,"Yes","No"))</f>
        <v/>
      </c>
      <c r="BV721" s="36" t="str">
        <f aca="false">IF(O721="","",IF(O721&gt;=100,"Yes","No"))</f>
        <v/>
      </c>
      <c r="BW721" s="36" t="str">
        <f aca="false">IF(O721="","",IF(O721&gt;=150,"Yes","No"))</f>
        <v/>
      </c>
      <c r="BX721" s="36" t="str">
        <f aca="false">IF(O721="","",IF(O721&gt;=200,"Yes","No"))</f>
        <v/>
      </c>
      <c r="BY721" s="36" t="str">
        <f aca="false">IF(Q721="","",IF(Q721&gt;=150000,"Yes","No"))</f>
        <v/>
      </c>
      <c r="BZ721" s="36" t="str">
        <f aca="false">IF(Q721="","",IF(Q721&gt;=200000,"Yes","No"))</f>
        <v/>
      </c>
      <c r="CA721" s="36" t="str">
        <f aca="false">IF(Q721="","",IF(Q721&gt;=250000,"Yes","No"))</f>
        <v/>
      </c>
      <c r="CB721" s="36" t="str">
        <f aca="false">IF(Q721="","",IF(Q721&gt;=300000,"Yes","No"))</f>
        <v/>
      </c>
      <c r="CC721" s="37"/>
      <c r="CD721" s="36" t="str">
        <f aca="true">IF(B721="","",IF(TODAY()-B721&lt;=7,"🟢 0-7d",IF(TODAY()-B721&lt;=30,"🟡 8-30d",IF(TODAY()-B721&lt;=60,"🟠 31-60d","🔴 60d+"))))</f>
        <v/>
      </c>
      <c r="CE721" s="36" t="str">
        <f aca="false">IF(G721="","",IF(G721&lt;&gt;"USA","N/A - Not USA Role",IF(J721="Yes",IF(OR(F721="Intern",F721="New Grad"),"🟡 Possible","🟢 Strong"),IF(J721="No","🔴 Difficult","⚪ Unknown"))))</f>
        <v/>
      </c>
      <c r="CF721" s="37"/>
      <c r="CG721" s="37"/>
      <c r="CH721" s="38"/>
      <c r="CI721" s="38"/>
      <c r="CJ721" s="38"/>
      <c r="CK721" s="38"/>
    </row>
    <row r="722" customFormat="false" ht="15" hidden="false" customHeight="true" outlineLevel="0" collapsed="false">
      <c r="A722" s="26" t="str">
        <f aca="false">IF($C722="","",ROW()-3)</f>
        <v/>
      </c>
      <c r="B722" s="27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9"/>
      <c r="N722" s="29"/>
      <c r="O722" s="30" t="str">
        <f aca="false">IFERROR(IF(M722="","",M722*INDEX('00 - Lists'!$M$2:$M$11,MATCH(L722,'00 - Lists'!$L$2:$L$11,0))/100000),"")</f>
        <v/>
      </c>
      <c r="P722" s="30" t="str">
        <f aca="false">IFERROR(IF(N722="","",N722*INDEX('00 - Lists'!$M$2:$M$11,MATCH(L722,'00 - Lists'!$L$2:$L$11,0))/100000),"")</f>
        <v/>
      </c>
      <c r="Q722" s="31" t="str">
        <f aca="false">IFERROR(IF(M722="","",M722*INDEX('00 - Lists'!$N$2:$N$11,MATCH(L722,'00 - Lists'!$L$2:$L$11,0))),"")</f>
        <v/>
      </c>
      <c r="R722" s="31" t="str">
        <f aca="false">IFERROR(IF(N722="","",N722*INDEX('00 - Lists'!$N$2:$N$11,MATCH(L722,'00 - Lists'!$L$2:$L$11,0))),"")</f>
        <v/>
      </c>
      <c r="S722" s="32" t="str">
        <f aca="false">IF(O722="","",IF(O722&gt;=50,"Yes","No"))</f>
        <v/>
      </c>
      <c r="T722" s="32" t="str">
        <f aca="false">IF(Q722="","",IF(Q722&gt;=100000,"Yes","No"))</f>
        <v/>
      </c>
      <c r="U722" s="28"/>
      <c r="V722" s="28"/>
      <c r="W722" s="28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J722" s="34" t="str">
        <f aca="false">IF(OR($BD722&lt;&gt;"",$BF722&lt;&gt;"",$BH722&lt;&gt;""),"Yes","No")</f>
        <v>No</v>
      </c>
      <c r="BK722" s="35" t="str">
        <f aca="false">IFERROR(IF(BD722="","",BD722*INDEX('00 - Lists'!$M$2:$M$11,MATCH(L722,'00 - Lists'!$L$2:$L$11,0))/100000),"")</f>
        <v/>
      </c>
      <c r="BL722" s="35" t="str">
        <f aca="false">IFERROR(IF(BE722="","",BE722*INDEX('00 - Lists'!$M$2:$M$11,MATCH(L722,'00 - Lists'!$L$2:$L$11,0))/100000),"")</f>
        <v/>
      </c>
      <c r="BM722" s="35" t="str">
        <f aca="false">IFERROR(IF(BF722="","",BF722*INDEX('00 - Lists'!$M$2:$M$11,MATCH(L722,'00 - Lists'!$L$2:$L$11,0))/100000),"")</f>
        <v/>
      </c>
      <c r="BN722" s="35" t="str">
        <f aca="false">IFERROR(IF(BG722="","",BG722*INDEX('00 - Lists'!$M$2:$M$11,MATCH(L722,'00 - Lists'!$L$2:$L$11,0))/100000),"")</f>
        <v/>
      </c>
      <c r="BO722" s="35" t="str">
        <f aca="false">IFERROR(IF(BH722="","",BH722*INDEX('00 - Lists'!$M$2:$M$11,MATCH(L722,'00 - Lists'!$L$2:$L$11,0))/100000),"")</f>
        <v/>
      </c>
      <c r="BP722" s="35" t="str">
        <f aca="false">IFERROR(IF(BI722="","",BI722*INDEX('00 - Lists'!$M$2:$M$11,MATCH(L722,'00 - Lists'!$L$2:$L$11,0))/100000),"")</f>
        <v/>
      </c>
      <c r="BS722" s="36" t="str">
        <f aca="false">IF(O722="","",IF(O722&gt;=20,"Yes","No"))</f>
        <v/>
      </c>
      <c r="BT722" s="36" t="str">
        <f aca="false">IF(O722="","",IF(O722&gt;=30,"Yes","No"))</f>
        <v/>
      </c>
      <c r="BU722" s="36" t="str">
        <f aca="false">IF(O722="","",IF(O722&gt;=75,"Yes","No"))</f>
        <v/>
      </c>
      <c r="BV722" s="36" t="str">
        <f aca="false">IF(O722="","",IF(O722&gt;=100,"Yes","No"))</f>
        <v/>
      </c>
      <c r="BW722" s="36" t="str">
        <f aca="false">IF(O722="","",IF(O722&gt;=150,"Yes","No"))</f>
        <v/>
      </c>
      <c r="BX722" s="36" t="str">
        <f aca="false">IF(O722="","",IF(O722&gt;=200,"Yes","No"))</f>
        <v/>
      </c>
      <c r="BY722" s="36" t="str">
        <f aca="false">IF(Q722="","",IF(Q722&gt;=150000,"Yes","No"))</f>
        <v/>
      </c>
      <c r="BZ722" s="36" t="str">
        <f aca="false">IF(Q722="","",IF(Q722&gt;=200000,"Yes","No"))</f>
        <v/>
      </c>
      <c r="CA722" s="36" t="str">
        <f aca="false">IF(Q722="","",IF(Q722&gt;=250000,"Yes","No"))</f>
        <v/>
      </c>
      <c r="CB722" s="36" t="str">
        <f aca="false">IF(Q722="","",IF(Q722&gt;=300000,"Yes","No"))</f>
        <v/>
      </c>
      <c r="CC722" s="37"/>
      <c r="CD722" s="36" t="str">
        <f aca="true">IF(B722="","",IF(TODAY()-B722&lt;=7,"🟢 0-7d",IF(TODAY()-B722&lt;=30,"🟡 8-30d",IF(TODAY()-B722&lt;=60,"🟠 31-60d","🔴 60d+"))))</f>
        <v/>
      </c>
      <c r="CE722" s="36" t="str">
        <f aca="false">IF(G722="","",IF(G722&lt;&gt;"USA","N/A - Not USA Role",IF(J722="Yes",IF(OR(F722="Intern",F722="New Grad"),"🟡 Possible","🟢 Strong"),IF(J722="No","🔴 Difficult","⚪ Unknown"))))</f>
        <v/>
      </c>
      <c r="CF722" s="37"/>
      <c r="CG722" s="37"/>
      <c r="CH722" s="38"/>
      <c r="CI722" s="38"/>
      <c r="CJ722" s="38"/>
      <c r="CK722" s="38"/>
    </row>
    <row r="723" customFormat="false" ht="15" hidden="false" customHeight="true" outlineLevel="0" collapsed="false">
      <c r="A723" s="26" t="str">
        <f aca="false">IF($C723="","",ROW()-3)</f>
        <v/>
      </c>
      <c r="B723" s="27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9"/>
      <c r="N723" s="29"/>
      <c r="O723" s="30" t="str">
        <f aca="false">IFERROR(IF(M723="","",M723*INDEX('00 - Lists'!$M$2:$M$11,MATCH(L723,'00 - Lists'!$L$2:$L$11,0))/100000),"")</f>
        <v/>
      </c>
      <c r="P723" s="30" t="str">
        <f aca="false">IFERROR(IF(N723="","",N723*INDEX('00 - Lists'!$M$2:$M$11,MATCH(L723,'00 - Lists'!$L$2:$L$11,0))/100000),"")</f>
        <v/>
      </c>
      <c r="Q723" s="31" t="str">
        <f aca="false">IFERROR(IF(M723="","",M723*INDEX('00 - Lists'!$N$2:$N$11,MATCH(L723,'00 - Lists'!$L$2:$L$11,0))),"")</f>
        <v/>
      </c>
      <c r="R723" s="31" t="str">
        <f aca="false">IFERROR(IF(N723="","",N723*INDEX('00 - Lists'!$N$2:$N$11,MATCH(L723,'00 - Lists'!$L$2:$L$11,0))),"")</f>
        <v/>
      </c>
      <c r="S723" s="32" t="str">
        <f aca="false">IF(O723="","",IF(O723&gt;=50,"Yes","No"))</f>
        <v/>
      </c>
      <c r="T723" s="32" t="str">
        <f aca="false">IF(Q723="","",IF(Q723&gt;=100000,"Yes","No"))</f>
        <v/>
      </c>
      <c r="U723" s="28"/>
      <c r="V723" s="28"/>
      <c r="W723" s="28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J723" s="34" t="str">
        <f aca="false">IF(OR($BD723&lt;&gt;"",$BF723&lt;&gt;"",$BH723&lt;&gt;""),"Yes","No")</f>
        <v>No</v>
      </c>
      <c r="BK723" s="35" t="str">
        <f aca="false">IFERROR(IF(BD723="","",BD723*INDEX('00 - Lists'!$M$2:$M$11,MATCH(L723,'00 - Lists'!$L$2:$L$11,0))/100000),"")</f>
        <v/>
      </c>
      <c r="BL723" s="35" t="str">
        <f aca="false">IFERROR(IF(BE723="","",BE723*INDEX('00 - Lists'!$M$2:$M$11,MATCH(L723,'00 - Lists'!$L$2:$L$11,0))/100000),"")</f>
        <v/>
      </c>
      <c r="BM723" s="35" t="str">
        <f aca="false">IFERROR(IF(BF723="","",BF723*INDEX('00 - Lists'!$M$2:$M$11,MATCH(L723,'00 - Lists'!$L$2:$L$11,0))/100000),"")</f>
        <v/>
      </c>
      <c r="BN723" s="35" t="str">
        <f aca="false">IFERROR(IF(BG723="","",BG723*INDEX('00 - Lists'!$M$2:$M$11,MATCH(L723,'00 - Lists'!$L$2:$L$11,0))/100000),"")</f>
        <v/>
      </c>
      <c r="BO723" s="35" t="str">
        <f aca="false">IFERROR(IF(BH723="","",BH723*INDEX('00 - Lists'!$M$2:$M$11,MATCH(L723,'00 - Lists'!$L$2:$L$11,0))/100000),"")</f>
        <v/>
      </c>
      <c r="BP723" s="35" t="str">
        <f aca="false">IFERROR(IF(BI723="","",BI723*INDEX('00 - Lists'!$M$2:$M$11,MATCH(L723,'00 - Lists'!$L$2:$L$11,0))/100000),"")</f>
        <v/>
      </c>
      <c r="BS723" s="36" t="str">
        <f aca="false">IF(O723="","",IF(O723&gt;=20,"Yes","No"))</f>
        <v/>
      </c>
      <c r="BT723" s="36" t="str">
        <f aca="false">IF(O723="","",IF(O723&gt;=30,"Yes","No"))</f>
        <v/>
      </c>
      <c r="BU723" s="36" t="str">
        <f aca="false">IF(O723="","",IF(O723&gt;=75,"Yes","No"))</f>
        <v/>
      </c>
      <c r="BV723" s="36" t="str">
        <f aca="false">IF(O723="","",IF(O723&gt;=100,"Yes","No"))</f>
        <v/>
      </c>
      <c r="BW723" s="36" t="str">
        <f aca="false">IF(O723="","",IF(O723&gt;=150,"Yes","No"))</f>
        <v/>
      </c>
      <c r="BX723" s="36" t="str">
        <f aca="false">IF(O723="","",IF(O723&gt;=200,"Yes","No"))</f>
        <v/>
      </c>
      <c r="BY723" s="36" t="str">
        <f aca="false">IF(Q723="","",IF(Q723&gt;=150000,"Yes","No"))</f>
        <v/>
      </c>
      <c r="BZ723" s="36" t="str">
        <f aca="false">IF(Q723="","",IF(Q723&gt;=200000,"Yes","No"))</f>
        <v/>
      </c>
      <c r="CA723" s="36" t="str">
        <f aca="false">IF(Q723="","",IF(Q723&gt;=250000,"Yes","No"))</f>
        <v/>
      </c>
      <c r="CB723" s="36" t="str">
        <f aca="false">IF(Q723="","",IF(Q723&gt;=300000,"Yes","No"))</f>
        <v/>
      </c>
      <c r="CC723" s="37"/>
      <c r="CD723" s="36" t="str">
        <f aca="true">IF(B723="","",IF(TODAY()-B723&lt;=7,"🟢 0-7d",IF(TODAY()-B723&lt;=30,"🟡 8-30d",IF(TODAY()-B723&lt;=60,"🟠 31-60d","🔴 60d+"))))</f>
        <v/>
      </c>
      <c r="CE723" s="36" t="str">
        <f aca="false">IF(G723="","",IF(G723&lt;&gt;"USA","N/A - Not USA Role",IF(J723="Yes",IF(OR(F723="Intern",F723="New Grad"),"🟡 Possible","🟢 Strong"),IF(J723="No","🔴 Difficult","⚪ Unknown"))))</f>
        <v/>
      </c>
      <c r="CF723" s="37"/>
      <c r="CG723" s="37"/>
      <c r="CH723" s="38"/>
      <c r="CI723" s="38"/>
      <c r="CJ723" s="38"/>
      <c r="CK723" s="38"/>
    </row>
    <row r="724" customFormat="false" ht="15" hidden="false" customHeight="true" outlineLevel="0" collapsed="false">
      <c r="A724" s="26" t="str">
        <f aca="false">IF($C724="","",ROW()-3)</f>
        <v/>
      </c>
      <c r="B724" s="27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9"/>
      <c r="N724" s="29"/>
      <c r="O724" s="30" t="str">
        <f aca="false">IFERROR(IF(M724="","",M724*INDEX('00 - Lists'!$M$2:$M$11,MATCH(L724,'00 - Lists'!$L$2:$L$11,0))/100000),"")</f>
        <v/>
      </c>
      <c r="P724" s="30" t="str">
        <f aca="false">IFERROR(IF(N724="","",N724*INDEX('00 - Lists'!$M$2:$M$11,MATCH(L724,'00 - Lists'!$L$2:$L$11,0))/100000),"")</f>
        <v/>
      </c>
      <c r="Q724" s="31" t="str">
        <f aca="false">IFERROR(IF(M724="","",M724*INDEX('00 - Lists'!$N$2:$N$11,MATCH(L724,'00 - Lists'!$L$2:$L$11,0))),"")</f>
        <v/>
      </c>
      <c r="R724" s="31" t="str">
        <f aca="false">IFERROR(IF(N724="","",N724*INDEX('00 - Lists'!$N$2:$N$11,MATCH(L724,'00 - Lists'!$L$2:$L$11,0))),"")</f>
        <v/>
      </c>
      <c r="S724" s="32" t="str">
        <f aca="false">IF(O724="","",IF(O724&gt;=50,"Yes","No"))</f>
        <v/>
      </c>
      <c r="T724" s="32" t="str">
        <f aca="false">IF(Q724="","",IF(Q724&gt;=100000,"Yes","No"))</f>
        <v/>
      </c>
      <c r="U724" s="28"/>
      <c r="V724" s="28"/>
      <c r="W724" s="28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J724" s="34" t="str">
        <f aca="false">IF(OR($BD724&lt;&gt;"",$BF724&lt;&gt;"",$BH724&lt;&gt;""),"Yes","No")</f>
        <v>No</v>
      </c>
      <c r="BK724" s="35" t="str">
        <f aca="false">IFERROR(IF(BD724="","",BD724*INDEX('00 - Lists'!$M$2:$M$11,MATCH(L724,'00 - Lists'!$L$2:$L$11,0))/100000),"")</f>
        <v/>
      </c>
      <c r="BL724" s="35" t="str">
        <f aca="false">IFERROR(IF(BE724="","",BE724*INDEX('00 - Lists'!$M$2:$M$11,MATCH(L724,'00 - Lists'!$L$2:$L$11,0))/100000),"")</f>
        <v/>
      </c>
      <c r="BM724" s="35" t="str">
        <f aca="false">IFERROR(IF(BF724="","",BF724*INDEX('00 - Lists'!$M$2:$M$11,MATCH(L724,'00 - Lists'!$L$2:$L$11,0))/100000),"")</f>
        <v/>
      </c>
      <c r="BN724" s="35" t="str">
        <f aca="false">IFERROR(IF(BG724="","",BG724*INDEX('00 - Lists'!$M$2:$M$11,MATCH(L724,'00 - Lists'!$L$2:$L$11,0))/100000),"")</f>
        <v/>
      </c>
      <c r="BO724" s="35" t="str">
        <f aca="false">IFERROR(IF(BH724="","",BH724*INDEX('00 - Lists'!$M$2:$M$11,MATCH(L724,'00 - Lists'!$L$2:$L$11,0))/100000),"")</f>
        <v/>
      </c>
      <c r="BP724" s="35" t="str">
        <f aca="false">IFERROR(IF(BI724="","",BI724*INDEX('00 - Lists'!$M$2:$M$11,MATCH(L724,'00 - Lists'!$L$2:$L$11,0))/100000),"")</f>
        <v/>
      </c>
      <c r="BS724" s="36" t="str">
        <f aca="false">IF(O724="","",IF(O724&gt;=20,"Yes","No"))</f>
        <v/>
      </c>
      <c r="BT724" s="36" t="str">
        <f aca="false">IF(O724="","",IF(O724&gt;=30,"Yes","No"))</f>
        <v/>
      </c>
      <c r="BU724" s="36" t="str">
        <f aca="false">IF(O724="","",IF(O724&gt;=75,"Yes","No"))</f>
        <v/>
      </c>
      <c r="BV724" s="36" t="str">
        <f aca="false">IF(O724="","",IF(O724&gt;=100,"Yes","No"))</f>
        <v/>
      </c>
      <c r="BW724" s="36" t="str">
        <f aca="false">IF(O724="","",IF(O724&gt;=150,"Yes","No"))</f>
        <v/>
      </c>
      <c r="BX724" s="36" t="str">
        <f aca="false">IF(O724="","",IF(O724&gt;=200,"Yes","No"))</f>
        <v/>
      </c>
      <c r="BY724" s="36" t="str">
        <f aca="false">IF(Q724="","",IF(Q724&gt;=150000,"Yes","No"))</f>
        <v/>
      </c>
      <c r="BZ724" s="36" t="str">
        <f aca="false">IF(Q724="","",IF(Q724&gt;=200000,"Yes","No"))</f>
        <v/>
      </c>
      <c r="CA724" s="36" t="str">
        <f aca="false">IF(Q724="","",IF(Q724&gt;=250000,"Yes","No"))</f>
        <v/>
      </c>
      <c r="CB724" s="36" t="str">
        <f aca="false">IF(Q724="","",IF(Q724&gt;=300000,"Yes","No"))</f>
        <v/>
      </c>
      <c r="CC724" s="37"/>
      <c r="CD724" s="36" t="str">
        <f aca="true">IF(B724="","",IF(TODAY()-B724&lt;=7,"🟢 0-7d",IF(TODAY()-B724&lt;=30,"🟡 8-30d",IF(TODAY()-B724&lt;=60,"🟠 31-60d","🔴 60d+"))))</f>
        <v/>
      </c>
      <c r="CE724" s="36" t="str">
        <f aca="false">IF(G724="","",IF(G724&lt;&gt;"USA","N/A - Not USA Role",IF(J724="Yes",IF(OR(F724="Intern",F724="New Grad"),"🟡 Possible","🟢 Strong"),IF(J724="No","🔴 Difficult","⚪ Unknown"))))</f>
        <v/>
      </c>
      <c r="CF724" s="37"/>
      <c r="CG724" s="37"/>
      <c r="CH724" s="38"/>
      <c r="CI724" s="38"/>
      <c r="CJ724" s="38"/>
      <c r="CK724" s="38"/>
    </row>
    <row r="725" customFormat="false" ht="15" hidden="false" customHeight="true" outlineLevel="0" collapsed="false">
      <c r="A725" s="26" t="str">
        <f aca="false">IF($C725="","",ROW()-3)</f>
        <v/>
      </c>
      <c r="B725" s="27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9"/>
      <c r="N725" s="29"/>
      <c r="O725" s="30" t="str">
        <f aca="false">IFERROR(IF(M725="","",M725*INDEX('00 - Lists'!$M$2:$M$11,MATCH(L725,'00 - Lists'!$L$2:$L$11,0))/100000),"")</f>
        <v/>
      </c>
      <c r="P725" s="30" t="str">
        <f aca="false">IFERROR(IF(N725="","",N725*INDEX('00 - Lists'!$M$2:$M$11,MATCH(L725,'00 - Lists'!$L$2:$L$11,0))/100000),"")</f>
        <v/>
      </c>
      <c r="Q725" s="31" t="str">
        <f aca="false">IFERROR(IF(M725="","",M725*INDEX('00 - Lists'!$N$2:$N$11,MATCH(L725,'00 - Lists'!$L$2:$L$11,0))),"")</f>
        <v/>
      </c>
      <c r="R725" s="31" t="str">
        <f aca="false">IFERROR(IF(N725="","",N725*INDEX('00 - Lists'!$N$2:$N$11,MATCH(L725,'00 - Lists'!$L$2:$L$11,0))),"")</f>
        <v/>
      </c>
      <c r="S725" s="32" t="str">
        <f aca="false">IF(O725="","",IF(O725&gt;=50,"Yes","No"))</f>
        <v/>
      </c>
      <c r="T725" s="32" t="str">
        <f aca="false">IF(Q725="","",IF(Q725&gt;=100000,"Yes","No"))</f>
        <v/>
      </c>
      <c r="U725" s="28"/>
      <c r="V725" s="28"/>
      <c r="W725" s="28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J725" s="34" t="str">
        <f aca="false">IF(OR($BD725&lt;&gt;"",$BF725&lt;&gt;"",$BH725&lt;&gt;""),"Yes","No")</f>
        <v>No</v>
      </c>
      <c r="BK725" s="35" t="str">
        <f aca="false">IFERROR(IF(BD725="","",BD725*INDEX('00 - Lists'!$M$2:$M$11,MATCH(L725,'00 - Lists'!$L$2:$L$11,0))/100000),"")</f>
        <v/>
      </c>
      <c r="BL725" s="35" t="str">
        <f aca="false">IFERROR(IF(BE725="","",BE725*INDEX('00 - Lists'!$M$2:$M$11,MATCH(L725,'00 - Lists'!$L$2:$L$11,0))/100000),"")</f>
        <v/>
      </c>
      <c r="BM725" s="35" t="str">
        <f aca="false">IFERROR(IF(BF725="","",BF725*INDEX('00 - Lists'!$M$2:$M$11,MATCH(L725,'00 - Lists'!$L$2:$L$11,0))/100000),"")</f>
        <v/>
      </c>
      <c r="BN725" s="35" t="str">
        <f aca="false">IFERROR(IF(BG725="","",BG725*INDEX('00 - Lists'!$M$2:$M$11,MATCH(L725,'00 - Lists'!$L$2:$L$11,0))/100000),"")</f>
        <v/>
      </c>
      <c r="BO725" s="35" t="str">
        <f aca="false">IFERROR(IF(BH725="","",BH725*INDEX('00 - Lists'!$M$2:$M$11,MATCH(L725,'00 - Lists'!$L$2:$L$11,0))/100000),"")</f>
        <v/>
      </c>
      <c r="BP725" s="35" t="str">
        <f aca="false">IFERROR(IF(BI725="","",BI725*INDEX('00 - Lists'!$M$2:$M$11,MATCH(L725,'00 - Lists'!$L$2:$L$11,0))/100000),"")</f>
        <v/>
      </c>
      <c r="BS725" s="36" t="str">
        <f aca="false">IF(O725="","",IF(O725&gt;=20,"Yes","No"))</f>
        <v/>
      </c>
      <c r="BT725" s="36" t="str">
        <f aca="false">IF(O725="","",IF(O725&gt;=30,"Yes","No"))</f>
        <v/>
      </c>
      <c r="BU725" s="36" t="str">
        <f aca="false">IF(O725="","",IF(O725&gt;=75,"Yes","No"))</f>
        <v/>
      </c>
      <c r="BV725" s="36" t="str">
        <f aca="false">IF(O725="","",IF(O725&gt;=100,"Yes","No"))</f>
        <v/>
      </c>
      <c r="BW725" s="36" t="str">
        <f aca="false">IF(O725="","",IF(O725&gt;=150,"Yes","No"))</f>
        <v/>
      </c>
      <c r="BX725" s="36" t="str">
        <f aca="false">IF(O725="","",IF(O725&gt;=200,"Yes","No"))</f>
        <v/>
      </c>
      <c r="BY725" s="36" t="str">
        <f aca="false">IF(Q725="","",IF(Q725&gt;=150000,"Yes","No"))</f>
        <v/>
      </c>
      <c r="BZ725" s="36" t="str">
        <f aca="false">IF(Q725="","",IF(Q725&gt;=200000,"Yes","No"))</f>
        <v/>
      </c>
      <c r="CA725" s="36" t="str">
        <f aca="false">IF(Q725="","",IF(Q725&gt;=250000,"Yes","No"))</f>
        <v/>
      </c>
      <c r="CB725" s="36" t="str">
        <f aca="false">IF(Q725="","",IF(Q725&gt;=300000,"Yes","No"))</f>
        <v/>
      </c>
      <c r="CC725" s="37"/>
      <c r="CD725" s="36" t="str">
        <f aca="true">IF(B725="","",IF(TODAY()-B725&lt;=7,"🟢 0-7d",IF(TODAY()-B725&lt;=30,"🟡 8-30d",IF(TODAY()-B725&lt;=60,"🟠 31-60d","🔴 60d+"))))</f>
        <v/>
      </c>
      <c r="CE725" s="36" t="str">
        <f aca="false">IF(G725="","",IF(G725&lt;&gt;"USA","N/A - Not USA Role",IF(J725="Yes",IF(OR(F725="Intern",F725="New Grad"),"🟡 Possible","🟢 Strong"),IF(J725="No","🔴 Difficult","⚪ Unknown"))))</f>
        <v/>
      </c>
      <c r="CF725" s="37"/>
      <c r="CG725" s="37"/>
      <c r="CH725" s="38"/>
      <c r="CI725" s="38"/>
      <c r="CJ725" s="38"/>
      <c r="CK725" s="38"/>
    </row>
    <row r="726" customFormat="false" ht="15" hidden="false" customHeight="true" outlineLevel="0" collapsed="false">
      <c r="A726" s="26" t="str">
        <f aca="false">IF($C726="","",ROW()-3)</f>
        <v/>
      </c>
      <c r="B726" s="27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9"/>
      <c r="N726" s="29"/>
      <c r="O726" s="30" t="str">
        <f aca="false">IFERROR(IF(M726="","",M726*INDEX('00 - Lists'!$M$2:$M$11,MATCH(L726,'00 - Lists'!$L$2:$L$11,0))/100000),"")</f>
        <v/>
      </c>
      <c r="P726" s="30" t="str">
        <f aca="false">IFERROR(IF(N726="","",N726*INDEX('00 - Lists'!$M$2:$M$11,MATCH(L726,'00 - Lists'!$L$2:$L$11,0))/100000),"")</f>
        <v/>
      </c>
      <c r="Q726" s="31" t="str">
        <f aca="false">IFERROR(IF(M726="","",M726*INDEX('00 - Lists'!$N$2:$N$11,MATCH(L726,'00 - Lists'!$L$2:$L$11,0))),"")</f>
        <v/>
      </c>
      <c r="R726" s="31" t="str">
        <f aca="false">IFERROR(IF(N726="","",N726*INDEX('00 - Lists'!$N$2:$N$11,MATCH(L726,'00 - Lists'!$L$2:$L$11,0))),"")</f>
        <v/>
      </c>
      <c r="S726" s="32" t="str">
        <f aca="false">IF(O726="","",IF(O726&gt;=50,"Yes","No"))</f>
        <v/>
      </c>
      <c r="T726" s="32" t="str">
        <f aca="false">IF(Q726="","",IF(Q726&gt;=100000,"Yes","No"))</f>
        <v/>
      </c>
      <c r="U726" s="28"/>
      <c r="V726" s="28"/>
      <c r="W726" s="28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J726" s="34" t="str">
        <f aca="false">IF(OR($BD726&lt;&gt;"",$BF726&lt;&gt;"",$BH726&lt;&gt;""),"Yes","No")</f>
        <v>No</v>
      </c>
      <c r="BK726" s="35" t="str">
        <f aca="false">IFERROR(IF(BD726="","",BD726*INDEX('00 - Lists'!$M$2:$M$11,MATCH(L726,'00 - Lists'!$L$2:$L$11,0))/100000),"")</f>
        <v/>
      </c>
      <c r="BL726" s="35" t="str">
        <f aca="false">IFERROR(IF(BE726="","",BE726*INDEX('00 - Lists'!$M$2:$M$11,MATCH(L726,'00 - Lists'!$L$2:$L$11,0))/100000),"")</f>
        <v/>
      </c>
      <c r="BM726" s="35" t="str">
        <f aca="false">IFERROR(IF(BF726="","",BF726*INDEX('00 - Lists'!$M$2:$M$11,MATCH(L726,'00 - Lists'!$L$2:$L$11,0))/100000),"")</f>
        <v/>
      </c>
      <c r="BN726" s="35" t="str">
        <f aca="false">IFERROR(IF(BG726="","",BG726*INDEX('00 - Lists'!$M$2:$M$11,MATCH(L726,'00 - Lists'!$L$2:$L$11,0))/100000),"")</f>
        <v/>
      </c>
      <c r="BO726" s="35" t="str">
        <f aca="false">IFERROR(IF(BH726="","",BH726*INDEX('00 - Lists'!$M$2:$M$11,MATCH(L726,'00 - Lists'!$L$2:$L$11,0))/100000),"")</f>
        <v/>
      </c>
      <c r="BP726" s="35" t="str">
        <f aca="false">IFERROR(IF(BI726="","",BI726*INDEX('00 - Lists'!$M$2:$M$11,MATCH(L726,'00 - Lists'!$L$2:$L$11,0))/100000),"")</f>
        <v/>
      </c>
      <c r="BS726" s="36" t="str">
        <f aca="false">IF(O726="","",IF(O726&gt;=20,"Yes","No"))</f>
        <v/>
      </c>
      <c r="BT726" s="36" t="str">
        <f aca="false">IF(O726="","",IF(O726&gt;=30,"Yes","No"))</f>
        <v/>
      </c>
      <c r="BU726" s="36" t="str">
        <f aca="false">IF(O726="","",IF(O726&gt;=75,"Yes","No"))</f>
        <v/>
      </c>
      <c r="BV726" s="36" t="str">
        <f aca="false">IF(O726="","",IF(O726&gt;=100,"Yes","No"))</f>
        <v/>
      </c>
      <c r="BW726" s="36" t="str">
        <f aca="false">IF(O726="","",IF(O726&gt;=150,"Yes","No"))</f>
        <v/>
      </c>
      <c r="BX726" s="36" t="str">
        <f aca="false">IF(O726="","",IF(O726&gt;=200,"Yes","No"))</f>
        <v/>
      </c>
      <c r="BY726" s="36" t="str">
        <f aca="false">IF(Q726="","",IF(Q726&gt;=150000,"Yes","No"))</f>
        <v/>
      </c>
      <c r="BZ726" s="36" t="str">
        <f aca="false">IF(Q726="","",IF(Q726&gt;=200000,"Yes","No"))</f>
        <v/>
      </c>
      <c r="CA726" s="36" t="str">
        <f aca="false">IF(Q726="","",IF(Q726&gt;=250000,"Yes","No"))</f>
        <v/>
      </c>
      <c r="CB726" s="36" t="str">
        <f aca="false">IF(Q726="","",IF(Q726&gt;=300000,"Yes","No"))</f>
        <v/>
      </c>
      <c r="CC726" s="37"/>
      <c r="CD726" s="36" t="str">
        <f aca="true">IF(B726="","",IF(TODAY()-B726&lt;=7,"🟢 0-7d",IF(TODAY()-B726&lt;=30,"🟡 8-30d",IF(TODAY()-B726&lt;=60,"🟠 31-60d","🔴 60d+"))))</f>
        <v/>
      </c>
      <c r="CE726" s="36" t="str">
        <f aca="false">IF(G726="","",IF(G726&lt;&gt;"USA","N/A - Not USA Role",IF(J726="Yes",IF(OR(F726="Intern",F726="New Grad"),"🟡 Possible","🟢 Strong"),IF(J726="No","🔴 Difficult","⚪ Unknown"))))</f>
        <v/>
      </c>
      <c r="CF726" s="37"/>
      <c r="CG726" s="37"/>
      <c r="CH726" s="38"/>
      <c r="CI726" s="38"/>
      <c r="CJ726" s="38"/>
      <c r="CK726" s="38"/>
    </row>
    <row r="727" customFormat="false" ht="15" hidden="false" customHeight="true" outlineLevel="0" collapsed="false">
      <c r="A727" s="26" t="str">
        <f aca="false">IF($C727="","",ROW()-3)</f>
        <v/>
      </c>
      <c r="B727" s="27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9"/>
      <c r="N727" s="29"/>
      <c r="O727" s="30" t="str">
        <f aca="false">IFERROR(IF(M727="","",M727*INDEX('00 - Lists'!$M$2:$M$11,MATCH(L727,'00 - Lists'!$L$2:$L$11,0))/100000),"")</f>
        <v/>
      </c>
      <c r="P727" s="30" t="str">
        <f aca="false">IFERROR(IF(N727="","",N727*INDEX('00 - Lists'!$M$2:$M$11,MATCH(L727,'00 - Lists'!$L$2:$L$11,0))/100000),"")</f>
        <v/>
      </c>
      <c r="Q727" s="31" t="str">
        <f aca="false">IFERROR(IF(M727="","",M727*INDEX('00 - Lists'!$N$2:$N$11,MATCH(L727,'00 - Lists'!$L$2:$L$11,0))),"")</f>
        <v/>
      </c>
      <c r="R727" s="31" t="str">
        <f aca="false">IFERROR(IF(N727="","",N727*INDEX('00 - Lists'!$N$2:$N$11,MATCH(L727,'00 - Lists'!$L$2:$L$11,0))),"")</f>
        <v/>
      </c>
      <c r="S727" s="32" t="str">
        <f aca="false">IF(O727="","",IF(O727&gt;=50,"Yes","No"))</f>
        <v/>
      </c>
      <c r="T727" s="32" t="str">
        <f aca="false">IF(Q727="","",IF(Q727&gt;=100000,"Yes","No"))</f>
        <v/>
      </c>
      <c r="U727" s="28"/>
      <c r="V727" s="28"/>
      <c r="W727" s="28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J727" s="34" t="str">
        <f aca="false">IF(OR($BD727&lt;&gt;"",$BF727&lt;&gt;"",$BH727&lt;&gt;""),"Yes","No")</f>
        <v>No</v>
      </c>
      <c r="BK727" s="35" t="str">
        <f aca="false">IFERROR(IF(BD727="","",BD727*INDEX('00 - Lists'!$M$2:$M$11,MATCH(L727,'00 - Lists'!$L$2:$L$11,0))/100000),"")</f>
        <v/>
      </c>
      <c r="BL727" s="35" t="str">
        <f aca="false">IFERROR(IF(BE727="","",BE727*INDEX('00 - Lists'!$M$2:$M$11,MATCH(L727,'00 - Lists'!$L$2:$L$11,0))/100000),"")</f>
        <v/>
      </c>
      <c r="BM727" s="35" t="str">
        <f aca="false">IFERROR(IF(BF727="","",BF727*INDEX('00 - Lists'!$M$2:$M$11,MATCH(L727,'00 - Lists'!$L$2:$L$11,0))/100000),"")</f>
        <v/>
      </c>
      <c r="BN727" s="35" t="str">
        <f aca="false">IFERROR(IF(BG727="","",BG727*INDEX('00 - Lists'!$M$2:$M$11,MATCH(L727,'00 - Lists'!$L$2:$L$11,0))/100000),"")</f>
        <v/>
      </c>
      <c r="BO727" s="35" t="str">
        <f aca="false">IFERROR(IF(BH727="","",BH727*INDEX('00 - Lists'!$M$2:$M$11,MATCH(L727,'00 - Lists'!$L$2:$L$11,0))/100000),"")</f>
        <v/>
      </c>
      <c r="BP727" s="35" t="str">
        <f aca="false">IFERROR(IF(BI727="","",BI727*INDEX('00 - Lists'!$M$2:$M$11,MATCH(L727,'00 - Lists'!$L$2:$L$11,0))/100000),"")</f>
        <v/>
      </c>
      <c r="BS727" s="36" t="str">
        <f aca="false">IF(O727="","",IF(O727&gt;=20,"Yes","No"))</f>
        <v/>
      </c>
      <c r="BT727" s="36" t="str">
        <f aca="false">IF(O727="","",IF(O727&gt;=30,"Yes","No"))</f>
        <v/>
      </c>
      <c r="BU727" s="36" t="str">
        <f aca="false">IF(O727="","",IF(O727&gt;=75,"Yes","No"))</f>
        <v/>
      </c>
      <c r="BV727" s="36" t="str">
        <f aca="false">IF(O727="","",IF(O727&gt;=100,"Yes","No"))</f>
        <v/>
      </c>
      <c r="BW727" s="36" t="str">
        <f aca="false">IF(O727="","",IF(O727&gt;=150,"Yes","No"))</f>
        <v/>
      </c>
      <c r="BX727" s="36" t="str">
        <f aca="false">IF(O727="","",IF(O727&gt;=200,"Yes","No"))</f>
        <v/>
      </c>
      <c r="BY727" s="36" t="str">
        <f aca="false">IF(Q727="","",IF(Q727&gt;=150000,"Yes","No"))</f>
        <v/>
      </c>
      <c r="BZ727" s="36" t="str">
        <f aca="false">IF(Q727="","",IF(Q727&gt;=200000,"Yes","No"))</f>
        <v/>
      </c>
      <c r="CA727" s="36" t="str">
        <f aca="false">IF(Q727="","",IF(Q727&gt;=250000,"Yes","No"))</f>
        <v/>
      </c>
      <c r="CB727" s="36" t="str">
        <f aca="false">IF(Q727="","",IF(Q727&gt;=300000,"Yes","No"))</f>
        <v/>
      </c>
      <c r="CC727" s="37"/>
      <c r="CD727" s="36" t="str">
        <f aca="true">IF(B727="","",IF(TODAY()-B727&lt;=7,"🟢 0-7d",IF(TODAY()-B727&lt;=30,"🟡 8-30d",IF(TODAY()-B727&lt;=60,"🟠 31-60d","🔴 60d+"))))</f>
        <v/>
      </c>
      <c r="CE727" s="36" t="str">
        <f aca="false">IF(G727="","",IF(G727&lt;&gt;"USA","N/A - Not USA Role",IF(J727="Yes",IF(OR(F727="Intern",F727="New Grad"),"🟡 Possible","🟢 Strong"),IF(J727="No","🔴 Difficult","⚪ Unknown"))))</f>
        <v/>
      </c>
      <c r="CF727" s="37"/>
      <c r="CG727" s="37"/>
      <c r="CH727" s="38"/>
      <c r="CI727" s="38"/>
      <c r="CJ727" s="38"/>
      <c r="CK727" s="38"/>
    </row>
    <row r="728" customFormat="false" ht="15" hidden="false" customHeight="true" outlineLevel="0" collapsed="false">
      <c r="A728" s="26" t="str">
        <f aca="false">IF($C728="","",ROW()-3)</f>
        <v/>
      </c>
      <c r="B728" s="27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9"/>
      <c r="N728" s="29"/>
      <c r="O728" s="30" t="str">
        <f aca="false">IFERROR(IF(M728="","",M728*INDEX('00 - Lists'!$M$2:$M$11,MATCH(L728,'00 - Lists'!$L$2:$L$11,0))/100000),"")</f>
        <v/>
      </c>
      <c r="P728" s="30" t="str">
        <f aca="false">IFERROR(IF(N728="","",N728*INDEX('00 - Lists'!$M$2:$M$11,MATCH(L728,'00 - Lists'!$L$2:$L$11,0))/100000),"")</f>
        <v/>
      </c>
      <c r="Q728" s="31" t="str">
        <f aca="false">IFERROR(IF(M728="","",M728*INDEX('00 - Lists'!$N$2:$N$11,MATCH(L728,'00 - Lists'!$L$2:$L$11,0))),"")</f>
        <v/>
      </c>
      <c r="R728" s="31" t="str">
        <f aca="false">IFERROR(IF(N728="","",N728*INDEX('00 - Lists'!$N$2:$N$11,MATCH(L728,'00 - Lists'!$L$2:$L$11,0))),"")</f>
        <v/>
      </c>
      <c r="S728" s="32" t="str">
        <f aca="false">IF(O728="","",IF(O728&gt;=50,"Yes","No"))</f>
        <v/>
      </c>
      <c r="T728" s="32" t="str">
        <f aca="false">IF(Q728="","",IF(Q728&gt;=100000,"Yes","No"))</f>
        <v/>
      </c>
      <c r="U728" s="28"/>
      <c r="V728" s="28"/>
      <c r="W728" s="28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J728" s="34" t="str">
        <f aca="false">IF(OR($BD728&lt;&gt;"",$BF728&lt;&gt;"",$BH728&lt;&gt;""),"Yes","No")</f>
        <v>No</v>
      </c>
      <c r="BK728" s="35" t="str">
        <f aca="false">IFERROR(IF(BD728="","",BD728*INDEX('00 - Lists'!$M$2:$M$11,MATCH(L728,'00 - Lists'!$L$2:$L$11,0))/100000),"")</f>
        <v/>
      </c>
      <c r="BL728" s="35" t="str">
        <f aca="false">IFERROR(IF(BE728="","",BE728*INDEX('00 - Lists'!$M$2:$M$11,MATCH(L728,'00 - Lists'!$L$2:$L$11,0))/100000),"")</f>
        <v/>
      </c>
      <c r="BM728" s="35" t="str">
        <f aca="false">IFERROR(IF(BF728="","",BF728*INDEX('00 - Lists'!$M$2:$M$11,MATCH(L728,'00 - Lists'!$L$2:$L$11,0))/100000),"")</f>
        <v/>
      </c>
      <c r="BN728" s="35" t="str">
        <f aca="false">IFERROR(IF(BG728="","",BG728*INDEX('00 - Lists'!$M$2:$M$11,MATCH(L728,'00 - Lists'!$L$2:$L$11,0))/100000),"")</f>
        <v/>
      </c>
      <c r="BO728" s="35" t="str">
        <f aca="false">IFERROR(IF(BH728="","",BH728*INDEX('00 - Lists'!$M$2:$M$11,MATCH(L728,'00 - Lists'!$L$2:$L$11,0))/100000),"")</f>
        <v/>
      </c>
      <c r="BP728" s="35" t="str">
        <f aca="false">IFERROR(IF(BI728="","",BI728*INDEX('00 - Lists'!$M$2:$M$11,MATCH(L728,'00 - Lists'!$L$2:$L$11,0))/100000),"")</f>
        <v/>
      </c>
      <c r="BS728" s="36" t="str">
        <f aca="false">IF(O728="","",IF(O728&gt;=20,"Yes","No"))</f>
        <v/>
      </c>
      <c r="BT728" s="36" t="str">
        <f aca="false">IF(O728="","",IF(O728&gt;=30,"Yes","No"))</f>
        <v/>
      </c>
      <c r="BU728" s="36" t="str">
        <f aca="false">IF(O728="","",IF(O728&gt;=75,"Yes","No"))</f>
        <v/>
      </c>
      <c r="BV728" s="36" t="str">
        <f aca="false">IF(O728="","",IF(O728&gt;=100,"Yes","No"))</f>
        <v/>
      </c>
      <c r="BW728" s="36" t="str">
        <f aca="false">IF(O728="","",IF(O728&gt;=150,"Yes","No"))</f>
        <v/>
      </c>
      <c r="BX728" s="36" t="str">
        <f aca="false">IF(O728="","",IF(O728&gt;=200,"Yes","No"))</f>
        <v/>
      </c>
      <c r="BY728" s="36" t="str">
        <f aca="false">IF(Q728="","",IF(Q728&gt;=150000,"Yes","No"))</f>
        <v/>
      </c>
      <c r="BZ728" s="36" t="str">
        <f aca="false">IF(Q728="","",IF(Q728&gt;=200000,"Yes","No"))</f>
        <v/>
      </c>
      <c r="CA728" s="36" t="str">
        <f aca="false">IF(Q728="","",IF(Q728&gt;=250000,"Yes","No"))</f>
        <v/>
      </c>
      <c r="CB728" s="36" t="str">
        <f aca="false">IF(Q728="","",IF(Q728&gt;=300000,"Yes","No"))</f>
        <v/>
      </c>
      <c r="CC728" s="37"/>
      <c r="CD728" s="36" t="str">
        <f aca="true">IF(B728="","",IF(TODAY()-B728&lt;=7,"🟢 0-7d",IF(TODAY()-B728&lt;=30,"🟡 8-30d",IF(TODAY()-B728&lt;=60,"🟠 31-60d","🔴 60d+"))))</f>
        <v/>
      </c>
      <c r="CE728" s="36" t="str">
        <f aca="false">IF(G728="","",IF(G728&lt;&gt;"USA","N/A - Not USA Role",IF(J728="Yes",IF(OR(F728="Intern",F728="New Grad"),"🟡 Possible","🟢 Strong"),IF(J728="No","🔴 Difficult","⚪ Unknown"))))</f>
        <v/>
      </c>
      <c r="CF728" s="37"/>
      <c r="CG728" s="37"/>
      <c r="CH728" s="38"/>
      <c r="CI728" s="38"/>
      <c r="CJ728" s="38"/>
      <c r="CK728" s="38"/>
    </row>
    <row r="729" customFormat="false" ht="15" hidden="false" customHeight="true" outlineLevel="0" collapsed="false">
      <c r="A729" s="26" t="str">
        <f aca="false">IF($C729="","",ROW()-3)</f>
        <v/>
      </c>
      <c r="B729" s="27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9"/>
      <c r="N729" s="29"/>
      <c r="O729" s="30" t="str">
        <f aca="false">IFERROR(IF(M729="","",M729*INDEX('00 - Lists'!$M$2:$M$11,MATCH(L729,'00 - Lists'!$L$2:$L$11,0))/100000),"")</f>
        <v/>
      </c>
      <c r="P729" s="30" t="str">
        <f aca="false">IFERROR(IF(N729="","",N729*INDEX('00 - Lists'!$M$2:$M$11,MATCH(L729,'00 - Lists'!$L$2:$L$11,0))/100000),"")</f>
        <v/>
      </c>
      <c r="Q729" s="31" t="str">
        <f aca="false">IFERROR(IF(M729="","",M729*INDEX('00 - Lists'!$N$2:$N$11,MATCH(L729,'00 - Lists'!$L$2:$L$11,0))),"")</f>
        <v/>
      </c>
      <c r="R729" s="31" t="str">
        <f aca="false">IFERROR(IF(N729="","",N729*INDEX('00 - Lists'!$N$2:$N$11,MATCH(L729,'00 - Lists'!$L$2:$L$11,0))),"")</f>
        <v/>
      </c>
      <c r="S729" s="32" t="str">
        <f aca="false">IF(O729="","",IF(O729&gt;=50,"Yes","No"))</f>
        <v/>
      </c>
      <c r="T729" s="32" t="str">
        <f aca="false">IF(Q729="","",IF(Q729&gt;=100000,"Yes","No"))</f>
        <v/>
      </c>
      <c r="U729" s="28"/>
      <c r="V729" s="28"/>
      <c r="W729" s="28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J729" s="34" t="str">
        <f aca="false">IF(OR($BD729&lt;&gt;"",$BF729&lt;&gt;"",$BH729&lt;&gt;""),"Yes","No")</f>
        <v>No</v>
      </c>
      <c r="BK729" s="35" t="str">
        <f aca="false">IFERROR(IF(BD729="","",BD729*INDEX('00 - Lists'!$M$2:$M$11,MATCH(L729,'00 - Lists'!$L$2:$L$11,0))/100000),"")</f>
        <v/>
      </c>
      <c r="BL729" s="35" t="str">
        <f aca="false">IFERROR(IF(BE729="","",BE729*INDEX('00 - Lists'!$M$2:$M$11,MATCH(L729,'00 - Lists'!$L$2:$L$11,0))/100000),"")</f>
        <v/>
      </c>
      <c r="BM729" s="35" t="str">
        <f aca="false">IFERROR(IF(BF729="","",BF729*INDEX('00 - Lists'!$M$2:$M$11,MATCH(L729,'00 - Lists'!$L$2:$L$11,0))/100000),"")</f>
        <v/>
      </c>
      <c r="BN729" s="35" t="str">
        <f aca="false">IFERROR(IF(BG729="","",BG729*INDEX('00 - Lists'!$M$2:$M$11,MATCH(L729,'00 - Lists'!$L$2:$L$11,0))/100000),"")</f>
        <v/>
      </c>
      <c r="BO729" s="35" t="str">
        <f aca="false">IFERROR(IF(BH729="","",BH729*INDEX('00 - Lists'!$M$2:$M$11,MATCH(L729,'00 - Lists'!$L$2:$L$11,0))/100000),"")</f>
        <v/>
      </c>
      <c r="BP729" s="35" t="str">
        <f aca="false">IFERROR(IF(BI729="","",BI729*INDEX('00 - Lists'!$M$2:$M$11,MATCH(L729,'00 - Lists'!$L$2:$L$11,0))/100000),"")</f>
        <v/>
      </c>
      <c r="BS729" s="36" t="str">
        <f aca="false">IF(O729="","",IF(O729&gt;=20,"Yes","No"))</f>
        <v/>
      </c>
      <c r="BT729" s="36" t="str">
        <f aca="false">IF(O729="","",IF(O729&gt;=30,"Yes","No"))</f>
        <v/>
      </c>
      <c r="BU729" s="36" t="str">
        <f aca="false">IF(O729="","",IF(O729&gt;=75,"Yes","No"))</f>
        <v/>
      </c>
      <c r="BV729" s="36" t="str">
        <f aca="false">IF(O729="","",IF(O729&gt;=100,"Yes","No"))</f>
        <v/>
      </c>
      <c r="BW729" s="36" t="str">
        <f aca="false">IF(O729="","",IF(O729&gt;=150,"Yes","No"))</f>
        <v/>
      </c>
      <c r="BX729" s="36" t="str">
        <f aca="false">IF(O729="","",IF(O729&gt;=200,"Yes","No"))</f>
        <v/>
      </c>
      <c r="BY729" s="36" t="str">
        <f aca="false">IF(Q729="","",IF(Q729&gt;=150000,"Yes","No"))</f>
        <v/>
      </c>
      <c r="BZ729" s="36" t="str">
        <f aca="false">IF(Q729="","",IF(Q729&gt;=200000,"Yes","No"))</f>
        <v/>
      </c>
      <c r="CA729" s="36" t="str">
        <f aca="false">IF(Q729="","",IF(Q729&gt;=250000,"Yes","No"))</f>
        <v/>
      </c>
      <c r="CB729" s="36" t="str">
        <f aca="false">IF(Q729="","",IF(Q729&gt;=300000,"Yes","No"))</f>
        <v/>
      </c>
      <c r="CC729" s="37"/>
      <c r="CD729" s="36" t="str">
        <f aca="true">IF(B729="","",IF(TODAY()-B729&lt;=7,"🟢 0-7d",IF(TODAY()-B729&lt;=30,"🟡 8-30d",IF(TODAY()-B729&lt;=60,"🟠 31-60d","🔴 60d+"))))</f>
        <v/>
      </c>
      <c r="CE729" s="36" t="str">
        <f aca="false">IF(G729="","",IF(G729&lt;&gt;"USA","N/A - Not USA Role",IF(J729="Yes",IF(OR(F729="Intern",F729="New Grad"),"🟡 Possible","🟢 Strong"),IF(J729="No","🔴 Difficult","⚪ Unknown"))))</f>
        <v/>
      </c>
      <c r="CF729" s="37"/>
      <c r="CG729" s="37"/>
      <c r="CH729" s="38"/>
      <c r="CI729" s="38"/>
      <c r="CJ729" s="38"/>
      <c r="CK729" s="38"/>
    </row>
    <row r="730" customFormat="false" ht="15" hidden="false" customHeight="true" outlineLevel="0" collapsed="false">
      <c r="A730" s="26" t="str">
        <f aca="false">IF($C730="","",ROW()-3)</f>
        <v/>
      </c>
      <c r="B730" s="27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9"/>
      <c r="N730" s="29"/>
      <c r="O730" s="30" t="str">
        <f aca="false">IFERROR(IF(M730="","",M730*INDEX('00 - Lists'!$M$2:$M$11,MATCH(L730,'00 - Lists'!$L$2:$L$11,0))/100000),"")</f>
        <v/>
      </c>
      <c r="P730" s="30" t="str">
        <f aca="false">IFERROR(IF(N730="","",N730*INDEX('00 - Lists'!$M$2:$M$11,MATCH(L730,'00 - Lists'!$L$2:$L$11,0))/100000),"")</f>
        <v/>
      </c>
      <c r="Q730" s="31" t="str">
        <f aca="false">IFERROR(IF(M730="","",M730*INDEX('00 - Lists'!$N$2:$N$11,MATCH(L730,'00 - Lists'!$L$2:$L$11,0))),"")</f>
        <v/>
      </c>
      <c r="R730" s="31" t="str">
        <f aca="false">IFERROR(IF(N730="","",N730*INDEX('00 - Lists'!$N$2:$N$11,MATCH(L730,'00 - Lists'!$L$2:$L$11,0))),"")</f>
        <v/>
      </c>
      <c r="S730" s="32" t="str">
        <f aca="false">IF(O730="","",IF(O730&gt;=50,"Yes","No"))</f>
        <v/>
      </c>
      <c r="T730" s="32" t="str">
        <f aca="false">IF(Q730="","",IF(Q730&gt;=100000,"Yes","No"))</f>
        <v/>
      </c>
      <c r="U730" s="28"/>
      <c r="V730" s="28"/>
      <c r="W730" s="28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J730" s="34" t="str">
        <f aca="false">IF(OR($BD730&lt;&gt;"",$BF730&lt;&gt;"",$BH730&lt;&gt;""),"Yes","No")</f>
        <v>No</v>
      </c>
      <c r="BK730" s="35" t="str">
        <f aca="false">IFERROR(IF(BD730="","",BD730*INDEX('00 - Lists'!$M$2:$M$11,MATCH(L730,'00 - Lists'!$L$2:$L$11,0))/100000),"")</f>
        <v/>
      </c>
      <c r="BL730" s="35" t="str">
        <f aca="false">IFERROR(IF(BE730="","",BE730*INDEX('00 - Lists'!$M$2:$M$11,MATCH(L730,'00 - Lists'!$L$2:$L$11,0))/100000),"")</f>
        <v/>
      </c>
      <c r="BM730" s="35" t="str">
        <f aca="false">IFERROR(IF(BF730="","",BF730*INDEX('00 - Lists'!$M$2:$M$11,MATCH(L730,'00 - Lists'!$L$2:$L$11,0))/100000),"")</f>
        <v/>
      </c>
      <c r="BN730" s="35" t="str">
        <f aca="false">IFERROR(IF(BG730="","",BG730*INDEX('00 - Lists'!$M$2:$M$11,MATCH(L730,'00 - Lists'!$L$2:$L$11,0))/100000),"")</f>
        <v/>
      </c>
      <c r="BO730" s="35" t="str">
        <f aca="false">IFERROR(IF(BH730="","",BH730*INDEX('00 - Lists'!$M$2:$M$11,MATCH(L730,'00 - Lists'!$L$2:$L$11,0))/100000),"")</f>
        <v/>
      </c>
      <c r="BP730" s="35" t="str">
        <f aca="false">IFERROR(IF(BI730="","",BI730*INDEX('00 - Lists'!$M$2:$M$11,MATCH(L730,'00 - Lists'!$L$2:$L$11,0))/100000),"")</f>
        <v/>
      </c>
      <c r="BS730" s="36" t="str">
        <f aca="false">IF(O730="","",IF(O730&gt;=20,"Yes","No"))</f>
        <v/>
      </c>
      <c r="BT730" s="36" t="str">
        <f aca="false">IF(O730="","",IF(O730&gt;=30,"Yes","No"))</f>
        <v/>
      </c>
      <c r="BU730" s="36" t="str">
        <f aca="false">IF(O730="","",IF(O730&gt;=75,"Yes","No"))</f>
        <v/>
      </c>
      <c r="BV730" s="36" t="str">
        <f aca="false">IF(O730="","",IF(O730&gt;=100,"Yes","No"))</f>
        <v/>
      </c>
      <c r="BW730" s="36" t="str">
        <f aca="false">IF(O730="","",IF(O730&gt;=150,"Yes","No"))</f>
        <v/>
      </c>
      <c r="BX730" s="36" t="str">
        <f aca="false">IF(O730="","",IF(O730&gt;=200,"Yes","No"))</f>
        <v/>
      </c>
      <c r="BY730" s="36" t="str">
        <f aca="false">IF(Q730="","",IF(Q730&gt;=150000,"Yes","No"))</f>
        <v/>
      </c>
      <c r="BZ730" s="36" t="str">
        <f aca="false">IF(Q730="","",IF(Q730&gt;=200000,"Yes","No"))</f>
        <v/>
      </c>
      <c r="CA730" s="36" t="str">
        <f aca="false">IF(Q730="","",IF(Q730&gt;=250000,"Yes","No"))</f>
        <v/>
      </c>
      <c r="CB730" s="36" t="str">
        <f aca="false">IF(Q730="","",IF(Q730&gt;=300000,"Yes","No"))</f>
        <v/>
      </c>
      <c r="CC730" s="37"/>
      <c r="CD730" s="36" t="str">
        <f aca="true">IF(B730="","",IF(TODAY()-B730&lt;=7,"🟢 0-7d",IF(TODAY()-B730&lt;=30,"🟡 8-30d",IF(TODAY()-B730&lt;=60,"🟠 31-60d","🔴 60d+"))))</f>
        <v/>
      </c>
      <c r="CE730" s="36" t="str">
        <f aca="false">IF(G730="","",IF(G730&lt;&gt;"USA","N/A - Not USA Role",IF(J730="Yes",IF(OR(F730="Intern",F730="New Grad"),"🟡 Possible","🟢 Strong"),IF(J730="No","🔴 Difficult","⚪ Unknown"))))</f>
        <v/>
      </c>
      <c r="CF730" s="37"/>
      <c r="CG730" s="37"/>
      <c r="CH730" s="38"/>
      <c r="CI730" s="38"/>
      <c r="CJ730" s="38"/>
      <c r="CK730" s="38"/>
    </row>
    <row r="731" customFormat="false" ht="15" hidden="false" customHeight="true" outlineLevel="0" collapsed="false">
      <c r="A731" s="26" t="str">
        <f aca="false">IF($C731="","",ROW()-3)</f>
        <v/>
      </c>
      <c r="B731" s="27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9"/>
      <c r="N731" s="29"/>
      <c r="O731" s="30" t="str">
        <f aca="false">IFERROR(IF(M731="","",M731*INDEX('00 - Lists'!$M$2:$M$11,MATCH(L731,'00 - Lists'!$L$2:$L$11,0))/100000),"")</f>
        <v/>
      </c>
      <c r="P731" s="30" t="str">
        <f aca="false">IFERROR(IF(N731="","",N731*INDEX('00 - Lists'!$M$2:$M$11,MATCH(L731,'00 - Lists'!$L$2:$L$11,0))/100000),"")</f>
        <v/>
      </c>
      <c r="Q731" s="31" t="str">
        <f aca="false">IFERROR(IF(M731="","",M731*INDEX('00 - Lists'!$N$2:$N$11,MATCH(L731,'00 - Lists'!$L$2:$L$11,0))),"")</f>
        <v/>
      </c>
      <c r="R731" s="31" t="str">
        <f aca="false">IFERROR(IF(N731="","",N731*INDEX('00 - Lists'!$N$2:$N$11,MATCH(L731,'00 - Lists'!$L$2:$L$11,0))),"")</f>
        <v/>
      </c>
      <c r="S731" s="32" t="str">
        <f aca="false">IF(O731="","",IF(O731&gt;=50,"Yes","No"))</f>
        <v/>
      </c>
      <c r="T731" s="32" t="str">
        <f aca="false">IF(Q731="","",IF(Q731&gt;=100000,"Yes","No"))</f>
        <v/>
      </c>
      <c r="U731" s="28"/>
      <c r="V731" s="28"/>
      <c r="W731" s="28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J731" s="34" t="str">
        <f aca="false">IF(OR($BD731&lt;&gt;"",$BF731&lt;&gt;"",$BH731&lt;&gt;""),"Yes","No")</f>
        <v>No</v>
      </c>
      <c r="BK731" s="35" t="str">
        <f aca="false">IFERROR(IF(BD731="","",BD731*INDEX('00 - Lists'!$M$2:$M$11,MATCH(L731,'00 - Lists'!$L$2:$L$11,0))/100000),"")</f>
        <v/>
      </c>
      <c r="BL731" s="35" t="str">
        <f aca="false">IFERROR(IF(BE731="","",BE731*INDEX('00 - Lists'!$M$2:$M$11,MATCH(L731,'00 - Lists'!$L$2:$L$11,0))/100000),"")</f>
        <v/>
      </c>
      <c r="BM731" s="35" t="str">
        <f aca="false">IFERROR(IF(BF731="","",BF731*INDEX('00 - Lists'!$M$2:$M$11,MATCH(L731,'00 - Lists'!$L$2:$L$11,0))/100000),"")</f>
        <v/>
      </c>
      <c r="BN731" s="35" t="str">
        <f aca="false">IFERROR(IF(BG731="","",BG731*INDEX('00 - Lists'!$M$2:$M$11,MATCH(L731,'00 - Lists'!$L$2:$L$11,0))/100000),"")</f>
        <v/>
      </c>
      <c r="BO731" s="35" t="str">
        <f aca="false">IFERROR(IF(BH731="","",BH731*INDEX('00 - Lists'!$M$2:$M$11,MATCH(L731,'00 - Lists'!$L$2:$L$11,0))/100000),"")</f>
        <v/>
      </c>
      <c r="BP731" s="35" t="str">
        <f aca="false">IFERROR(IF(BI731="","",BI731*INDEX('00 - Lists'!$M$2:$M$11,MATCH(L731,'00 - Lists'!$L$2:$L$11,0))/100000),"")</f>
        <v/>
      </c>
      <c r="BS731" s="36" t="str">
        <f aca="false">IF(O731="","",IF(O731&gt;=20,"Yes","No"))</f>
        <v/>
      </c>
      <c r="BT731" s="36" t="str">
        <f aca="false">IF(O731="","",IF(O731&gt;=30,"Yes","No"))</f>
        <v/>
      </c>
      <c r="BU731" s="36" t="str">
        <f aca="false">IF(O731="","",IF(O731&gt;=75,"Yes","No"))</f>
        <v/>
      </c>
      <c r="BV731" s="36" t="str">
        <f aca="false">IF(O731="","",IF(O731&gt;=100,"Yes","No"))</f>
        <v/>
      </c>
      <c r="BW731" s="36" t="str">
        <f aca="false">IF(O731="","",IF(O731&gt;=150,"Yes","No"))</f>
        <v/>
      </c>
      <c r="BX731" s="36" t="str">
        <f aca="false">IF(O731="","",IF(O731&gt;=200,"Yes","No"))</f>
        <v/>
      </c>
      <c r="BY731" s="36" t="str">
        <f aca="false">IF(Q731="","",IF(Q731&gt;=150000,"Yes","No"))</f>
        <v/>
      </c>
      <c r="BZ731" s="36" t="str">
        <f aca="false">IF(Q731="","",IF(Q731&gt;=200000,"Yes","No"))</f>
        <v/>
      </c>
      <c r="CA731" s="36" t="str">
        <f aca="false">IF(Q731="","",IF(Q731&gt;=250000,"Yes","No"))</f>
        <v/>
      </c>
      <c r="CB731" s="36" t="str">
        <f aca="false">IF(Q731="","",IF(Q731&gt;=300000,"Yes","No"))</f>
        <v/>
      </c>
      <c r="CC731" s="37"/>
      <c r="CD731" s="36" t="str">
        <f aca="true">IF(B731="","",IF(TODAY()-B731&lt;=7,"🟢 0-7d",IF(TODAY()-B731&lt;=30,"🟡 8-30d",IF(TODAY()-B731&lt;=60,"🟠 31-60d","🔴 60d+"))))</f>
        <v/>
      </c>
      <c r="CE731" s="36" t="str">
        <f aca="false">IF(G731="","",IF(G731&lt;&gt;"USA","N/A - Not USA Role",IF(J731="Yes",IF(OR(F731="Intern",F731="New Grad"),"🟡 Possible","🟢 Strong"),IF(J731="No","🔴 Difficult","⚪ Unknown"))))</f>
        <v/>
      </c>
      <c r="CF731" s="37"/>
      <c r="CG731" s="37"/>
      <c r="CH731" s="38"/>
      <c r="CI731" s="38"/>
      <c r="CJ731" s="38"/>
      <c r="CK731" s="38"/>
    </row>
    <row r="732" customFormat="false" ht="15" hidden="false" customHeight="true" outlineLevel="0" collapsed="false">
      <c r="A732" s="26" t="str">
        <f aca="false">IF($C732="","",ROW()-3)</f>
        <v/>
      </c>
      <c r="B732" s="27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9"/>
      <c r="N732" s="29"/>
      <c r="O732" s="30" t="str">
        <f aca="false">IFERROR(IF(M732="","",M732*INDEX('00 - Lists'!$M$2:$M$11,MATCH(L732,'00 - Lists'!$L$2:$L$11,0))/100000),"")</f>
        <v/>
      </c>
      <c r="P732" s="30" t="str">
        <f aca="false">IFERROR(IF(N732="","",N732*INDEX('00 - Lists'!$M$2:$M$11,MATCH(L732,'00 - Lists'!$L$2:$L$11,0))/100000),"")</f>
        <v/>
      </c>
      <c r="Q732" s="31" t="str">
        <f aca="false">IFERROR(IF(M732="","",M732*INDEX('00 - Lists'!$N$2:$N$11,MATCH(L732,'00 - Lists'!$L$2:$L$11,0))),"")</f>
        <v/>
      </c>
      <c r="R732" s="31" t="str">
        <f aca="false">IFERROR(IF(N732="","",N732*INDEX('00 - Lists'!$N$2:$N$11,MATCH(L732,'00 - Lists'!$L$2:$L$11,0))),"")</f>
        <v/>
      </c>
      <c r="S732" s="32" t="str">
        <f aca="false">IF(O732="","",IF(O732&gt;=50,"Yes","No"))</f>
        <v/>
      </c>
      <c r="T732" s="32" t="str">
        <f aca="false">IF(Q732="","",IF(Q732&gt;=100000,"Yes","No"))</f>
        <v/>
      </c>
      <c r="U732" s="28"/>
      <c r="V732" s="28"/>
      <c r="W732" s="28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J732" s="34" t="str">
        <f aca="false">IF(OR($BD732&lt;&gt;"",$BF732&lt;&gt;"",$BH732&lt;&gt;""),"Yes","No")</f>
        <v>No</v>
      </c>
      <c r="BK732" s="35" t="str">
        <f aca="false">IFERROR(IF(BD732="","",BD732*INDEX('00 - Lists'!$M$2:$M$11,MATCH(L732,'00 - Lists'!$L$2:$L$11,0))/100000),"")</f>
        <v/>
      </c>
      <c r="BL732" s="35" t="str">
        <f aca="false">IFERROR(IF(BE732="","",BE732*INDEX('00 - Lists'!$M$2:$M$11,MATCH(L732,'00 - Lists'!$L$2:$L$11,0))/100000),"")</f>
        <v/>
      </c>
      <c r="BM732" s="35" t="str">
        <f aca="false">IFERROR(IF(BF732="","",BF732*INDEX('00 - Lists'!$M$2:$M$11,MATCH(L732,'00 - Lists'!$L$2:$L$11,0))/100000),"")</f>
        <v/>
      </c>
      <c r="BN732" s="35" t="str">
        <f aca="false">IFERROR(IF(BG732="","",BG732*INDEX('00 - Lists'!$M$2:$M$11,MATCH(L732,'00 - Lists'!$L$2:$L$11,0))/100000),"")</f>
        <v/>
      </c>
      <c r="BO732" s="35" t="str">
        <f aca="false">IFERROR(IF(BH732="","",BH732*INDEX('00 - Lists'!$M$2:$M$11,MATCH(L732,'00 - Lists'!$L$2:$L$11,0))/100000),"")</f>
        <v/>
      </c>
      <c r="BP732" s="35" t="str">
        <f aca="false">IFERROR(IF(BI732="","",BI732*INDEX('00 - Lists'!$M$2:$M$11,MATCH(L732,'00 - Lists'!$L$2:$L$11,0))/100000),"")</f>
        <v/>
      </c>
      <c r="BS732" s="36" t="str">
        <f aca="false">IF(O732="","",IF(O732&gt;=20,"Yes","No"))</f>
        <v/>
      </c>
      <c r="BT732" s="36" t="str">
        <f aca="false">IF(O732="","",IF(O732&gt;=30,"Yes","No"))</f>
        <v/>
      </c>
      <c r="BU732" s="36" t="str">
        <f aca="false">IF(O732="","",IF(O732&gt;=75,"Yes","No"))</f>
        <v/>
      </c>
      <c r="BV732" s="36" t="str">
        <f aca="false">IF(O732="","",IF(O732&gt;=100,"Yes","No"))</f>
        <v/>
      </c>
      <c r="BW732" s="36" t="str">
        <f aca="false">IF(O732="","",IF(O732&gt;=150,"Yes","No"))</f>
        <v/>
      </c>
      <c r="BX732" s="36" t="str">
        <f aca="false">IF(O732="","",IF(O732&gt;=200,"Yes","No"))</f>
        <v/>
      </c>
      <c r="BY732" s="36" t="str">
        <f aca="false">IF(Q732="","",IF(Q732&gt;=150000,"Yes","No"))</f>
        <v/>
      </c>
      <c r="BZ732" s="36" t="str">
        <f aca="false">IF(Q732="","",IF(Q732&gt;=200000,"Yes","No"))</f>
        <v/>
      </c>
      <c r="CA732" s="36" t="str">
        <f aca="false">IF(Q732="","",IF(Q732&gt;=250000,"Yes","No"))</f>
        <v/>
      </c>
      <c r="CB732" s="36" t="str">
        <f aca="false">IF(Q732="","",IF(Q732&gt;=300000,"Yes","No"))</f>
        <v/>
      </c>
      <c r="CC732" s="37"/>
      <c r="CD732" s="36" t="str">
        <f aca="true">IF(B732="","",IF(TODAY()-B732&lt;=7,"🟢 0-7d",IF(TODAY()-B732&lt;=30,"🟡 8-30d",IF(TODAY()-B732&lt;=60,"🟠 31-60d","🔴 60d+"))))</f>
        <v/>
      </c>
      <c r="CE732" s="36" t="str">
        <f aca="false">IF(G732="","",IF(G732&lt;&gt;"USA","N/A - Not USA Role",IF(J732="Yes",IF(OR(F732="Intern",F732="New Grad"),"🟡 Possible","🟢 Strong"),IF(J732="No","🔴 Difficult","⚪ Unknown"))))</f>
        <v/>
      </c>
      <c r="CF732" s="37"/>
      <c r="CG732" s="37"/>
      <c r="CH732" s="38"/>
      <c r="CI732" s="38"/>
      <c r="CJ732" s="38"/>
      <c r="CK732" s="38"/>
    </row>
    <row r="733" customFormat="false" ht="15" hidden="false" customHeight="true" outlineLevel="0" collapsed="false">
      <c r="A733" s="26" t="str">
        <f aca="false">IF($C733="","",ROW()-3)</f>
        <v/>
      </c>
      <c r="B733" s="27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9"/>
      <c r="N733" s="29"/>
      <c r="O733" s="30" t="str">
        <f aca="false">IFERROR(IF(M733="","",M733*INDEX('00 - Lists'!$M$2:$M$11,MATCH(L733,'00 - Lists'!$L$2:$L$11,0))/100000),"")</f>
        <v/>
      </c>
      <c r="P733" s="30" t="str">
        <f aca="false">IFERROR(IF(N733="","",N733*INDEX('00 - Lists'!$M$2:$M$11,MATCH(L733,'00 - Lists'!$L$2:$L$11,0))/100000),"")</f>
        <v/>
      </c>
      <c r="Q733" s="31" t="str">
        <f aca="false">IFERROR(IF(M733="","",M733*INDEX('00 - Lists'!$N$2:$N$11,MATCH(L733,'00 - Lists'!$L$2:$L$11,0))),"")</f>
        <v/>
      </c>
      <c r="R733" s="31" t="str">
        <f aca="false">IFERROR(IF(N733="","",N733*INDEX('00 - Lists'!$N$2:$N$11,MATCH(L733,'00 - Lists'!$L$2:$L$11,0))),"")</f>
        <v/>
      </c>
      <c r="S733" s="32" t="str">
        <f aca="false">IF(O733="","",IF(O733&gt;=50,"Yes","No"))</f>
        <v/>
      </c>
      <c r="T733" s="32" t="str">
        <f aca="false">IF(Q733="","",IF(Q733&gt;=100000,"Yes","No"))</f>
        <v/>
      </c>
      <c r="U733" s="28"/>
      <c r="V733" s="28"/>
      <c r="W733" s="28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J733" s="34" t="str">
        <f aca="false">IF(OR($BD733&lt;&gt;"",$BF733&lt;&gt;"",$BH733&lt;&gt;""),"Yes","No")</f>
        <v>No</v>
      </c>
      <c r="BK733" s="35" t="str">
        <f aca="false">IFERROR(IF(BD733="","",BD733*INDEX('00 - Lists'!$M$2:$M$11,MATCH(L733,'00 - Lists'!$L$2:$L$11,0))/100000),"")</f>
        <v/>
      </c>
      <c r="BL733" s="35" t="str">
        <f aca="false">IFERROR(IF(BE733="","",BE733*INDEX('00 - Lists'!$M$2:$M$11,MATCH(L733,'00 - Lists'!$L$2:$L$11,0))/100000),"")</f>
        <v/>
      </c>
      <c r="BM733" s="35" t="str">
        <f aca="false">IFERROR(IF(BF733="","",BF733*INDEX('00 - Lists'!$M$2:$M$11,MATCH(L733,'00 - Lists'!$L$2:$L$11,0))/100000),"")</f>
        <v/>
      </c>
      <c r="BN733" s="35" t="str">
        <f aca="false">IFERROR(IF(BG733="","",BG733*INDEX('00 - Lists'!$M$2:$M$11,MATCH(L733,'00 - Lists'!$L$2:$L$11,0))/100000),"")</f>
        <v/>
      </c>
      <c r="BO733" s="35" t="str">
        <f aca="false">IFERROR(IF(BH733="","",BH733*INDEX('00 - Lists'!$M$2:$M$11,MATCH(L733,'00 - Lists'!$L$2:$L$11,0))/100000),"")</f>
        <v/>
      </c>
      <c r="BP733" s="35" t="str">
        <f aca="false">IFERROR(IF(BI733="","",BI733*INDEX('00 - Lists'!$M$2:$M$11,MATCH(L733,'00 - Lists'!$L$2:$L$11,0))/100000),"")</f>
        <v/>
      </c>
      <c r="BS733" s="36" t="str">
        <f aca="false">IF(O733="","",IF(O733&gt;=20,"Yes","No"))</f>
        <v/>
      </c>
      <c r="BT733" s="36" t="str">
        <f aca="false">IF(O733="","",IF(O733&gt;=30,"Yes","No"))</f>
        <v/>
      </c>
      <c r="BU733" s="36" t="str">
        <f aca="false">IF(O733="","",IF(O733&gt;=75,"Yes","No"))</f>
        <v/>
      </c>
      <c r="BV733" s="36" t="str">
        <f aca="false">IF(O733="","",IF(O733&gt;=100,"Yes","No"))</f>
        <v/>
      </c>
      <c r="BW733" s="36" t="str">
        <f aca="false">IF(O733="","",IF(O733&gt;=150,"Yes","No"))</f>
        <v/>
      </c>
      <c r="BX733" s="36" t="str">
        <f aca="false">IF(O733="","",IF(O733&gt;=200,"Yes","No"))</f>
        <v/>
      </c>
      <c r="BY733" s="36" t="str">
        <f aca="false">IF(Q733="","",IF(Q733&gt;=150000,"Yes","No"))</f>
        <v/>
      </c>
      <c r="BZ733" s="36" t="str">
        <f aca="false">IF(Q733="","",IF(Q733&gt;=200000,"Yes","No"))</f>
        <v/>
      </c>
      <c r="CA733" s="36" t="str">
        <f aca="false">IF(Q733="","",IF(Q733&gt;=250000,"Yes","No"))</f>
        <v/>
      </c>
      <c r="CB733" s="36" t="str">
        <f aca="false">IF(Q733="","",IF(Q733&gt;=300000,"Yes","No"))</f>
        <v/>
      </c>
      <c r="CC733" s="37"/>
      <c r="CD733" s="36" t="str">
        <f aca="true">IF(B733="","",IF(TODAY()-B733&lt;=7,"🟢 0-7d",IF(TODAY()-B733&lt;=30,"🟡 8-30d",IF(TODAY()-B733&lt;=60,"🟠 31-60d","🔴 60d+"))))</f>
        <v/>
      </c>
      <c r="CE733" s="36" t="str">
        <f aca="false">IF(G733="","",IF(G733&lt;&gt;"USA","N/A - Not USA Role",IF(J733="Yes",IF(OR(F733="Intern",F733="New Grad"),"🟡 Possible","🟢 Strong"),IF(J733="No","🔴 Difficult","⚪ Unknown"))))</f>
        <v/>
      </c>
      <c r="CF733" s="37"/>
      <c r="CG733" s="37"/>
      <c r="CH733" s="38"/>
      <c r="CI733" s="38"/>
      <c r="CJ733" s="38"/>
      <c r="CK733" s="38"/>
    </row>
    <row r="734" customFormat="false" ht="15" hidden="false" customHeight="true" outlineLevel="0" collapsed="false">
      <c r="A734" s="26" t="str">
        <f aca="false">IF($C734="","",ROW()-3)</f>
        <v/>
      </c>
      <c r="B734" s="27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9"/>
      <c r="N734" s="29"/>
      <c r="O734" s="30" t="str">
        <f aca="false">IFERROR(IF(M734="","",M734*INDEX('00 - Lists'!$M$2:$M$11,MATCH(L734,'00 - Lists'!$L$2:$L$11,0))/100000),"")</f>
        <v/>
      </c>
      <c r="P734" s="30" t="str">
        <f aca="false">IFERROR(IF(N734="","",N734*INDEX('00 - Lists'!$M$2:$M$11,MATCH(L734,'00 - Lists'!$L$2:$L$11,0))/100000),"")</f>
        <v/>
      </c>
      <c r="Q734" s="31" t="str">
        <f aca="false">IFERROR(IF(M734="","",M734*INDEX('00 - Lists'!$N$2:$N$11,MATCH(L734,'00 - Lists'!$L$2:$L$11,0))),"")</f>
        <v/>
      </c>
      <c r="R734" s="31" t="str">
        <f aca="false">IFERROR(IF(N734="","",N734*INDEX('00 - Lists'!$N$2:$N$11,MATCH(L734,'00 - Lists'!$L$2:$L$11,0))),"")</f>
        <v/>
      </c>
      <c r="S734" s="32" t="str">
        <f aca="false">IF(O734="","",IF(O734&gt;=50,"Yes","No"))</f>
        <v/>
      </c>
      <c r="T734" s="32" t="str">
        <f aca="false">IF(Q734="","",IF(Q734&gt;=100000,"Yes","No"))</f>
        <v/>
      </c>
      <c r="U734" s="28"/>
      <c r="V734" s="28"/>
      <c r="W734" s="28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J734" s="34" t="str">
        <f aca="false">IF(OR($BD734&lt;&gt;"",$BF734&lt;&gt;"",$BH734&lt;&gt;""),"Yes","No")</f>
        <v>No</v>
      </c>
      <c r="BK734" s="35" t="str">
        <f aca="false">IFERROR(IF(BD734="","",BD734*INDEX('00 - Lists'!$M$2:$M$11,MATCH(L734,'00 - Lists'!$L$2:$L$11,0))/100000),"")</f>
        <v/>
      </c>
      <c r="BL734" s="35" t="str">
        <f aca="false">IFERROR(IF(BE734="","",BE734*INDEX('00 - Lists'!$M$2:$M$11,MATCH(L734,'00 - Lists'!$L$2:$L$11,0))/100000),"")</f>
        <v/>
      </c>
      <c r="BM734" s="35" t="str">
        <f aca="false">IFERROR(IF(BF734="","",BF734*INDEX('00 - Lists'!$M$2:$M$11,MATCH(L734,'00 - Lists'!$L$2:$L$11,0))/100000),"")</f>
        <v/>
      </c>
      <c r="BN734" s="35" t="str">
        <f aca="false">IFERROR(IF(BG734="","",BG734*INDEX('00 - Lists'!$M$2:$M$11,MATCH(L734,'00 - Lists'!$L$2:$L$11,0))/100000),"")</f>
        <v/>
      </c>
      <c r="BO734" s="35" t="str">
        <f aca="false">IFERROR(IF(BH734="","",BH734*INDEX('00 - Lists'!$M$2:$M$11,MATCH(L734,'00 - Lists'!$L$2:$L$11,0))/100000),"")</f>
        <v/>
      </c>
      <c r="BP734" s="35" t="str">
        <f aca="false">IFERROR(IF(BI734="","",BI734*INDEX('00 - Lists'!$M$2:$M$11,MATCH(L734,'00 - Lists'!$L$2:$L$11,0))/100000),"")</f>
        <v/>
      </c>
      <c r="BS734" s="36" t="str">
        <f aca="false">IF(O734="","",IF(O734&gt;=20,"Yes","No"))</f>
        <v/>
      </c>
      <c r="BT734" s="36" t="str">
        <f aca="false">IF(O734="","",IF(O734&gt;=30,"Yes","No"))</f>
        <v/>
      </c>
      <c r="BU734" s="36" t="str">
        <f aca="false">IF(O734="","",IF(O734&gt;=75,"Yes","No"))</f>
        <v/>
      </c>
      <c r="BV734" s="36" t="str">
        <f aca="false">IF(O734="","",IF(O734&gt;=100,"Yes","No"))</f>
        <v/>
      </c>
      <c r="BW734" s="36" t="str">
        <f aca="false">IF(O734="","",IF(O734&gt;=150,"Yes","No"))</f>
        <v/>
      </c>
      <c r="BX734" s="36" t="str">
        <f aca="false">IF(O734="","",IF(O734&gt;=200,"Yes","No"))</f>
        <v/>
      </c>
      <c r="BY734" s="36" t="str">
        <f aca="false">IF(Q734="","",IF(Q734&gt;=150000,"Yes","No"))</f>
        <v/>
      </c>
      <c r="BZ734" s="36" t="str">
        <f aca="false">IF(Q734="","",IF(Q734&gt;=200000,"Yes","No"))</f>
        <v/>
      </c>
      <c r="CA734" s="36" t="str">
        <f aca="false">IF(Q734="","",IF(Q734&gt;=250000,"Yes","No"))</f>
        <v/>
      </c>
      <c r="CB734" s="36" t="str">
        <f aca="false">IF(Q734="","",IF(Q734&gt;=300000,"Yes","No"))</f>
        <v/>
      </c>
      <c r="CC734" s="37"/>
      <c r="CD734" s="36" t="str">
        <f aca="true">IF(B734="","",IF(TODAY()-B734&lt;=7,"🟢 0-7d",IF(TODAY()-B734&lt;=30,"🟡 8-30d",IF(TODAY()-B734&lt;=60,"🟠 31-60d","🔴 60d+"))))</f>
        <v/>
      </c>
      <c r="CE734" s="36" t="str">
        <f aca="false">IF(G734="","",IF(G734&lt;&gt;"USA","N/A - Not USA Role",IF(J734="Yes",IF(OR(F734="Intern",F734="New Grad"),"🟡 Possible","🟢 Strong"),IF(J734="No","🔴 Difficult","⚪ Unknown"))))</f>
        <v/>
      </c>
      <c r="CF734" s="37"/>
      <c r="CG734" s="37"/>
      <c r="CH734" s="38"/>
      <c r="CI734" s="38"/>
      <c r="CJ734" s="38"/>
      <c r="CK734" s="38"/>
    </row>
    <row r="735" customFormat="false" ht="15" hidden="false" customHeight="true" outlineLevel="0" collapsed="false">
      <c r="A735" s="26" t="str">
        <f aca="false">IF($C735="","",ROW()-3)</f>
        <v/>
      </c>
      <c r="B735" s="27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9"/>
      <c r="N735" s="29"/>
      <c r="O735" s="30" t="str">
        <f aca="false">IFERROR(IF(M735="","",M735*INDEX('00 - Lists'!$M$2:$M$11,MATCH(L735,'00 - Lists'!$L$2:$L$11,0))/100000),"")</f>
        <v/>
      </c>
      <c r="P735" s="30" t="str">
        <f aca="false">IFERROR(IF(N735="","",N735*INDEX('00 - Lists'!$M$2:$M$11,MATCH(L735,'00 - Lists'!$L$2:$L$11,0))/100000),"")</f>
        <v/>
      </c>
      <c r="Q735" s="31" t="str">
        <f aca="false">IFERROR(IF(M735="","",M735*INDEX('00 - Lists'!$N$2:$N$11,MATCH(L735,'00 - Lists'!$L$2:$L$11,0))),"")</f>
        <v/>
      </c>
      <c r="R735" s="31" t="str">
        <f aca="false">IFERROR(IF(N735="","",N735*INDEX('00 - Lists'!$N$2:$N$11,MATCH(L735,'00 - Lists'!$L$2:$L$11,0))),"")</f>
        <v/>
      </c>
      <c r="S735" s="32" t="str">
        <f aca="false">IF(O735="","",IF(O735&gt;=50,"Yes","No"))</f>
        <v/>
      </c>
      <c r="T735" s="32" t="str">
        <f aca="false">IF(Q735="","",IF(Q735&gt;=100000,"Yes","No"))</f>
        <v/>
      </c>
      <c r="U735" s="28"/>
      <c r="V735" s="28"/>
      <c r="W735" s="28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J735" s="34" t="str">
        <f aca="false">IF(OR($BD735&lt;&gt;"",$BF735&lt;&gt;"",$BH735&lt;&gt;""),"Yes","No")</f>
        <v>No</v>
      </c>
      <c r="BK735" s="35" t="str">
        <f aca="false">IFERROR(IF(BD735="","",BD735*INDEX('00 - Lists'!$M$2:$M$11,MATCH(L735,'00 - Lists'!$L$2:$L$11,0))/100000),"")</f>
        <v/>
      </c>
      <c r="BL735" s="35" t="str">
        <f aca="false">IFERROR(IF(BE735="","",BE735*INDEX('00 - Lists'!$M$2:$M$11,MATCH(L735,'00 - Lists'!$L$2:$L$11,0))/100000),"")</f>
        <v/>
      </c>
      <c r="BM735" s="35" t="str">
        <f aca="false">IFERROR(IF(BF735="","",BF735*INDEX('00 - Lists'!$M$2:$M$11,MATCH(L735,'00 - Lists'!$L$2:$L$11,0))/100000),"")</f>
        <v/>
      </c>
      <c r="BN735" s="35" t="str">
        <f aca="false">IFERROR(IF(BG735="","",BG735*INDEX('00 - Lists'!$M$2:$M$11,MATCH(L735,'00 - Lists'!$L$2:$L$11,0))/100000),"")</f>
        <v/>
      </c>
      <c r="BO735" s="35" t="str">
        <f aca="false">IFERROR(IF(BH735="","",BH735*INDEX('00 - Lists'!$M$2:$M$11,MATCH(L735,'00 - Lists'!$L$2:$L$11,0))/100000),"")</f>
        <v/>
      </c>
      <c r="BP735" s="35" t="str">
        <f aca="false">IFERROR(IF(BI735="","",BI735*INDEX('00 - Lists'!$M$2:$M$11,MATCH(L735,'00 - Lists'!$L$2:$L$11,0))/100000),"")</f>
        <v/>
      </c>
      <c r="BS735" s="36" t="str">
        <f aca="false">IF(O735="","",IF(O735&gt;=20,"Yes","No"))</f>
        <v/>
      </c>
      <c r="BT735" s="36" t="str">
        <f aca="false">IF(O735="","",IF(O735&gt;=30,"Yes","No"))</f>
        <v/>
      </c>
      <c r="BU735" s="36" t="str">
        <f aca="false">IF(O735="","",IF(O735&gt;=75,"Yes","No"))</f>
        <v/>
      </c>
      <c r="BV735" s="36" t="str">
        <f aca="false">IF(O735="","",IF(O735&gt;=100,"Yes","No"))</f>
        <v/>
      </c>
      <c r="BW735" s="36" t="str">
        <f aca="false">IF(O735="","",IF(O735&gt;=150,"Yes","No"))</f>
        <v/>
      </c>
      <c r="BX735" s="36" t="str">
        <f aca="false">IF(O735="","",IF(O735&gt;=200,"Yes","No"))</f>
        <v/>
      </c>
      <c r="BY735" s="36" t="str">
        <f aca="false">IF(Q735="","",IF(Q735&gt;=150000,"Yes","No"))</f>
        <v/>
      </c>
      <c r="BZ735" s="36" t="str">
        <f aca="false">IF(Q735="","",IF(Q735&gt;=200000,"Yes","No"))</f>
        <v/>
      </c>
      <c r="CA735" s="36" t="str">
        <f aca="false">IF(Q735="","",IF(Q735&gt;=250000,"Yes","No"))</f>
        <v/>
      </c>
      <c r="CB735" s="36" t="str">
        <f aca="false">IF(Q735="","",IF(Q735&gt;=300000,"Yes","No"))</f>
        <v/>
      </c>
      <c r="CC735" s="37"/>
      <c r="CD735" s="36" t="str">
        <f aca="true">IF(B735="","",IF(TODAY()-B735&lt;=7,"🟢 0-7d",IF(TODAY()-B735&lt;=30,"🟡 8-30d",IF(TODAY()-B735&lt;=60,"🟠 31-60d","🔴 60d+"))))</f>
        <v/>
      </c>
      <c r="CE735" s="36" t="str">
        <f aca="false">IF(G735="","",IF(G735&lt;&gt;"USA","N/A - Not USA Role",IF(J735="Yes",IF(OR(F735="Intern",F735="New Grad"),"🟡 Possible","🟢 Strong"),IF(J735="No","🔴 Difficult","⚪ Unknown"))))</f>
        <v/>
      </c>
      <c r="CF735" s="37"/>
      <c r="CG735" s="37"/>
      <c r="CH735" s="38"/>
      <c r="CI735" s="38"/>
      <c r="CJ735" s="38"/>
      <c r="CK735" s="38"/>
    </row>
    <row r="736" customFormat="false" ht="15" hidden="false" customHeight="true" outlineLevel="0" collapsed="false">
      <c r="A736" s="26" t="str">
        <f aca="false">IF($C736="","",ROW()-3)</f>
        <v/>
      </c>
      <c r="B736" s="27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9"/>
      <c r="N736" s="29"/>
      <c r="O736" s="30" t="str">
        <f aca="false">IFERROR(IF(M736="","",M736*INDEX('00 - Lists'!$M$2:$M$11,MATCH(L736,'00 - Lists'!$L$2:$L$11,0))/100000),"")</f>
        <v/>
      </c>
      <c r="P736" s="30" t="str">
        <f aca="false">IFERROR(IF(N736="","",N736*INDEX('00 - Lists'!$M$2:$M$11,MATCH(L736,'00 - Lists'!$L$2:$L$11,0))/100000),"")</f>
        <v/>
      </c>
      <c r="Q736" s="31" t="str">
        <f aca="false">IFERROR(IF(M736="","",M736*INDEX('00 - Lists'!$N$2:$N$11,MATCH(L736,'00 - Lists'!$L$2:$L$11,0))),"")</f>
        <v/>
      </c>
      <c r="R736" s="31" t="str">
        <f aca="false">IFERROR(IF(N736="","",N736*INDEX('00 - Lists'!$N$2:$N$11,MATCH(L736,'00 - Lists'!$L$2:$L$11,0))),"")</f>
        <v/>
      </c>
      <c r="S736" s="32" t="str">
        <f aca="false">IF(O736="","",IF(O736&gt;=50,"Yes","No"))</f>
        <v/>
      </c>
      <c r="T736" s="32" t="str">
        <f aca="false">IF(Q736="","",IF(Q736&gt;=100000,"Yes","No"))</f>
        <v/>
      </c>
      <c r="U736" s="28"/>
      <c r="V736" s="28"/>
      <c r="W736" s="28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J736" s="34" t="str">
        <f aca="false">IF(OR($BD736&lt;&gt;"",$BF736&lt;&gt;"",$BH736&lt;&gt;""),"Yes","No")</f>
        <v>No</v>
      </c>
      <c r="BK736" s="35" t="str">
        <f aca="false">IFERROR(IF(BD736="","",BD736*INDEX('00 - Lists'!$M$2:$M$11,MATCH(L736,'00 - Lists'!$L$2:$L$11,0))/100000),"")</f>
        <v/>
      </c>
      <c r="BL736" s="35" t="str">
        <f aca="false">IFERROR(IF(BE736="","",BE736*INDEX('00 - Lists'!$M$2:$M$11,MATCH(L736,'00 - Lists'!$L$2:$L$11,0))/100000),"")</f>
        <v/>
      </c>
      <c r="BM736" s="35" t="str">
        <f aca="false">IFERROR(IF(BF736="","",BF736*INDEX('00 - Lists'!$M$2:$M$11,MATCH(L736,'00 - Lists'!$L$2:$L$11,0))/100000),"")</f>
        <v/>
      </c>
      <c r="BN736" s="35" t="str">
        <f aca="false">IFERROR(IF(BG736="","",BG736*INDEX('00 - Lists'!$M$2:$M$11,MATCH(L736,'00 - Lists'!$L$2:$L$11,0))/100000),"")</f>
        <v/>
      </c>
      <c r="BO736" s="35" t="str">
        <f aca="false">IFERROR(IF(BH736="","",BH736*INDEX('00 - Lists'!$M$2:$M$11,MATCH(L736,'00 - Lists'!$L$2:$L$11,0))/100000),"")</f>
        <v/>
      </c>
      <c r="BP736" s="35" t="str">
        <f aca="false">IFERROR(IF(BI736="","",BI736*INDEX('00 - Lists'!$M$2:$M$11,MATCH(L736,'00 - Lists'!$L$2:$L$11,0))/100000),"")</f>
        <v/>
      </c>
      <c r="BS736" s="36" t="str">
        <f aca="false">IF(O736="","",IF(O736&gt;=20,"Yes","No"))</f>
        <v/>
      </c>
      <c r="BT736" s="36" t="str">
        <f aca="false">IF(O736="","",IF(O736&gt;=30,"Yes","No"))</f>
        <v/>
      </c>
      <c r="BU736" s="36" t="str">
        <f aca="false">IF(O736="","",IF(O736&gt;=75,"Yes","No"))</f>
        <v/>
      </c>
      <c r="BV736" s="36" t="str">
        <f aca="false">IF(O736="","",IF(O736&gt;=100,"Yes","No"))</f>
        <v/>
      </c>
      <c r="BW736" s="36" t="str">
        <f aca="false">IF(O736="","",IF(O736&gt;=150,"Yes","No"))</f>
        <v/>
      </c>
      <c r="BX736" s="36" t="str">
        <f aca="false">IF(O736="","",IF(O736&gt;=200,"Yes","No"))</f>
        <v/>
      </c>
      <c r="BY736" s="36" t="str">
        <f aca="false">IF(Q736="","",IF(Q736&gt;=150000,"Yes","No"))</f>
        <v/>
      </c>
      <c r="BZ736" s="36" t="str">
        <f aca="false">IF(Q736="","",IF(Q736&gt;=200000,"Yes","No"))</f>
        <v/>
      </c>
      <c r="CA736" s="36" t="str">
        <f aca="false">IF(Q736="","",IF(Q736&gt;=250000,"Yes","No"))</f>
        <v/>
      </c>
      <c r="CB736" s="36" t="str">
        <f aca="false">IF(Q736="","",IF(Q736&gt;=300000,"Yes","No"))</f>
        <v/>
      </c>
      <c r="CC736" s="37"/>
      <c r="CD736" s="36" t="str">
        <f aca="true">IF(B736="","",IF(TODAY()-B736&lt;=7,"🟢 0-7d",IF(TODAY()-B736&lt;=30,"🟡 8-30d",IF(TODAY()-B736&lt;=60,"🟠 31-60d","🔴 60d+"))))</f>
        <v/>
      </c>
      <c r="CE736" s="36" t="str">
        <f aca="false">IF(G736="","",IF(G736&lt;&gt;"USA","N/A - Not USA Role",IF(J736="Yes",IF(OR(F736="Intern",F736="New Grad"),"🟡 Possible","🟢 Strong"),IF(J736="No","🔴 Difficult","⚪ Unknown"))))</f>
        <v/>
      </c>
      <c r="CF736" s="37"/>
      <c r="CG736" s="37"/>
      <c r="CH736" s="38"/>
      <c r="CI736" s="38"/>
      <c r="CJ736" s="38"/>
      <c r="CK736" s="38"/>
    </row>
    <row r="737" customFormat="false" ht="15" hidden="false" customHeight="true" outlineLevel="0" collapsed="false">
      <c r="A737" s="26" t="str">
        <f aca="false">IF($C737="","",ROW()-3)</f>
        <v/>
      </c>
      <c r="B737" s="27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9"/>
      <c r="N737" s="29"/>
      <c r="O737" s="30" t="str">
        <f aca="false">IFERROR(IF(M737="","",M737*INDEX('00 - Lists'!$M$2:$M$11,MATCH(L737,'00 - Lists'!$L$2:$L$11,0))/100000),"")</f>
        <v/>
      </c>
      <c r="P737" s="30" t="str">
        <f aca="false">IFERROR(IF(N737="","",N737*INDEX('00 - Lists'!$M$2:$M$11,MATCH(L737,'00 - Lists'!$L$2:$L$11,0))/100000),"")</f>
        <v/>
      </c>
      <c r="Q737" s="31" t="str">
        <f aca="false">IFERROR(IF(M737="","",M737*INDEX('00 - Lists'!$N$2:$N$11,MATCH(L737,'00 - Lists'!$L$2:$L$11,0))),"")</f>
        <v/>
      </c>
      <c r="R737" s="31" t="str">
        <f aca="false">IFERROR(IF(N737="","",N737*INDEX('00 - Lists'!$N$2:$N$11,MATCH(L737,'00 - Lists'!$L$2:$L$11,0))),"")</f>
        <v/>
      </c>
      <c r="S737" s="32" t="str">
        <f aca="false">IF(O737="","",IF(O737&gt;=50,"Yes","No"))</f>
        <v/>
      </c>
      <c r="T737" s="32" t="str">
        <f aca="false">IF(Q737="","",IF(Q737&gt;=100000,"Yes","No"))</f>
        <v/>
      </c>
      <c r="U737" s="28"/>
      <c r="V737" s="28"/>
      <c r="W737" s="28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J737" s="34" t="str">
        <f aca="false">IF(OR($BD737&lt;&gt;"",$BF737&lt;&gt;"",$BH737&lt;&gt;""),"Yes","No")</f>
        <v>No</v>
      </c>
      <c r="BK737" s="35" t="str">
        <f aca="false">IFERROR(IF(BD737="","",BD737*INDEX('00 - Lists'!$M$2:$M$11,MATCH(L737,'00 - Lists'!$L$2:$L$11,0))/100000),"")</f>
        <v/>
      </c>
      <c r="BL737" s="35" t="str">
        <f aca="false">IFERROR(IF(BE737="","",BE737*INDEX('00 - Lists'!$M$2:$M$11,MATCH(L737,'00 - Lists'!$L$2:$L$11,0))/100000),"")</f>
        <v/>
      </c>
      <c r="BM737" s="35" t="str">
        <f aca="false">IFERROR(IF(BF737="","",BF737*INDEX('00 - Lists'!$M$2:$M$11,MATCH(L737,'00 - Lists'!$L$2:$L$11,0))/100000),"")</f>
        <v/>
      </c>
      <c r="BN737" s="35" t="str">
        <f aca="false">IFERROR(IF(BG737="","",BG737*INDEX('00 - Lists'!$M$2:$M$11,MATCH(L737,'00 - Lists'!$L$2:$L$11,0))/100000),"")</f>
        <v/>
      </c>
      <c r="BO737" s="35" t="str">
        <f aca="false">IFERROR(IF(BH737="","",BH737*INDEX('00 - Lists'!$M$2:$M$11,MATCH(L737,'00 - Lists'!$L$2:$L$11,0))/100000),"")</f>
        <v/>
      </c>
      <c r="BP737" s="35" t="str">
        <f aca="false">IFERROR(IF(BI737="","",BI737*INDEX('00 - Lists'!$M$2:$M$11,MATCH(L737,'00 - Lists'!$L$2:$L$11,0))/100000),"")</f>
        <v/>
      </c>
      <c r="BS737" s="36" t="str">
        <f aca="false">IF(O737="","",IF(O737&gt;=20,"Yes","No"))</f>
        <v/>
      </c>
      <c r="BT737" s="36" t="str">
        <f aca="false">IF(O737="","",IF(O737&gt;=30,"Yes","No"))</f>
        <v/>
      </c>
      <c r="BU737" s="36" t="str">
        <f aca="false">IF(O737="","",IF(O737&gt;=75,"Yes","No"))</f>
        <v/>
      </c>
      <c r="BV737" s="36" t="str">
        <f aca="false">IF(O737="","",IF(O737&gt;=100,"Yes","No"))</f>
        <v/>
      </c>
      <c r="BW737" s="36" t="str">
        <f aca="false">IF(O737="","",IF(O737&gt;=150,"Yes","No"))</f>
        <v/>
      </c>
      <c r="BX737" s="36" t="str">
        <f aca="false">IF(O737="","",IF(O737&gt;=200,"Yes","No"))</f>
        <v/>
      </c>
      <c r="BY737" s="36" t="str">
        <f aca="false">IF(Q737="","",IF(Q737&gt;=150000,"Yes","No"))</f>
        <v/>
      </c>
      <c r="BZ737" s="36" t="str">
        <f aca="false">IF(Q737="","",IF(Q737&gt;=200000,"Yes","No"))</f>
        <v/>
      </c>
      <c r="CA737" s="36" t="str">
        <f aca="false">IF(Q737="","",IF(Q737&gt;=250000,"Yes","No"))</f>
        <v/>
      </c>
      <c r="CB737" s="36" t="str">
        <f aca="false">IF(Q737="","",IF(Q737&gt;=300000,"Yes","No"))</f>
        <v/>
      </c>
      <c r="CC737" s="37"/>
      <c r="CD737" s="36" t="str">
        <f aca="true">IF(B737="","",IF(TODAY()-B737&lt;=7,"🟢 0-7d",IF(TODAY()-B737&lt;=30,"🟡 8-30d",IF(TODAY()-B737&lt;=60,"🟠 31-60d","🔴 60d+"))))</f>
        <v/>
      </c>
      <c r="CE737" s="36" t="str">
        <f aca="false">IF(G737="","",IF(G737&lt;&gt;"USA","N/A - Not USA Role",IF(J737="Yes",IF(OR(F737="Intern",F737="New Grad"),"🟡 Possible","🟢 Strong"),IF(J737="No","🔴 Difficult","⚪ Unknown"))))</f>
        <v/>
      </c>
      <c r="CF737" s="37"/>
      <c r="CG737" s="37"/>
      <c r="CH737" s="38"/>
      <c r="CI737" s="38"/>
      <c r="CJ737" s="38"/>
      <c r="CK737" s="38"/>
    </row>
    <row r="738" customFormat="false" ht="15" hidden="false" customHeight="true" outlineLevel="0" collapsed="false">
      <c r="A738" s="26" t="str">
        <f aca="false">IF($C738="","",ROW()-3)</f>
        <v/>
      </c>
      <c r="B738" s="27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9"/>
      <c r="N738" s="29"/>
      <c r="O738" s="30" t="str">
        <f aca="false">IFERROR(IF(M738="","",M738*INDEX('00 - Lists'!$M$2:$M$11,MATCH(L738,'00 - Lists'!$L$2:$L$11,0))/100000),"")</f>
        <v/>
      </c>
      <c r="P738" s="30" t="str">
        <f aca="false">IFERROR(IF(N738="","",N738*INDEX('00 - Lists'!$M$2:$M$11,MATCH(L738,'00 - Lists'!$L$2:$L$11,0))/100000),"")</f>
        <v/>
      </c>
      <c r="Q738" s="31" t="str">
        <f aca="false">IFERROR(IF(M738="","",M738*INDEX('00 - Lists'!$N$2:$N$11,MATCH(L738,'00 - Lists'!$L$2:$L$11,0))),"")</f>
        <v/>
      </c>
      <c r="R738" s="31" t="str">
        <f aca="false">IFERROR(IF(N738="","",N738*INDEX('00 - Lists'!$N$2:$N$11,MATCH(L738,'00 - Lists'!$L$2:$L$11,0))),"")</f>
        <v/>
      </c>
      <c r="S738" s="32" t="str">
        <f aca="false">IF(O738="","",IF(O738&gt;=50,"Yes","No"))</f>
        <v/>
      </c>
      <c r="T738" s="32" t="str">
        <f aca="false">IF(Q738="","",IF(Q738&gt;=100000,"Yes","No"))</f>
        <v/>
      </c>
      <c r="U738" s="28"/>
      <c r="V738" s="28"/>
      <c r="W738" s="28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J738" s="34" t="str">
        <f aca="false">IF(OR($BD738&lt;&gt;"",$BF738&lt;&gt;"",$BH738&lt;&gt;""),"Yes","No")</f>
        <v>No</v>
      </c>
      <c r="BK738" s="35" t="str">
        <f aca="false">IFERROR(IF(BD738="","",BD738*INDEX('00 - Lists'!$M$2:$M$11,MATCH(L738,'00 - Lists'!$L$2:$L$11,0))/100000),"")</f>
        <v/>
      </c>
      <c r="BL738" s="35" t="str">
        <f aca="false">IFERROR(IF(BE738="","",BE738*INDEX('00 - Lists'!$M$2:$M$11,MATCH(L738,'00 - Lists'!$L$2:$L$11,0))/100000),"")</f>
        <v/>
      </c>
      <c r="BM738" s="35" t="str">
        <f aca="false">IFERROR(IF(BF738="","",BF738*INDEX('00 - Lists'!$M$2:$M$11,MATCH(L738,'00 - Lists'!$L$2:$L$11,0))/100000),"")</f>
        <v/>
      </c>
      <c r="BN738" s="35" t="str">
        <f aca="false">IFERROR(IF(BG738="","",BG738*INDEX('00 - Lists'!$M$2:$M$11,MATCH(L738,'00 - Lists'!$L$2:$L$11,0))/100000),"")</f>
        <v/>
      </c>
      <c r="BO738" s="35" t="str">
        <f aca="false">IFERROR(IF(BH738="","",BH738*INDEX('00 - Lists'!$M$2:$M$11,MATCH(L738,'00 - Lists'!$L$2:$L$11,0))/100000),"")</f>
        <v/>
      </c>
      <c r="BP738" s="35" t="str">
        <f aca="false">IFERROR(IF(BI738="","",BI738*INDEX('00 - Lists'!$M$2:$M$11,MATCH(L738,'00 - Lists'!$L$2:$L$11,0))/100000),"")</f>
        <v/>
      </c>
      <c r="BS738" s="36" t="str">
        <f aca="false">IF(O738="","",IF(O738&gt;=20,"Yes","No"))</f>
        <v/>
      </c>
      <c r="BT738" s="36" t="str">
        <f aca="false">IF(O738="","",IF(O738&gt;=30,"Yes","No"))</f>
        <v/>
      </c>
      <c r="BU738" s="36" t="str">
        <f aca="false">IF(O738="","",IF(O738&gt;=75,"Yes","No"))</f>
        <v/>
      </c>
      <c r="BV738" s="36" t="str">
        <f aca="false">IF(O738="","",IF(O738&gt;=100,"Yes","No"))</f>
        <v/>
      </c>
      <c r="BW738" s="36" t="str">
        <f aca="false">IF(O738="","",IF(O738&gt;=150,"Yes","No"))</f>
        <v/>
      </c>
      <c r="BX738" s="36" t="str">
        <f aca="false">IF(O738="","",IF(O738&gt;=200,"Yes","No"))</f>
        <v/>
      </c>
      <c r="BY738" s="36" t="str">
        <f aca="false">IF(Q738="","",IF(Q738&gt;=150000,"Yes","No"))</f>
        <v/>
      </c>
      <c r="BZ738" s="36" t="str">
        <f aca="false">IF(Q738="","",IF(Q738&gt;=200000,"Yes","No"))</f>
        <v/>
      </c>
      <c r="CA738" s="36" t="str">
        <f aca="false">IF(Q738="","",IF(Q738&gt;=250000,"Yes","No"))</f>
        <v/>
      </c>
      <c r="CB738" s="36" t="str">
        <f aca="false">IF(Q738="","",IF(Q738&gt;=300000,"Yes","No"))</f>
        <v/>
      </c>
      <c r="CC738" s="37"/>
      <c r="CD738" s="36" t="str">
        <f aca="true">IF(B738="","",IF(TODAY()-B738&lt;=7,"🟢 0-7d",IF(TODAY()-B738&lt;=30,"🟡 8-30d",IF(TODAY()-B738&lt;=60,"🟠 31-60d","🔴 60d+"))))</f>
        <v/>
      </c>
      <c r="CE738" s="36" t="str">
        <f aca="false">IF(G738="","",IF(G738&lt;&gt;"USA","N/A - Not USA Role",IF(J738="Yes",IF(OR(F738="Intern",F738="New Grad"),"🟡 Possible","🟢 Strong"),IF(J738="No","🔴 Difficult","⚪ Unknown"))))</f>
        <v/>
      </c>
      <c r="CF738" s="37"/>
      <c r="CG738" s="37"/>
      <c r="CH738" s="38"/>
      <c r="CI738" s="38"/>
      <c r="CJ738" s="38"/>
      <c r="CK738" s="38"/>
    </row>
    <row r="739" customFormat="false" ht="15" hidden="false" customHeight="true" outlineLevel="0" collapsed="false">
      <c r="A739" s="26" t="str">
        <f aca="false">IF($C739="","",ROW()-3)</f>
        <v/>
      </c>
      <c r="B739" s="27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9"/>
      <c r="N739" s="29"/>
      <c r="O739" s="30" t="str">
        <f aca="false">IFERROR(IF(M739="","",M739*INDEX('00 - Lists'!$M$2:$M$11,MATCH(L739,'00 - Lists'!$L$2:$L$11,0))/100000),"")</f>
        <v/>
      </c>
      <c r="P739" s="30" t="str">
        <f aca="false">IFERROR(IF(N739="","",N739*INDEX('00 - Lists'!$M$2:$M$11,MATCH(L739,'00 - Lists'!$L$2:$L$11,0))/100000),"")</f>
        <v/>
      </c>
      <c r="Q739" s="31" t="str">
        <f aca="false">IFERROR(IF(M739="","",M739*INDEX('00 - Lists'!$N$2:$N$11,MATCH(L739,'00 - Lists'!$L$2:$L$11,0))),"")</f>
        <v/>
      </c>
      <c r="R739" s="31" t="str">
        <f aca="false">IFERROR(IF(N739="","",N739*INDEX('00 - Lists'!$N$2:$N$11,MATCH(L739,'00 - Lists'!$L$2:$L$11,0))),"")</f>
        <v/>
      </c>
      <c r="S739" s="32" t="str">
        <f aca="false">IF(O739="","",IF(O739&gt;=50,"Yes","No"))</f>
        <v/>
      </c>
      <c r="T739" s="32" t="str">
        <f aca="false">IF(Q739="","",IF(Q739&gt;=100000,"Yes","No"))</f>
        <v/>
      </c>
      <c r="U739" s="28"/>
      <c r="V739" s="28"/>
      <c r="W739" s="28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J739" s="34" t="str">
        <f aca="false">IF(OR($BD739&lt;&gt;"",$BF739&lt;&gt;"",$BH739&lt;&gt;""),"Yes","No")</f>
        <v>No</v>
      </c>
      <c r="BK739" s="35" t="str">
        <f aca="false">IFERROR(IF(BD739="","",BD739*INDEX('00 - Lists'!$M$2:$M$11,MATCH(L739,'00 - Lists'!$L$2:$L$11,0))/100000),"")</f>
        <v/>
      </c>
      <c r="BL739" s="35" t="str">
        <f aca="false">IFERROR(IF(BE739="","",BE739*INDEX('00 - Lists'!$M$2:$M$11,MATCH(L739,'00 - Lists'!$L$2:$L$11,0))/100000),"")</f>
        <v/>
      </c>
      <c r="BM739" s="35" t="str">
        <f aca="false">IFERROR(IF(BF739="","",BF739*INDEX('00 - Lists'!$M$2:$M$11,MATCH(L739,'00 - Lists'!$L$2:$L$11,0))/100000),"")</f>
        <v/>
      </c>
      <c r="BN739" s="35" t="str">
        <f aca="false">IFERROR(IF(BG739="","",BG739*INDEX('00 - Lists'!$M$2:$M$11,MATCH(L739,'00 - Lists'!$L$2:$L$11,0))/100000),"")</f>
        <v/>
      </c>
      <c r="BO739" s="35" t="str">
        <f aca="false">IFERROR(IF(BH739="","",BH739*INDEX('00 - Lists'!$M$2:$M$11,MATCH(L739,'00 - Lists'!$L$2:$L$11,0))/100000),"")</f>
        <v/>
      </c>
      <c r="BP739" s="35" t="str">
        <f aca="false">IFERROR(IF(BI739="","",BI739*INDEX('00 - Lists'!$M$2:$M$11,MATCH(L739,'00 - Lists'!$L$2:$L$11,0))/100000),"")</f>
        <v/>
      </c>
      <c r="BS739" s="36" t="str">
        <f aca="false">IF(O739="","",IF(O739&gt;=20,"Yes","No"))</f>
        <v/>
      </c>
      <c r="BT739" s="36" t="str">
        <f aca="false">IF(O739="","",IF(O739&gt;=30,"Yes","No"))</f>
        <v/>
      </c>
      <c r="BU739" s="36" t="str">
        <f aca="false">IF(O739="","",IF(O739&gt;=75,"Yes","No"))</f>
        <v/>
      </c>
      <c r="BV739" s="36" t="str">
        <f aca="false">IF(O739="","",IF(O739&gt;=100,"Yes","No"))</f>
        <v/>
      </c>
      <c r="BW739" s="36" t="str">
        <f aca="false">IF(O739="","",IF(O739&gt;=150,"Yes","No"))</f>
        <v/>
      </c>
      <c r="BX739" s="36" t="str">
        <f aca="false">IF(O739="","",IF(O739&gt;=200,"Yes","No"))</f>
        <v/>
      </c>
      <c r="BY739" s="36" t="str">
        <f aca="false">IF(Q739="","",IF(Q739&gt;=150000,"Yes","No"))</f>
        <v/>
      </c>
      <c r="BZ739" s="36" t="str">
        <f aca="false">IF(Q739="","",IF(Q739&gt;=200000,"Yes","No"))</f>
        <v/>
      </c>
      <c r="CA739" s="36" t="str">
        <f aca="false">IF(Q739="","",IF(Q739&gt;=250000,"Yes","No"))</f>
        <v/>
      </c>
      <c r="CB739" s="36" t="str">
        <f aca="false">IF(Q739="","",IF(Q739&gt;=300000,"Yes","No"))</f>
        <v/>
      </c>
      <c r="CC739" s="37"/>
      <c r="CD739" s="36" t="str">
        <f aca="true">IF(B739="","",IF(TODAY()-B739&lt;=7,"🟢 0-7d",IF(TODAY()-B739&lt;=30,"🟡 8-30d",IF(TODAY()-B739&lt;=60,"🟠 31-60d","🔴 60d+"))))</f>
        <v/>
      </c>
      <c r="CE739" s="36" t="str">
        <f aca="false">IF(G739="","",IF(G739&lt;&gt;"USA","N/A - Not USA Role",IF(J739="Yes",IF(OR(F739="Intern",F739="New Grad"),"🟡 Possible","🟢 Strong"),IF(J739="No","🔴 Difficult","⚪ Unknown"))))</f>
        <v/>
      </c>
      <c r="CF739" s="37"/>
      <c r="CG739" s="37"/>
      <c r="CH739" s="38"/>
      <c r="CI739" s="38"/>
      <c r="CJ739" s="38"/>
      <c r="CK739" s="38"/>
    </row>
    <row r="740" customFormat="false" ht="15" hidden="false" customHeight="true" outlineLevel="0" collapsed="false">
      <c r="A740" s="26" t="str">
        <f aca="false">IF($C740="","",ROW()-3)</f>
        <v/>
      </c>
      <c r="B740" s="27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9"/>
      <c r="N740" s="29"/>
      <c r="O740" s="30" t="str">
        <f aca="false">IFERROR(IF(M740="","",M740*INDEX('00 - Lists'!$M$2:$M$11,MATCH(L740,'00 - Lists'!$L$2:$L$11,0))/100000),"")</f>
        <v/>
      </c>
      <c r="P740" s="30" t="str">
        <f aca="false">IFERROR(IF(N740="","",N740*INDEX('00 - Lists'!$M$2:$M$11,MATCH(L740,'00 - Lists'!$L$2:$L$11,0))/100000),"")</f>
        <v/>
      </c>
      <c r="Q740" s="31" t="str">
        <f aca="false">IFERROR(IF(M740="","",M740*INDEX('00 - Lists'!$N$2:$N$11,MATCH(L740,'00 - Lists'!$L$2:$L$11,0))),"")</f>
        <v/>
      </c>
      <c r="R740" s="31" t="str">
        <f aca="false">IFERROR(IF(N740="","",N740*INDEX('00 - Lists'!$N$2:$N$11,MATCH(L740,'00 - Lists'!$L$2:$L$11,0))),"")</f>
        <v/>
      </c>
      <c r="S740" s="32" t="str">
        <f aca="false">IF(O740="","",IF(O740&gt;=50,"Yes","No"))</f>
        <v/>
      </c>
      <c r="T740" s="32" t="str">
        <f aca="false">IF(Q740="","",IF(Q740&gt;=100000,"Yes","No"))</f>
        <v/>
      </c>
      <c r="U740" s="28"/>
      <c r="V740" s="28"/>
      <c r="W740" s="28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J740" s="34" t="str">
        <f aca="false">IF(OR($BD740&lt;&gt;"",$BF740&lt;&gt;"",$BH740&lt;&gt;""),"Yes","No")</f>
        <v>No</v>
      </c>
      <c r="BK740" s="35" t="str">
        <f aca="false">IFERROR(IF(BD740="","",BD740*INDEX('00 - Lists'!$M$2:$M$11,MATCH(L740,'00 - Lists'!$L$2:$L$11,0))/100000),"")</f>
        <v/>
      </c>
      <c r="BL740" s="35" t="str">
        <f aca="false">IFERROR(IF(BE740="","",BE740*INDEX('00 - Lists'!$M$2:$M$11,MATCH(L740,'00 - Lists'!$L$2:$L$11,0))/100000),"")</f>
        <v/>
      </c>
      <c r="BM740" s="35" t="str">
        <f aca="false">IFERROR(IF(BF740="","",BF740*INDEX('00 - Lists'!$M$2:$M$11,MATCH(L740,'00 - Lists'!$L$2:$L$11,0))/100000),"")</f>
        <v/>
      </c>
      <c r="BN740" s="35" t="str">
        <f aca="false">IFERROR(IF(BG740="","",BG740*INDEX('00 - Lists'!$M$2:$M$11,MATCH(L740,'00 - Lists'!$L$2:$L$11,0))/100000),"")</f>
        <v/>
      </c>
      <c r="BO740" s="35" t="str">
        <f aca="false">IFERROR(IF(BH740="","",BH740*INDEX('00 - Lists'!$M$2:$M$11,MATCH(L740,'00 - Lists'!$L$2:$L$11,0))/100000),"")</f>
        <v/>
      </c>
      <c r="BP740" s="35" t="str">
        <f aca="false">IFERROR(IF(BI740="","",BI740*INDEX('00 - Lists'!$M$2:$M$11,MATCH(L740,'00 - Lists'!$L$2:$L$11,0))/100000),"")</f>
        <v/>
      </c>
      <c r="BS740" s="36" t="str">
        <f aca="false">IF(O740="","",IF(O740&gt;=20,"Yes","No"))</f>
        <v/>
      </c>
      <c r="BT740" s="36" t="str">
        <f aca="false">IF(O740="","",IF(O740&gt;=30,"Yes","No"))</f>
        <v/>
      </c>
      <c r="BU740" s="36" t="str">
        <f aca="false">IF(O740="","",IF(O740&gt;=75,"Yes","No"))</f>
        <v/>
      </c>
      <c r="BV740" s="36" t="str">
        <f aca="false">IF(O740="","",IF(O740&gt;=100,"Yes","No"))</f>
        <v/>
      </c>
      <c r="BW740" s="36" t="str">
        <f aca="false">IF(O740="","",IF(O740&gt;=150,"Yes","No"))</f>
        <v/>
      </c>
      <c r="BX740" s="36" t="str">
        <f aca="false">IF(O740="","",IF(O740&gt;=200,"Yes","No"))</f>
        <v/>
      </c>
      <c r="BY740" s="36" t="str">
        <f aca="false">IF(Q740="","",IF(Q740&gt;=150000,"Yes","No"))</f>
        <v/>
      </c>
      <c r="BZ740" s="36" t="str">
        <f aca="false">IF(Q740="","",IF(Q740&gt;=200000,"Yes","No"))</f>
        <v/>
      </c>
      <c r="CA740" s="36" t="str">
        <f aca="false">IF(Q740="","",IF(Q740&gt;=250000,"Yes","No"))</f>
        <v/>
      </c>
      <c r="CB740" s="36" t="str">
        <f aca="false">IF(Q740="","",IF(Q740&gt;=300000,"Yes","No"))</f>
        <v/>
      </c>
      <c r="CC740" s="37"/>
      <c r="CD740" s="36" t="str">
        <f aca="true">IF(B740="","",IF(TODAY()-B740&lt;=7,"🟢 0-7d",IF(TODAY()-B740&lt;=30,"🟡 8-30d",IF(TODAY()-B740&lt;=60,"🟠 31-60d","🔴 60d+"))))</f>
        <v/>
      </c>
      <c r="CE740" s="36" t="str">
        <f aca="false">IF(G740="","",IF(G740&lt;&gt;"USA","N/A - Not USA Role",IF(J740="Yes",IF(OR(F740="Intern",F740="New Grad"),"🟡 Possible","🟢 Strong"),IF(J740="No","🔴 Difficult","⚪ Unknown"))))</f>
        <v/>
      </c>
      <c r="CF740" s="37"/>
      <c r="CG740" s="37"/>
      <c r="CH740" s="38"/>
      <c r="CI740" s="38"/>
      <c r="CJ740" s="38"/>
      <c r="CK740" s="38"/>
    </row>
    <row r="741" customFormat="false" ht="15" hidden="false" customHeight="true" outlineLevel="0" collapsed="false">
      <c r="A741" s="26" t="str">
        <f aca="false">IF($C741="","",ROW()-3)</f>
        <v/>
      </c>
      <c r="B741" s="27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9"/>
      <c r="N741" s="29"/>
      <c r="O741" s="30" t="str">
        <f aca="false">IFERROR(IF(M741="","",M741*INDEX('00 - Lists'!$M$2:$M$11,MATCH(L741,'00 - Lists'!$L$2:$L$11,0))/100000),"")</f>
        <v/>
      </c>
      <c r="P741" s="30" t="str">
        <f aca="false">IFERROR(IF(N741="","",N741*INDEX('00 - Lists'!$M$2:$M$11,MATCH(L741,'00 - Lists'!$L$2:$L$11,0))/100000),"")</f>
        <v/>
      </c>
      <c r="Q741" s="31" t="str">
        <f aca="false">IFERROR(IF(M741="","",M741*INDEX('00 - Lists'!$N$2:$N$11,MATCH(L741,'00 - Lists'!$L$2:$L$11,0))),"")</f>
        <v/>
      </c>
      <c r="R741" s="31" t="str">
        <f aca="false">IFERROR(IF(N741="","",N741*INDEX('00 - Lists'!$N$2:$N$11,MATCH(L741,'00 - Lists'!$L$2:$L$11,0))),"")</f>
        <v/>
      </c>
      <c r="S741" s="32" t="str">
        <f aca="false">IF(O741="","",IF(O741&gt;=50,"Yes","No"))</f>
        <v/>
      </c>
      <c r="T741" s="32" t="str">
        <f aca="false">IF(Q741="","",IF(Q741&gt;=100000,"Yes","No"))</f>
        <v/>
      </c>
      <c r="U741" s="28"/>
      <c r="V741" s="28"/>
      <c r="W741" s="28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J741" s="34" t="str">
        <f aca="false">IF(OR($BD741&lt;&gt;"",$BF741&lt;&gt;"",$BH741&lt;&gt;""),"Yes","No")</f>
        <v>No</v>
      </c>
      <c r="BK741" s="35" t="str">
        <f aca="false">IFERROR(IF(BD741="","",BD741*INDEX('00 - Lists'!$M$2:$M$11,MATCH(L741,'00 - Lists'!$L$2:$L$11,0))/100000),"")</f>
        <v/>
      </c>
      <c r="BL741" s="35" t="str">
        <f aca="false">IFERROR(IF(BE741="","",BE741*INDEX('00 - Lists'!$M$2:$M$11,MATCH(L741,'00 - Lists'!$L$2:$L$11,0))/100000),"")</f>
        <v/>
      </c>
      <c r="BM741" s="35" t="str">
        <f aca="false">IFERROR(IF(BF741="","",BF741*INDEX('00 - Lists'!$M$2:$M$11,MATCH(L741,'00 - Lists'!$L$2:$L$11,0))/100000),"")</f>
        <v/>
      </c>
      <c r="BN741" s="35" t="str">
        <f aca="false">IFERROR(IF(BG741="","",BG741*INDEX('00 - Lists'!$M$2:$M$11,MATCH(L741,'00 - Lists'!$L$2:$L$11,0))/100000),"")</f>
        <v/>
      </c>
      <c r="BO741" s="35" t="str">
        <f aca="false">IFERROR(IF(BH741="","",BH741*INDEX('00 - Lists'!$M$2:$M$11,MATCH(L741,'00 - Lists'!$L$2:$L$11,0))/100000),"")</f>
        <v/>
      </c>
      <c r="BP741" s="35" t="str">
        <f aca="false">IFERROR(IF(BI741="","",BI741*INDEX('00 - Lists'!$M$2:$M$11,MATCH(L741,'00 - Lists'!$L$2:$L$11,0))/100000),"")</f>
        <v/>
      </c>
      <c r="BS741" s="36" t="str">
        <f aca="false">IF(O741="","",IF(O741&gt;=20,"Yes","No"))</f>
        <v/>
      </c>
      <c r="BT741" s="36" t="str">
        <f aca="false">IF(O741="","",IF(O741&gt;=30,"Yes","No"))</f>
        <v/>
      </c>
      <c r="BU741" s="36" t="str">
        <f aca="false">IF(O741="","",IF(O741&gt;=75,"Yes","No"))</f>
        <v/>
      </c>
      <c r="BV741" s="36" t="str">
        <f aca="false">IF(O741="","",IF(O741&gt;=100,"Yes","No"))</f>
        <v/>
      </c>
      <c r="BW741" s="36" t="str">
        <f aca="false">IF(O741="","",IF(O741&gt;=150,"Yes","No"))</f>
        <v/>
      </c>
      <c r="BX741" s="36" t="str">
        <f aca="false">IF(O741="","",IF(O741&gt;=200,"Yes","No"))</f>
        <v/>
      </c>
      <c r="BY741" s="36" t="str">
        <f aca="false">IF(Q741="","",IF(Q741&gt;=150000,"Yes","No"))</f>
        <v/>
      </c>
      <c r="BZ741" s="36" t="str">
        <f aca="false">IF(Q741="","",IF(Q741&gt;=200000,"Yes","No"))</f>
        <v/>
      </c>
      <c r="CA741" s="36" t="str">
        <f aca="false">IF(Q741="","",IF(Q741&gt;=250000,"Yes","No"))</f>
        <v/>
      </c>
      <c r="CB741" s="36" t="str">
        <f aca="false">IF(Q741="","",IF(Q741&gt;=300000,"Yes","No"))</f>
        <v/>
      </c>
      <c r="CC741" s="37"/>
      <c r="CD741" s="36" t="str">
        <f aca="true">IF(B741="","",IF(TODAY()-B741&lt;=7,"🟢 0-7d",IF(TODAY()-B741&lt;=30,"🟡 8-30d",IF(TODAY()-B741&lt;=60,"🟠 31-60d","🔴 60d+"))))</f>
        <v/>
      </c>
      <c r="CE741" s="36" t="str">
        <f aca="false">IF(G741="","",IF(G741&lt;&gt;"USA","N/A - Not USA Role",IF(J741="Yes",IF(OR(F741="Intern",F741="New Grad"),"🟡 Possible","🟢 Strong"),IF(J741="No","🔴 Difficult","⚪ Unknown"))))</f>
        <v/>
      </c>
      <c r="CF741" s="37"/>
      <c r="CG741" s="37"/>
      <c r="CH741" s="38"/>
      <c r="CI741" s="38"/>
      <c r="CJ741" s="38"/>
      <c r="CK741" s="38"/>
    </row>
    <row r="742" customFormat="false" ht="15" hidden="false" customHeight="true" outlineLevel="0" collapsed="false">
      <c r="A742" s="26" t="str">
        <f aca="false">IF($C742="","",ROW()-3)</f>
        <v/>
      </c>
      <c r="B742" s="27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9"/>
      <c r="N742" s="29"/>
      <c r="O742" s="30" t="str">
        <f aca="false">IFERROR(IF(M742="","",M742*INDEX('00 - Lists'!$M$2:$M$11,MATCH(L742,'00 - Lists'!$L$2:$L$11,0))/100000),"")</f>
        <v/>
      </c>
      <c r="P742" s="30" t="str">
        <f aca="false">IFERROR(IF(N742="","",N742*INDEX('00 - Lists'!$M$2:$M$11,MATCH(L742,'00 - Lists'!$L$2:$L$11,0))/100000),"")</f>
        <v/>
      </c>
      <c r="Q742" s="31" t="str">
        <f aca="false">IFERROR(IF(M742="","",M742*INDEX('00 - Lists'!$N$2:$N$11,MATCH(L742,'00 - Lists'!$L$2:$L$11,0))),"")</f>
        <v/>
      </c>
      <c r="R742" s="31" t="str">
        <f aca="false">IFERROR(IF(N742="","",N742*INDEX('00 - Lists'!$N$2:$N$11,MATCH(L742,'00 - Lists'!$L$2:$L$11,0))),"")</f>
        <v/>
      </c>
      <c r="S742" s="32" t="str">
        <f aca="false">IF(O742="","",IF(O742&gt;=50,"Yes","No"))</f>
        <v/>
      </c>
      <c r="T742" s="32" t="str">
        <f aca="false">IF(Q742="","",IF(Q742&gt;=100000,"Yes","No"))</f>
        <v/>
      </c>
      <c r="U742" s="28"/>
      <c r="V742" s="28"/>
      <c r="W742" s="28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J742" s="34" t="str">
        <f aca="false">IF(OR($BD742&lt;&gt;"",$BF742&lt;&gt;"",$BH742&lt;&gt;""),"Yes","No")</f>
        <v>No</v>
      </c>
      <c r="BK742" s="35" t="str">
        <f aca="false">IFERROR(IF(BD742="","",BD742*INDEX('00 - Lists'!$M$2:$M$11,MATCH(L742,'00 - Lists'!$L$2:$L$11,0))/100000),"")</f>
        <v/>
      </c>
      <c r="BL742" s="35" t="str">
        <f aca="false">IFERROR(IF(BE742="","",BE742*INDEX('00 - Lists'!$M$2:$M$11,MATCH(L742,'00 - Lists'!$L$2:$L$11,0))/100000),"")</f>
        <v/>
      </c>
      <c r="BM742" s="35" t="str">
        <f aca="false">IFERROR(IF(BF742="","",BF742*INDEX('00 - Lists'!$M$2:$M$11,MATCH(L742,'00 - Lists'!$L$2:$L$11,0))/100000),"")</f>
        <v/>
      </c>
      <c r="BN742" s="35" t="str">
        <f aca="false">IFERROR(IF(BG742="","",BG742*INDEX('00 - Lists'!$M$2:$M$11,MATCH(L742,'00 - Lists'!$L$2:$L$11,0))/100000),"")</f>
        <v/>
      </c>
      <c r="BO742" s="35" t="str">
        <f aca="false">IFERROR(IF(BH742="","",BH742*INDEX('00 - Lists'!$M$2:$M$11,MATCH(L742,'00 - Lists'!$L$2:$L$11,0))/100000),"")</f>
        <v/>
      </c>
      <c r="BP742" s="35" t="str">
        <f aca="false">IFERROR(IF(BI742="","",BI742*INDEX('00 - Lists'!$M$2:$M$11,MATCH(L742,'00 - Lists'!$L$2:$L$11,0))/100000),"")</f>
        <v/>
      </c>
      <c r="BS742" s="36" t="str">
        <f aca="false">IF(O742="","",IF(O742&gt;=20,"Yes","No"))</f>
        <v/>
      </c>
      <c r="BT742" s="36" t="str">
        <f aca="false">IF(O742="","",IF(O742&gt;=30,"Yes","No"))</f>
        <v/>
      </c>
      <c r="BU742" s="36" t="str">
        <f aca="false">IF(O742="","",IF(O742&gt;=75,"Yes","No"))</f>
        <v/>
      </c>
      <c r="BV742" s="36" t="str">
        <f aca="false">IF(O742="","",IF(O742&gt;=100,"Yes","No"))</f>
        <v/>
      </c>
      <c r="BW742" s="36" t="str">
        <f aca="false">IF(O742="","",IF(O742&gt;=150,"Yes","No"))</f>
        <v/>
      </c>
      <c r="BX742" s="36" t="str">
        <f aca="false">IF(O742="","",IF(O742&gt;=200,"Yes","No"))</f>
        <v/>
      </c>
      <c r="BY742" s="36" t="str">
        <f aca="false">IF(Q742="","",IF(Q742&gt;=150000,"Yes","No"))</f>
        <v/>
      </c>
      <c r="BZ742" s="36" t="str">
        <f aca="false">IF(Q742="","",IF(Q742&gt;=200000,"Yes","No"))</f>
        <v/>
      </c>
      <c r="CA742" s="36" t="str">
        <f aca="false">IF(Q742="","",IF(Q742&gt;=250000,"Yes","No"))</f>
        <v/>
      </c>
      <c r="CB742" s="36" t="str">
        <f aca="false">IF(Q742="","",IF(Q742&gt;=300000,"Yes","No"))</f>
        <v/>
      </c>
      <c r="CC742" s="37"/>
      <c r="CD742" s="36" t="str">
        <f aca="true">IF(B742="","",IF(TODAY()-B742&lt;=7,"🟢 0-7d",IF(TODAY()-B742&lt;=30,"🟡 8-30d",IF(TODAY()-B742&lt;=60,"🟠 31-60d","🔴 60d+"))))</f>
        <v/>
      </c>
      <c r="CE742" s="36" t="str">
        <f aca="false">IF(G742="","",IF(G742&lt;&gt;"USA","N/A - Not USA Role",IF(J742="Yes",IF(OR(F742="Intern",F742="New Grad"),"🟡 Possible","🟢 Strong"),IF(J742="No","🔴 Difficult","⚪ Unknown"))))</f>
        <v/>
      </c>
      <c r="CF742" s="37"/>
      <c r="CG742" s="37"/>
      <c r="CH742" s="38"/>
      <c r="CI742" s="38"/>
      <c r="CJ742" s="38"/>
      <c r="CK742" s="38"/>
    </row>
    <row r="743" customFormat="false" ht="15" hidden="false" customHeight="true" outlineLevel="0" collapsed="false">
      <c r="A743" s="26" t="str">
        <f aca="false">IF($C743="","",ROW()-3)</f>
        <v/>
      </c>
      <c r="B743" s="27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9"/>
      <c r="N743" s="29"/>
      <c r="O743" s="30" t="str">
        <f aca="false">IFERROR(IF(M743="","",M743*INDEX('00 - Lists'!$M$2:$M$11,MATCH(L743,'00 - Lists'!$L$2:$L$11,0))/100000),"")</f>
        <v/>
      </c>
      <c r="P743" s="30" t="str">
        <f aca="false">IFERROR(IF(N743="","",N743*INDEX('00 - Lists'!$M$2:$M$11,MATCH(L743,'00 - Lists'!$L$2:$L$11,0))/100000),"")</f>
        <v/>
      </c>
      <c r="Q743" s="31" t="str">
        <f aca="false">IFERROR(IF(M743="","",M743*INDEX('00 - Lists'!$N$2:$N$11,MATCH(L743,'00 - Lists'!$L$2:$L$11,0))),"")</f>
        <v/>
      </c>
      <c r="R743" s="31" t="str">
        <f aca="false">IFERROR(IF(N743="","",N743*INDEX('00 - Lists'!$N$2:$N$11,MATCH(L743,'00 - Lists'!$L$2:$L$11,0))),"")</f>
        <v/>
      </c>
      <c r="S743" s="32" t="str">
        <f aca="false">IF(O743="","",IF(O743&gt;=50,"Yes","No"))</f>
        <v/>
      </c>
      <c r="T743" s="32" t="str">
        <f aca="false">IF(Q743="","",IF(Q743&gt;=100000,"Yes","No"))</f>
        <v/>
      </c>
      <c r="U743" s="28"/>
      <c r="V743" s="28"/>
      <c r="W743" s="28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J743" s="34" t="str">
        <f aca="false">IF(OR($BD743&lt;&gt;"",$BF743&lt;&gt;"",$BH743&lt;&gt;""),"Yes","No")</f>
        <v>No</v>
      </c>
      <c r="BK743" s="35" t="str">
        <f aca="false">IFERROR(IF(BD743="","",BD743*INDEX('00 - Lists'!$M$2:$M$11,MATCH(L743,'00 - Lists'!$L$2:$L$11,0))/100000),"")</f>
        <v/>
      </c>
      <c r="BL743" s="35" t="str">
        <f aca="false">IFERROR(IF(BE743="","",BE743*INDEX('00 - Lists'!$M$2:$M$11,MATCH(L743,'00 - Lists'!$L$2:$L$11,0))/100000),"")</f>
        <v/>
      </c>
      <c r="BM743" s="35" t="str">
        <f aca="false">IFERROR(IF(BF743="","",BF743*INDEX('00 - Lists'!$M$2:$M$11,MATCH(L743,'00 - Lists'!$L$2:$L$11,0))/100000),"")</f>
        <v/>
      </c>
      <c r="BN743" s="35" t="str">
        <f aca="false">IFERROR(IF(BG743="","",BG743*INDEX('00 - Lists'!$M$2:$M$11,MATCH(L743,'00 - Lists'!$L$2:$L$11,0))/100000),"")</f>
        <v/>
      </c>
      <c r="BO743" s="35" t="str">
        <f aca="false">IFERROR(IF(BH743="","",BH743*INDEX('00 - Lists'!$M$2:$M$11,MATCH(L743,'00 - Lists'!$L$2:$L$11,0))/100000),"")</f>
        <v/>
      </c>
      <c r="BP743" s="35" t="str">
        <f aca="false">IFERROR(IF(BI743="","",BI743*INDEX('00 - Lists'!$M$2:$M$11,MATCH(L743,'00 - Lists'!$L$2:$L$11,0))/100000),"")</f>
        <v/>
      </c>
      <c r="BS743" s="36" t="str">
        <f aca="false">IF(O743="","",IF(O743&gt;=20,"Yes","No"))</f>
        <v/>
      </c>
      <c r="BT743" s="36" t="str">
        <f aca="false">IF(O743="","",IF(O743&gt;=30,"Yes","No"))</f>
        <v/>
      </c>
      <c r="BU743" s="36" t="str">
        <f aca="false">IF(O743="","",IF(O743&gt;=75,"Yes","No"))</f>
        <v/>
      </c>
      <c r="BV743" s="36" t="str">
        <f aca="false">IF(O743="","",IF(O743&gt;=100,"Yes","No"))</f>
        <v/>
      </c>
      <c r="BW743" s="36" t="str">
        <f aca="false">IF(O743="","",IF(O743&gt;=150,"Yes","No"))</f>
        <v/>
      </c>
      <c r="BX743" s="36" t="str">
        <f aca="false">IF(O743="","",IF(O743&gt;=200,"Yes","No"))</f>
        <v/>
      </c>
      <c r="BY743" s="36" t="str">
        <f aca="false">IF(Q743="","",IF(Q743&gt;=150000,"Yes","No"))</f>
        <v/>
      </c>
      <c r="BZ743" s="36" t="str">
        <f aca="false">IF(Q743="","",IF(Q743&gt;=200000,"Yes","No"))</f>
        <v/>
      </c>
      <c r="CA743" s="36" t="str">
        <f aca="false">IF(Q743="","",IF(Q743&gt;=250000,"Yes","No"))</f>
        <v/>
      </c>
      <c r="CB743" s="36" t="str">
        <f aca="false">IF(Q743="","",IF(Q743&gt;=300000,"Yes","No"))</f>
        <v/>
      </c>
      <c r="CC743" s="37"/>
      <c r="CD743" s="36" t="str">
        <f aca="true">IF(B743="","",IF(TODAY()-B743&lt;=7,"🟢 0-7d",IF(TODAY()-B743&lt;=30,"🟡 8-30d",IF(TODAY()-B743&lt;=60,"🟠 31-60d","🔴 60d+"))))</f>
        <v/>
      </c>
      <c r="CE743" s="36" t="str">
        <f aca="false">IF(G743="","",IF(G743&lt;&gt;"USA","N/A - Not USA Role",IF(J743="Yes",IF(OR(F743="Intern",F743="New Grad"),"🟡 Possible","🟢 Strong"),IF(J743="No","🔴 Difficult","⚪ Unknown"))))</f>
        <v/>
      </c>
      <c r="CF743" s="37"/>
      <c r="CG743" s="37"/>
      <c r="CH743" s="38"/>
      <c r="CI743" s="38"/>
      <c r="CJ743" s="38"/>
      <c r="CK743" s="38"/>
    </row>
    <row r="744" customFormat="false" ht="15" hidden="false" customHeight="true" outlineLevel="0" collapsed="false">
      <c r="A744" s="26" t="str">
        <f aca="false">IF($C744="","",ROW()-3)</f>
        <v/>
      </c>
      <c r="B744" s="27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9"/>
      <c r="N744" s="29"/>
      <c r="O744" s="30" t="str">
        <f aca="false">IFERROR(IF(M744="","",M744*INDEX('00 - Lists'!$M$2:$M$11,MATCH(L744,'00 - Lists'!$L$2:$L$11,0))/100000),"")</f>
        <v/>
      </c>
      <c r="P744" s="30" t="str">
        <f aca="false">IFERROR(IF(N744="","",N744*INDEX('00 - Lists'!$M$2:$M$11,MATCH(L744,'00 - Lists'!$L$2:$L$11,0))/100000),"")</f>
        <v/>
      </c>
      <c r="Q744" s="31" t="str">
        <f aca="false">IFERROR(IF(M744="","",M744*INDEX('00 - Lists'!$N$2:$N$11,MATCH(L744,'00 - Lists'!$L$2:$L$11,0))),"")</f>
        <v/>
      </c>
      <c r="R744" s="31" t="str">
        <f aca="false">IFERROR(IF(N744="","",N744*INDEX('00 - Lists'!$N$2:$N$11,MATCH(L744,'00 - Lists'!$L$2:$L$11,0))),"")</f>
        <v/>
      </c>
      <c r="S744" s="32" t="str">
        <f aca="false">IF(O744="","",IF(O744&gt;=50,"Yes","No"))</f>
        <v/>
      </c>
      <c r="T744" s="32" t="str">
        <f aca="false">IF(Q744="","",IF(Q744&gt;=100000,"Yes","No"))</f>
        <v/>
      </c>
      <c r="U744" s="28"/>
      <c r="V744" s="28"/>
      <c r="W744" s="28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J744" s="34" t="str">
        <f aca="false">IF(OR($BD744&lt;&gt;"",$BF744&lt;&gt;"",$BH744&lt;&gt;""),"Yes","No")</f>
        <v>No</v>
      </c>
      <c r="BK744" s="35" t="str">
        <f aca="false">IFERROR(IF(BD744="","",BD744*INDEX('00 - Lists'!$M$2:$M$11,MATCH(L744,'00 - Lists'!$L$2:$L$11,0))/100000),"")</f>
        <v/>
      </c>
      <c r="BL744" s="35" t="str">
        <f aca="false">IFERROR(IF(BE744="","",BE744*INDEX('00 - Lists'!$M$2:$M$11,MATCH(L744,'00 - Lists'!$L$2:$L$11,0))/100000),"")</f>
        <v/>
      </c>
      <c r="BM744" s="35" t="str">
        <f aca="false">IFERROR(IF(BF744="","",BF744*INDEX('00 - Lists'!$M$2:$M$11,MATCH(L744,'00 - Lists'!$L$2:$L$11,0))/100000),"")</f>
        <v/>
      </c>
      <c r="BN744" s="35" t="str">
        <f aca="false">IFERROR(IF(BG744="","",BG744*INDEX('00 - Lists'!$M$2:$M$11,MATCH(L744,'00 - Lists'!$L$2:$L$11,0))/100000),"")</f>
        <v/>
      </c>
      <c r="BO744" s="35" t="str">
        <f aca="false">IFERROR(IF(BH744="","",BH744*INDEX('00 - Lists'!$M$2:$M$11,MATCH(L744,'00 - Lists'!$L$2:$L$11,0))/100000),"")</f>
        <v/>
      </c>
      <c r="BP744" s="35" t="str">
        <f aca="false">IFERROR(IF(BI744="","",BI744*INDEX('00 - Lists'!$M$2:$M$11,MATCH(L744,'00 - Lists'!$L$2:$L$11,0))/100000),"")</f>
        <v/>
      </c>
      <c r="BS744" s="36" t="str">
        <f aca="false">IF(O744="","",IF(O744&gt;=20,"Yes","No"))</f>
        <v/>
      </c>
      <c r="BT744" s="36" t="str">
        <f aca="false">IF(O744="","",IF(O744&gt;=30,"Yes","No"))</f>
        <v/>
      </c>
      <c r="BU744" s="36" t="str">
        <f aca="false">IF(O744="","",IF(O744&gt;=75,"Yes","No"))</f>
        <v/>
      </c>
      <c r="BV744" s="36" t="str">
        <f aca="false">IF(O744="","",IF(O744&gt;=100,"Yes","No"))</f>
        <v/>
      </c>
      <c r="BW744" s="36" t="str">
        <f aca="false">IF(O744="","",IF(O744&gt;=150,"Yes","No"))</f>
        <v/>
      </c>
      <c r="BX744" s="36" t="str">
        <f aca="false">IF(O744="","",IF(O744&gt;=200,"Yes","No"))</f>
        <v/>
      </c>
      <c r="BY744" s="36" t="str">
        <f aca="false">IF(Q744="","",IF(Q744&gt;=150000,"Yes","No"))</f>
        <v/>
      </c>
      <c r="BZ744" s="36" t="str">
        <f aca="false">IF(Q744="","",IF(Q744&gt;=200000,"Yes","No"))</f>
        <v/>
      </c>
      <c r="CA744" s="36" t="str">
        <f aca="false">IF(Q744="","",IF(Q744&gt;=250000,"Yes","No"))</f>
        <v/>
      </c>
      <c r="CB744" s="36" t="str">
        <f aca="false">IF(Q744="","",IF(Q744&gt;=300000,"Yes","No"))</f>
        <v/>
      </c>
      <c r="CC744" s="37"/>
      <c r="CD744" s="36" t="str">
        <f aca="true">IF(B744="","",IF(TODAY()-B744&lt;=7,"🟢 0-7d",IF(TODAY()-B744&lt;=30,"🟡 8-30d",IF(TODAY()-B744&lt;=60,"🟠 31-60d","🔴 60d+"))))</f>
        <v/>
      </c>
      <c r="CE744" s="36" t="str">
        <f aca="false">IF(G744="","",IF(G744&lt;&gt;"USA","N/A - Not USA Role",IF(J744="Yes",IF(OR(F744="Intern",F744="New Grad"),"🟡 Possible","🟢 Strong"),IF(J744="No","🔴 Difficult","⚪ Unknown"))))</f>
        <v/>
      </c>
      <c r="CF744" s="37"/>
      <c r="CG744" s="37"/>
      <c r="CH744" s="38"/>
      <c r="CI744" s="38"/>
      <c r="CJ744" s="38"/>
      <c r="CK744" s="38"/>
    </row>
    <row r="745" customFormat="false" ht="15" hidden="false" customHeight="true" outlineLevel="0" collapsed="false">
      <c r="A745" s="26" t="str">
        <f aca="false">IF($C745="","",ROW()-3)</f>
        <v/>
      </c>
      <c r="B745" s="27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9"/>
      <c r="N745" s="29"/>
      <c r="O745" s="30" t="str">
        <f aca="false">IFERROR(IF(M745="","",M745*INDEX('00 - Lists'!$M$2:$M$11,MATCH(L745,'00 - Lists'!$L$2:$L$11,0))/100000),"")</f>
        <v/>
      </c>
      <c r="P745" s="30" t="str">
        <f aca="false">IFERROR(IF(N745="","",N745*INDEX('00 - Lists'!$M$2:$M$11,MATCH(L745,'00 - Lists'!$L$2:$L$11,0))/100000),"")</f>
        <v/>
      </c>
      <c r="Q745" s="31" t="str">
        <f aca="false">IFERROR(IF(M745="","",M745*INDEX('00 - Lists'!$N$2:$N$11,MATCH(L745,'00 - Lists'!$L$2:$L$11,0))),"")</f>
        <v/>
      </c>
      <c r="R745" s="31" t="str">
        <f aca="false">IFERROR(IF(N745="","",N745*INDEX('00 - Lists'!$N$2:$N$11,MATCH(L745,'00 - Lists'!$L$2:$L$11,0))),"")</f>
        <v/>
      </c>
      <c r="S745" s="32" t="str">
        <f aca="false">IF(O745="","",IF(O745&gt;=50,"Yes","No"))</f>
        <v/>
      </c>
      <c r="T745" s="32" t="str">
        <f aca="false">IF(Q745="","",IF(Q745&gt;=100000,"Yes","No"))</f>
        <v/>
      </c>
      <c r="U745" s="28"/>
      <c r="V745" s="28"/>
      <c r="W745" s="28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J745" s="34" t="str">
        <f aca="false">IF(OR($BD745&lt;&gt;"",$BF745&lt;&gt;"",$BH745&lt;&gt;""),"Yes","No")</f>
        <v>No</v>
      </c>
      <c r="BK745" s="35" t="str">
        <f aca="false">IFERROR(IF(BD745="","",BD745*INDEX('00 - Lists'!$M$2:$M$11,MATCH(L745,'00 - Lists'!$L$2:$L$11,0))/100000),"")</f>
        <v/>
      </c>
      <c r="BL745" s="35" t="str">
        <f aca="false">IFERROR(IF(BE745="","",BE745*INDEX('00 - Lists'!$M$2:$M$11,MATCH(L745,'00 - Lists'!$L$2:$L$11,0))/100000),"")</f>
        <v/>
      </c>
      <c r="BM745" s="35" t="str">
        <f aca="false">IFERROR(IF(BF745="","",BF745*INDEX('00 - Lists'!$M$2:$M$11,MATCH(L745,'00 - Lists'!$L$2:$L$11,0))/100000),"")</f>
        <v/>
      </c>
      <c r="BN745" s="35" t="str">
        <f aca="false">IFERROR(IF(BG745="","",BG745*INDEX('00 - Lists'!$M$2:$M$11,MATCH(L745,'00 - Lists'!$L$2:$L$11,0))/100000),"")</f>
        <v/>
      </c>
      <c r="BO745" s="35" t="str">
        <f aca="false">IFERROR(IF(BH745="","",BH745*INDEX('00 - Lists'!$M$2:$M$11,MATCH(L745,'00 - Lists'!$L$2:$L$11,0))/100000),"")</f>
        <v/>
      </c>
      <c r="BP745" s="35" t="str">
        <f aca="false">IFERROR(IF(BI745="","",BI745*INDEX('00 - Lists'!$M$2:$M$11,MATCH(L745,'00 - Lists'!$L$2:$L$11,0))/100000),"")</f>
        <v/>
      </c>
      <c r="BS745" s="36" t="str">
        <f aca="false">IF(O745="","",IF(O745&gt;=20,"Yes","No"))</f>
        <v/>
      </c>
      <c r="BT745" s="36" t="str">
        <f aca="false">IF(O745="","",IF(O745&gt;=30,"Yes","No"))</f>
        <v/>
      </c>
      <c r="BU745" s="36" t="str">
        <f aca="false">IF(O745="","",IF(O745&gt;=75,"Yes","No"))</f>
        <v/>
      </c>
      <c r="BV745" s="36" t="str">
        <f aca="false">IF(O745="","",IF(O745&gt;=100,"Yes","No"))</f>
        <v/>
      </c>
      <c r="BW745" s="36" t="str">
        <f aca="false">IF(O745="","",IF(O745&gt;=150,"Yes","No"))</f>
        <v/>
      </c>
      <c r="BX745" s="36" t="str">
        <f aca="false">IF(O745="","",IF(O745&gt;=200,"Yes","No"))</f>
        <v/>
      </c>
      <c r="BY745" s="36" t="str">
        <f aca="false">IF(Q745="","",IF(Q745&gt;=150000,"Yes","No"))</f>
        <v/>
      </c>
      <c r="BZ745" s="36" t="str">
        <f aca="false">IF(Q745="","",IF(Q745&gt;=200000,"Yes","No"))</f>
        <v/>
      </c>
      <c r="CA745" s="36" t="str">
        <f aca="false">IF(Q745="","",IF(Q745&gt;=250000,"Yes","No"))</f>
        <v/>
      </c>
      <c r="CB745" s="36" t="str">
        <f aca="false">IF(Q745="","",IF(Q745&gt;=300000,"Yes","No"))</f>
        <v/>
      </c>
      <c r="CC745" s="37"/>
      <c r="CD745" s="36" t="str">
        <f aca="true">IF(B745="","",IF(TODAY()-B745&lt;=7,"🟢 0-7d",IF(TODAY()-B745&lt;=30,"🟡 8-30d",IF(TODAY()-B745&lt;=60,"🟠 31-60d","🔴 60d+"))))</f>
        <v/>
      </c>
      <c r="CE745" s="36" t="str">
        <f aca="false">IF(G745="","",IF(G745&lt;&gt;"USA","N/A - Not USA Role",IF(J745="Yes",IF(OR(F745="Intern",F745="New Grad"),"🟡 Possible","🟢 Strong"),IF(J745="No","🔴 Difficult","⚪ Unknown"))))</f>
        <v/>
      </c>
      <c r="CF745" s="37"/>
      <c r="CG745" s="37"/>
      <c r="CH745" s="38"/>
      <c r="CI745" s="38"/>
      <c r="CJ745" s="38"/>
      <c r="CK745" s="38"/>
    </row>
    <row r="746" customFormat="false" ht="15" hidden="false" customHeight="true" outlineLevel="0" collapsed="false">
      <c r="A746" s="26" t="str">
        <f aca="false">IF($C746="","",ROW()-3)</f>
        <v/>
      </c>
      <c r="B746" s="27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9"/>
      <c r="N746" s="29"/>
      <c r="O746" s="30" t="str">
        <f aca="false">IFERROR(IF(M746="","",M746*INDEX('00 - Lists'!$M$2:$M$11,MATCH(L746,'00 - Lists'!$L$2:$L$11,0))/100000),"")</f>
        <v/>
      </c>
      <c r="P746" s="30" t="str">
        <f aca="false">IFERROR(IF(N746="","",N746*INDEX('00 - Lists'!$M$2:$M$11,MATCH(L746,'00 - Lists'!$L$2:$L$11,0))/100000),"")</f>
        <v/>
      </c>
      <c r="Q746" s="31" t="str">
        <f aca="false">IFERROR(IF(M746="","",M746*INDEX('00 - Lists'!$N$2:$N$11,MATCH(L746,'00 - Lists'!$L$2:$L$11,0))),"")</f>
        <v/>
      </c>
      <c r="R746" s="31" t="str">
        <f aca="false">IFERROR(IF(N746="","",N746*INDEX('00 - Lists'!$N$2:$N$11,MATCH(L746,'00 - Lists'!$L$2:$L$11,0))),"")</f>
        <v/>
      </c>
      <c r="S746" s="32" t="str">
        <f aca="false">IF(O746="","",IF(O746&gt;=50,"Yes","No"))</f>
        <v/>
      </c>
      <c r="T746" s="32" t="str">
        <f aca="false">IF(Q746="","",IF(Q746&gt;=100000,"Yes","No"))</f>
        <v/>
      </c>
      <c r="U746" s="28"/>
      <c r="V746" s="28"/>
      <c r="W746" s="28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J746" s="34" t="str">
        <f aca="false">IF(OR($BD746&lt;&gt;"",$BF746&lt;&gt;"",$BH746&lt;&gt;""),"Yes","No")</f>
        <v>No</v>
      </c>
      <c r="BK746" s="35" t="str">
        <f aca="false">IFERROR(IF(BD746="","",BD746*INDEX('00 - Lists'!$M$2:$M$11,MATCH(L746,'00 - Lists'!$L$2:$L$11,0))/100000),"")</f>
        <v/>
      </c>
      <c r="BL746" s="35" t="str">
        <f aca="false">IFERROR(IF(BE746="","",BE746*INDEX('00 - Lists'!$M$2:$M$11,MATCH(L746,'00 - Lists'!$L$2:$L$11,0))/100000),"")</f>
        <v/>
      </c>
      <c r="BM746" s="35" t="str">
        <f aca="false">IFERROR(IF(BF746="","",BF746*INDEX('00 - Lists'!$M$2:$M$11,MATCH(L746,'00 - Lists'!$L$2:$L$11,0))/100000),"")</f>
        <v/>
      </c>
      <c r="BN746" s="35" t="str">
        <f aca="false">IFERROR(IF(BG746="","",BG746*INDEX('00 - Lists'!$M$2:$M$11,MATCH(L746,'00 - Lists'!$L$2:$L$11,0))/100000),"")</f>
        <v/>
      </c>
      <c r="BO746" s="35" t="str">
        <f aca="false">IFERROR(IF(BH746="","",BH746*INDEX('00 - Lists'!$M$2:$M$11,MATCH(L746,'00 - Lists'!$L$2:$L$11,0))/100000),"")</f>
        <v/>
      </c>
      <c r="BP746" s="35" t="str">
        <f aca="false">IFERROR(IF(BI746="","",BI746*INDEX('00 - Lists'!$M$2:$M$11,MATCH(L746,'00 - Lists'!$L$2:$L$11,0))/100000),"")</f>
        <v/>
      </c>
      <c r="BS746" s="36" t="str">
        <f aca="false">IF(O746="","",IF(O746&gt;=20,"Yes","No"))</f>
        <v/>
      </c>
      <c r="BT746" s="36" t="str">
        <f aca="false">IF(O746="","",IF(O746&gt;=30,"Yes","No"))</f>
        <v/>
      </c>
      <c r="BU746" s="36" t="str">
        <f aca="false">IF(O746="","",IF(O746&gt;=75,"Yes","No"))</f>
        <v/>
      </c>
      <c r="BV746" s="36" t="str">
        <f aca="false">IF(O746="","",IF(O746&gt;=100,"Yes","No"))</f>
        <v/>
      </c>
      <c r="BW746" s="36" t="str">
        <f aca="false">IF(O746="","",IF(O746&gt;=150,"Yes","No"))</f>
        <v/>
      </c>
      <c r="BX746" s="36" t="str">
        <f aca="false">IF(O746="","",IF(O746&gt;=200,"Yes","No"))</f>
        <v/>
      </c>
      <c r="BY746" s="36" t="str">
        <f aca="false">IF(Q746="","",IF(Q746&gt;=150000,"Yes","No"))</f>
        <v/>
      </c>
      <c r="BZ746" s="36" t="str">
        <f aca="false">IF(Q746="","",IF(Q746&gt;=200000,"Yes","No"))</f>
        <v/>
      </c>
      <c r="CA746" s="36" t="str">
        <f aca="false">IF(Q746="","",IF(Q746&gt;=250000,"Yes","No"))</f>
        <v/>
      </c>
      <c r="CB746" s="36" t="str">
        <f aca="false">IF(Q746="","",IF(Q746&gt;=300000,"Yes","No"))</f>
        <v/>
      </c>
      <c r="CC746" s="37"/>
      <c r="CD746" s="36" t="str">
        <f aca="true">IF(B746="","",IF(TODAY()-B746&lt;=7,"🟢 0-7d",IF(TODAY()-B746&lt;=30,"🟡 8-30d",IF(TODAY()-B746&lt;=60,"🟠 31-60d","🔴 60d+"))))</f>
        <v/>
      </c>
      <c r="CE746" s="36" t="str">
        <f aca="false">IF(G746="","",IF(G746&lt;&gt;"USA","N/A - Not USA Role",IF(J746="Yes",IF(OR(F746="Intern",F746="New Grad"),"🟡 Possible","🟢 Strong"),IF(J746="No","🔴 Difficult","⚪ Unknown"))))</f>
        <v/>
      </c>
      <c r="CF746" s="37"/>
      <c r="CG746" s="37"/>
      <c r="CH746" s="38"/>
      <c r="CI746" s="38"/>
      <c r="CJ746" s="38"/>
      <c r="CK746" s="38"/>
    </row>
    <row r="747" customFormat="false" ht="15" hidden="false" customHeight="true" outlineLevel="0" collapsed="false">
      <c r="A747" s="26" t="str">
        <f aca="false">IF($C747="","",ROW()-3)</f>
        <v/>
      </c>
      <c r="B747" s="27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9"/>
      <c r="N747" s="29"/>
      <c r="O747" s="30" t="str">
        <f aca="false">IFERROR(IF(M747="","",M747*INDEX('00 - Lists'!$M$2:$M$11,MATCH(L747,'00 - Lists'!$L$2:$L$11,0))/100000),"")</f>
        <v/>
      </c>
      <c r="P747" s="30" t="str">
        <f aca="false">IFERROR(IF(N747="","",N747*INDEX('00 - Lists'!$M$2:$M$11,MATCH(L747,'00 - Lists'!$L$2:$L$11,0))/100000),"")</f>
        <v/>
      </c>
      <c r="Q747" s="31" t="str">
        <f aca="false">IFERROR(IF(M747="","",M747*INDEX('00 - Lists'!$N$2:$N$11,MATCH(L747,'00 - Lists'!$L$2:$L$11,0))),"")</f>
        <v/>
      </c>
      <c r="R747" s="31" t="str">
        <f aca="false">IFERROR(IF(N747="","",N747*INDEX('00 - Lists'!$N$2:$N$11,MATCH(L747,'00 - Lists'!$L$2:$L$11,0))),"")</f>
        <v/>
      </c>
      <c r="S747" s="32" t="str">
        <f aca="false">IF(O747="","",IF(O747&gt;=50,"Yes","No"))</f>
        <v/>
      </c>
      <c r="T747" s="32" t="str">
        <f aca="false">IF(Q747="","",IF(Q747&gt;=100000,"Yes","No"))</f>
        <v/>
      </c>
      <c r="U747" s="28"/>
      <c r="V747" s="28"/>
      <c r="W747" s="28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J747" s="34" t="str">
        <f aca="false">IF(OR($BD747&lt;&gt;"",$BF747&lt;&gt;"",$BH747&lt;&gt;""),"Yes","No")</f>
        <v>No</v>
      </c>
      <c r="BK747" s="35" t="str">
        <f aca="false">IFERROR(IF(BD747="","",BD747*INDEX('00 - Lists'!$M$2:$M$11,MATCH(L747,'00 - Lists'!$L$2:$L$11,0))/100000),"")</f>
        <v/>
      </c>
      <c r="BL747" s="35" t="str">
        <f aca="false">IFERROR(IF(BE747="","",BE747*INDEX('00 - Lists'!$M$2:$M$11,MATCH(L747,'00 - Lists'!$L$2:$L$11,0))/100000),"")</f>
        <v/>
      </c>
      <c r="BM747" s="35" t="str">
        <f aca="false">IFERROR(IF(BF747="","",BF747*INDEX('00 - Lists'!$M$2:$M$11,MATCH(L747,'00 - Lists'!$L$2:$L$11,0))/100000),"")</f>
        <v/>
      </c>
      <c r="BN747" s="35" t="str">
        <f aca="false">IFERROR(IF(BG747="","",BG747*INDEX('00 - Lists'!$M$2:$M$11,MATCH(L747,'00 - Lists'!$L$2:$L$11,0))/100000),"")</f>
        <v/>
      </c>
      <c r="BO747" s="35" t="str">
        <f aca="false">IFERROR(IF(BH747="","",BH747*INDEX('00 - Lists'!$M$2:$M$11,MATCH(L747,'00 - Lists'!$L$2:$L$11,0))/100000),"")</f>
        <v/>
      </c>
      <c r="BP747" s="35" t="str">
        <f aca="false">IFERROR(IF(BI747="","",BI747*INDEX('00 - Lists'!$M$2:$M$11,MATCH(L747,'00 - Lists'!$L$2:$L$11,0))/100000),"")</f>
        <v/>
      </c>
      <c r="BS747" s="36" t="str">
        <f aca="false">IF(O747="","",IF(O747&gt;=20,"Yes","No"))</f>
        <v/>
      </c>
      <c r="BT747" s="36" t="str">
        <f aca="false">IF(O747="","",IF(O747&gt;=30,"Yes","No"))</f>
        <v/>
      </c>
      <c r="BU747" s="36" t="str">
        <f aca="false">IF(O747="","",IF(O747&gt;=75,"Yes","No"))</f>
        <v/>
      </c>
      <c r="BV747" s="36" t="str">
        <f aca="false">IF(O747="","",IF(O747&gt;=100,"Yes","No"))</f>
        <v/>
      </c>
      <c r="BW747" s="36" t="str">
        <f aca="false">IF(O747="","",IF(O747&gt;=150,"Yes","No"))</f>
        <v/>
      </c>
      <c r="BX747" s="36" t="str">
        <f aca="false">IF(O747="","",IF(O747&gt;=200,"Yes","No"))</f>
        <v/>
      </c>
      <c r="BY747" s="36" t="str">
        <f aca="false">IF(Q747="","",IF(Q747&gt;=150000,"Yes","No"))</f>
        <v/>
      </c>
      <c r="BZ747" s="36" t="str">
        <f aca="false">IF(Q747="","",IF(Q747&gt;=200000,"Yes","No"))</f>
        <v/>
      </c>
      <c r="CA747" s="36" t="str">
        <f aca="false">IF(Q747="","",IF(Q747&gt;=250000,"Yes","No"))</f>
        <v/>
      </c>
      <c r="CB747" s="36" t="str">
        <f aca="false">IF(Q747="","",IF(Q747&gt;=300000,"Yes","No"))</f>
        <v/>
      </c>
      <c r="CC747" s="37"/>
      <c r="CD747" s="36" t="str">
        <f aca="true">IF(B747="","",IF(TODAY()-B747&lt;=7,"🟢 0-7d",IF(TODAY()-B747&lt;=30,"🟡 8-30d",IF(TODAY()-B747&lt;=60,"🟠 31-60d","🔴 60d+"))))</f>
        <v/>
      </c>
      <c r="CE747" s="36" t="str">
        <f aca="false">IF(G747="","",IF(G747&lt;&gt;"USA","N/A - Not USA Role",IF(J747="Yes",IF(OR(F747="Intern",F747="New Grad"),"🟡 Possible","🟢 Strong"),IF(J747="No","🔴 Difficult","⚪ Unknown"))))</f>
        <v/>
      </c>
      <c r="CF747" s="37"/>
      <c r="CG747" s="37"/>
      <c r="CH747" s="38"/>
      <c r="CI747" s="38"/>
      <c r="CJ747" s="38"/>
      <c r="CK747" s="38"/>
    </row>
    <row r="748" customFormat="false" ht="15" hidden="false" customHeight="true" outlineLevel="0" collapsed="false">
      <c r="A748" s="26" t="str">
        <f aca="false">IF($C748="","",ROW()-3)</f>
        <v/>
      </c>
      <c r="B748" s="27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9"/>
      <c r="N748" s="29"/>
      <c r="O748" s="30" t="str">
        <f aca="false">IFERROR(IF(M748="","",M748*INDEX('00 - Lists'!$M$2:$M$11,MATCH(L748,'00 - Lists'!$L$2:$L$11,0))/100000),"")</f>
        <v/>
      </c>
      <c r="P748" s="30" t="str">
        <f aca="false">IFERROR(IF(N748="","",N748*INDEX('00 - Lists'!$M$2:$M$11,MATCH(L748,'00 - Lists'!$L$2:$L$11,0))/100000),"")</f>
        <v/>
      </c>
      <c r="Q748" s="31" t="str">
        <f aca="false">IFERROR(IF(M748="","",M748*INDEX('00 - Lists'!$N$2:$N$11,MATCH(L748,'00 - Lists'!$L$2:$L$11,0))),"")</f>
        <v/>
      </c>
      <c r="R748" s="31" t="str">
        <f aca="false">IFERROR(IF(N748="","",N748*INDEX('00 - Lists'!$N$2:$N$11,MATCH(L748,'00 - Lists'!$L$2:$L$11,0))),"")</f>
        <v/>
      </c>
      <c r="S748" s="32" t="str">
        <f aca="false">IF(O748="","",IF(O748&gt;=50,"Yes","No"))</f>
        <v/>
      </c>
      <c r="T748" s="32" t="str">
        <f aca="false">IF(Q748="","",IF(Q748&gt;=100000,"Yes","No"))</f>
        <v/>
      </c>
      <c r="U748" s="28"/>
      <c r="V748" s="28"/>
      <c r="W748" s="28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J748" s="34" t="str">
        <f aca="false">IF(OR($BD748&lt;&gt;"",$BF748&lt;&gt;"",$BH748&lt;&gt;""),"Yes","No")</f>
        <v>No</v>
      </c>
      <c r="BK748" s="35" t="str">
        <f aca="false">IFERROR(IF(BD748="","",BD748*INDEX('00 - Lists'!$M$2:$M$11,MATCH(L748,'00 - Lists'!$L$2:$L$11,0))/100000),"")</f>
        <v/>
      </c>
      <c r="BL748" s="35" t="str">
        <f aca="false">IFERROR(IF(BE748="","",BE748*INDEX('00 - Lists'!$M$2:$M$11,MATCH(L748,'00 - Lists'!$L$2:$L$11,0))/100000),"")</f>
        <v/>
      </c>
      <c r="BM748" s="35" t="str">
        <f aca="false">IFERROR(IF(BF748="","",BF748*INDEX('00 - Lists'!$M$2:$M$11,MATCH(L748,'00 - Lists'!$L$2:$L$11,0))/100000),"")</f>
        <v/>
      </c>
      <c r="BN748" s="35" t="str">
        <f aca="false">IFERROR(IF(BG748="","",BG748*INDEX('00 - Lists'!$M$2:$M$11,MATCH(L748,'00 - Lists'!$L$2:$L$11,0))/100000),"")</f>
        <v/>
      </c>
      <c r="BO748" s="35" t="str">
        <f aca="false">IFERROR(IF(BH748="","",BH748*INDEX('00 - Lists'!$M$2:$M$11,MATCH(L748,'00 - Lists'!$L$2:$L$11,0))/100000),"")</f>
        <v/>
      </c>
      <c r="BP748" s="35" t="str">
        <f aca="false">IFERROR(IF(BI748="","",BI748*INDEX('00 - Lists'!$M$2:$M$11,MATCH(L748,'00 - Lists'!$L$2:$L$11,0))/100000),"")</f>
        <v/>
      </c>
      <c r="BS748" s="36" t="str">
        <f aca="false">IF(O748="","",IF(O748&gt;=20,"Yes","No"))</f>
        <v/>
      </c>
      <c r="BT748" s="36" t="str">
        <f aca="false">IF(O748="","",IF(O748&gt;=30,"Yes","No"))</f>
        <v/>
      </c>
      <c r="BU748" s="36" t="str">
        <f aca="false">IF(O748="","",IF(O748&gt;=75,"Yes","No"))</f>
        <v/>
      </c>
      <c r="BV748" s="36" t="str">
        <f aca="false">IF(O748="","",IF(O748&gt;=100,"Yes","No"))</f>
        <v/>
      </c>
      <c r="BW748" s="36" t="str">
        <f aca="false">IF(O748="","",IF(O748&gt;=150,"Yes","No"))</f>
        <v/>
      </c>
      <c r="BX748" s="36" t="str">
        <f aca="false">IF(O748="","",IF(O748&gt;=200,"Yes","No"))</f>
        <v/>
      </c>
      <c r="BY748" s="36" t="str">
        <f aca="false">IF(Q748="","",IF(Q748&gt;=150000,"Yes","No"))</f>
        <v/>
      </c>
      <c r="BZ748" s="36" t="str">
        <f aca="false">IF(Q748="","",IF(Q748&gt;=200000,"Yes","No"))</f>
        <v/>
      </c>
      <c r="CA748" s="36" t="str">
        <f aca="false">IF(Q748="","",IF(Q748&gt;=250000,"Yes","No"))</f>
        <v/>
      </c>
      <c r="CB748" s="36" t="str">
        <f aca="false">IF(Q748="","",IF(Q748&gt;=300000,"Yes","No"))</f>
        <v/>
      </c>
      <c r="CC748" s="37"/>
      <c r="CD748" s="36" t="str">
        <f aca="true">IF(B748="","",IF(TODAY()-B748&lt;=7,"🟢 0-7d",IF(TODAY()-B748&lt;=30,"🟡 8-30d",IF(TODAY()-B748&lt;=60,"🟠 31-60d","🔴 60d+"))))</f>
        <v/>
      </c>
      <c r="CE748" s="36" t="str">
        <f aca="false">IF(G748="","",IF(G748&lt;&gt;"USA","N/A - Not USA Role",IF(J748="Yes",IF(OR(F748="Intern",F748="New Grad"),"🟡 Possible","🟢 Strong"),IF(J748="No","🔴 Difficult","⚪ Unknown"))))</f>
        <v/>
      </c>
      <c r="CF748" s="37"/>
      <c r="CG748" s="37"/>
      <c r="CH748" s="38"/>
      <c r="CI748" s="38"/>
      <c r="CJ748" s="38"/>
      <c r="CK748" s="38"/>
    </row>
    <row r="749" customFormat="false" ht="15" hidden="false" customHeight="true" outlineLevel="0" collapsed="false">
      <c r="A749" s="26" t="str">
        <f aca="false">IF($C749="","",ROW()-3)</f>
        <v/>
      </c>
      <c r="B749" s="27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9"/>
      <c r="N749" s="29"/>
      <c r="O749" s="30" t="str">
        <f aca="false">IFERROR(IF(M749="","",M749*INDEX('00 - Lists'!$M$2:$M$11,MATCH(L749,'00 - Lists'!$L$2:$L$11,0))/100000),"")</f>
        <v/>
      </c>
      <c r="P749" s="30" t="str">
        <f aca="false">IFERROR(IF(N749="","",N749*INDEX('00 - Lists'!$M$2:$M$11,MATCH(L749,'00 - Lists'!$L$2:$L$11,0))/100000),"")</f>
        <v/>
      </c>
      <c r="Q749" s="31" t="str">
        <f aca="false">IFERROR(IF(M749="","",M749*INDEX('00 - Lists'!$N$2:$N$11,MATCH(L749,'00 - Lists'!$L$2:$L$11,0))),"")</f>
        <v/>
      </c>
      <c r="R749" s="31" t="str">
        <f aca="false">IFERROR(IF(N749="","",N749*INDEX('00 - Lists'!$N$2:$N$11,MATCH(L749,'00 - Lists'!$L$2:$L$11,0))),"")</f>
        <v/>
      </c>
      <c r="S749" s="32" t="str">
        <f aca="false">IF(O749="","",IF(O749&gt;=50,"Yes","No"))</f>
        <v/>
      </c>
      <c r="T749" s="32" t="str">
        <f aca="false">IF(Q749="","",IF(Q749&gt;=100000,"Yes","No"))</f>
        <v/>
      </c>
      <c r="U749" s="28"/>
      <c r="V749" s="28"/>
      <c r="W749" s="28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J749" s="34" t="str">
        <f aca="false">IF(OR($BD749&lt;&gt;"",$BF749&lt;&gt;"",$BH749&lt;&gt;""),"Yes","No")</f>
        <v>No</v>
      </c>
      <c r="BK749" s="35" t="str">
        <f aca="false">IFERROR(IF(BD749="","",BD749*INDEX('00 - Lists'!$M$2:$M$11,MATCH(L749,'00 - Lists'!$L$2:$L$11,0))/100000),"")</f>
        <v/>
      </c>
      <c r="BL749" s="35" t="str">
        <f aca="false">IFERROR(IF(BE749="","",BE749*INDEX('00 - Lists'!$M$2:$M$11,MATCH(L749,'00 - Lists'!$L$2:$L$11,0))/100000),"")</f>
        <v/>
      </c>
      <c r="BM749" s="35" t="str">
        <f aca="false">IFERROR(IF(BF749="","",BF749*INDEX('00 - Lists'!$M$2:$M$11,MATCH(L749,'00 - Lists'!$L$2:$L$11,0))/100000),"")</f>
        <v/>
      </c>
      <c r="BN749" s="35" t="str">
        <f aca="false">IFERROR(IF(BG749="","",BG749*INDEX('00 - Lists'!$M$2:$M$11,MATCH(L749,'00 - Lists'!$L$2:$L$11,0))/100000),"")</f>
        <v/>
      </c>
      <c r="BO749" s="35" t="str">
        <f aca="false">IFERROR(IF(BH749="","",BH749*INDEX('00 - Lists'!$M$2:$M$11,MATCH(L749,'00 - Lists'!$L$2:$L$11,0))/100000),"")</f>
        <v/>
      </c>
      <c r="BP749" s="35" t="str">
        <f aca="false">IFERROR(IF(BI749="","",BI749*INDEX('00 - Lists'!$M$2:$M$11,MATCH(L749,'00 - Lists'!$L$2:$L$11,0))/100000),"")</f>
        <v/>
      </c>
      <c r="BS749" s="36" t="str">
        <f aca="false">IF(O749="","",IF(O749&gt;=20,"Yes","No"))</f>
        <v/>
      </c>
      <c r="BT749" s="36" t="str">
        <f aca="false">IF(O749="","",IF(O749&gt;=30,"Yes","No"))</f>
        <v/>
      </c>
      <c r="BU749" s="36" t="str">
        <f aca="false">IF(O749="","",IF(O749&gt;=75,"Yes","No"))</f>
        <v/>
      </c>
      <c r="BV749" s="36" t="str">
        <f aca="false">IF(O749="","",IF(O749&gt;=100,"Yes","No"))</f>
        <v/>
      </c>
      <c r="BW749" s="36" t="str">
        <f aca="false">IF(O749="","",IF(O749&gt;=150,"Yes","No"))</f>
        <v/>
      </c>
      <c r="BX749" s="36" t="str">
        <f aca="false">IF(O749="","",IF(O749&gt;=200,"Yes","No"))</f>
        <v/>
      </c>
      <c r="BY749" s="36" t="str">
        <f aca="false">IF(Q749="","",IF(Q749&gt;=150000,"Yes","No"))</f>
        <v/>
      </c>
      <c r="BZ749" s="36" t="str">
        <f aca="false">IF(Q749="","",IF(Q749&gt;=200000,"Yes","No"))</f>
        <v/>
      </c>
      <c r="CA749" s="36" t="str">
        <f aca="false">IF(Q749="","",IF(Q749&gt;=250000,"Yes","No"))</f>
        <v/>
      </c>
      <c r="CB749" s="36" t="str">
        <f aca="false">IF(Q749="","",IF(Q749&gt;=300000,"Yes","No"))</f>
        <v/>
      </c>
      <c r="CC749" s="37"/>
      <c r="CD749" s="36" t="str">
        <f aca="true">IF(B749="","",IF(TODAY()-B749&lt;=7,"🟢 0-7d",IF(TODAY()-B749&lt;=30,"🟡 8-30d",IF(TODAY()-B749&lt;=60,"🟠 31-60d","🔴 60d+"))))</f>
        <v/>
      </c>
      <c r="CE749" s="36" t="str">
        <f aca="false">IF(G749="","",IF(G749&lt;&gt;"USA","N/A - Not USA Role",IF(J749="Yes",IF(OR(F749="Intern",F749="New Grad"),"🟡 Possible","🟢 Strong"),IF(J749="No","🔴 Difficult","⚪ Unknown"))))</f>
        <v/>
      </c>
      <c r="CF749" s="37"/>
      <c r="CG749" s="37"/>
      <c r="CH749" s="38"/>
      <c r="CI749" s="38"/>
      <c r="CJ749" s="38"/>
      <c r="CK749" s="38"/>
    </row>
    <row r="750" customFormat="false" ht="15" hidden="false" customHeight="true" outlineLevel="0" collapsed="false">
      <c r="A750" s="26" t="str">
        <f aca="false">IF($C750="","",ROW()-3)</f>
        <v/>
      </c>
      <c r="B750" s="27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9"/>
      <c r="N750" s="29"/>
      <c r="O750" s="30" t="str">
        <f aca="false">IFERROR(IF(M750="","",M750*INDEX('00 - Lists'!$M$2:$M$11,MATCH(L750,'00 - Lists'!$L$2:$L$11,0))/100000),"")</f>
        <v/>
      </c>
      <c r="P750" s="30" t="str">
        <f aca="false">IFERROR(IF(N750="","",N750*INDEX('00 - Lists'!$M$2:$M$11,MATCH(L750,'00 - Lists'!$L$2:$L$11,0))/100000),"")</f>
        <v/>
      </c>
      <c r="Q750" s="31" t="str">
        <f aca="false">IFERROR(IF(M750="","",M750*INDEX('00 - Lists'!$N$2:$N$11,MATCH(L750,'00 - Lists'!$L$2:$L$11,0))),"")</f>
        <v/>
      </c>
      <c r="R750" s="31" t="str">
        <f aca="false">IFERROR(IF(N750="","",N750*INDEX('00 - Lists'!$N$2:$N$11,MATCH(L750,'00 - Lists'!$L$2:$L$11,0))),"")</f>
        <v/>
      </c>
      <c r="S750" s="32" t="str">
        <f aca="false">IF(O750="","",IF(O750&gt;=50,"Yes","No"))</f>
        <v/>
      </c>
      <c r="T750" s="32" t="str">
        <f aca="false">IF(Q750="","",IF(Q750&gt;=100000,"Yes","No"))</f>
        <v/>
      </c>
      <c r="U750" s="28"/>
      <c r="V750" s="28"/>
      <c r="W750" s="28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J750" s="34" t="str">
        <f aca="false">IF(OR($BD750&lt;&gt;"",$BF750&lt;&gt;"",$BH750&lt;&gt;""),"Yes","No")</f>
        <v>No</v>
      </c>
      <c r="BK750" s="35" t="str">
        <f aca="false">IFERROR(IF(BD750="","",BD750*INDEX('00 - Lists'!$M$2:$M$11,MATCH(L750,'00 - Lists'!$L$2:$L$11,0))/100000),"")</f>
        <v/>
      </c>
      <c r="BL750" s="35" t="str">
        <f aca="false">IFERROR(IF(BE750="","",BE750*INDEX('00 - Lists'!$M$2:$M$11,MATCH(L750,'00 - Lists'!$L$2:$L$11,0))/100000),"")</f>
        <v/>
      </c>
      <c r="BM750" s="35" t="str">
        <f aca="false">IFERROR(IF(BF750="","",BF750*INDEX('00 - Lists'!$M$2:$M$11,MATCH(L750,'00 - Lists'!$L$2:$L$11,0))/100000),"")</f>
        <v/>
      </c>
      <c r="BN750" s="35" t="str">
        <f aca="false">IFERROR(IF(BG750="","",BG750*INDEX('00 - Lists'!$M$2:$M$11,MATCH(L750,'00 - Lists'!$L$2:$L$11,0))/100000),"")</f>
        <v/>
      </c>
      <c r="BO750" s="35" t="str">
        <f aca="false">IFERROR(IF(BH750="","",BH750*INDEX('00 - Lists'!$M$2:$M$11,MATCH(L750,'00 - Lists'!$L$2:$L$11,0))/100000),"")</f>
        <v/>
      </c>
      <c r="BP750" s="35" t="str">
        <f aca="false">IFERROR(IF(BI750="","",BI750*INDEX('00 - Lists'!$M$2:$M$11,MATCH(L750,'00 - Lists'!$L$2:$L$11,0))/100000),"")</f>
        <v/>
      </c>
      <c r="BS750" s="36" t="str">
        <f aca="false">IF(O750="","",IF(O750&gt;=20,"Yes","No"))</f>
        <v/>
      </c>
      <c r="BT750" s="36" t="str">
        <f aca="false">IF(O750="","",IF(O750&gt;=30,"Yes","No"))</f>
        <v/>
      </c>
      <c r="BU750" s="36" t="str">
        <f aca="false">IF(O750="","",IF(O750&gt;=75,"Yes","No"))</f>
        <v/>
      </c>
      <c r="BV750" s="36" t="str">
        <f aca="false">IF(O750="","",IF(O750&gt;=100,"Yes","No"))</f>
        <v/>
      </c>
      <c r="BW750" s="36" t="str">
        <f aca="false">IF(O750="","",IF(O750&gt;=150,"Yes","No"))</f>
        <v/>
      </c>
      <c r="BX750" s="36" t="str">
        <f aca="false">IF(O750="","",IF(O750&gt;=200,"Yes","No"))</f>
        <v/>
      </c>
      <c r="BY750" s="36" t="str">
        <f aca="false">IF(Q750="","",IF(Q750&gt;=150000,"Yes","No"))</f>
        <v/>
      </c>
      <c r="BZ750" s="36" t="str">
        <f aca="false">IF(Q750="","",IF(Q750&gt;=200000,"Yes","No"))</f>
        <v/>
      </c>
      <c r="CA750" s="36" t="str">
        <f aca="false">IF(Q750="","",IF(Q750&gt;=250000,"Yes","No"))</f>
        <v/>
      </c>
      <c r="CB750" s="36" t="str">
        <f aca="false">IF(Q750="","",IF(Q750&gt;=300000,"Yes","No"))</f>
        <v/>
      </c>
      <c r="CC750" s="37"/>
      <c r="CD750" s="36" t="str">
        <f aca="true">IF(B750="","",IF(TODAY()-B750&lt;=7,"🟢 0-7d",IF(TODAY()-B750&lt;=30,"🟡 8-30d",IF(TODAY()-B750&lt;=60,"🟠 31-60d","🔴 60d+"))))</f>
        <v/>
      </c>
      <c r="CE750" s="36" t="str">
        <f aca="false">IF(G750="","",IF(G750&lt;&gt;"USA","N/A - Not USA Role",IF(J750="Yes",IF(OR(F750="Intern",F750="New Grad"),"🟡 Possible","🟢 Strong"),IF(J750="No","🔴 Difficult","⚪ Unknown"))))</f>
        <v/>
      </c>
      <c r="CF750" s="37"/>
      <c r="CG750" s="37"/>
      <c r="CH750" s="38"/>
      <c r="CI750" s="38"/>
      <c r="CJ750" s="38"/>
      <c r="CK750" s="38"/>
    </row>
    <row r="751" customFormat="false" ht="15" hidden="false" customHeight="true" outlineLevel="0" collapsed="false">
      <c r="A751" s="26" t="str">
        <f aca="false">IF($C751="","",ROW()-3)</f>
        <v/>
      </c>
      <c r="B751" s="27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9"/>
      <c r="N751" s="29"/>
      <c r="O751" s="30" t="str">
        <f aca="false">IFERROR(IF(M751="","",M751*INDEX('00 - Lists'!$M$2:$M$11,MATCH(L751,'00 - Lists'!$L$2:$L$11,0))/100000),"")</f>
        <v/>
      </c>
      <c r="P751" s="30" t="str">
        <f aca="false">IFERROR(IF(N751="","",N751*INDEX('00 - Lists'!$M$2:$M$11,MATCH(L751,'00 - Lists'!$L$2:$L$11,0))/100000),"")</f>
        <v/>
      </c>
      <c r="Q751" s="31" t="str">
        <f aca="false">IFERROR(IF(M751="","",M751*INDEX('00 - Lists'!$N$2:$N$11,MATCH(L751,'00 - Lists'!$L$2:$L$11,0))),"")</f>
        <v/>
      </c>
      <c r="R751" s="31" t="str">
        <f aca="false">IFERROR(IF(N751="","",N751*INDEX('00 - Lists'!$N$2:$N$11,MATCH(L751,'00 - Lists'!$L$2:$L$11,0))),"")</f>
        <v/>
      </c>
      <c r="S751" s="32" t="str">
        <f aca="false">IF(O751="","",IF(O751&gt;=50,"Yes","No"))</f>
        <v/>
      </c>
      <c r="T751" s="32" t="str">
        <f aca="false">IF(Q751="","",IF(Q751&gt;=100000,"Yes","No"))</f>
        <v/>
      </c>
      <c r="U751" s="28"/>
      <c r="V751" s="28"/>
      <c r="W751" s="28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J751" s="34" t="str">
        <f aca="false">IF(OR($BD751&lt;&gt;"",$BF751&lt;&gt;"",$BH751&lt;&gt;""),"Yes","No")</f>
        <v>No</v>
      </c>
      <c r="BK751" s="35" t="str">
        <f aca="false">IFERROR(IF(BD751="","",BD751*INDEX('00 - Lists'!$M$2:$M$11,MATCH(L751,'00 - Lists'!$L$2:$L$11,0))/100000),"")</f>
        <v/>
      </c>
      <c r="BL751" s="35" t="str">
        <f aca="false">IFERROR(IF(BE751="","",BE751*INDEX('00 - Lists'!$M$2:$M$11,MATCH(L751,'00 - Lists'!$L$2:$L$11,0))/100000),"")</f>
        <v/>
      </c>
      <c r="BM751" s="35" t="str">
        <f aca="false">IFERROR(IF(BF751="","",BF751*INDEX('00 - Lists'!$M$2:$M$11,MATCH(L751,'00 - Lists'!$L$2:$L$11,0))/100000),"")</f>
        <v/>
      </c>
      <c r="BN751" s="35" t="str">
        <f aca="false">IFERROR(IF(BG751="","",BG751*INDEX('00 - Lists'!$M$2:$M$11,MATCH(L751,'00 - Lists'!$L$2:$L$11,0))/100000),"")</f>
        <v/>
      </c>
      <c r="BO751" s="35" t="str">
        <f aca="false">IFERROR(IF(BH751="","",BH751*INDEX('00 - Lists'!$M$2:$M$11,MATCH(L751,'00 - Lists'!$L$2:$L$11,0))/100000),"")</f>
        <v/>
      </c>
      <c r="BP751" s="35" t="str">
        <f aca="false">IFERROR(IF(BI751="","",BI751*INDEX('00 - Lists'!$M$2:$M$11,MATCH(L751,'00 - Lists'!$L$2:$L$11,0))/100000),"")</f>
        <v/>
      </c>
      <c r="BS751" s="36" t="str">
        <f aca="false">IF(O751="","",IF(O751&gt;=20,"Yes","No"))</f>
        <v/>
      </c>
      <c r="BT751" s="36" t="str">
        <f aca="false">IF(O751="","",IF(O751&gt;=30,"Yes","No"))</f>
        <v/>
      </c>
      <c r="BU751" s="36" t="str">
        <f aca="false">IF(O751="","",IF(O751&gt;=75,"Yes","No"))</f>
        <v/>
      </c>
      <c r="BV751" s="36" t="str">
        <f aca="false">IF(O751="","",IF(O751&gt;=100,"Yes","No"))</f>
        <v/>
      </c>
      <c r="BW751" s="36" t="str">
        <f aca="false">IF(O751="","",IF(O751&gt;=150,"Yes","No"))</f>
        <v/>
      </c>
      <c r="BX751" s="36" t="str">
        <f aca="false">IF(O751="","",IF(O751&gt;=200,"Yes","No"))</f>
        <v/>
      </c>
      <c r="BY751" s="36" t="str">
        <f aca="false">IF(Q751="","",IF(Q751&gt;=150000,"Yes","No"))</f>
        <v/>
      </c>
      <c r="BZ751" s="36" t="str">
        <f aca="false">IF(Q751="","",IF(Q751&gt;=200000,"Yes","No"))</f>
        <v/>
      </c>
      <c r="CA751" s="36" t="str">
        <f aca="false">IF(Q751="","",IF(Q751&gt;=250000,"Yes","No"))</f>
        <v/>
      </c>
      <c r="CB751" s="36" t="str">
        <f aca="false">IF(Q751="","",IF(Q751&gt;=300000,"Yes","No"))</f>
        <v/>
      </c>
      <c r="CC751" s="37"/>
      <c r="CD751" s="36" t="str">
        <f aca="true">IF(B751="","",IF(TODAY()-B751&lt;=7,"🟢 0-7d",IF(TODAY()-B751&lt;=30,"🟡 8-30d",IF(TODAY()-B751&lt;=60,"🟠 31-60d","🔴 60d+"))))</f>
        <v/>
      </c>
      <c r="CE751" s="36" t="str">
        <f aca="false">IF(G751="","",IF(G751&lt;&gt;"USA","N/A - Not USA Role",IF(J751="Yes",IF(OR(F751="Intern",F751="New Grad"),"🟡 Possible","🟢 Strong"),IF(J751="No","🔴 Difficult","⚪ Unknown"))))</f>
        <v/>
      </c>
      <c r="CF751" s="37"/>
      <c r="CG751" s="37"/>
      <c r="CH751" s="38"/>
      <c r="CI751" s="38"/>
      <c r="CJ751" s="38"/>
      <c r="CK751" s="38"/>
    </row>
    <row r="752" customFormat="false" ht="15" hidden="false" customHeight="true" outlineLevel="0" collapsed="false">
      <c r="A752" s="26" t="str">
        <f aca="false">IF($C752="","",ROW()-3)</f>
        <v/>
      </c>
      <c r="B752" s="27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9"/>
      <c r="N752" s="29"/>
      <c r="O752" s="30" t="str">
        <f aca="false">IFERROR(IF(M752="","",M752*INDEX('00 - Lists'!$M$2:$M$11,MATCH(L752,'00 - Lists'!$L$2:$L$11,0))/100000),"")</f>
        <v/>
      </c>
      <c r="P752" s="30" t="str">
        <f aca="false">IFERROR(IF(N752="","",N752*INDEX('00 - Lists'!$M$2:$M$11,MATCH(L752,'00 - Lists'!$L$2:$L$11,0))/100000),"")</f>
        <v/>
      </c>
      <c r="Q752" s="31" t="str">
        <f aca="false">IFERROR(IF(M752="","",M752*INDEX('00 - Lists'!$N$2:$N$11,MATCH(L752,'00 - Lists'!$L$2:$L$11,0))),"")</f>
        <v/>
      </c>
      <c r="R752" s="31" t="str">
        <f aca="false">IFERROR(IF(N752="","",N752*INDEX('00 - Lists'!$N$2:$N$11,MATCH(L752,'00 - Lists'!$L$2:$L$11,0))),"")</f>
        <v/>
      </c>
      <c r="S752" s="32" t="str">
        <f aca="false">IF(O752="","",IF(O752&gt;=50,"Yes","No"))</f>
        <v/>
      </c>
      <c r="T752" s="32" t="str">
        <f aca="false">IF(Q752="","",IF(Q752&gt;=100000,"Yes","No"))</f>
        <v/>
      </c>
      <c r="U752" s="28"/>
      <c r="V752" s="28"/>
      <c r="W752" s="28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J752" s="34" t="str">
        <f aca="false">IF(OR($BD752&lt;&gt;"",$BF752&lt;&gt;"",$BH752&lt;&gt;""),"Yes","No")</f>
        <v>No</v>
      </c>
      <c r="BK752" s="35" t="str">
        <f aca="false">IFERROR(IF(BD752="","",BD752*INDEX('00 - Lists'!$M$2:$M$11,MATCH(L752,'00 - Lists'!$L$2:$L$11,0))/100000),"")</f>
        <v/>
      </c>
      <c r="BL752" s="35" t="str">
        <f aca="false">IFERROR(IF(BE752="","",BE752*INDEX('00 - Lists'!$M$2:$M$11,MATCH(L752,'00 - Lists'!$L$2:$L$11,0))/100000),"")</f>
        <v/>
      </c>
      <c r="BM752" s="35" t="str">
        <f aca="false">IFERROR(IF(BF752="","",BF752*INDEX('00 - Lists'!$M$2:$M$11,MATCH(L752,'00 - Lists'!$L$2:$L$11,0))/100000),"")</f>
        <v/>
      </c>
      <c r="BN752" s="35" t="str">
        <f aca="false">IFERROR(IF(BG752="","",BG752*INDEX('00 - Lists'!$M$2:$M$11,MATCH(L752,'00 - Lists'!$L$2:$L$11,0))/100000),"")</f>
        <v/>
      </c>
      <c r="BO752" s="35" t="str">
        <f aca="false">IFERROR(IF(BH752="","",BH752*INDEX('00 - Lists'!$M$2:$M$11,MATCH(L752,'00 - Lists'!$L$2:$L$11,0))/100000),"")</f>
        <v/>
      </c>
      <c r="BP752" s="35" t="str">
        <f aca="false">IFERROR(IF(BI752="","",BI752*INDEX('00 - Lists'!$M$2:$M$11,MATCH(L752,'00 - Lists'!$L$2:$L$11,0))/100000),"")</f>
        <v/>
      </c>
      <c r="BS752" s="36" t="str">
        <f aca="false">IF(O752="","",IF(O752&gt;=20,"Yes","No"))</f>
        <v/>
      </c>
      <c r="BT752" s="36" t="str">
        <f aca="false">IF(O752="","",IF(O752&gt;=30,"Yes","No"))</f>
        <v/>
      </c>
      <c r="BU752" s="36" t="str">
        <f aca="false">IF(O752="","",IF(O752&gt;=75,"Yes","No"))</f>
        <v/>
      </c>
      <c r="BV752" s="36" t="str">
        <f aca="false">IF(O752="","",IF(O752&gt;=100,"Yes","No"))</f>
        <v/>
      </c>
      <c r="BW752" s="36" t="str">
        <f aca="false">IF(O752="","",IF(O752&gt;=150,"Yes","No"))</f>
        <v/>
      </c>
      <c r="BX752" s="36" t="str">
        <f aca="false">IF(O752="","",IF(O752&gt;=200,"Yes","No"))</f>
        <v/>
      </c>
      <c r="BY752" s="36" t="str">
        <f aca="false">IF(Q752="","",IF(Q752&gt;=150000,"Yes","No"))</f>
        <v/>
      </c>
      <c r="BZ752" s="36" t="str">
        <f aca="false">IF(Q752="","",IF(Q752&gt;=200000,"Yes","No"))</f>
        <v/>
      </c>
      <c r="CA752" s="36" t="str">
        <f aca="false">IF(Q752="","",IF(Q752&gt;=250000,"Yes","No"))</f>
        <v/>
      </c>
      <c r="CB752" s="36" t="str">
        <f aca="false">IF(Q752="","",IF(Q752&gt;=300000,"Yes","No"))</f>
        <v/>
      </c>
      <c r="CC752" s="37"/>
      <c r="CD752" s="36" t="str">
        <f aca="true">IF(B752="","",IF(TODAY()-B752&lt;=7,"🟢 0-7d",IF(TODAY()-B752&lt;=30,"🟡 8-30d",IF(TODAY()-B752&lt;=60,"🟠 31-60d","🔴 60d+"))))</f>
        <v/>
      </c>
      <c r="CE752" s="36" t="str">
        <f aca="false">IF(G752="","",IF(G752&lt;&gt;"USA","N/A - Not USA Role",IF(J752="Yes",IF(OR(F752="Intern",F752="New Grad"),"🟡 Possible","🟢 Strong"),IF(J752="No","🔴 Difficult","⚪ Unknown"))))</f>
        <v/>
      </c>
      <c r="CF752" s="37"/>
      <c r="CG752" s="37"/>
      <c r="CH752" s="38"/>
      <c r="CI752" s="38"/>
      <c r="CJ752" s="38"/>
      <c r="CK752" s="38"/>
    </row>
    <row r="753" customFormat="false" ht="15" hidden="false" customHeight="true" outlineLevel="0" collapsed="false">
      <c r="A753" s="26" t="str">
        <f aca="false">IF($C753="","",ROW()-3)</f>
        <v/>
      </c>
      <c r="B753" s="27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9"/>
      <c r="N753" s="29"/>
      <c r="O753" s="30" t="str">
        <f aca="false">IFERROR(IF(M753="","",M753*INDEX('00 - Lists'!$M$2:$M$11,MATCH(L753,'00 - Lists'!$L$2:$L$11,0))/100000),"")</f>
        <v/>
      </c>
      <c r="P753" s="30" t="str">
        <f aca="false">IFERROR(IF(N753="","",N753*INDEX('00 - Lists'!$M$2:$M$11,MATCH(L753,'00 - Lists'!$L$2:$L$11,0))/100000),"")</f>
        <v/>
      </c>
      <c r="Q753" s="31" t="str">
        <f aca="false">IFERROR(IF(M753="","",M753*INDEX('00 - Lists'!$N$2:$N$11,MATCH(L753,'00 - Lists'!$L$2:$L$11,0))),"")</f>
        <v/>
      </c>
      <c r="R753" s="31" t="str">
        <f aca="false">IFERROR(IF(N753="","",N753*INDEX('00 - Lists'!$N$2:$N$11,MATCH(L753,'00 - Lists'!$L$2:$L$11,0))),"")</f>
        <v/>
      </c>
      <c r="S753" s="32" t="str">
        <f aca="false">IF(O753="","",IF(O753&gt;=50,"Yes","No"))</f>
        <v/>
      </c>
      <c r="T753" s="32" t="str">
        <f aca="false">IF(Q753="","",IF(Q753&gt;=100000,"Yes","No"))</f>
        <v/>
      </c>
      <c r="U753" s="28"/>
      <c r="V753" s="28"/>
      <c r="W753" s="28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J753" s="34" t="str">
        <f aca="false">IF(OR($BD753&lt;&gt;"",$BF753&lt;&gt;"",$BH753&lt;&gt;""),"Yes","No")</f>
        <v>No</v>
      </c>
      <c r="BK753" s="35" t="str">
        <f aca="false">IFERROR(IF(BD753="","",BD753*INDEX('00 - Lists'!$M$2:$M$11,MATCH(L753,'00 - Lists'!$L$2:$L$11,0))/100000),"")</f>
        <v/>
      </c>
      <c r="BL753" s="35" t="str">
        <f aca="false">IFERROR(IF(BE753="","",BE753*INDEX('00 - Lists'!$M$2:$M$11,MATCH(L753,'00 - Lists'!$L$2:$L$11,0))/100000),"")</f>
        <v/>
      </c>
      <c r="BM753" s="35" t="str">
        <f aca="false">IFERROR(IF(BF753="","",BF753*INDEX('00 - Lists'!$M$2:$M$11,MATCH(L753,'00 - Lists'!$L$2:$L$11,0))/100000),"")</f>
        <v/>
      </c>
      <c r="BN753" s="35" t="str">
        <f aca="false">IFERROR(IF(BG753="","",BG753*INDEX('00 - Lists'!$M$2:$M$11,MATCH(L753,'00 - Lists'!$L$2:$L$11,0))/100000),"")</f>
        <v/>
      </c>
      <c r="BO753" s="35" t="str">
        <f aca="false">IFERROR(IF(BH753="","",BH753*INDEX('00 - Lists'!$M$2:$M$11,MATCH(L753,'00 - Lists'!$L$2:$L$11,0))/100000),"")</f>
        <v/>
      </c>
      <c r="BP753" s="35" t="str">
        <f aca="false">IFERROR(IF(BI753="","",BI753*INDEX('00 - Lists'!$M$2:$M$11,MATCH(L753,'00 - Lists'!$L$2:$L$11,0))/100000),"")</f>
        <v/>
      </c>
      <c r="BS753" s="36" t="str">
        <f aca="false">IF(O753="","",IF(O753&gt;=20,"Yes","No"))</f>
        <v/>
      </c>
      <c r="BT753" s="36" t="str">
        <f aca="false">IF(O753="","",IF(O753&gt;=30,"Yes","No"))</f>
        <v/>
      </c>
      <c r="BU753" s="36" t="str">
        <f aca="false">IF(O753="","",IF(O753&gt;=75,"Yes","No"))</f>
        <v/>
      </c>
      <c r="BV753" s="36" t="str">
        <f aca="false">IF(O753="","",IF(O753&gt;=100,"Yes","No"))</f>
        <v/>
      </c>
      <c r="BW753" s="36" t="str">
        <f aca="false">IF(O753="","",IF(O753&gt;=150,"Yes","No"))</f>
        <v/>
      </c>
      <c r="BX753" s="36" t="str">
        <f aca="false">IF(O753="","",IF(O753&gt;=200,"Yes","No"))</f>
        <v/>
      </c>
      <c r="BY753" s="36" t="str">
        <f aca="false">IF(Q753="","",IF(Q753&gt;=150000,"Yes","No"))</f>
        <v/>
      </c>
      <c r="BZ753" s="36" t="str">
        <f aca="false">IF(Q753="","",IF(Q753&gt;=200000,"Yes","No"))</f>
        <v/>
      </c>
      <c r="CA753" s="36" t="str">
        <f aca="false">IF(Q753="","",IF(Q753&gt;=250000,"Yes","No"))</f>
        <v/>
      </c>
      <c r="CB753" s="36" t="str">
        <f aca="false">IF(Q753="","",IF(Q753&gt;=300000,"Yes","No"))</f>
        <v/>
      </c>
      <c r="CC753" s="37"/>
      <c r="CD753" s="36" t="str">
        <f aca="true">IF(B753="","",IF(TODAY()-B753&lt;=7,"🟢 0-7d",IF(TODAY()-B753&lt;=30,"🟡 8-30d",IF(TODAY()-B753&lt;=60,"🟠 31-60d","🔴 60d+"))))</f>
        <v/>
      </c>
      <c r="CE753" s="36" t="str">
        <f aca="false">IF(G753="","",IF(G753&lt;&gt;"USA","N/A - Not USA Role",IF(J753="Yes",IF(OR(F753="Intern",F753="New Grad"),"🟡 Possible","🟢 Strong"),IF(J753="No","🔴 Difficult","⚪ Unknown"))))</f>
        <v/>
      </c>
      <c r="CF753" s="37"/>
      <c r="CG753" s="37"/>
      <c r="CH753" s="38"/>
      <c r="CI753" s="38"/>
      <c r="CJ753" s="38"/>
      <c r="CK753" s="38"/>
    </row>
    <row r="754" customFormat="false" ht="15" hidden="false" customHeight="true" outlineLevel="0" collapsed="false">
      <c r="A754" s="26" t="str">
        <f aca="false">IF($C754="","",ROW()-3)</f>
        <v/>
      </c>
      <c r="B754" s="27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9"/>
      <c r="N754" s="29"/>
      <c r="O754" s="30" t="str">
        <f aca="false">IFERROR(IF(M754="","",M754*INDEX('00 - Lists'!$M$2:$M$11,MATCH(L754,'00 - Lists'!$L$2:$L$11,0))/100000),"")</f>
        <v/>
      </c>
      <c r="P754" s="30" t="str">
        <f aca="false">IFERROR(IF(N754="","",N754*INDEX('00 - Lists'!$M$2:$M$11,MATCH(L754,'00 - Lists'!$L$2:$L$11,0))/100000),"")</f>
        <v/>
      </c>
      <c r="Q754" s="31" t="str">
        <f aca="false">IFERROR(IF(M754="","",M754*INDEX('00 - Lists'!$N$2:$N$11,MATCH(L754,'00 - Lists'!$L$2:$L$11,0))),"")</f>
        <v/>
      </c>
      <c r="R754" s="31" t="str">
        <f aca="false">IFERROR(IF(N754="","",N754*INDEX('00 - Lists'!$N$2:$N$11,MATCH(L754,'00 - Lists'!$L$2:$L$11,0))),"")</f>
        <v/>
      </c>
      <c r="S754" s="32" t="str">
        <f aca="false">IF(O754="","",IF(O754&gt;=50,"Yes","No"))</f>
        <v/>
      </c>
      <c r="T754" s="32" t="str">
        <f aca="false">IF(Q754="","",IF(Q754&gt;=100000,"Yes","No"))</f>
        <v/>
      </c>
      <c r="U754" s="28"/>
      <c r="V754" s="28"/>
      <c r="W754" s="28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J754" s="34" t="str">
        <f aca="false">IF(OR($BD754&lt;&gt;"",$BF754&lt;&gt;"",$BH754&lt;&gt;""),"Yes","No")</f>
        <v>No</v>
      </c>
      <c r="BK754" s="35" t="str">
        <f aca="false">IFERROR(IF(BD754="","",BD754*INDEX('00 - Lists'!$M$2:$M$11,MATCH(L754,'00 - Lists'!$L$2:$L$11,0))/100000),"")</f>
        <v/>
      </c>
      <c r="BL754" s="35" t="str">
        <f aca="false">IFERROR(IF(BE754="","",BE754*INDEX('00 - Lists'!$M$2:$M$11,MATCH(L754,'00 - Lists'!$L$2:$L$11,0))/100000),"")</f>
        <v/>
      </c>
      <c r="BM754" s="35" t="str">
        <f aca="false">IFERROR(IF(BF754="","",BF754*INDEX('00 - Lists'!$M$2:$M$11,MATCH(L754,'00 - Lists'!$L$2:$L$11,0))/100000),"")</f>
        <v/>
      </c>
      <c r="BN754" s="35" t="str">
        <f aca="false">IFERROR(IF(BG754="","",BG754*INDEX('00 - Lists'!$M$2:$M$11,MATCH(L754,'00 - Lists'!$L$2:$L$11,0))/100000),"")</f>
        <v/>
      </c>
      <c r="BO754" s="35" t="str">
        <f aca="false">IFERROR(IF(BH754="","",BH754*INDEX('00 - Lists'!$M$2:$M$11,MATCH(L754,'00 - Lists'!$L$2:$L$11,0))/100000),"")</f>
        <v/>
      </c>
      <c r="BP754" s="35" t="str">
        <f aca="false">IFERROR(IF(BI754="","",BI754*INDEX('00 - Lists'!$M$2:$M$11,MATCH(L754,'00 - Lists'!$L$2:$L$11,0))/100000),"")</f>
        <v/>
      </c>
      <c r="BS754" s="36" t="str">
        <f aca="false">IF(O754="","",IF(O754&gt;=20,"Yes","No"))</f>
        <v/>
      </c>
      <c r="BT754" s="36" t="str">
        <f aca="false">IF(O754="","",IF(O754&gt;=30,"Yes","No"))</f>
        <v/>
      </c>
      <c r="BU754" s="36" t="str">
        <f aca="false">IF(O754="","",IF(O754&gt;=75,"Yes","No"))</f>
        <v/>
      </c>
      <c r="BV754" s="36" t="str">
        <f aca="false">IF(O754="","",IF(O754&gt;=100,"Yes","No"))</f>
        <v/>
      </c>
      <c r="BW754" s="36" t="str">
        <f aca="false">IF(O754="","",IF(O754&gt;=150,"Yes","No"))</f>
        <v/>
      </c>
      <c r="BX754" s="36" t="str">
        <f aca="false">IF(O754="","",IF(O754&gt;=200,"Yes","No"))</f>
        <v/>
      </c>
      <c r="BY754" s="36" t="str">
        <f aca="false">IF(Q754="","",IF(Q754&gt;=150000,"Yes","No"))</f>
        <v/>
      </c>
      <c r="BZ754" s="36" t="str">
        <f aca="false">IF(Q754="","",IF(Q754&gt;=200000,"Yes","No"))</f>
        <v/>
      </c>
      <c r="CA754" s="36" t="str">
        <f aca="false">IF(Q754="","",IF(Q754&gt;=250000,"Yes","No"))</f>
        <v/>
      </c>
      <c r="CB754" s="36" t="str">
        <f aca="false">IF(Q754="","",IF(Q754&gt;=300000,"Yes","No"))</f>
        <v/>
      </c>
      <c r="CC754" s="37"/>
      <c r="CD754" s="36" t="str">
        <f aca="true">IF(B754="","",IF(TODAY()-B754&lt;=7,"🟢 0-7d",IF(TODAY()-B754&lt;=30,"🟡 8-30d",IF(TODAY()-B754&lt;=60,"🟠 31-60d","🔴 60d+"))))</f>
        <v/>
      </c>
      <c r="CE754" s="36" t="str">
        <f aca="false">IF(G754="","",IF(G754&lt;&gt;"USA","N/A - Not USA Role",IF(J754="Yes",IF(OR(F754="Intern",F754="New Grad"),"🟡 Possible","🟢 Strong"),IF(J754="No","🔴 Difficult","⚪ Unknown"))))</f>
        <v/>
      </c>
      <c r="CF754" s="37"/>
      <c r="CG754" s="37"/>
      <c r="CH754" s="38"/>
      <c r="CI754" s="38"/>
      <c r="CJ754" s="38"/>
      <c r="CK754" s="38"/>
    </row>
    <row r="755" customFormat="false" ht="15" hidden="false" customHeight="true" outlineLevel="0" collapsed="false">
      <c r="A755" s="26" t="str">
        <f aca="false">IF($C755="","",ROW()-3)</f>
        <v/>
      </c>
      <c r="B755" s="27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9"/>
      <c r="N755" s="29"/>
      <c r="O755" s="30" t="str">
        <f aca="false">IFERROR(IF(M755="","",M755*INDEX('00 - Lists'!$M$2:$M$11,MATCH(L755,'00 - Lists'!$L$2:$L$11,0))/100000),"")</f>
        <v/>
      </c>
      <c r="P755" s="30" t="str">
        <f aca="false">IFERROR(IF(N755="","",N755*INDEX('00 - Lists'!$M$2:$M$11,MATCH(L755,'00 - Lists'!$L$2:$L$11,0))/100000),"")</f>
        <v/>
      </c>
      <c r="Q755" s="31" t="str">
        <f aca="false">IFERROR(IF(M755="","",M755*INDEX('00 - Lists'!$N$2:$N$11,MATCH(L755,'00 - Lists'!$L$2:$L$11,0))),"")</f>
        <v/>
      </c>
      <c r="R755" s="31" t="str">
        <f aca="false">IFERROR(IF(N755="","",N755*INDEX('00 - Lists'!$N$2:$N$11,MATCH(L755,'00 - Lists'!$L$2:$L$11,0))),"")</f>
        <v/>
      </c>
      <c r="S755" s="32" t="str">
        <f aca="false">IF(O755="","",IF(O755&gt;=50,"Yes","No"))</f>
        <v/>
      </c>
      <c r="T755" s="32" t="str">
        <f aca="false">IF(Q755="","",IF(Q755&gt;=100000,"Yes","No"))</f>
        <v/>
      </c>
      <c r="U755" s="28"/>
      <c r="V755" s="28"/>
      <c r="W755" s="28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J755" s="34" t="str">
        <f aca="false">IF(OR($BD755&lt;&gt;"",$BF755&lt;&gt;"",$BH755&lt;&gt;""),"Yes","No")</f>
        <v>No</v>
      </c>
      <c r="BK755" s="35" t="str">
        <f aca="false">IFERROR(IF(BD755="","",BD755*INDEX('00 - Lists'!$M$2:$M$11,MATCH(L755,'00 - Lists'!$L$2:$L$11,0))/100000),"")</f>
        <v/>
      </c>
      <c r="BL755" s="35" t="str">
        <f aca="false">IFERROR(IF(BE755="","",BE755*INDEX('00 - Lists'!$M$2:$M$11,MATCH(L755,'00 - Lists'!$L$2:$L$11,0))/100000),"")</f>
        <v/>
      </c>
      <c r="BM755" s="35" t="str">
        <f aca="false">IFERROR(IF(BF755="","",BF755*INDEX('00 - Lists'!$M$2:$M$11,MATCH(L755,'00 - Lists'!$L$2:$L$11,0))/100000),"")</f>
        <v/>
      </c>
      <c r="BN755" s="35" t="str">
        <f aca="false">IFERROR(IF(BG755="","",BG755*INDEX('00 - Lists'!$M$2:$M$11,MATCH(L755,'00 - Lists'!$L$2:$L$11,0))/100000),"")</f>
        <v/>
      </c>
      <c r="BO755" s="35" t="str">
        <f aca="false">IFERROR(IF(BH755="","",BH755*INDEX('00 - Lists'!$M$2:$M$11,MATCH(L755,'00 - Lists'!$L$2:$L$11,0))/100000),"")</f>
        <v/>
      </c>
      <c r="BP755" s="35" t="str">
        <f aca="false">IFERROR(IF(BI755="","",BI755*INDEX('00 - Lists'!$M$2:$M$11,MATCH(L755,'00 - Lists'!$L$2:$L$11,0))/100000),"")</f>
        <v/>
      </c>
      <c r="BS755" s="36" t="str">
        <f aca="false">IF(O755="","",IF(O755&gt;=20,"Yes","No"))</f>
        <v/>
      </c>
      <c r="BT755" s="36" t="str">
        <f aca="false">IF(O755="","",IF(O755&gt;=30,"Yes","No"))</f>
        <v/>
      </c>
      <c r="BU755" s="36" t="str">
        <f aca="false">IF(O755="","",IF(O755&gt;=75,"Yes","No"))</f>
        <v/>
      </c>
      <c r="BV755" s="36" t="str">
        <f aca="false">IF(O755="","",IF(O755&gt;=100,"Yes","No"))</f>
        <v/>
      </c>
      <c r="BW755" s="36" t="str">
        <f aca="false">IF(O755="","",IF(O755&gt;=150,"Yes","No"))</f>
        <v/>
      </c>
      <c r="BX755" s="36" t="str">
        <f aca="false">IF(O755="","",IF(O755&gt;=200,"Yes","No"))</f>
        <v/>
      </c>
      <c r="BY755" s="36" t="str">
        <f aca="false">IF(Q755="","",IF(Q755&gt;=150000,"Yes","No"))</f>
        <v/>
      </c>
      <c r="BZ755" s="36" t="str">
        <f aca="false">IF(Q755="","",IF(Q755&gt;=200000,"Yes","No"))</f>
        <v/>
      </c>
      <c r="CA755" s="36" t="str">
        <f aca="false">IF(Q755="","",IF(Q755&gt;=250000,"Yes","No"))</f>
        <v/>
      </c>
      <c r="CB755" s="36" t="str">
        <f aca="false">IF(Q755="","",IF(Q755&gt;=300000,"Yes","No"))</f>
        <v/>
      </c>
      <c r="CC755" s="37"/>
      <c r="CD755" s="36" t="str">
        <f aca="true">IF(B755="","",IF(TODAY()-B755&lt;=7,"🟢 0-7d",IF(TODAY()-B755&lt;=30,"🟡 8-30d",IF(TODAY()-B755&lt;=60,"🟠 31-60d","🔴 60d+"))))</f>
        <v/>
      </c>
      <c r="CE755" s="36" t="str">
        <f aca="false">IF(G755="","",IF(G755&lt;&gt;"USA","N/A - Not USA Role",IF(J755="Yes",IF(OR(F755="Intern",F755="New Grad"),"🟡 Possible","🟢 Strong"),IF(J755="No","🔴 Difficult","⚪ Unknown"))))</f>
        <v/>
      </c>
      <c r="CF755" s="37"/>
      <c r="CG755" s="37"/>
      <c r="CH755" s="38"/>
      <c r="CI755" s="38"/>
      <c r="CJ755" s="38"/>
      <c r="CK755" s="38"/>
    </row>
    <row r="756" customFormat="false" ht="15" hidden="false" customHeight="true" outlineLevel="0" collapsed="false">
      <c r="A756" s="26" t="str">
        <f aca="false">IF($C756="","",ROW()-3)</f>
        <v/>
      </c>
      <c r="B756" s="27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9"/>
      <c r="N756" s="29"/>
      <c r="O756" s="30" t="str">
        <f aca="false">IFERROR(IF(M756="","",M756*INDEX('00 - Lists'!$M$2:$M$11,MATCH(L756,'00 - Lists'!$L$2:$L$11,0))/100000),"")</f>
        <v/>
      </c>
      <c r="P756" s="30" t="str">
        <f aca="false">IFERROR(IF(N756="","",N756*INDEX('00 - Lists'!$M$2:$M$11,MATCH(L756,'00 - Lists'!$L$2:$L$11,0))/100000),"")</f>
        <v/>
      </c>
      <c r="Q756" s="31" t="str">
        <f aca="false">IFERROR(IF(M756="","",M756*INDEX('00 - Lists'!$N$2:$N$11,MATCH(L756,'00 - Lists'!$L$2:$L$11,0))),"")</f>
        <v/>
      </c>
      <c r="R756" s="31" t="str">
        <f aca="false">IFERROR(IF(N756="","",N756*INDEX('00 - Lists'!$N$2:$N$11,MATCH(L756,'00 - Lists'!$L$2:$L$11,0))),"")</f>
        <v/>
      </c>
      <c r="S756" s="32" t="str">
        <f aca="false">IF(O756="","",IF(O756&gt;=50,"Yes","No"))</f>
        <v/>
      </c>
      <c r="T756" s="32" t="str">
        <f aca="false">IF(Q756="","",IF(Q756&gt;=100000,"Yes","No"))</f>
        <v/>
      </c>
      <c r="U756" s="28"/>
      <c r="V756" s="28"/>
      <c r="W756" s="28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J756" s="34" t="str">
        <f aca="false">IF(OR($BD756&lt;&gt;"",$BF756&lt;&gt;"",$BH756&lt;&gt;""),"Yes","No")</f>
        <v>No</v>
      </c>
      <c r="BK756" s="35" t="str">
        <f aca="false">IFERROR(IF(BD756="","",BD756*INDEX('00 - Lists'!$M$2:$M$11,MATCH(L756,'00 - Lists'!$L$2:$L$11,0))/100000),"")</f>
        <v/>
      </c>
      <c r="BL756" s="35" t="str">
        <f aca="false">IFERROR(IF(BE756="","",BE756*INDEX('00 - Lists'!$M$2:$M$11,MATCH(L756,'00 - Lists'!$L$2:$L$11,0))/100000),"")</f>
        <v/>
      </c>
      <c r="BM756" s="35" t="str">
        <f aca="false">IFERROR(IF(BF756="","",BF756*INDEX('00 - Lists'!$M$2:$M$11,MATCH(L756,'00 - Lists'!$L$2:$L$11,0))/100000),"")</f>
        <v/>
      </c>
      <c r="BN756" s="35" t="str">
        <f aca="false">IFERROR(IF(BG756="","",BG756*INDEX('00 - Lists'!$M$2:$M$11,MATCH(L756,'00 - Lists'!$L$2:$L$11,0))/100000),"")</f>
        <v/>
      </c>
      <c r="BO756" s="35" t="str">
        <f aca="false">IFERROR(IF(BH756="","",BH756*INDEX('00 - Lists'!$M$2:$M$11,MATCH(L756,'00 - Lists'!$L$2:$L$11,0))/100000),"")</f>
        <v/>
      </c>
      <c r="BP756" s="35" t="str">
        <f aca="false">IFERROR(IF(BI756="","",BI756*INDEX('00 - Lists'!$M$2:$M$11,MATCH(L756,'00 - Lists'!$L$2:$L$11,0))/100000),"")</f>
        <v/>
      </c>
      <c r="BS756" s="36" t="str">
        <f aca="false">IF(O756="","",IF(O756&gt;=20,"Yes","No"))</f>
        <v/>
      </c>
      <c r="BT756" s="36" t="str">
        <f aca="false">IF(O756="","",IF(O756&gt;=30,"Yes","No"))</f>
        <v/>
      </c>
      <c r="BU756" s="36" t="str">
        <f aca="false">IF(O756="","",IF(O756&gt;=75,"Yes","No"))</f>
        <v/>
      </c>
      <c r="BV756" s="36" t="str">
        <f aca="false">IF(O756="","",IF(O756&gt;=100,"Yes","No"))</f>
        <v/>
      </c>
      <c r="BW756" s="36" t="str">
        <f aca="false">IF(O756="","",IF(O756&gt;=150,"Yes","No"))</f>
        <v/>
      </c>
      <c r="BX756" s="36" t="str">
        <f aca="false">IF(O756="","",IF(O756&gt;=200,"Yes","No"))</f>
        <v/>
      </c>
      <c r="BY756" s="36" t="str">
        <f aca="false">IF(Q756="","",IF(Q756&gt;=150000,"Yes","No"))</f>
        <v/>
      </c>
      <c r="BZ756" s="36" t="str">
        <f aca="false">IF(Q756="","",IF(Q756&gt;=200000,"Yes","No"))</f>
        <v/>
      </c>
      <c r="CA756" s="36" t="str">
        <f aca="false">IF(Q756="","",IF(Q756&gt;=250000,"Yes","No"))</f>
        <v/>
      </c>
      <c r="CB756" s="36" t="str">
        <f aca="false">IF(Q756="","",IF(Q756&gt;=300000,"Yes","No"))</f>
        <v/>
      </c>
      <c r="CC756" s="37"/>
      <c r="CD756" s="36" t="str">
        <f aca="true">IF(B756="","",IF(TODAY()-B756&lt;=7,"🟢 0-7d",IF(TODAY()-B756&lt;=30,"🟡 8-30d",IF(TODAY()-B756&lt;=60,"🟠 31-60d","🔴 60d+"))))</f>
        <v/>
      </c>
      <c r="CE756" s="36" t="str">
        <f aca="false">IF(G756="","",IF(G756&lt;&gt;"USA","N/A - Not USA Role",IF(J756="Yes",IF(OR(F756="Intern",F756="New Grad"),"🟡 Possible","🟢 Strong"),IF(J756="No","🔴 Difficult","⚪ Unknown"))))</f>
        <v/>
      </c>
      <c r="CF756" s="37"/>
      <c r="CG756" s="37"/>
      <c r="CH756" s="38"/>
      <c r="CI756" s="38"/>
      <c r="CJ756" s="38"/>
      <c r="CK756" s="38"/>
    </row>
    <row r="757" customFormat="false" ht="15" hidden="false" customHeight="true" outlineLevel="0" collapsed="false">
      <c r="A757" s="26" t="str">
        <f aca="false">IF($C757="","",ROW()-3)</f>
        <v/>
      </c>
      <c r="B757" s="27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9"/>
      <c r="N757" s="29"/>
      <c r="O757" s="30" t="str">
        <f aca="false">IFERROR(IF(M757="","",M757*INDEX('00 - Lists'!$M$2:$M$11,MATCH(L757,'00 - Lists'!$L$2:$L$11,0))/100000),"")</f>
        <v/>
      </c>
      <c r="P757" s="30" t="str">
        <f aca="false">IFERROR(IF(N757="","",N757*INDEX('00 - Lists'!$M$2:$M$11,MATCH(L757,'00 - Lists'!$L$2:$L$11,0))/100000),"")</f>
        <v/>
      </c>
      <c r="Q757" s="31" t="str">
        <f aca="false">IFERROR(IF(M757="","",M757*INDEX('00 - Lists'!$N$2:$N$11,MATCH(L757,'00 - Lists'!$L$2:$L$11,0))),"")</f>
        <v/>
      </c>
      <c r="R757" s="31" t="str">
        <f aca="false">IFERROR(IF(N757="","",N757*INDEX('00 - Lists'!$N$2:$N$11,MATCH(L757,'00 - Lists'!$L$2:$L$11,0))),"")</f>
        <v/>
      </c>
      <c r="S757" s="32" t="str">
        <f aca="false">IF(O757="","",IF(O757&gt;=50,"Yes","No"))</f>
        <v/>
      </c>
      <c r="T757" s="32" t="str">
        <f aca="false">IF(Q757="","",IF(Q757&gt;=100000,"Yes","No"))</f>
        <v/>
      </c>
      <c r="U757" s="28"/>
      <c r="V757" s="28"/>
      <c r="W757" s="28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J757" s="34" t="str">
        <f aca="false">IF(OR($BD757&lt;&gt;"",$BF757&lt;&gt;"",$BH757&lt;&gt;""),"Yes","No")</f>
        <v>No</v>
      </c>
      <c r="BK757" s="35" t="str">
        <f aca="false">IFERROR(IF(BD757="","",BD757*INDEX('00 - Lists'!$M$2:$M$11,MATCH(L757,'00 - Lists'!$L$2:$L$11,0))/100000),"")</f>
        <v/>
      </c>
      <c r="BL757" s="35" t="str">
        <f aca="false">IFERROR(IF(BE757="","",BE757*INDEX('00 - Lists'!$M$2:$M$11,MATCH(L757,'00 - Lists'!$L$2:$L$11,0))/100000),"")</f>
        <v/>
      </c>
      <c r="BM757" s="35" t="str">
        <f aca="false">IFERROR(IF(BF757="","",BF757*INDEX('00 - Lists'!$M$2:$M$11,MATCH(L757,'00 - Lists'!$L$2:$L$11,0))/100000),"")</f>
        <v/>
      </c>
      <c r="BN757" s="35" t="str">
        <f aca="false">IFERROR(IF(BG757="","",BG757*INDEX('00 - Lists'!$M$2:$M$11,MATCH(L757,'00 - Lists'!$L$2:$L$11,0))/100000),"")</f>
        <v/>
      </c>
      <c r="BO757" s="35" t="str">
        <f aca="false">IFERROR(IF(BH757="","",BH757*INDEX('00 - Lists'!$M$2:$M$11,MATCH(L757,'00 - Lists'!$L$2:$L$11,0))/100000),"")</f>
        <v/>
      </c>
      <c r="BP757" s="35" t="str">
        <f aca="false">IFERROR(IF(BI757="","",BI757*INDEX('00 - Lists'!$M$2:$M$11,MATCH(L757,'00 - Lists'!$L$2:$L$11,0))/100000),"")</f>
        <v/>
      </c>
      <c r="BS757" s="36" t="str">
        <f aca="false">IF(O757="","",IF(O757&gt;=20,"Yes","No"))</f>
        <v/>
      </c>
      <c r="BT757" s="36" t="str">
        <f aca="false">IF(O757="","",IF(O757&gt;=30,"Yes","No"))</f>
        <v/>
      </c>
      <c r="BU757" s="36" t="str">
        <f aca="false">IF(O757="","",IF(O757&gt;=75,"Yes","No"))</f>
        <v/>
      </c>
      <c r="BV757" s="36" t="str">
        <f aca="false">IF(O757="","",IF(O757&gt;=100,"Yes","No"))</f>
        <v/>
      </c>
      <c r="BW757" s="36" t="str">
        <f aca="false">IF(O757="","",IF(O757&gt;=150,"Yes","No"))</f>
        <v/>
      </c>
      <c r="BX757" s="36" t="str">
        <f aca="false">IF(O757="","",IF(O757&gt;=200,"Yes","No"))</f>
        <v/>
      </c>
      <c r="BY757" s="36" t="str">
        <f aca="false">IF(Q757="","",IF(Q757&gt;=150000,"Yes","No"))</f>
        <v/>
      </c>
      <c r="BZ757" s="36" t="str">
        <f aca="false">IF(Q757="","",IF(Q757&gt;=200000,"Yes","No"))</f>
        <v/>
      </c>
      <c r="CA757" s="36" t="str">
        <f aca="false">IF(Q757="","",IF(Q757&gt;=250000,"Yes","No"))</f>
        <v/>
      </c>
      <c r="CB757" s="36" t="str">
        <f aca="false">IF(Q757="","",IF(Q757&gt;=300000,"Yes","No"))</f>
        <v/>
      </c>
      <c r="CC757" s="37"/>
      <c r="CD757" s="36" t="str">
        <f aca="true">IF(B757="","",IF(TODAY()-B757&lt;=7,"🟢 0-7d",IF(TODAY()-B757&lt;=30,"🟡 8-30d",IF(TODAY()-B757&lt;=60,"🟠 31-60d","🔴 60d+"))))</f>
        <v/>
      </c>
      <c r="CE757" s="36" t="str">
        <f aca="false">IF(G757="","",IF(G757&lt;&gt;"USA","N/A - Not USA Role",IF(J757="Yes",IF(OR(F757="Intern",F757="New Grad"),"🟡 Possible","🟢 Strong"),IF(J757="No","🔴 Difficult","⚪ Unknown"))))</f>
        <v/>
      </c>
      <c r="CF757" s="37"/>
      <c r="CG757" s="37"/>
      <c r="CH757" s="38"/>
      <c r="CI757" s="38"/>
      <c r="CJ757" s="38"/>
      <c r="CK757" s="38"/>
    </row>
    <row r="758" customFormat="false" ht="15" hidden="false" customHeight="true" outlineLevel="0" collapsed="false">
      <c r="A758" s="26" t="str">
        <f aca="false">IF($C758="","",ROW()-3)</f>
        <v/>
      </c>
      <c r="B758" s="27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9"/>
      <c r="N758" s="29"/>
      <c r="O758" s="30" t="str">
        <f aca="false">IFERROR(IF(M758="","",M758*INDEX('00 - Lists'!$M$2:$M$11,MATCH(L758,'00 - Lists'!$L$2:$L$11,0))/100000),"")</f>
        <v/>
      </c>
      <c r="P758" s="30" t="str">
        <f aca="false">IFERROR(IF(N758="","",N758*INDEX('00 - Lists'!$M$2:$M$11,MATCH(L758,'00 - Lists'!$L$2:$L$11,0))/100000),"")</f>
        <v/>
      </c>
      <c r="Q758" s="31" t="str">
        <f aca="false">IFERROR(IF(M758="","",M758*INDEX('00 - Lists'!$N$2:$N$11,MATCH(L758,'00 - Lists'!$L$2:$L$11,0))),"")</f>
        <v/>
      </c>
      <c r="R758" s="31" t="str">
        <f aca="false">IFERROR(IF(N758="","",N758*INDEX('00 - Lists'!$N$2:$N$11,MATCH(L758,'00 - Lists'!$L$2:$L$11,0))),"")</f>
        <v/>
      </c>
      <c r="S758" s="32" t="str">
        <f aca="false">IF(O758="","",IF(O758&gt;=50,"Yes","No"))</f>
        <v/>
      </c>
      <c r="T758" s="32" t="str">
        <f aca="false">IF(Q758="","",IF(Q758&gt;=100000,"Yes","No"))</f>
        <v/>
      </c>
      <c r="U758" s="28"/>
      <c r="V758" s="28"/>
      <c r="W758" s="28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J758" s="34" t="str">
        <f aca="false">IF(OR($BD758&lt;&gt;"",$BF758&lt;&gt;"",$BH758&lt;&gt;""),"Yes","No")</f>
        <v>No</v>
      </c>
      <c r="BK758" s="35" t="str">
        <f aca="false">IFERROR(IF(BD758="","",BD758*INDEX('00 - Lists'!$M$2:$M$11,MATCH(L758,'00 - Lists'!$L$2:$L$11,0))/100000),"")</f>
        <v/>
      </c>
      <c r="BL758" s="35" t="str">
        <f aca="false">IFERROR(IF(BE758="","",BE758*INDEX('00 - Lists'!$M$2:$M$11,MATCH(L758,'00 - Lists'!$L$2:$L$11,0))/100000),"")</f>
        <v/>
      </c>
      <c r="BM758" s="35" t="str">
        <f aca="false">IFERROR(IF(BF758="","",BF758*INDEX('00 - Lists'!$M$2:$M$11,MATCH(L758,'00 - Lists'!$L$2:$L$11,0))/100000),"")</f>
        <v/>
      </c>
      <c r="BN758" s="35" t="str">
        <f aca="false">IFERROR(IF(BG758="","",BG758*INDEX('00 - Lists'!$M$2:$M$11,MATCH(L758,'00 - Lists'!$L$2:$L$11,0))/100000),"")</f>
        <v/>
      </c>
      <c r="BO758" s="35" t="str">
        <f aca="false">IFERROR(IF(BH758="","",BH758*INDEX('00 - Lists'!$M$2:$M$11,MATCH(L758,'00 - Lists'!$L$2:$L$11,0))/100000),"")</f>
        <v/>
      </c>
      <c r="BP758" s="35" t="str">
        <f aca="false">IFERROR(IF(BI758="","",BI758*INDEX('00 - Lists'!$M$2:$M$11,MATCH(L758,'00 - Lists'!$L$2:$L$11,0))/100000),"")</f>
        <v/>
      </c>
      <c r="BS758" s="36" t="str">
        <f aca="false">IF(O758="","",IF(O758&gt;=20,"Yes","No"))</f>
        <v/>
      </c>
      <c r="BT758" s="36" t="str">
        <f aca="false">IF(O758="","",IF(O758&gt;=30,"Yes","No"))</f>
        <v/>
      </c>
      <c r="BU758" s="36" t="str">
        <f aca="false">IF(O758="","",IF(O758&gt;=75,"Yes","No"))</f>
        <v/>
      </c>
      <c r="BV758" s="36" t="str">
        <f aca="false">IF(O758="","",IF(O758&gt;=100,"Yes","No"))</f>
        <v/>
      </c>
      <c r="BW758" s="36" t="str">
        <f aca="false">IF(O758="","",IF(O758&gt;=150,"Yes","No"))</f>
        <v/>
      </c>
      <c r="BX758" s="36" t="str">
        <f aca="false">IF(O758="","",IF(O758&gt;=200,"Yes","No"))</f>
        <v/>
      </c>
      <c r="BY758" s="36" t="str">
        <f aca="false">IF(Q758="","",IF(Q758&gt;=150000,"Yes","No"))</f>
        <v/>
      </c>
      <c r="BZ758" s="36" t="str">
        <f aca="false">IF(Q758="","",IF(Q758&gt;=200000,"Yes","No"))</f>
        <v/>
      </c>
      <c r="CA758" s="36" t="str">
        <f aca="false">IF(Q758="","",IF(Q758&gt;=250000,"Yes","No"))</f>
        <v/>
      </c>
      <c r="CB758" s="36" t="str">
        <f aca="false">IF(Q758="","",IF(Q758&gt;=300000,"Yes","No"))</f>
        <v/>
      </c>
      <c r="CC758" s="37"/>
      <c r="CD758" s="36" t="str">
        <f aca="true">IF(B758="","",IF(TODAY()-B758&lt;=7,"🟢 0-7d",IF(TODAY()-B758&lt;=30,"🟡 8-30d",IF(TODAY()-B758&lt;=60,"🟠 31-60d","🔴 60d+"))))</f>
        <v/>
      </c>
      <c r="CE758" s="36" t="str">
        <f aca="false">IF(G758="","",IF(G758&lt;&gt;"USA","N/A - Not USA Role",IF(J758="Yes",IF(OR(F758="Intern",F758="New Grad"),"🟡 Possible","🟢 Strong"),IF(J758="No","🔴 Difficult","⚪ Unknown"))))</f>
        <v/>
      </c>
      <c r="CF758" s="37"/>
      <c r="CG758" s="37"/>
      <c r="CH758" s="38"/>
      <c r="CI758" s="38"/>
      <c r="CJ758" s="38"/>
      <c r="CK758" s="38"/>
    </row>
    <row r="759" customFormat="false" ht="15" hidden="false" customHeight="true" outlineLevel="0" collapsed="false">
      <c r="A759" s="26" t="str">
        <f aca="false">IF($C759="","",ROW()-3)</f>
        <v/>
      </c>
      <c r="B759" s="27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9"/>
      <c r="N759" s="29"/>
      <c r="O759" s="30" t="str">
        <f aca="false">IFERROR(IF(M759="","",M759*INDEX('00 - Lists'!$M$2:$M$11,MATCH(L759,'00 - Lists'!$L$2:$L$11,0))/100000),"")</f>
        <v/>
      </c>
      <c r="P759" s="30" t="str">
        <f aca="false">IFERROR(IF(N759="","",N759*INDEX('00 - Lists'!$M$2:$M$11,MATCH(L759,'00 - Lists'!$L$2:$L$11,0))/100000),"")</f>
        <v/>
      </c>
      <c r="Q759" s="31" t="str">
        <f aca="false">IFERROR(IF(M759="","",M759*INDEX('00 - Lists'!$N$2:$N$11,MATCH(L759,'00 - Lists'!$L$2:$L$11,0))),"")</f>
        <v/>
      </c>
      <c r="R759" s="31" t="str">
        <f aca="false">IFERROR(IF(N759="","",N759*INDEX('00 - Lists'!$N$2:$N$11,MATCH(L759,'00 - Lists'!$L$2:$L$11,0))),"")</f>
        <v/>
      </c>
      <c r="S759" s="32" t="str">
        <f aca="false">IF(O759="","",IF(O759&gt;=50,"Yes","No"))</f>
        <v/>
      </c>
      <c r="T759" s="32" t="str">
        <f aca="false">IF(Q759="","",IF(Q759&gt;=100000,"Yes","No"))</f>
        <v/>
      </c>
      <c r="U759" s="28"/>
      <c r="V759" s="28"/>
      <c r="W759" s="28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J759" s="34" t="str">
        <f aca="false">IF(OR($BD759&lt;&gt;"",$BF759&lt;&gt;"",$BH759&lt;&gt;""),"Yes","No")</f>
        <v>No</v>
      </c>
      <c r="BK759" s="35" t="str">
        <f aca="false">IFERROR(IF(BD759="","",BD759*INDEX('00 - Lists'!$M$2:$M$11,MATCH(L759,'00 - Lists'!$L$2:$L$11,0))/100000),"")</f>
        <v/>
      </c>
      <c r="BL759" s="35" t="str">
        <f aca="false">IFERROR(IF(BE759="","",BE759*INDEX('00 - Lists'!$M$2:$M$11,MATCH(L759,'00 - Lists'!$L$2:$L$11,0))/100000),"")</f>
        <v/>
      </c>
      <c r="BM759" s="35" t="str">
        <f aca="false">IFERROR(IF(BF759="","",BF759*INDEX('00 - Lists'!$M$2:$M$11,MATCH(L759,'00 - Lists'!$L$2:$L$11,0))/100000),"")</f>
        <v/>
      </c>
      <c r="BN759" s="35" t="str">
        <f aca="false">IFERROR(IF(BG759="","",BG759*INDEX('00 - Lists'!$M$2:$M$11,MATCH(L759,'00 - Lists'!$L$2:$L$11,0))/100000),"")</f>
        <v/>
      </c>
      <c r="BO759" s="35" t="str">
        <f aca="false">IFERROR(IF(BH759="","",BH759*INDEX('00 - Lists'!$M$2:$M$11,MATCH(L759,'00 - Lists'!$L$2:$L$11,0))/100000),"")</f>
        <v/>
      </c>
      <c r="BP759" s="35" t="str">
        <f aca="false">IFERROR(IF(BI759="","",BI759*INDEX('00 - Lists'!$M$2:$M$11,MATCH(L759,'00 - Lists'!$L$2:$L$11,0))/100000),"")</f>
        <v/>
      </c>
      <c r="BS759" s="36" t="str">
        <f aca="false">IF(O759="","",IF(O759&gt;=20,"Yes","No"))</f>
        <v/>
      </c>
      <c r="BT759" s="36" t="str">
        <f aca="false">IF(O759="","",IF(O759&gt;=30,"Yes","No"))</f>
        <v/>
      </c>
      <c r="BU759" s="36" t="str">
        <f aca="false">IF(O759="","",IF(O759&gt;=75,"Yes","No"))</f>
        <v/>
      </c>
      <c r="BV759" s="36" t="str">
        <f aca="false">IF(O759="","",IF(O759&gt;=100,"Yes","No"))</f>
        <v/>
      </c>
      <c r="BW759" s="36" t="str">
        <f aca="false">IF(O759="","",IF(O759&gt;=150,"Yes","No"))</f>
        <v/>
      </c>
      <c r="BX759" s="36" t="str">
        <f aca="false">IF(O759="","",IF(O759&gt;=200,"Yes","No"))</f>
        <v/>
      </c>
      <c r="BY759" s="36" t="str">
        <f aca="false">IF(Q759="","",IF(Q759&gt;=150000,"Yes","No"))</f>
        <v/>
      </c>
      <c r="BZ759" s="36" t="str">
        <f aca="false">IF(Q759="","",IF(Q759&gt;=200000,"Yes","No"))</f>
        <v/>
      </c>
      <c r="CA759" s="36" t="str">
        <f aca="false">IF(Q759="","",IF(Q759&gt;=250000,"Yes","No"))</f>
        <v/>
      </c>
      <c r="CB759" s="36" t="str">
        <f aca="false">IF(Q759="","",IF(Q759&gt;=300000,"Yes","No"))</f>
        <v/>
      </c>
      <c r="CC759" s="37"/>
      <c r="CD759" s="36" t="str">
        <f aca="true">IF(B759="","",IF(TODAY()-B759&lt;=7,"🟢 0-7d",IF(TODAY()-B759&lt;=30,"🟡 8-30d",IF(TODAY()-B759&lt;=60,"🟠 31-60d","🔴 60d+"))))</f>
        <v/>
      </c>
      <c r="CE759" s="36" t="str">
        <f aca="false">IF(G759="","",IF(G759&lt;&gt;"USA","N/A - Not USA Role",IF(J759="Yes",IF(OR(F759="Intern",F759="New Grad"),"🟡 Possible","🟢 Strong"),IF(J759="No","🔴 Difficult","⚪ Unknown"))))</f>
        <v/>
      </c>
      <c r="CF759" s="37"/>
      <c r="CG759" s="37"/>
      <c r="CH759" s="38"/>
      <c r="CI759" s="38"/>
      <c r="CJ759" s="38"/>
      <c r="CK759" s="38"/>
    </row>
    <row r="760" customFormat="false" ht="15" hidden="false" customHeight="true" outlineLevel="0" collapsed="false">
      <c r="A760" s="26" t="str">
        <f aca="false">IF($C760="","",ROW()-3)</f>
        <v/>
      </c>
      <c r="B760" s="27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9"/>
      <c r="N760" s="29"/>
      <c r="O760" s="30" t="str">
        <f aca="false">IFERROR(IF(M760="","",M760*INDEX('00 - Lists'!$M$2:$M$11,MATCH(L760,'00 - Lists'!$L$2:$L$11,0))/100000),"")</f>
        <v/>
      </c>
      <c r="P760" s="30" t="str">
        <f aca="false">IFERROR(IF(N760="","",N760*INDEX('00 - Lists'!$M$2:$M$11,MATCH(L760,'00 - Lists'!$L$2:$L$11,0))/100000),"")</f>
        <v/>
      </c>
      <c r="Q760" s="31" t="str">
        <f aca="false">IFERROR(IF(M760="","",M760*INDEX('00 - Lists'!$N$2:$N$11,MATCH(L760,'00 - Lists'!$L$2:$L$11,0))),"")</f>
        <v/>
      </c>
      <c r="R760" s="31" t="str">
        <f aca="false">IFERROR(IF(N760="","",N760*INDEX('00 - Lists'!$N$2:$N$11,MATCH(L760,'00 - Lists'!$L$2:$L$11,0))),"")</f>
        <v/>
      </c>
      <c r="S760" s="32" t="str">
        <f aca="false">IF(O760="","",IF(O760&gt;=50,"Yes","No"))</f>
        <v/>
      </c>
      <c r="T760" s="32" t="str">
        <f aca="false">IF(Q760="","",IF(Q760&gt;=100000,"Yes","No"))</f>
        <v/>
      </c>
      <c r="U760" s="28"/>
      <c r="V760" s="28"/>
      <c r="W760" s="28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J760" s="34" t="str">
        <f aca="false">IF(OR($BD760&lt;&gt;"",$BF760&lt;&gt;"",$BH760&lt;&gt;""),"Yes","No")</f>
        <v>No</v>
      </c>
      <c r="BK760" s="35" t="str">
        <f aca="false">IFERROR(IF(BD760="","",BD760*INDEX('00 - Lists'!$M$2:$M$11,MATCH(L760,'00 - Lists'!$L$2:$L$11,0))/100000),"")</f>
        <v/>
      </c>
      <c r="BL760" s="35" t="str">
        <f aca="false">IFERROR(IF(BE760="","",BE760*INDEX('00 - Lists'!$M$2:$M$11,MATCH(L760,'00 - Lists'!$L$2:$L$11,0))/100000),"")</f>
        <v/>
      </c>
      <c r="BM760" s="35" t="str">
        <f aca="false">IFERROR(IF(BF760="","",BF760*INDEX('00 - Lists'!$M$2:$M$11,MATCH(L760,'00 - Lists'!$L$2:$L$11,0))/100000),"")</f>
        <v/>
      </c>
      <c r="BN760" s="35" t="str">
        <f aca="false">IFERROR(IF(BG760="","",BG760*INDEX('00 - Lists'!$M$2:$M$11,MATCH(L760,'00 - Lists'!$L$2:$L$11,0))/100000),"")</f>
        <v/>
      </c>
      <c r="BO760" s="35" t="str">
        <f aca="false">IFERROR(IF(BH760="","",BH760*INDEX('00 - Lists'!$M$2:$M$11,MATCH(L760,'00 - Lists'!$L$2:$L$11,0))/100000),"")</f>
        <v/>
      </c>
      <c r="BP760" s="35" t="str">
        <f aca="false">IFERROR(IF(BI760="","",BI760*INDEX('00 - Lists'!$M$2:$M$11,MATCH(L760,'00 - Lists'!$L$2:$L$11,0))/100000),"")</f>
        <v/>
      </c>
      <c r="BS760" s="36" t="str">
        <f aca="false">IF(O760="","",IF(O760&gt;=20,"Yes","No"))</f>
        <v/>
      </c>
      <c r="BT760" s="36" t="str">
        <f aca="false">IF(O760="","",IF(O760&gt;=30,"Yes","No"))</f>
        <v/>
      </c>
      <c r="BU760" s="36" t="str">
        <f aca="false">IF(O760="","",IF(O760&gt;=75,"Yes","No"))</f>
        <v/>
      </c>
      <c r="BV760" s="36" t="str">
        <f aca="false">IF(O760="","",IF(O760&gt;=100,"Yes","No"))</f>
        <v/>
      </c>
      <c r="BW760" s="36" t="str">
        <f aca="false">IF(O760="","",IF(O760&gt;=150,"Yes","No"))</f>
        <v/>
      </c>
      <c r="BX760" s="36" t="str">
        <f aca="false">IF(O760="","",IF(O760&gt;=200,"Yes","No"))</f>
        <v/>
      </c>
      <c r="BY760" s="36" t="str">
        <f aca="false">IF(Q760="","",IF(Q760&gt;=150000,"Yes","No"))</f>
        <v/>
      </c>
      <c r="BZ760" s="36" t="str">
        <f aca="false">IF(Q760="","",IF(Q760&gt;=200000,"Yes","No"))</f>
        <v/>
      </c>
      <c r="CA760" s="36" t="str">
        <f aca="false">IF(Q760="","",IF(Q760&gt;=250000,"Yes","No"))</f>
        <v/>
      </c>
      <c r="CB760" s="36" t="str">
        <f aca="false">IF(Q760="","",IF(Q760&gt;=300000,"Yes","No"))</f>
        <v/>
      </c>
      <c r="CC760" s="37"/>
      <c r="CD760" s="36" t="str">
        <f aca="true">IF(B760="","",IF(TODAY()-B760&lt;=7,"🟢 0-7d",IF(TODAY()-B760&lt;=30,"🟡 8-30d",IF(TODAY()-B760&lt;=60,"🟠 31-60d","🔴 60d+"))))</f>
        <v/>
      </c>
      <c r="CE760" s="36" t="str">
        <f aca="false">IF(G760="","",IF(G760&lt;&gt;"USA","N/A - Not USA Role",IF(J760="Yes",IF(OR(F760="Intern",F760="New Grad"),"🟡 Possible","🟢 Strong"),IF(J760="No","🔴 Difficult","⚪ Unknown"))))</f>
        <v/>
      </c>
      <c r="CF760" s="37"/>
      <c r="CG760" s="37"/>
      <c r="CH760" s="38"/>
      <c r="CI760" s="38"/>
      <c r="CJ760" s="38"/>
      <c r="CK760" s="38"/>
    </row>
    <row r="761" customFormat="false" ht="15" hidden="false" customHeight="true" outlineLevel="0" collapsed="false">
      <c r="A761" s="26" t="str">
        <f aca="false">IF($C761="","",ROW()-3)</f>
        <v/>
      </c>
      <c r="B761" s="27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9"/>
      <c r="N761" s="29"/>
      <c r="O761" s="30" t="str">
        <f aca="false">IFERROR(IF(M761="","",M761*INDEX('00 - Lists'!$M$2:$M$11,MATCH(L761,'00 - Lists'!$L$2:$L$11,0))/100000),"")</f>
        <v/>
      </c>
      <c r="P761" s="30" t="str">
        <f aca="false">IFERROR(IF(N761="","",N761*INDEX('00 - Lists'!$M$2:$M$11,MATCH(L761,'00 - Lists'!$L$2:$L$11,0))/100000),"")</f>
        <v/>
      </c>
      <c r="Q761" s="31" t="str">
        <f aca="false">IFERROR(IF(M761="","",M761*INDEX('00 - Lists'!$N$2:$N$11,MATCH(L761,'00 - Lists'!$L$2:$L$11,0))),"")</f>
        <v/>
      </c>
      <c r="R761" s="31" t="str">
        <f aca="false">IFERROR(IF(N761="","",N761*INDEX('00 - Lists'!$N$2:$N$11,MATCH(L761,'00 - Lists'!$L$2:$L$11,0))),"")</f>
        <v/>
      </c>
      <c r="S761" s="32" t="str">
        <f aca="false">IF(O761="","",IF(O761&gt;=50,"Yes","No"))</f>
        <v/>
      </c>
      <c r="T761" s="32" t="str">
        <f aca="false">IF(Q761="","",IF(Q761&gt;=100000,"Yes","No"))</f>
        <v/>
      </c>
      <c r="U761" s="28"/>
      <c r="V761" s="28"/>
      <c r="W761" s="28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J761" s="34" t="str">
        <f aca="false">IF(OR($BD761&lt;&gt;"",$BF761&lt;&gt;"",$BH761&lt;&gt;""),"Yes","No")</f>
        <v>No</v>
      </c>
      <c r="BK761" s="35" t="str">
        <f aca="false">IFERROR(IF(BD761="","",BD761*INDEX('00 - Lists'!$M$2:$M$11,MATCH(L761,'00 - Lists'!$L$2:$L$11,0))/100000),"")</f>
        <v/>
      </c>
      <c r="BL761" s="35" t="str">
        <f aca="false">IFERROR(IF(BE761="","",BE761*INDEX('00 - Lists'!$M$2:$M$11,MATCH(L761,'00 - Lists'!$L$2:$L$11,0))/100000),"")</f>
        <v/>
      </c>
      <c r="BM761" s="35" t="str">
        <f aca="false">IFERROR(IF(BF761="","",BF761*INDEX('00 - Lists'!$M$2:$M$11,MATCH(L761,'00 - Lists'!$L$2:$L$11,0))/100000),"")</f>
        <v/>
      </c>
      <c r="BN761" s="35" t="str">
        <f aca="false">IFERROR(IF(BG761="","",BG761*INDEX('00 - Lists'!$M$2:$M$11,MATCH(L761,'00 - Lists'!$L$2:$L$11,0))/100000),"")</f>
        <v/>
      </c>
      <c r="BO761" s="35" t="str">
        <f aca="false">IFERROR(IF(BH761="","",BH761*INDEX('00 - Lists'!$M$2:$M$11,MATCH(L761,'00 - Lists'!$L$2:$L$11,0))/100000),"")</f>
        <v/>
      </c>
      <c r="BP761" s="35" t="str">
        <f aca="false">IFERROR(IF(BI761="","",BI761*INDEX('00 - Lists'!$M$2:$M$11,MATCH(L761,'00 - Lists'!$L$2:$L$11,0))/100000),"")</f>
        <v/>
      </c>
      <c r="BS761" s="36" t="str">
        <f aca="false">IF(O761="","",IF(O761&gt;=20,"Yes","No"))</f>
        <v/>
      </c>
      <c r="BT761" s="36" t="str">
        <f aca="false">IF(O761="","",IF(O761&gt;=30,"Yes","No"))</f>
        <v/>
      </c>
      <c r="BU761" s="36" t="str">
        <f aca="false">IF(O761="","",IF(O761&gt;=75,"Yes","No"))</f>
        <v/>
      </c>
      <c r="BV761" s="36" t="str">
        <f aca="false">IF(O761="","",IF(O761&gt;=100,"Yes","No"))</f>
        <v/>
      </c>
      <c r="BW761" s="36" t="str">
        <f aca="false">IF(O761="","",IF(O761&gt;=150,"Yes","No"))</f>
        <v/>
      </c>
      <c r="BX761" s="36" t="str">
        <f aca="false">IF(O761="","",IF(O761&gt;=200,"Yes","No"))</f>
        <v/>
      </c>
      <c r="BY761" s="36" t="str">
        <f aca="false">IF(Q761="","",IF(Q761&gt;=150000,"Yes","No"))</f>
        <v/>
      </c>
      <c r="BZ761" s="36" t="str">
        <f aca="false">IF(Q761="","",IF(Q761&gt;=200000,"Yes","No"))</f>
        <v/>
      </c>
      <c r="CA761" s="36" t="str">
        <f aca="false">IF(Q761="","",IF(Q761&gt;=250000,"Yes","No"))</f>
        <v/>
      </c>
      <c r="CB761" s="36" t="str">
        <f aca="false">IF(Q761="","",IF(Q761&gt;=300000,"Yes","No"))</f>
        <v/>
      </c>
      <c r="CC761" s="37"/>
      <c r="CD761" s="36" t="str">
        <f aca="true">IF(B761="","",IF(TODAY()-B761&lt;=7,"🟢 0-7d",IF(TODAY()-B761&lt;=30,"🟡 8-30d",IF(TODAY()-B761&lt;=60,"🟠 31-60d","🔴 60d+"))))</f>
        <v/>
      </c>
      <c r="CE761" s="36" t="str">
        <f aca="false">IF(G761="","",IF(G761&lt;&gt;"USA","N/A - Not USA Role",IF(J761="Yes",IF(OR(F761="Intern",F761="New Grad"),"🟡 Possible","🟢 Strong"),IF(J761="No","🔴 Difficult","⚪ Unknown"))))</f>
        <v/>
      </c>
      <c r="CF761" s="37"/>
      <c r="CG761" s="37"/>
      <c r="CH761" s="38"/>
      <c r="CI761" s="38"/>
      <c r="CJ761" s="38"/>
      <c r="CK761" s="38"/>
    </row>
    <row r="762" customFormat="false" ht="15" hidden="false" customHeight="true" outlineLevel="0" collapsed="false">
      <c r="A762" s="26" t="str">
        <f aca="false">IF($C762="","",ROW()-3)</f>
        <v/>
      </c>
      <c r="B762" s="27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9"/>
      <c r="N762" s="29"/>
      <c r="O762" s="30" t="str">
        <f aca="false">IFERROR(IF(M762="","",M762*INDEX('00 - Lists'!$M$2:$M$11,MATCH(L762,'00 - Lists'!$L$2:$L$11,0))/100000),"")</f>
        <v/>
      </c>
      <c r="P762" s="30" t="str">
        <f aca="false">IFERROR(IF(N762="","",N762*INDEX('00 - Lists'!$M$2:$M$11,MATCH(L762,'00 - Lists'!$L$2:$L$11,0))/100000),"")</f>
        <v/>
      </c>
      <c r="Q762" s="31" t="str">
        <f aca="false">IFERROR(IF(M762="","",M762*INDEX('00 - Lists'!$N$2:$N$11,MATCH(L762,'00 - Lists'!$L$2:$L$11,0))),"")</f>
        <v/>
      </c>
      <c r="R762" s="31" t="str">
        <f aca="false">IFERROR(IF(N762="","",N762*INDEX('00 - Lists'!$N$2:$N$11,MATCH(L762,'00 - Lists'!$L$2:$L$11,0))),"")</f>
        <v/>
      </c>
      <c r="S762" s="32" t="str">
        <f aca="false">IF(O762="","",IF(O762&gt;=50,"Yes","No"))</f>
        <v/>
      </c>
      <c r="T762" s="32" t="str">
        <f aca="false">IF(Q762="","",IF(Q762&gt;=100000,"Yes","No"))</f>
        <v/>
      </c>
      <c r="U762" s="28"/>
      <c r="V762" s="28"/>
      <c r="W762" s="28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J762" s="34" t="str">
        <f aca="false">IF(OR($BD762&lt;&gt;"",$BF762&lt;&gt;"",$BH762&lt;&gt;""),"Yes","No")</f>
        <v>No</v>
      </c>
      <c r="BK762" s="35" t="str">
        <f aca="false">IFERROR(IF(BD762="","",BD762*INDEX('00 - Lists'!$M$2:$M$11,MATCH(L762,'00 - Lists'!$L$2:$L$11,0))/100000),"")</f>
        <v/>
      </c>
      <c r="BL762" s="35" t="str">
        <f aca="false">IFERROR(IF(BE762="","",BE762*INDEX('00 - Lists'!$M$2:$M$11,MATCH(L762,'00 - Lists'!$L$2:$L$11,0))/100000),"")</f>
        <v/>
      </c>
      <c r="BM762" s="35" t="str">
        <f aca="false">IFERROR(IF(BF762="","",BF762*INDEX('00 - Lists'!$M$2:$M$11,MATCH(L762,'00 - Lists'!$L$2:$L$11,0))/100000),"")</f>
        <v/>
      </c>
      <c r="BN762" s="35" t="str">
        <f aca="false">IFERROR(IF(BG762="","",BG762*INDEX('00 - Lists'!$M$2:$M$11,MATCH(L762,'00 - Lists'!$L$2:$L$11,0))/100000),"")</f>
        <v/>
      </c>
      <c r="BO762" s="35" t="str">
        <f aca="false">IFERROR(IF(BH762="","",BH762*INDEX('00 - Lists'!$M$2:$M$11,MATCH(L762,'00 - Lists'!$L$2:$L$11,0))/100000),"")</f>
        <v/>
      </c>
      <c r="BP762" s="35" t="str">
        <f aca="false">IFERROR(IF(BI762="","",BI762*INDEX('00 - Lists'!$M$2:$M$11,MATCH(L762,'00 - Lists'!$L$2:$L$11,0))/100000),"")</f>
        <v/>
      </c>
      <c r="BS762" s="36" t="str">
        <f aca="false">IF(O762="","",IF(O762&gt;=20,"Yes","No"))</f>
        <v/>
      </c>
      <c r="BT762" s="36" t="str">
        <f aca="false">IF(O762="","",IF(O762&gt;=30,"Yes","No"))</f>
        <v/>
      </c>
      <c r="BU762" s="36" t="str">
        <f aca="false">IF(O762="","",IF(O762&gt;=75,"Yes","No"))</f>
        <v/>
      </c>
      <c r="BV762" s="36" t="str">
        <f aca="false">IF(O762="","",IF(O762&gt;=100,"Yes","No"))</f>
        <v/>
      </c>
      <c r="BW762" s="36" t="str">
        <f aca="false">IF(O762="","",IF(O762&gt;=150,"Yes","No"))</f>
        <v/>
      </c>
      <c r="BX762" s="36" t="str">
        <f aca="false">IF(O762="","",IF(O762&gt;=200,"Yes","No"))</f>
        <v/>
      </c>
      <c r="BY762" s="36" t="str">
        <f aca="false">IF(Q762="","",IF(Q762&gt;=150000,"Yes","No"))</f>
        <v/>
      </c>
      <c r="BZ762" s="36" t="str">
        <f aca="false">IF(Q762="","",IF(Q762&gt;=200000,"Yes","No"))</f>
        <v/>
      </c>
      <c r="CA762" s="36" t="str">
        <f aca="false">IF(Q762="","",IF(Q762&gt;=250000,"Yes","No"))</f>
        <v/>
      </c>
      <c r="CB762" s="36" t="str">
        <f aca="false">IF(Q762="","",IF(Q762&gt;=300000,"Yes","No"))</f>
        <v/>
      </c>
      <c r="CC762" s="37"/>
      <c r="CD762" s="36" t="str">
        <f aca="true">IF(B762="","",IF(TODAY()-B762&lt;=7,"🟢 0-7d",IF(TODAY()-B762&lt;=30,"🟡 8-30d",IF(TODAY()-B762&lt;=60,"🟠 31-60d","🔴 60d+"))))</f>
        <v/>
      </c>
      <c r="CE762" s="36" t="str">
        <f aca="false">IF(G762="","",IF(G762&lt;&gt;"USA","N/A - Not USA Role",IF(J762="Yes",IF(OR(F762="Intern",F762="New Grad"),"🟡 Possible","🟢 Strong"),IF(J762="No","🔴 Difficult","⚪ Unknown"))))</f>
        <v/>
      </c>
      <c r="CF762" s="37"/>
      <c r="CG762" s="37"/>
      <c r="CH762" s="38"/>
      <c r="CI762" s="38"/>
      <c r="CJ762" s="38"/>
      <c r="CK762" s="38"/>
    </row>
    <row r="763" customFormat="false" ht="15" hidden="false" customHeight="true" outlineLevel="0" collapsed="false">
      <c r="A763" s="26" t="str">
        <f aca="false">IF($C763="","",ROW()-3)</f>
        <v/>
      </c>
      <c r="B763" s="27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9"/>
      <c r="N763" s="29"/>
      <c r="O763" s="30" t="str">
        <f aca="false">IFERROR(IF(M763="","",M763*INDEX('00 - Lists'!$M$2:$M$11,MATCH(L763,'00 - Lists'!$L$2:$L$11,0))/100000),"")</f>
        <v/>
      </c>
      <c r="P763" s="30" t="str">
        <f aca="false">IFERROR(IF(N763="","",N763*INDEX('00 - Lists'!$M$2:$M$11,MATCH(L763,'00 - Lists'!$L$2:$L$11,0))/100000),"")</f>
        <v/>
      </c>
      <c r="Q763" s="31" t="str">
        <f aca="false">IFERROR(IF(M763="","",M763*INDEX('00 - Lists'!$N$2:$N$11,MATCH(L763,'00 - Lists'!$L$2:$L$11,0))),"")</f>
        <v/>
      </c>
      <c r="R763" s="31" t="str">
        <f aca="false">IFERROR(IF(N763="","",N763*INDEX('00 - Lists'!$N$2:$N$11,MATCH(L763,'00 - Lists'!$L$2:$L$11,0))),"")</f>
        <v/>
      </c>
      <c r="S763" s="32" t="str">
        <f aca="false">IF(O763="","",IF(O763&gt;=50,"Yes","No"))</f>
        <v/>
      </c>
      <c r="T763" s="32" t="str">
        <f aca="false">IF(Q763="","",IF(Q763&gt;=100000,"Yes","No"))</f>
        <v/>
      </c>
      <c r="U763" s="28"/>
      <c r="V763" s="28"/>
      <c r="W763" s="28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J763" s="34" t="str">
        <f aca="false">IF(OR($BD763&lt;&gt;"",$BF763&lt;&gt;"",$BH763&lt;&gt;""),"Yes","No")</f>
        <v>No</v>
      </c>
      <c r="BK763" s="35" t="str">
        <f aca="false">IFERROR(IF(BD763="","",BD763*INDEX('00 - Lists'!$M$2:$M$11,MATCH(L763,'00 - Lists'!$L$2:$L$11,0))/100000),"")</f>
        <v/>
      </c>
      <c r="BL763" s="35" t="str">
        <f aca="false">IFERROR(IF(BE763="","",BE763*INDEX('00 - Lists'!$M$2:$M$11,MATCH(L763,'00 - Lists'!$L$2:$L$11,0))/100000),"")</f>
        <v/>
      </c>
      <c r="BM763" s="35" t="str">
        <f aca="false">IFERROR(IF(BF763="","",BF763*INDEX('00 - Lists'!$M$2:$M$11,MATCH(L763,'00 - Lists'!$L$2:$L$11,0))/100000),"")</f>
        <v/>
      </c>
      <c r="BN763" s="35" t="str">
        <f aca="false">IFERROR(IF(BG763="","",BG763*INDEX('00 - Lists'!$M$2:$M$11,MATCH(L763,'00 - Lists'!$L$2:$L$11,0))/100000),"")</f>
        <v/>
      </c>
      <c r="BO763" s="35" t="str">
        <f aca="false">IFERROR(IF(BH763="","",BH763*INDEX('00 - Lists'!$M$2:$M$11,MATCH(L763,'00 - Lists'!$L$2:$L$11,0))/100000),"")</f>
        <v/>
      </c>
      <c r="BP763" s="35" t="str">
        <f aca="false">IFERROR(IF(BI763="","",BI763*INDEX('00 - Lists'!$M$2:$M$11,MATCH(L763,'00 - Lists'!$L$2:$L$11,0))/100000),"")</f>
        <v/>
      </c>
      <c r="BS763" s="36" t="str">
        <f aca="false">IF(O763="","",IF(O763&gt;=20,"Yes","No"))</f>
        <v/>
      </c>
      <c r="BT763" s="36" t="str">
        <f aca="false">IF(O763="","",IF(O763&gt;=30,"Yes","No"))</f>
        <v/>
      </c>
      <c r="BU763" s="36" t="str">
        <f aca="false">IF(O763="","",IF(O763&gt;=75,"Yes","No"))</f>
        <v/>
      </c>
      <c r="BV763" s="36" t="str">
        <f aca="false">IF(O763="","",IF(O763&gt;=100,"Yes","No"))</f>
        <v/>
      </c>
      <c r="BW763" s="36" t="str">
        <f aca="false">IF(O763="","",IF(O763&gt;=150,"Yes","No"))</f>
        <v/>
      </c>
      <c r="BX763" s="36" t="str">
        <f aca="false">IF(O763="","",IF(O763&gt;=200,"Yes","No"))</f>
        <v/>
      </c>
      <c r="BY763" s="36" t="str">
        <f aca="false">IF(Q763="","",IF(Q763&gt;=150000,"Yes","No"))</f>
        <v/>
      </c>
      <c r="BZ763" s="36" t="str">
        <f aca="false">IF(Q763="","",IF(Q763&gt;=200000,"Yes","No"))</f>
        <v/>
      </c>
      <c r="CA763" s="36" t="str">
        <f aca="false">IF(Q763="","",IF(Q763&gt;=250000,"Yes","No"))</f>
        <v/>
      </c>
      <c r="CB763" s="36" t="str">
        <f aca="false">IF(Q763="","",IF(Q763&gt;=300000,"Yes","No"))</f>
        <v/>
      </c>
      <c r="CC763" s="37"/>
      <c r="CD763" s="36" t="str">
        <f aca="true">IF(B763="","",IF(TODAY()-B763&lt;=7,"🟢 0-7d",IF(TODAY()-B763&lt;=30,"🟡 8-30d",IF(TODAY()-B763&lt;=60,"🟠 31-60d","🔴 60d+"))))</f>
        <v/>
      </c>
      <c r="CE763" s="36" t="str">
        <f aca="false">IF(G763="","",IF(G763&lt;&gt;"USA","N/A - Not USA Role",IF(J763="Yes",IF(OR(F763="Intern",F763="New Grad"),"🟡 Possible","🟢 Strong"),IF(J763="No","🔴 Difficult","⚪ Unknown"))))</f>
        <v/>
      </c>
      <c r="CF763" s="37"/>
      <c r="CG763" s="37"/>
      <c r="CH763" s="38"/>
      <c r="CI763" s="38"/>
      <c r="CJ763" s="38"/>
      <c r="CK763" s="38"/>
    </row>
    <row r="764" customFormat="false" ht="15" hidden="false" customHeight="true" outlineLevel="0" collapsed="false">
      <c r="A764" s="26" t="str">
        <f aca="false">IF($C764="","",ROW()-3)</f>
        <v/>
      </c>
      <c r="B764" s="27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9"/>
      <c r="N764" s="29"/>
      <c r="O764" s="30" t="str">
        <f aca="false">IFERROR(IF(M764="","",M764*INDEX('00 - Lists'!$M$2:$M$11,MATCH(L764,'00 - Lists'!$L$2:$L$11,0))/100000),"")</f>
        <v/>
      </c>
      <c r="P764" s="30" t="str">
        <f aca="false">IFERROR(IF(N764="","",N764*INDEX('00 - Lists'!$M$2:$M$11,MATCH(L764,'00 - Lists'!$L$2:$L$11,0))/100000),"")</f>
        <v/>
      </c>
      <c r="Q764" s="31" t="str">
        <f aca="false">IFERROR(IF(M764="","",M764*INDEX('00 - Lists'!$N$2:$N$11,MATCH(L764,'00 - Lists'!$L$2:$L$11,0))),"")</f>
        <v/>
      </c>
      <c r="R764" s="31" t="str">
        <f aca="false">IFERROR(IF(N764="","",N764*INDEX('00 - Lists'!$N$2:$N$11,MATCH(L764,'00 - Lists'!$L$2:$L$11,0))),"")</f>
        <v/>
      </c>
      <c r="S764" s="32" t="str">
        <f aca="false">IF(O764="","",IF(O764&gt;=50,"Yes","No"))</f>
        <v/>
      </c>
      <c r="T764" s="32" t="str">
        <f aca="false">IF(Q764="","",IF(Q764&gt;=100000,"Yes","No"))</f>
        <v/>
      </c>
      <c r="U764" s="28"/>
      <c r="V764" s="28"/>
      <c r="W764" s="28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J764" s="34" t="str">
        <f aca="false">IF(OR($BD764&lt;&gt;"",$BF764&lt;&gt;"",$BH764&lt;&gt;""),"Yes","No")</f>
        <v>No</v>
      </c>
      <c r="BK764" s="35" t="str">
        <f aca="false">IFERROR(IF(BD764="","",BD764*INDEX('00 - Lists'!$M$2:$M$11,MATCH(L764,'00 - Lists'!$L$2:$L$11,0))/100000),"")</f>
        <v/>
      </c>
      <c r="BL764" s="35" t="str">
        <f aca="false">IFERROR(IF(BE764="","",BE764*INDEX('00 - Lists'!$M$2:$M$11,MATCH(L764,'00 - Lists'!$L$2:$L$11,0))/100000),"")</f>
        <v/>
      </c>
      <c r="BM764" s="35" t="str">
        <f aca="false">IFERROR(IF(BF764="","",BF764*INDEX('00 - Lists'!$M$2:$M$11,MATCH(L764,'00 - Lists'!$L$2:$L$11,0))/100000),"")</f>
        <v/>
      </c>
      <c r="BN764" s="35" t="str">
        <f aca="false">IFERROR(IF(BG764="","",BG764*INDEX('00 - Lists'!$M$2:$M$11,MATCH(L764,'00 - Lists'!$L$2:$L$11,0))/100000),"")</f>
        <v/>
      </c>
      <c r="BO764" s="35" t="str">
        <f aca="false">IFERROR(IF(BH764="","",BH764*INDEX('00 - Lists'!$M$2:$M$11,MATCH(L764,'00 - Lists'!$L$2:$L$11,0))/100000),"")</f>
        <v/>
      </c>
      <c r="BP764" s="35" t="str">
        <f aca="false">IFERROR(IF(BI764="","",BI764*INDEX('00 - Lists'!$M$2:$M$11,MATCH(L764,'00 - Lists'!$L$2:$L$11,0))/100000),"")</f>
        <v/>
      </c>
      <c r="BS764" s="36" t="str">
        <f aca="false">IF(O764="","",IF(O764&gt;=20,"Yes","No"))</f>
        <v/>
      </c>
      <c r="BT764" s="36" t="str">
        <f aca="false">IF(O764="","",IF(O764&gt;=30,"Yes","No"))</f>
        <v/>
      </c>
      <c r="BU764" s="36" t="str">
        <f aca="false">IF(O764="","",IF(O764&gt;=75,"Yes","No"))</f>
        <v/>
      </c>
      <c r="BV764" s="36" t="str">
        <f aca="false">IF(O764="","",IF(O764&gt;=100,"Yes","No"))</f>
        <v/>
      </c>
      <c r="BW764" s="36" t="str">
        <f aca="false">IF(O764="","",IF(O764&gt;=150,"Yes","No"))</f>
        <v/>
      </c>
      <c r="BX764" s="36" t="str">
        <f aca="false">IF(O764="","",IF(O764&gt;=200,"Yes","No"))</f>
        <v/>
      </c>
      <c r="BY764" s="36" t="str">
        <f aca="false">IF(Q764="","",IF(Q764&gt;=150000,"Yes","No"))</f>
        <v/>
      </c>
      <c r="BZ764" s="36" t="str">
        <f aca="false">IF(Q764="","",IF(Q764&gt;=200000,"Yes","No"))</f>
        <v/>
      </c>
      <c r="CA764" s="36" t="str">
        <f aca="false">IF(Q764="","",IF(Q764&gt;=250000,"Yes","No"))</f>
        <v/>
      </c>
      <c r="CB764" s="36" t="str">
        <f aca="false">IF(Q764="","",IF(Q764&gt;=300000,"Yes","No"))</f>
        <v/>
      </c>
      <c r="CC764" s="37"/>
      <c r="CD764" s="36" t="str">
        <f aca="true">IF(B764="","",IF(TODAY()-B764&lt;=7,"🟢 0-7d",IF(TODAY()-B764&lt;=30,"🟡 8-30d",IF(TODAY()-B764&lt;=60,"🟠 31-60d","🔴 60d+"))))</f>
        <v/>
      </c>
      <c r="CE764" s="36" t="str">
        <f aca="false">IF(G764="","",IF(G764&lt;&gt;"USA","N/A - Not USA Role",IF(J764="Yes",IF(OR(F764="Intern",F764="New Grad"),"🟡 Possible","🟢 Strong"),IF(J764="No","🔴 Difficult","⚪ Unknown"))))</f>
        <v/>
      </c>
      <c r="CF764" s="37"/>
      <c r="CG764" s="37"/>
      <c r="CH764" s="38"/>
      <c r="CI764" s="38"/>
      <c r="CJ764" s="38"/>
      <c r="CK764" s="38"/>
    </row>
    <row r="765" customFormat="false" ht="15" hidden="false" customHeight="true" outlineLevel="0" collapsed="false">
      <c r="A765" s="26" t="str">
        <f aca="false">IF($C765="","",ROW()-3)</f>
        <v/>
      </c>
      <c r="B765" s="27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9"/>
      <c r="N765" s="29"/>
      <c r="O765" s="30" t="str">
        <f aca="false">IFERROR(IF(M765="","",M765*INDEX('00 - Lists'!$M$2:$M$11,MATCH(L765,'00 - Lists'!$L$2:$L$11,0))/100000),"")</f>
        <v/>
      </c>
      <c r="P765" s="30" t="str">
        <f aca="false">IFERROR(IF(N765="","",N765*INDEX('00 - Lists'!$M$2:$M$11,MATCH(L765,'00 - Lists'!$L$2:$L$11,0))/100000),"")</f>
        <v/>
      </c>
      <c r="Q765" s="31" t="str">
        <f aca="false">IFERROR(IF(M765="","",M765*INDEX('00 - Lists'!$N$2:$N$11,MATCH(L765,'00 - Lists'!$L$2:$L$11,0))),"")</f>
        <v/>
      </c>
      <c r="R765" s="31" t="str">
        <f aca="false">IFERROR(IF(N765="","",N765*INDEX('00 - Lists'!$N$2:$N$11,MATCH(L765,'00 - Lists'!$L$2:$L$11,0))),"")</f>
        <v/>
      </c>
      <c r="S765" s="32" t="str">
        <f aca="false">IF(O765="","",IF(O765&gt;=50,"Yes","No"))</f>
        <v/>
      </c>
      <c r="T765" s="32" t="str">
        <f aca="false">IF(Q765="","",IF(Q765&gt;=100000,"Yes","No"))</f>
        <v/>
      </c>
      <c r="U765" s="28"/>
      <c r="V765" s="28"/>
      <c r="W765" s="28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J765" s="34" t="str">
        <f aca="false">IF(OR($BD765&lt;&gt;"",$BF765&lt;&gt;"",$BH765&lt;&gt;""),"Yes","No")</f>
        <v>No</v>
      </c>
      <c r="BK765" s="35" t="str">
        <f aca="false">IFERROR(IF(BD765="","",BD765*INDEX('00 - Lists'!$M$2:$M$11,MATCH(L765,'00 - Lists'!$L$2:$L$11,0))/100000),"")</f>
        <v/>
      </c>
      <c r="BL765" s="35" t="str">
        <f aca="false">IFERROR(IF(BE765="","",BE765*INDEX('00 - Lists'!$M$2:$M$11,MATCH(L765,'00 - Lists'!$L$2:$L$11,0))/100000),"")</f>
        <v/>
      </c>
      <c r="BM765" s="35" t="str">
        <f aca="false">IFERROR(IF(BF765="","",BF765*INDEX('00 - Lists'!$M$2:$M$11,MATCH(L765,'00 - Lists'!$L$2:$L$11,0))/100000),"")</f>
        <v/>
      </c>
      <c r="BN765" s="35" t="str">
        <f aca="false">IFERROR(IF(BG765="","",BG765*INDEX('00 - Lists'!$M$2:$M$11,MATCH(L765,'00 - Lists'!$L$2:$L$11,0))/100000),"")</f>
        <v/>
      </c>
      <c r="BO765" s="35" t="str">
        <f aca="false">IFERROR(IF(BH765="","",BH765*INDEX('00 - Lists'!$M$2:$M$11,MATCH(L765,'00 - Lists'!$L$2:$L$11,0))/100000),"")</f>
        <v/>
      </c>
      <c r="BP765" s="35" t="str">
        <f aca="false">IFERROR(IF(BI765="","",BI765*INDEX('00 - Lists'!$M$2:$M$11,MATCH(L765,'00 - Lists'!$L$2:$L$11,0))/100000),"")</f>
        <v/>
      </c>
      <c r="BS765" s="36" t="str">
        <f aca="false">IF(O765="","",IF(O765&gt;=20,"Yes","No"))</f>
        <v/>
      </c>
      <c r="BT765" s="36" t="str">
        <f aca="false">IF(O765="","",IF(O765&gt;=30,"Yes","No"))</f>
        <v/>
      </c>
      <c r="BU765" s="36" t="str">
        <f aca="false">IF(O765="","",IF(O765&gt;=75,"Yes","No"))</f>
        <v/>
      </c>
      <c r="BV765" s="36" t="str">
        <f aca="false">IF(O765="","",IF(O765&gt;=100,"Yes","No"))</f>
        <v/>
      </c>
      <c r="BW765" s="36" t="str">
        <f aca="false">IF(O765="","",IF(O765&gt;=150,"Yes","No"))</f>
        <v/>
      </c>
      <c r="BX765" s="36" t="str">
        <f aca="false">IF(O765="","",IF(O765&gt;=200,"Yes","No"))</f>
        <v/>
      </c>
      <c r="BY765" s="36" t="str">
        <f aca="false">IF(Q765="","",IF(Q765&gt;=150000,"Yes","No"))</f>
        <v/>
      </c>
      <c r="BZ765" s="36" t="str">
        <f aca="false">IF(Q765="","",IF(Q765&gt;=200000,"Yes","No"))</f>
        <v/>
      </c>
      <c r="CA765" s="36" t="str">
        <f aca="false">IF(Q765="","",IF(Q765&gt;=250000,"Yes","No"))</f>
        <v/>
      </c>
      <c r="CB765" s="36" t="str">
        <f aca="false">IF(Q765="","",IF(Q765&gt;=300000,"Yes","No"))</f>
        <v/>
      </c>
      <c r="CC765" s="37"/>
      <c r="CD765" s="36" t="str">
        <f aca="true">IF(B765="","",IF(TODAY()-B765&lt;=7,"🟢 0-7d",IF(TODAY()-B765&lt;=30,"🟡 8-30d",IF(TODAY()-B765&lt;=60,"🟠 31-60d","🔴 60d+"))))</f>
        <v/>
      </c>
      <c r="CE765" s="36" t="str">
        <f aca="false">IF(G765="","",IF(G765&lt;&gt;"USA","N/A - Not USA Role",IF(J765="Yes",IF(OR(F765="Intern",F765="New Grad"),"🟡 Possible","🟢 Strong"),IF(J765="No","🔴 Difficult","⚪ Unknown"))))</f>
        <v/>
      </c>
      <c r="CF765" s="37"/>
      <c r="CG765" s="37"/>
      <c r="CH765" s="38"/>
      <c r="CI765" s="38"/>
      <c r="CJ765" s="38"/>
      <c r="CK765" s="38"/>
    </row>
    <row r="766" customFormat="false" ht="15" hidden="false" customHeight="true" outlineLevel="0" collapsed="false">
      <c r="A766" s="26" t="str">
        <f aca="false">IF($C766="","",ROW()-3)</f>
        <v/>
      </c>
      <c r="B766" s="27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9"/>
      <c r="N766" s="29"/>
      <c r="O766" s="30" t="str">
        <f aca="false">IFERROR(IF(M766="","",M766*INDEX('00 - Lists'!$M$2:$M$11,MATCH(L766,'00 - Lists'!$L$2:$L$11,0))/100000),"")</f>
        <v/>
      </c>
      <c r="P766" s="30" t="str">
        <f aca="false">IFERROR(IF(N766="","",N766*INDEX('00 - Lists'!$M$2:$M$11,MATCH(L766,'00 - Lists'!$L$2:$L$11,0))/100000),"")</f>
        <v/>
      </c>
      <c r="Q766" s="31" t="str">
        <f aca="false">IFERROR(IF(M766="","",M766*INDEX('00 - Lists'!$N$2:$N$11,MATCH(L766,'00 - Lists'!$L$2:$L$11,0))),"")</f>
        <v/>
      </c>
      <c r="R766" s="31" t="str">
        <f aca="false">IFERROR(IF(N766="","",N766*INDEX('00 - Lists'!$N$2:$N$11,MATCH(L766,'00 - Lists'!$L$2:$L$11,0))),"")</f>
        <v/>
      </c>
      <c r="S766" s="32" t="str">
        <f aca="false">IF(O766="","",IF(O766&gt;=50,"Yes","No"))</f>
        <v/>
      </c>
      <c r="T766" s="32" t="str">
        <f aca="false">IF(Q766="","",IF(Q766&gt;=100000,"Yes","No"))</f>
        <v/>
      </c>
      <c r="U766" s="28"/>
      <c r="V766" s="28"/>
      <c r="W766" s="28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J766" s="34" t="str">
        <f aca="false">IF(OR($BD766&lt;&gt;"",$BF766&lt;&gt;"",$BH766&lt;&gt;""),"Yes","No")</f>
        <v>No</v>
      </c>
      <c r="BK766" s="35" t="str">
        <f aca="false">IFERROR(IF(BD766="","",BD766*INDEX('00 - Lists'!$M$2:$M$11,MATCH(L766,'00 - Lists'!$L$2:$L$11,0))/100000),"")</f>
        <v/>
      </c>
      <c r="BL766" s="35" t="str">
        <f aca="false">IFERROR(IF(BE766="","",BE766*INDEX('00 - Lists'!$M$2:$M$11,MATCH(L766,'00 - Lists'!$L$2:$L$11,0))/100000),"")</f>
        <v/>
      </c>
      <c r="BM766" s="35" t="str">
        <f aca="false">IFERROR(IF(BF766="","",BF766*INDEX('00 - Lists'!$M$2:$M$11,MATCH(L766,'00 - Lists'!$L$2:$L$11,0))/100000),"")</f>
        <v/>
      </c>
      <c r="BN766" s="35" t="str">
        <f aca="false">IFERROR(IF(BG766="","",BG766*INDEX('00 - Lists'!$M$2:$M$11,MATCH(L766,'00 - Lists'!$L$2:$L$11,0))/100000),"")</f>
        <v/>
      </c>
      <c r="BO766" s="35" t="str">
        <f aca="false">IFERROR(IF(BH766="","",BH766*INDEX('00 - Lists'!$M$2:$M$11,MATCH(L766,'00 - Lists'!$L$2:$L$11,0))/100000),"")</f>
        <v/>
      </c>
      <c r="BP766" s="35" t="str">
        <f aca="false">IFERROR(IF(BI766="","",BI766*INDEX('00 - Lists'!$M$2:$M$11,MATCH(L766,'00 - Lists'!$L$2:$L$11,0))/100000),"")</f>
        <v/>
      </c>
      <c r="BS766" s="36" t="str">
        <f aca="false">IF(O766="","",IF(O766&gt;=20,"Yes","No"))</f>
        <v/>
      </c>
      <c r="BT766" s="36" t="str">
        <f aca="false">IF(O766="","",IF(O766&gt;=30,"Yes","No"))</f>
        <v/>
      </c>
      <c r="BU766" s="36" t="str">
        <f aca="false">IF(O766="","",IF(O766&gt;=75,"Yes","No"))</f>
        <v/>
      </c>
      <c r="BV766" s="36" t="str">
        <f aca="false">IF(O766="","",IF(O766&gt;=100,"Yes","No"))</f>
        <v/>
      </c>
      <c r="BW766" s="36" t="str">
        <f aca="false">IF(O766="","",IF(O766&gt;=150,"Yes","No"))</f>
        <v/>
      </c>
      <c r="BX766" s="36" t="str">
        <f aca="false">IF(O766="","",IF(O766&gt;=200,"Yes","No"))</f>
        <v/>
      </c>
      <c r="BY766" s="36" t="str">
        <f aca="false">IF(Q766="","",IF(Q766&gt;=150000,"Yes","No"))</f>
        <v/>
      </c>
      <c r="BZ766" s="36" t="str">
        <f aca="false">IF(Q766="","",IF(Q766&gt;=200000,"Yes","No"))</f>
        <v/>
      </c>
      <c r="CA766" s="36" t="str">
        <f aca="false">IF(Q766="","",IF(Q766&gt;=250000,"Yes","No"))</f>
        <v/>
      </c>
      <c r="CB766" s="36" t="str">
        <f aca="false">IF(Q766="","",IF(Q766&gt;=300000,"Yes","No"))</f>
        <v/>
      </c>
      <c r="CC766" s="37"/>
      <c r="CD766" s="36" t="str">
        <f aca="true">IF(B766="","",IF(TODAY()-B766&lt;=7,"🟢 0-7d",IF(TODAY()-B766&lt;=30,"🟡 8-30d",IF(TODAY()-B766&lt;=60,"🟠 31-60d","🔴 60d+"))))</f>
        <v/>
      </c>
      <c r="CE766" s="36" t="str">
        <f aca="false">IF(G766="","",IF(G766&lt;&gt;"USA","N/A - Not USA Role",IF(J766="Yes",IF(OR(F766="Intern",F766="New Grad"),"🟡 Possible","🟢 Strong"),IF(J766="No","🔴 Difficult","⚪ Unknown"))))</f>
        <v/>
      </c>
      <c r="CF766" s="37"/>
      <c r="CG766" s="37"/>
      <c r="CH766" s="38"/>
      <c r="CI766" s="38"/>
      <c r="CJ766" s="38"/>
      <c r="CK766" s="38"/>
    </row>
    <row r="767" customFormat="false" ht="15" hidden="false" customHeight="true" outlineLevel="0" collapsed="false">
      <c r="A767" s="26" t="str">
        <f aca="false">IF($C767="","",ROW()-3)</f>
        <v/>
      </c>
      <c r="B767" s="27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9"/>
      <c r="N767" s="29"/>
      <c r="O767" s="30" t="str">
        <f aca="false">IFERROR(IF(M767="","",M767*INDEX('00 - Lists'!$M$2:$M$11,MATCH(L767,'00 - Lists'!$L$2:$L$11,0))/100000),"")</f>
        <v/>
      </c>
      <c r="P767" s="30" t="str">
        <f aca="false">IFERROR(IF(N767="","",N767*INDEX('00 - Lists'!$M$2:$M$11,MATCH(L767,'00 - Lists'!$L$2:$L$11,0))/100000),"")</f>
        <v/>
      </c>
      <c r="Q767" s="31" t="str">
        <f aca="false">IFERROR(IF(M767="","",M767*INDEX('00 - Lists'!$N$2:$N$11,MATCH(L767,'00 - Lists'!$L$2:$L$11,0))),"")</f>
        <v/>
      </c>
      <c r="R767" s="31" t="str">
        <f aca="false">IFERROR(IF(N767="","",N767*INDEX('00 - Lists'!$N$2:$N$11,MATCH(L767,'00 - Lists'!$L$2:$L$11,0))),"")</f>
        <v/>
      </c>
      <c r="S767" s="32" t="str">
        <f aca="false">IF(O767="","",IF(O767&gt;=50,"Yes","No"))</f>
        <v/>
      </c>
      <c r="T767" s="32" t="str">
        <f aca="false">IF(Q767="","",IF(Q767&gt;=100000,"Yes","No"))</f>
        <v/>
      </c>
      <c r="U767" s="28"/>
      <c r="V767" s="28"/>
      <c r="W767" s="28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J767" s="34" t="str">
        <f aca="false">IF(OR($BD767&lt;&gt;"",$BF767&lt;&gt;"",$BH767&lt;&gt;""),"Yes","No")</f>
        <v>No</v>
      </c>
      <c r="BK767" s="35" t="str">
        <f aca="false">IFERROR(IF(BD767="","",BD767*INDEX('00 - Lists'!$M$2:$M$11,MATCH(L767,'00 - Lists'!$L$2:$L$11,0))/100000),"")</f>
        <v/>
      </c>
      <c r="BL767" s="35" t="str">
        <f aca="false">IFERROR(IF(BE767="","",BE767*INDEX('00 - Lists'!$M$2:$M$11,MATCH(L767,'00 - Lists'!$L$2:$L$11,0))/100000),"")</f>
        <v/>
      </c>
      <c r="BM767" s="35" t="str">
        <f aca="false">IFERROR(IF(BF767="","",BF767*INDEX('00 - Lists'!$M$2:$M$11,MATCH(L767,'00 - Lists'!$L$2:$L$11,0))/100000),"")</f>
        <v/>
      </c>
      <c r="BN767" s="35" t="str">
        <f aca="false">IFERROR(IF(BG767="","",BG767*INDEX('00 - Lists'!$M$2:$M$11,MATCH(L767,'00 - Lists'!$L$2:$L$11,0))/100000),"")</f>
        <v/>
      </c>
      <c r="BO767" s="35" t="str">
        <f aca="false">IFERROR(IF(BH767="","",BH767*INDEX('00 - Lists'!$M$2:$M$11,MATCH(L767,'00 - Lists'!$L$2:$L$11,0))/100000),"")</f>
        <v/>
      </c>
      <c r="BP767" s="35" t="str">
        <f aca="false">IFERROR(IF(BI767="","",BI767*INDEX('00 - Lists'!$M$2:$M$11,MATCH(L767,'00 - Lists'!$L$2:$L$11,0))/100000),"")</f>
        <v/>
      </c>
      <c r="BS767" s="36" t="str">
        <f aca="false">IF(O767="","",IF(O767&gt;=20,"Yes","No"))</f>
        <v/>
      </c>
      <c r="BT767" s="36" t="str">
        <f aca="false">IF(O767="","",IF(O767&gt;=30,"Yes","No"))</f>
        <v/>
      </c>
      <c r="BU767" s="36" t="str">
        <f aca="false">IF(O767="","",IF(O767&gt;=75,"Yes","No"))</f>
        <v/>
      </c>
      <c r="BV767" s="36" t="str">
        <f aca="false">IF(O767="","",IF(O767&gt;=100,"Yes","No"))</f>
        <v/>
      </c>
      <c r="BW767" s="36" t="str">
        <f aca="false">IF(O767="","",IF(O767&gt;=150,"Yes","No"))</f>
        <v/>
      </c>
      <c r="BX767" s="36" t="str">
        <f aca="false">IF(O767="","",IF(O767&gt;=200,"Yes","No"))</f>
        <v/>
      </c>
      <c r="BY767" s="36" t="str">
        <f aca="false">IF(Q767="","",IF(Q767&gt;=150000,"Yes","No"))</f>
        <v/>
      </c>
      <c r="BZ767" s="36" t="str">
        <f aca="false">IF(Q767="","",IF(Q767&gt;=200000,"Yes","No"))</f>
        <v/>
      </c>
      <c r="CA767" s="36" t="str">
        <f aca="false">IF(Q767="","",IF(Q767&gt;=250000,"Yes","No"))</f>
        <v/>
      </c>
      <c r="CB767" s="36" t="str">
        <f aca="false">IF(Q767="","",IF(Q767&gt;=300000,"Yes","No"))</f>
        <v/>
      </c>
      <c r="CC767" s="37"/>
      <c r="CD767" s="36" t="str">
        <f aca="true">IF(B767="","",IF(TODAY()-B767&lt;=7,"🟢 0-7d",IF(TODAY()-B767&lt;=30,"🟡 8-30d",IF(TODAY()-B767&lt;=60,"🟠 31-60d","🔴 60d+"))))</f>
        <v/>
      </c>
      <c r="CE767" s="36" t="str">
        <f aca="false">IF(G767="","",IF(G767&lt;&gt;"USA","N/A - Not USA Role",IF(J767="Yes",IF(OR(F767="Intern",F767="New Grad"),"🟡 Possible","🟢 Strong"),IF(J767="No","🔴 Difficult","⚪ Unknown"))))</f>
        <v/>
      </c>
      <c r="CF767" s="37"/>
      <c r="CG767" s="37"/>
      <c r="CH767" s="38"/>
      <c r="CI767" s="38"/>
      <c r="CJ767" s="38"/>
      <c r="CK767" s="38"/>
    </row>
    <row r="768" customFormat="false" ht="15" hidden="false" customHeight="true" outlineLevel="0" collapsed="false">
      <c r="A768" s="26" t="str">
        <f aca="false">IF($C768="","",ROW()-3)</f>
        <v/>
      </c>
      <c r="B768" s="27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9"/>
      <c r="N768" s="29"/>
      <c r="O768" s="30" t="str">
        <f aca="false">IFERROR(IF(M768="","",M768*INDEX('00 - Lists'!$M$2:$M$11,MATCH(L768,'00 - Lists'!$L$2:$L$11,0))/100000),"")</f>
        <v/>
      </c>
      <c r="P768" s="30" t="str">
        <f aca="false">IFERROR(IF(N768="","",N768*INDEX('00 - Lists'!$M$2:$M$11,MATCH(L768,'00 - Lists'!$L$2:$L$11,0))/100000),"")</f>
        <v/>
      </c>
      <c r="Q768" s="31" t="str">
        <f aca="false">IFERROR(IF(M768="","",M768*INDEX('00 - Lists'!$N$2:$N$11,MATCH(L768,'00 - Lists'!$L$2:$L$11,0))),"")</f>
        <v/>
      </c>
      <c r="R768" s="31" t="str">
        <f aca="false">IFERROR(IF(N768="","",N768*INDEX('00 - Lists'!$N$2:$N$11,MATCH(L768,'00 - Lists'!$L$2:$L$11,0))),"")</f>
        <v/>
      </c>
      <c r="S768" s="32" t="str">
        <f aca="false">IF(O768="","",IF(O768&gt;=50,"Yes","No"))</f>
        <v/>
      </c>
      <c r="T768" s="32" t="str">
        <f aca="false">IF(Q768="","",IF(Q768&gt;=100000,"Yes","No"))</f>
        <v/>
      </c>
      <c r="U768" s="28"/>
      <c r="V768" s="28"/>
      <c r="W768" s="28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J768" s="34" t="str">
        <f aca="false">IF(OR($BD768&lt;&gt;"",$BF768&lt;&gt;"",$BH768&lt;&gt;""),"Yes","No")</f>
        <v>No</v>
      </c>
      <c r="BK768" s="35" t="str">
        <f aca="false">IFERROR(IF(BD768="","",BD768*INDEX('00 - Lists'!$M$2:$M$11,MATCH(L768,'00 - Lists'!$L$2:$L$11,0))/100000),"")</f>
        <v/>
      </c>
      <c r="BL768" s="35" t="str">
        <f aca="false">IFERROR(IF(BE768="","",BE768*INDEX('00 - Lists'!$M$2:$M$11,MATCH(L768,'00 - Lists'!$L$2:$L$11,0))/100000),"")</f>
        <v/>
      </c>
      <c r="BM768" s="35" t="str">
        <f aca="false">IFERROR(IF(BF768="","",BF768*INDEX('00 - Lists'!$M$2:$M$11,MATCH(L768,'00 - Lists'!$L$2:$L$11,0))/100000),"")</f>
        <v/>
      </c>
      <c r="BN768" s="35" t="str">
        <f aca="false">IFERROR(IF(BG768="","",BG768*INDEX('00 - Lists'!$M$2:$M$11,MATCH(L768,'00 - Lists'!$L$2:$L$11,0))/100000),"")</f>
        <v/>
      </c>
      <c r="BO768" s="35" t="str">
        <f aca="false">IFERROR(IF(BH768="","",BH768*INDEX('00 - Lists'!$M$2:$M$11,MATCH(L768,'00 - Lists'!$L$2:$L$11,0))/100000),"")</f>
        <v/>
      </c>
      <c r="BP768" s="35" t="str">
        <f aca="false">IFERROR(IF(BI768="","",BI768*INDEX('00 - Lists'!$M$2:$M$11,MATCH(L768,'00 - Lists'!$L$2:$L$11,0))/100000),"")</f>
        <v/>
      </c>
      <c r="BS768" s="36" t="str">
        <f aca="false">IF(O768="","",IF(O768&gt;=20,"Yes","No"))</f>
        <v/>
      </c>
      <c r="BT768" s="36" t="str">
        <f aca="false">IF(O768="","",IF(O768&gt;=30,"Yes","No"))</f>
        <v/>
      </c>
      <c r="BU768" s="36" t="str">
        <f aca="false">IF(O768="","",IF(O768&gt;=75,"Yes","No"))</f>
        <v/>
      </c>
      <c r="BV768" s="36" t="str">
        <f aca="false">IF(O768="","",IF(O768&gt;=100,"Yes","No"))</f>
        <v/>
      </c>
      <c r="BW768" s="36" t="str">
        <f aca="false">IF(O768="","",IF(O768&gt;=150,"Yes","No"))</f>
        <v/>
      </c>
      <c r="BX768" s="36" t="str">
        <f aca="false">IF(O768="","",IF(O768&gt;=200,"Yes","No"))</f>
        <v/>
      </c>
      <c r="BY768" s="36" t="str">
        <f aca="false">IF(Q768="","",IF(Q768&gt;=150000,"Yes","No"))</f>
        <v/>
      </c>
      <c r="BZ768" s="36" t="str">
        <f aca="false">IF(Q768="","",IF(Q768&gt;=200000,"Yes","No"))</f>
        <v/>
      </c>
      <c r="CA768" s="36" t="str">
        <f aca="false">IF(Q768="","",IF(Q768&gt;=250000,"Yes","No"))</f>
        <v/>
      </c>
      <c r="CB768" s="36" t="str">
        <f aca="false">IF(Q768="","",IF(Q768&gt;=300000,"Yes","No"))</f>
        <v/>
      </c>
      <c r="CC768" s="37"/>
      <c r="CD768" s="36" t="str">
        <f aca="true">IF(B768="","",IF(TODAY()-B768&lt;=7,"🟢 0-7d",IF(TODAY()-B768&lt;=30,"🟡 8-30d",IF(TODAY()-B768&lt;=60,"🟠 31-60d","🔴 60d+"))))</f>
        <v/>
      </c>
      <c r="CE768" s="36" t="str">
        <f aca="false">IF(G768="","",IF(G768&lt;&gt;"USA","N/A - Not USA Role",IF(J768="Yes",IF(OR(F768="Intern",F768="New Grad"),"🟡 Possible","🟢 Strong"),IF(J768="No","🔴 Difficult","⚪ Unknown"))))</f>
        <v/>
      </c>
      <c r="CF768" s="37"/>
      <c r="CG768" s="37"/>
      <c r="CH768" s="38"/>
      <c r="CI768" s="38"/>
      <c r="CJ768" s="38"/>
      <c r="CK768" s="38"/>
    </row>
    <row r="769" customFormat="false" ht="15" hidden="false" customHeight="true" outlineLevel="0" collapsed="false">
      <c r="A769" s="26" t="str">
        <f aca="false">IF($C769="","",ROW()-3)</f>
        <v/>
      </c>
      <c r="B769" s="27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9"/>
      <c r="N769" s="29"/>
      <c r="O769" s="30" t="str">
        <f aca="false">IFERROR(IF(M769="","",M769*INDEX('00 - Lists'!$M$2:$M$11,MATCH(L769,'00 - Lists'!$L$2:$L$11,0))/100000),"")</f>
        <v/>
      </c>
      <c r="P769" s="30" t="str">
        <f aca="false">IFERROR(IF(N769="","",N769*INDEX('00 - Lists'!$M$2:$M$11,MATCH(L769,'00 - Lists'!$L$2:$L$11,0))/100000),"")</f>
        <v/>
      </c>
      <c r="Q769" s="31" t="str">
        <f aca="false">IFERROR(IF(M769="","",M769*INDEX('00 - Lists'!$N$2:$N$11,MATCH(L769,'00 - Lists'!$L$2:$L$11,0))),"")</f>
        <v/>
      </c>
      <c r="R769" s="31" t="str">
        <f aca="false">IFERROR(IF(N769="","",N769*INDEX('00 - Lists'!$N$2:$N$11,MATCH(L769,'00 - Lists'!$L$2:$L$11,0))),"")</f>
        <v/>
      </c>
      <c r="S769" s="32" t="str">
        <f aca="false">IF(O769="","",IF(O769&gt;=50,"Yes","No"))</f>
        <v/>
      </c>
      <c r="T769" s="32" t="str">
        <f aca="false">IF(Q769="","",IF(Q769&gt;=100000,"Yes","No"))</f>
        <v/>
      </c>
      <c r="U769" s="28"/>
      <c r="V769" s="28"/>
      <c r="W769" s="28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J769" s="34" t="str">
        <f aca="false">IF(OR($BD769&lt;&gt;"",$BF769&lt;&gt;"",$BH769&lt;&gt;""),"Yes","No")</f>
        <v>No</v>
      </c>
      <c r="BK769" s="35" t="str">
        <f aca="false">IFERROR(IF(BD769="","",BD769*INDEX('00 - Lists'!$M$2:$M$11,MATCH(L769,'00 - Lists'!$L$2:$L$11,0))/100000),"")</f>
        <v/>
      </c>
      <c r="BL769" s="35" t="str">
        <f aca="false">IFERROR(IF(BE769="","",BE769*INDEX('00 - Lists'!$M$2:$M$11,MATCH(L769,'00 - Lists'!$L$2:$L$11,0))/100000),"")</f>
        <v/>
      </c>
      <c r="BM769" s="35" t="str">
        <f aca="false">IFERROR(IF(BF769="","",BF769*INDEX('00 - Lists'!$M$2:$M$11,MATCH(L769,'00 - Lists'!$L$2:$L$11,0))/100000),"")</f>
        <v/>
      </c>
      <c r="BN769" s="35" t="str">
        <f aca="false">IFERROR(IF(BG769="","",BG769*INDEX('00 - Lists'!$M$2:$M$11,MATCH(L769,'00 - Lists'!$L$2:$L$11,0))/100000),"")</f>
        <v/>
      </c>
      <c r="BO769" s="35" t="str">
        <f aca="false">IFERROR(IF(BH769="","",BH769*INDEX('00 - Lists'!$M$2:$M$11,MATCH(L769,'00 - Lists'!$L$2:$L$11,0))/100000),"")</f>
        <v/>
      </c>
      <c r="BP769" s="35" t="str">
        <f aca="false">IFERROR(IF(BI769="","",BI769*INDEX('00 - Lists'!$M$2:$M$11,MATCH(L769,'00 - Lists'!$L$2:$L$11,0))/100000),"")</f>
        <v/>
      </c>
      <c r="BS769" s="36" t="str">
        <f aca="false">IF(O769="","",IF(O769&gt;=20,"Yes","No"))</f>
        <v/>
      </c>
      <c r="BT769" s="36" t="str">
        <f aca="false">IF(O769="","",IF(O769&gt;=30,"Yes","No"))</f>
        <v/>
      </c>
      <c r="BU769" s="36" t="str">
        <f aca="false">IF(O769="","",IF(O769&gt;=75,"Yes","No"))</f>
        <v/>
      </c>
      <c r="BV769" s="36" t="str">
        <f aca="false">IF(O769="","",IF(O769&gt;=100,"Yes","No"))</f>
        <v/>
      </c>
      <c r="BW769" s="36" t="str">
        <f aca="false">IF(O769="","",IF(O769&gt;=150,"Yes","No"))</f>
        <v/>
      </c>
      <c r="BX769" s="36" t="str">
        <f aca="false">IF(O769="","",IF(O769&gt;=200,"Yes","No"))</f>
        <v/>
      </c>
      <c r="BY769" s="36" t="str">
        <f aca="false">IF(Q769="","",IF(Q769&gt;=150000,"Yes","No"))</f>
        <v/>
      </c>
      <c r="BZ769" s="36" t="str">
        <f aca="false">IF(Q769="","",IF(Q769&gt;=200000,"Yes","No"))</f>
        <v/>
      </c>
      <c r="CA769" s="36" t="str">
        <f aca="false">IF(Q769="","",IF(Q769&gt;=250000,"Yes","No"))</f>
        <v/>
      </c>
      <c r="CB769" s="36" t="str">
        <f aca="false">IF(Q769="","",IF(Q769&gt;=300000,"Yes","No"))</f>
        <v/>
      </c>
      <c r="CC769" s="37"/>
      <c r="CD769" s="36" t="str">
        <f aca="true">IF(B769="","",IF(TODAY()-B769&lt;=7,"🟢 0-7d",IF(TODAY()-B769&lt;=30,"🟡 8-30d",IF(TODAY()-B769&lt;=60,"🟠 31-60d","🔴 60d+"))))</f>
        <v/>
      </c>
      <c r="CE769" s="36" t="str">
        <f aca="false">IF(G769="","",IF(G769&lt;&gt;"USA","N/A - Not USA Role",IF(J769="Yes",IF(OR(F769="Intern",F769="New Grad"),"🟡 Possible","🟢 Strong"),IF(J769="No","🔴 Difficult","⚪ Unknown"))))</f>
        <v/>
      </c>
      <c r="CF769" s="37"/>
      <c r="CG769" s="37"/>
      <c r="CH769" s="38"/>
      <c r="CI769" s="38"/>
      <c r="CJ769" s="38"/>
      <c r="CK769" s="38"/>
    </row>
    <row r="770" customFormat="false" ht="15" hidden="false" customHeight="true" outlineLevel="0" collapsed="false">
      <c r="A770" s="26" t="str">
        <f aca="false">IF($C770="","",ROW()-3)</f>
        <v/>
      </c>
      <c r="B770" s="27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9"/>
      <c r="N770" s="29"/>
      <c r="O770" s="30" t="str">
        <f aca="false">IFERROR(IF(M770="","",M770*INDEX('00 - Lists'!$M$2:$M$11,MATCH(L770,'00 - Lists'!$L$2:$L$11,0))/100000),"")</f>
        <v/>
      </c>
      <c r="P770" s="30" t="str">
        <f aca="false">IFERROR(IF(N770="","",N770*INDEX('00 - Lists'!$M$2:$M$11,MATCH(L770,'00 - Lists'!$L$2:$L$11,0))/100000),"")</f>
        <v/>
      </c>
      <c r="Q770" s="31" t="str">
        <f aca="false">IFERROR(IF(M770="","",M770*INDEX('00 - Lists'!$N$2:$N$11,MATCH(L770,'00 - Lists'!$L$2:$L$11,0))),"")</f>
        <v/>
      </c>
      <c r="R770" s="31" t="str">
        <f aca="false">IFERROR(IF(N770="","",N770*INDEX('00 - Lists'!$N$2:$N$11,MATCH(L770,'00 - Lists'!$L$2:$L$11,0))),"")</f>
        <v/>
      </c>
      <c r="S770" s="32" t="str">
        <f aca="false">IF(O770="","",IF(O770&gt;=50,"Yes","No"))</f>
        <v/>
      </c>
      <c r="T770" s="32" t="str">
        <f aca="false">IF(Q770="","",IF(Q770&gt;=100000,"Yes","No"))</f>
        <v/>
      </c>
      <c r="U770" s="28"/>
      <c r="V770" s="28"/>
      <c r="W770" s="28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J770" s="34" t="str">
        <f aca="false">IF(OR($BD770&lt;&gt;"",$BF770&lt;&gt;"",$BH770&lt;&gt;""),"Yes","No")</f>
        <v>No</v>
      </c>
      <c r="BK770" s="35" t="str">
        <f aca="false">IFERROR(IF(BD770="","",BD770*INDEX('00 - Lists'!$M$2:$M$11,MATCH(L770,'00 - Lists'!$L$2:$L$11,0))/100000),"")</f>
        <v/>
      </c>
      <c r="BL770" s="35" t="str">
        <f aca="false">IFERROR(IF(BE770="","",BE770*INDEX('00 - Lists'!$M$2:$M$11,MATCH(L770,'00 - Lists'!$L$2:$L$11,0))/100000),"")</f>
        <v/>
      </c>
      <c r="BM770" s="35" t="str">
        <f aca="false">IFERROR(IF(BF770="","",BF770*INDEX('00 - Lists'!$M$2:$M$11,MATCH(L770,'00 - Lists'!$L$2:$L$11,0))/100000),"")</f>
        <v/>
      </c>
      <c r="BN770" s="35" t="str">
        <f aca="false">IFERROR(IF(BG770="","",BG770*INDEX('00 - Lists'!$M$2:$M$11,MATCH(L770,'00 - Lists'!$L$2:$L$11,0))/100000),"")</f>
        <v/>
      </c>
      <c r="BO770" s="35" t="str">
        <f aca="false">IFERROR(IF(BH770="","",BH770*INDEX('00 - Lists'!$M$2:$M$11,MATCH(L770,'00 - Lists'!$L$2:$L$11,0))/100000),"")</f>
        <v/>
      </c>
      <c r="BP770" s="35" t="str">
        <f aca="false">IFERROR(IF(BI770="","",BI770*INDEX('00 - Lists'!$M$2:$M$11,MATCH(L770,'00 - Lists'!$L$2:$L$11,0))/100000),"")</f>
        <v/>
      </c>
      <c r="BS770" s="36" t="str">
        <f aca="false">IF(O770="","",IF(O770&gt;=20,"Yes","No"))</f>
        <v/>
      </c>
      <c r="BT770" s="36" t="str">
        <f aca="false">IF(O770="","",IF(O770&gt;=30,"Yes","No"))</f>
        <v/>
      </c>
      <c r="BU770" s="36" t="str">
        <f aca="false">IF(O770="","",IF(O770&gt;=75,"Yes","No"))</f>
        <v/>
      </c>
      <c r="BV770" s="36" t="str">
        <f aca="false">IF(O770="","",IF(O770&gt;=100,"Yes","No"))</f>
        <v/>
      </c>
      <c r="BW770" s="36" t="str">
        <f aca="false">IF(O770="","",IF(O770&gt;=150,"Yes","No"))</f>
        <v/>
      </c>
      <c r="BX770" s="36" t="str">
        <f aca="false">IF(O770="","",IF(O770&gt;=200,"Yes","No"))</f>
        <v/>
      </c>
      <c r="BY770" s="36" t="str">
        <f aca="false">IF(Q770="","",IF(Q770&gt;=150000,"Yes","No"))</f>
        <v/>
      </c>
      <c r="BZ770" s="36" t="str">
        <f aca="false">IF(Q770="","",IF(Q770&gt;=200000,"Yes","No"))</f>
        <v/>
      </c>
      <c r="CA770" s="36" t="str">
        <f aca="false">IF(Q770="","",IF(Q770&gt;=250000,"Yes","No"))</f>
        <v/>
      </c>
      <c r="CB770" s="36" t="str">
        <f aca="false">IF(Q770="","",IF(Q770&gt;=300000,"Yes","No"))</f>
        <v/>
      </c>
      <c r="CC770" s="37"/>
      <c r="CD770" s="36" t="str">
        <f aca="true">IF(B770="","",IF(TODAY()-B770&lt;=7,"🟢 0-7d",IF(TODAY()-B770&lt;=30,"🟡 8-30d",IF(TODAY()-B770&lt;=60,"🟠 31-60d","🔴 60d+"))))</f>
        <v/>
      </c>
      <c r="CE770" s="36" t="str">
        <f aca="false">IF(G770="","",IF(G770&lt;&gt;"USA","N/A - Not USA Role",IF(J770="Yes",IF(OR(F770="Intern",F770="New Grad"),"🟡 Possible","🟢 Strong"),IF(J770="No","🔴 Difficult","⚪ Unknown"))))</f>
        <v/>
      </c>
      <c r="CF770" s="37"/>
      <c r="CG770" s="37"/>
      <c r="CH770" s="38"/>
      <c r="CI770" s="38"/>
      <c r="CJ770" s="38"/>
      <c r="CK770" s="38"/>
    </row>
    <row r="771" customFormat="false" ht="15" hidden="false" customHeight="true" outlineLevel="0" collapsed="false">
      <c r="A771" s="26" t="str">
        <f aca="false">IF($C771="","",ROW()-3)</f>
        <v/>
      </c>
      <c r="B771" s="27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9"/>
      <c r="N771" s="29"/>
      <c r="O771" s="30" t="str">
        <f aca="false">IFERROR(IF(M771="","",M771*INDEX('00 - Lists'!$M$2:$M$11,MATCH(L771,'00 - Lists'!$L$2:$L$11,0))/100000),"")</f>
        <v/>
      </c>
      <c r="P771" s="30" t="str">
        <f aca="false">IFERROR(IF(N771="","",N771*INDEX('00 - Lists'!$M$2:$M$11,MATCH(L771,'00 - Lists'!$L$2:$L$11,0))/100000),"")</f>
        <v/>
      </c>
      <c r="Q771" s="31" t="str">
        <f aca="false">IFERROR(IF(M771="","",M771*INDEX('00 - Lists'!$N$2:$N$11,MATCH(L771,'00 - Lists'!$L$2:$L$11,0))),"")</f>
        <v/>
      </c>
      <c r="R771" s="31" t="str">
        <f aca="false">IFERROR(IF(N771="","",N771*INDEX('00 - Lists'!$N$2:$N$11,MATCH(L771,'00 - Lists'!$L$2:$L$11,0))),"")</f>
        <v/>
      </c>
      <c r="S771" s="32" t="str">
        <f aca="false">IF(O771="","",IF(O771&gt;=50,"Yes","No"))</f>
        <v/>
      </c>
      <c r="T771" s="32" t="str">
        <f aca="false">IF(Q771="","",IF(Q771&gt;=100000,"Yes","No"))</f>
        <v/>
      </c>
      <c r="U771" s="28"/>
      <c r="V771" s="28"/>
      <c r="W771" s="28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J771" s="34" t="str">
        <f aca="false">IF(OR($BD771&lt;&gt;"",$BF771&lt;&gt;"",$BH771&lt;&gt;""),"Yes","No")</f>
        <v>No</v>
      </c>
      <c r="BK771" s="35" t="str">
        <f aca="false">IFERROR(IF(BD771="","",BD771*INDEX('00 - Lists'!$M$2:$M$11,MATCH(L771,'00 - Lists'!$L$2:$L$11,0))/100000),"")</f>
        <v/>
      </c>
      <c r="BL771" s="35" t="str">
        <f aca="false">IFERROR(IF(BE771="","",BE771*INDEX('00 - Lists'!$M$2:$M$11,MATCH(L771,'00 - Lists'!$L$2:$L$11,0))/100000),"")</f>
        <v/>
      </c>
      <c r="BM771" s="35" t="str">
        <f aca="false">IFERROR(IF(BF771="","",BF771*INDEX('00 - Lists'!$M$2:$M$11,MATCH(L771,'00 - Lists'!$L$2:$L$11,0))/100000),"")</f>
        <v/>
      </c>
      <c r="BN771" s="35" t="str">
        <f aca="false">IFERROR(IF(BG771="","",BG771*INDEX('00 - Lists'!$M$2:$M$11,MATCH(L771,'00 - Lists'!$L$2:$L$11,0))/100000),"")</f>
        <v/>
      </c>
      <c r="BO771" s="35" t="str">
        <f aca="false">IFERROR(IF(BH771="","",BH771*INDEX('00 - Lists'!$M$2:$M$11,MATCH(L771,'00 - Lists'!$L$2:$L$11,0))/100000),"")</f>
        <v/>
      </c>
      <c r="BP771" s="35" t="str">
        <f aca="false">IFERROR(IF(BI771="","",BI771*INDEX('00 - Lists'!$M$2:$M$11,MATCH(L771,'00 - Lists'!$L$2:$L$11,0))/100000),"")</f>
        <v/>
      </c>
      <c r="BS771" s="36" t="str">
        <f aca="false">IF(O771="","",IF(O771&gt;=20,"Yes","No"))</f>
        <v/>
      </c>
      <c r="BT771" s="36" t="str">
        <f aca="false">IF(O771="","",IF(O771&gt;=30,"Yes","No"))</f>
        <v/>
      </c>
      <c r="BU771" s="36" t="str">
        <f aca="false">IF(O771="","",IF(O771&gt;=75,"Yes","No"))</f>
        <v/>
      </c>
      <c r="BV771" s="36" t="str">
        <f aca="false">IF(O771="","",IF(O771&gt;=100,"Yes","No"))</f>
        <v/>
      </c>
      <c r="BW771" s="36" t="str">
        <f aca="false">IF(O771="","",IF(O771&gt;=150,"Yes","No"))</f>
        <v/>
      </c>
      <c r="BX771" s="36" t="str">
        <f aca="false">IF(O771="","",IF(O771&gt;=200,"Yes","No"))</f>
        <v/>
      </c>
      <c r="BY771" s="36" t="str">
        <f aca="false">IF(Q771="","",IF(Q771&gt;=150000,"Yes","No"))</f>
        <v/>
      </c>
      <c r="BZ771" s="36" t="str">
        <f aca="false">IF(Q771="","",IF(Q771&gt;=200000,"Yes","No"))</f>
        <v/>
      </c>
      <c r="CA771" s="36" t="str">
        <f aca="false">IF(Q771="","",IF(Q771&gt;=250000,"Yes","No"))</f>
        <v/>
      </c>
      <c r="CB771" s="36" t="str">
        <f aca="false">IF(Q771="","",IF(Q771&gt;=300000,"Yes","No"))</f>
        <v/>
      </c>
      <c r="CC771" s="37"/>
      <c r="CD771" s="36" t="str">
        <f aca="true">IF(B771="","",IF(TODAY()-B771&lt;=7,"🟢 0-7d",IF(TODAY()-B771&lt;=30,"🟡 8-30d",IF(TODAY()-B771&lt;=60,"🟠 31-60d","🔴 60d+"))))</f>
        <v/>
      </c>
      <c r="CE771" s="36" t="str">
        <f aca="false">IF(G771="","",IF(G771&lt;&gt;"USA","N/A - Not USA Role",IF(J771="Yes",IF(OR(F771="Intern",F771="New Grad"),"🟡 Possible","🟢 Strong"),IF(J771="No","🔴 Difficult","⚪ Unknown"))))</f>
        <v/>
      </c>
      <c r="CF771" s="37"/>
      <c r="CG771" s="37"/>
      <c r="CH771" s="38"/>
      <c r="CI771" s="38"/>
      <c r="CJ771" s="38"/>
      <c r="CK771" s="38"/>
    </row>
    <row r="772" customFormat="false" ht="15" hidden="false" customHeight="true" outlineLevel="0" collapsed="false">
      <c r="A772" s="26" t="str">
        <f aca="false">IF($C772="","",ROW()-3)</f>
        <v/>
      </c>
      <c r="B772" s="27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9"/>
      <c r="N772" s="29"/>
      <c r="O772" s="30" t="str">
        <f aca="false">IFERROR(IF(M772="","",M772*INDEX('00 - Lists'!$M$2:$M$11,MATCH(L772,'00 - Lists'!$L$2:$L$11,0))/100000),"")</f>
        <v/>
      </c>
      <c r="P772" s="30" t="str">
        <f aca="false">IFERROR(IF(N772="","",N772*INDEX('00 - Lists'!$M$2:$M$11,MATCH(L772,'00 - Lists'!$L$2:$L$11,0))/100000),"")</f>
        <v/>
      </c>
      <c r="Q772" s="31" t="str">
        <f aca="false">IFERROR(IF(M772="","",M772*INDEX('00 - Lists'!$N$2:$N$11,MATCH(L772,'00 - Lists'!$L$2:$L$11,0))),"")</f>
        <v/>
      </c>
      <c r="R772" s="31" t="str">
        <f aca="false">IFERROR(IF(N772="","",N772*INDEX('00 - Lists'!$N$2:$N$11,MATCH(L772,'00 - Lists'!$L$2:$L$11,0))),"")</f>
        <v/>
      </c>
      <c r="S772" s="32" t="str">
        <f aca="false">IF(O772="","",IF(O772&gt;=50,"Yes","No"))</f>
        <v/>
      </c>
      <c r="T772" s="32" t="str">
        <f aca="false">IF(Q772="","",IF(Q772&gt;=100000,"Yes","No"))</f>
        <v/>
      </c>
      <c r="U772" s="28"/>
      <c r="V772" s="28"/>
      <c r="W772" s="28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J772" s="34" t="str">
        <f aca="false">IF(OR($BD772&lt;&gt;"",$BF772&lt;&gt;"",$BH772&lt;&gt;""),"Yes","No")</f>
        <v>No</v>
      </c>
      <c r="BK772" s="35" t="str">
        <f aca="false">IFERROR(IF(BD772="","",BD772*INDEX('00 - Lists'!$M$2:$M$11,MATCH(L772,'00 - Lists'!$L$2:$L$11,0))/100000),"")</f>
        <v/>
      </c>
      <c r="BL772" s="35" t="str">
        <f aca="false">IFERROR(IF(BE772="","",BE772*INDEX('00 - Lists'!$M$2:$M$11,MATCH(L772,'00 - Lists'!$L$2:$L$11,0))/100000),"")</f>
        <v/>
      </c>
      <c r="BM772" s="35" t="str">
        <f aca="false">IFERROR(IF(BF772="","",BF772*INDEX('00 - Lists'!$M$2:$M$11,MATCH(L772,'00 - Lists'!$L$2:$L$11,0))/100000),"")</f>
        <v/>
      </c>
      <c r="BN772" s="35" t="str">
        <f aca="false">IFERROR(IF(BG772="","",BG772*INDEX('00 - Lists'!$M$2:$M$11,MATCH(L772,'00 - Lists'!$L$2:$L$11,0))/100000),"")</f>
        <v/>
      </c>
      <c r="BO772" s="35" t="str">
        <f aca="false">IFERROR(IF(BH772="","",BH772*INDEX('00 - Lists'!$M$2:$M$11,MATCH(L772,'00 - Lists'!$L$2:$L$11,0))/100000),"")</f>
        <v/>
      </c>
      <c r="BP772" s="35" t="str">
        <f aca="false">IFERROR(IF(BI772="","",BI772*INDEX('00 - Lists'!$M$2:$M$11,MATCH(L772,'00 - Lists'!$L$2:$L$11,0))/100000),"")</f>
        <v/>
      </c>
      <c r="BS772" s="36" t="str">
        <f aca="false">IF(O772="","",IF(O772&gt;=20,"Yes","No"))</f>
        <v/>
      </c>
      <c r="BT772" s="36" t="str">
        <f aca="false">IF(O772="","",IF(O772&gt;=30,"Yes","No"))</f>
        <v/>
      </c>
      <c r="BU772" s="36" t="str">
        <f aca="false">IF(O772="","",IF(O772&gt;=75,"Yes","No"))</f>
        <v/>
      </c>
      <c r="BV772" s="36" t="str">
        <f aca="false">IF(O772="","",IF(O772&gt;=100,"Yes","No"))</f>
        <v/>
      </c>
      <c r="BW772" s="36" t="str">
        <f aca="false">IF(O772="","",IF(O772&gt;=150,"Yes","No"))</f>
        <v/>
      </c>
      <c r="BX772" s="36" t="str">
        <f aca="false">IF(O772="","",IF(O772&gt;=200,"Yes","No"))</f>
        <v/>
      </c>
      <c r="BY772" s="36" t="str">
        <f aca="false">IF(Q772="","",IF(Q772&gt;=150000,"Yes","No"))</f>
        <v/>
      </c>
      <c r="BZ772" s="36" t="str">
        <f aca="false">IF(Q772="","",IF(Q772&gt;=200000,"Yes","No"))</f>
        <v/>
      </c>
      <c r="CA772" s="36" t="str">
        <f aca="false">IF(Q772="","",IF(Q772&gt;=250000,"Yes","No"))</f>
        <v/>
      </c>
      <c r="CB772" s="36" t="str">
        <f aca="false">IF(Q772="","",IF(Q772&gt;=300000,"Yes","No"))</f>
        <v/>
      </c>
      <c r="CC772" s="37"/>
      <c r="CD772" s="36" t="str">
        <f aca="true">IF(B772="","",IF(TODAY()-B772&lt;=7,"🟢 0-7d",IF(TODAY()-B772&lt;=30,"🟡 8-30d",IF(TODAY()-B772&lt;=60,"🟠 31-60d","🔴 60d+"))))</f>
        <v/>
      </c>
      <c r="CE772" s="36" t="str">
        <f aca="false">IF(G772="","",IF(G772&lt;&gt;"USA","N/A - Not USA Role",IF(J772="Yes",IF(OR(F772="Intern",F772="New Grad"),"🟡 Possible","🟢 Strong"),IF(J772="No","🔴 Difficult","⚪ Unknown"))))</f>
        <v/>
      </c>
      <c r="CF772" s="37"/>
      <c r="CG772" s="37"/>
      <c r="CH772" s="38"/>
      <c r="CI772" s="38"/>
      <c r="CJ772" s="38"/>
      <c r="CK772" s="38"/>
    </row>
    <row r="773" customFormat="false" ht="15" hidden="false" customHeight="true" outlineLevel="0" collapsed="false">
      <c r="A773" s="26" t="str">
        <f aca="false">IF($C773="","",ROW()-3)</f>
        <v/>
      </c>
      <c r="B773" s="27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9"/>
      <c r="N773" s="29"/>
      <c r="O773" s="30" t="str">
        <f aca="false">IFERROR(IF(M773="","",M773*INDEX('00 - Lists'!$M$2:$M$11,MATCH(L773,'00 - Lists'!$L$2:$L$11,0))/100000),"")</f>
        <v/>
      </c>
      <c r="P773" s="30" t="str">
        <f aca="false">IFERROR(IF(N773="","",N773*INDEX('00 - Lists'!$M$2:$M$11,MATCH(L773,'00 - Lists'!$L$2:$L$11,0))/100000),"")</f>
        <v/>
      </c>
      <c r="Q773" s="31" t="str">
        <f aca="false">IFERROR(IF(M773="","",M773*INDEX('00 - Lists'!$N$2:$N$11,MATCH(L773,'00 - Lists'!$L$2:$L$11,0))),"")</f>
        <v/>
      </c>
      <c r="R773" s="31" t="str">
        <f aca="false">IFERROR(IF(N773="","",N773*INDEX('00 - Lists'!$N$2:$N$11,MATCH(L773,'00 - Lists'!$L$2:$L$11,0))),"")</f>
        <v/>
      </c>
      <c r="S773" s="32" t="str">
        <f aca="false">IF(O773="","",IF(O773&gt;=50,"Yes","No"))</f>
        <v/>
      </c>
      <c r="T773" s="32" t="str">
        <f aca="false">IF(Q773="","",IF(Q773&gt;=100000,"Yes","No"))</f>
        <v/>
      </c>
      <c r="U773" s="28"/>
      <c r="V773" s="28"/>
      <c r="W773" s="28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J773" s="34" t="str">
        <f aca="false">IF(OR($BD773&lt;&gt;"",$BF773&lt;&gt;"",$BH773&lt;&gt;""),"Yes","No")</f>
        <v>No</v>
      </c>
      <c r="BK773" s="35" t="str">
        <f aca="false">IFERROR(IF(BD773="","",BD773*INDEX('00 - Lists'!$M$2:$M$11,MATCH(L773,'00 - Lists'!$L$2:$L$11,0))/100000),"")</f>
        <v/>
      </c>
      <c r="BL773" s="35" t="str">
        <f aca="false">IFERROR(IF(BE773="","",BE773*INDEX('00 - Lists'!$M$2:$M$11,MATCH(L773,'00 - Lists'!$L$2:$L$11,0))/100000),"")</f>
        <v/>
      </c>
      <c r="BM773" s="35" t="str">
        <f aca="false">IFERROR(IF(BF773="","",BF773*INDEX('00 - Lists'!$M$2:$M$11,MATCH(L773,'00 - Lists'!$L$2:$L$11,0))/100000),"")</f>
        <v/>
      </c>
      <c r="BN773" s="35" t="str">
        <f aca="false">IFERROR(IF(BG773="","",BG773*INDEX('00 - Lists'!$M$2:$M$11,MATCH(L773,'00 - Lists'!$L$2:$L$11,0))/100000),"")</f>
        <v/>
      </c>
      <c r="BO773" s="35" t="str">
        <f aca="false">IFERROR(IF(BH773="","",BH773*INDEX('00 - Lists'!$M$2:$M$11,MATCH(L773,'00 - Lists'!$L$2:$L$11,0))/100000),"")</f>
        <v/>
      </c>
      <c r="BP773" s="35" t="str">
        <f aca="false">IFERROR(IF(BI773="","",BI773*INDEX('00 - Lists'!$M$2:$M$11,MATCH(L773,'00 - Lists'!$L$2:$L$11,0))/100000),"")</f>
        <v/>
      </c>
      <c r="BS773" s="36" t="str">
        <f aca="false">IF(O773="","",IF(O773&gt;=20,"Yes","No"))</f>
        <v/>
      </c>
      <c r="BT773" s="36" t="str">
        <f aca="false">IF(O773="","",IF(O773&gt;=30,"Yes","No"))</f>
        <v/>
      </c>
      <c r="BU773" s="36" t="str">
        <f aca="false">IF(O773="","",IF(O773&gt;=75,"Yes","No"))</f>
        <v/>
      </c>
      <c r="BV773" s="36" t="str">
        <f aca="false">IF(O773="","",IF(O773&gt;=100,"Yes","No"))</f>
        <v/>
      </c>
      <c r="BW773" s="36" t="str">
        <f aca="false">IF(O773="","",IF(O773&gt;=150,"Yes","No"))</f>
        <v/>
      </c>
      <c r="BX773" s="36" t="str">
        <f aca="false">IF(O773="","",IF(O773&gt;=200,"Yes","No"))</f>
        <v/>
      </c>
      <c r="BY773" s="36" t="str">
        <f aca="false">IF(Q773="","",IF(Q773&gt;=150000,"Yes","No"))</f>
        <v/>
      </c>
      <c r="BZ773" s="36" t="str">
        <f aca="false">IF(Q773="","",IF(Q773&gt;=200000,"Yes","No"))</f>
        <v/>
      </c>
      <c r="CA773" s="36" t="str">
        <f aca="false">IF(Q773="","",IF(Q773&gt;=250000,"Yes","No"))</f>
        <v/>
      </c>
      <c r="CB773" s="36" t="str">
        <f aca="false">IF(Q773="","",IF(Q773&gt;=300000,"Yes","No"))</f>
        <v/>
      </c>
      <c r="CC773" s="37"/>
      <c r="CD773" s="36" t="str">
        <f aca="true">IF(B773="","",IF(TODAY()-B773&lt;=7,"🟢 0-7d",IF(TODAY()-B773&lt;=30,"🟡 8-30d",IF(TODAY()-B773&lt;=60,"🟠 31-60d","🔴 60d+"))))</f>
        <v/>
      </c>
      <c r="CE773" s="36" t="str">
        <f aca="false">IF(G773="","",IF(G773&lt;&gt;"USA","N/A - Not USA Role",IF(J773="Yes",IF(OR(F773="Intern",F773="New Grad"),"🟡 Possible","🟢 Strong"),IF(J773="No","🔴 Difficult","⚪ Unknown"))))</f>
        <v/>
      </c>
      <c r="CF773" s="37"/>
      <c r="CG773" s="37"/>
      <c r="CH773" s="38"/>
      <c r="CI773" s="38"/>
      <c r="CJ773" s="38"/>
      <c r="CK773" s="38"/>
    </row>
    <row r="774" customFormat="false" ht="15" hidden="false" customHeight="true" outlineLevel="0" collapsed="false">
      <c r="A774" s="26" t="str">
        <f aca="false">IF($C774="","",ROW()-3)</f>
        <v/>
      </c>
      <c r="B774" s="27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9"/>
      <c r="N774" s="29"/>
      <c r="O774" s="30" t="str">
        <f aca="false">IFERROR(IF(M774="","",M774*INDEX('00 - Lists'!$M$2:$M$11,MATCH(L774,'00 - Lists'!$L$2:$L$11,0))/100000),"")</f>
        <v/>
      </c>
      <c r="P774" s="30" t="str">
        <f aca="false">IFERROR(IF(N774="","",N774*INDEX('00 - Lists'!$M$2:$M$11,MATCH(L774,'00 - Lists'!$L$2:$L$11,0))/100000),"")</f>
        <v/>
      </c>
      <c r="Q774" s="31" t="str">
        <f aca="false">IFERROR(IF(M774="","",M774*INDEX('00 - Lists'!$N$2:$N$11,MATCH(L774,'00 - Lists'!$L$2:$L$11,0))),"")</f>
        <v/>
      </c>
      <c r="R774" s="31" t="str">
        <f aca="false">IFERROR(IF(N774="","",N774*INDEX('00 - Lists'!$N$2:$N$11,MATCH(L774,'00 - Lists'!$L$2:$L$11,0))),"")</f>
        <v/>
      </c>
      <c r="S774" s="32" t="str">
        <f aca="false">IF(O774="","",IF(O774&gt;=50,"Yes","No"))</f>
        <v/>
      </c>
      <c r="T774" s="32" t="str">
        <f aca="false">IF(Q774="","",IF(Q774&gt;=100000,"Yes","No"))</f>
        <v/>
      </c>
      <c r="U774" s="28"/>
      <c r="V774" s="28"/>
      <c r="W774" s="28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J774" s="34" t="str">
        <f aca="false">IF(OR($BD774&lt;&gt;"",$BF774&lt;&gt;"",$BH774&lt;&gt;""),"Yes","No")</f>
        <v>No</v>
      </c>
      <c r="BK774" s="35" t="str">
        <f aca="false">IFERROR(IF(BD774="","",BD774*INDEX('00 - Lists'!$M$2:$M$11,MATCH(L774,'00 - Lists'!$L$2:$L$11,0))/100000),"")</f>
        <v/>
      </c>
      <c r="BL774" s="35" t="str">
        <f aca="false">IFERROR(IF(BE774="","",BE774*INDEX('00 - Lists'!$M$2:$M$11,MATCH(L774,'00 - Lists'!$L$2:$L$11,0))/100000),"")</f>
        <v/>
      </c>
      <c r="BM774" s="35" t="str">
        <f aca="false">IFERROR(IF(BF774="","",BF774*INDEX('00 - Lists'!$M$2:$M$11,MATCH(L774,'00 - Lists'!$L$2:$L$11,0))/100000),"")</f>
        <v/>
      </c>
      <c r="BN774" s="35" t="str">
        <f aca="false">IFERROR(IF(BG774="","",BG774*INDEX('00 - Lists'!$M$2:$M$11,MATCH(L774,'00 - Lists'!$L$2:$L$11,0))/100000),"")</f>
        <v/>
      </c>
      <c r="BO774" s="35" t="str">
        <f aca="false">IFERROR(IF(BH774="","",BH774*INDEX('00 - Lists'!$M$2:$M$11,MATCH(L774,'00 - Lists'!$L$2:$L$11,0))/100000),"")</f>
        <v/>
      </c>
      <c r="BP774" s="35" t="str">
        <f aca="false">IFERROR(IF(BI774="","",BI774*INDEX('00 - Lists'!$M$2:$M$11,MATCH(L774,'00 - Lists'!$L$2:$L$11,0))/100000),"")</f>
        <v/>
      </c>
      <c r="BS774" s="36" t="str">
        <f aca="false">IF(O774="","",IF(O774&gt;=20,"Yes","No"))</f>
        <v/>
      </c>
      <c r="BT774" s="36" t="str">
        <f aca="false">IF(O774="","",IF(O774&gt;=30,"Yes","No"))</f>
        <v/>
      </c>
      <c r="BU774" s="36" t="str">
        <f aca="false">IF(O774="","",IF(O774&gt;=75,"Yes","No"))</f>
        <v/>
      </c>
      <c r="BV774" s="36" t="str">
        <f aca="false">IF(O774="","",IF(O774&gt;=100,"Yes","No"))</f>
        <v/>
      </c>
      <c r="BW774" s="36" t="str">
        <f aca="false">IF(O774="","",IF(O774&gt;=150,"Yes","No"))</f>
        <v/>
      </c>
      <c r="BX774" s="36" t="str">
        <f aca="false">IF(O774="","",IF(O774&gt;=200,"Yes","No"))</f>
        <v/>
      </c>
      <c r="BY774" s="36" t="str">
        <f aca="false">IF(Q774="","",IF(Q774&gt;=150000,"Yes","No"))</f>
        <v/>
      </c>
      <c r="BZ774" s="36" t="str">
        <f aca="false">IF(Q774="","",IF(Q774&gt;=200000,"Yes","No"))</f>
        <v/>
      </c>
      <c r="CA774" s="36" t="str">
        <f aca="false">IF(Q774="","",IF(Q774&gt;=250000,"Yes","No"))</f>
        <v/>
      </c>
      <c r="CB774" s="36" t="str">
        <f aca="false">IF(Q774="","",IF(Q774&gt;=300000,"Yes","No"))</f>
        <v/>
      </c>
      <c r="CC774" s="37"/>
      <c r="CD774" s="36" t="str">
        <f aca="true">IF(B774="","",IF(TODAY()-B774&lt;=7,"🟢 0-7d",IF(TODAY()-B774&lt;=30,"🟡 8-30d",IF(TODAY()-B774&lt;=60,"🟠 31-60d","🔴 60d+"))))</f>
        <v/>
      </c>
      <c r="CE774" s="36" t="str">
        <f aca="false">IF(G774="","",IF(G774&lt;&gt;"USA","N/A - Not USA Role",IF(J774="Yes",IF(OR(F774="Intern",F774="New Grad"),"🟡 Possible","🟢 Strong"),IF(J774="No","🔴 Difficult","⚪ Unknown"))))</f>
        <v/>
      </c>
      <c r="CF774" s="37"/>
      <c r="CG774" s="37"/>
      <c r="CH774" s="38"/>
      <c r="CI774" s="38"/>
      <c r="CJ774" s="38"/>
      <c r="CK774" s="38"/>
    </row>
    <row r="775" customFormat="false" ht="15" hidden="false" customHeight="true" outlineLevel="0" collapsed="false">
      <c r="A775" s="26" t="str">
        <f aca="false">IF($C775="","",ROW()-3)</f>
        <v/>
      </c>
      <c r="B775" s="27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9"/>
      <c r="N775" s="29"/>
      <c r="O775" s="30" t="str">
        <f aca="false">IFERROR(IF(M775="","",M775*INDEX('00 - Lists'!$M$2:$M$11,MATCH(L775,'00 - Lists'!$L$2:$L$11,0))/100000),"")</f>
        <v/>
      </c>
      <c r="P775" s="30" t="str">
        <f aca="false">IFERROR(IF(N775="","",N775*INDEX('00 - Lists'!$M$2:$M$11,MATCH(L775,'00 - Lists'!$L$2:$L$11,0))/100000),"")</f>
        <v/>
      </c>
      <c r="Q775" s="31" t="str">
        <f aca="false">IFERROR(IF(M775="","",M775*INDEX('00 - Lists'!$N$2:$N$11,MATCH(L775,'00 - Lists'!$L$2:$L$11,0))),"")</f>
        <v/>
      </c>
      <c r="R775" s="31" t="str">
        <f aca="false">IFERROR(IF(N775="","",N775*INDEX('00 - Lists'!$N$2:$N$11,MATCH(L775,'00 - Lists'!$L$2:$L$11,0))),"")</f>
        <v/>
      </c>
      <c r="S775" s="32" t="str">
        <f aca="false">IF(O775="","",IF(O775&gt;=50,"Yes","No"))</f>
        <v/>
      </c>
      <c r="T775" s="32" t="str">
        <f aca="false">IF(Q775="","",IF(Q775&gt;=100000,"Yes","No"))</f>
        <v/>
      </c>
      <c r="U775" s="28"/>
      <c r="V775" s="28"/>
      <c r="W775" s="28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J775" s="34" t="str">
        <f aca="false">IF(OR($BD775&lt;&gt;"",$BF775&lt;&gt;"",$BH775&lt;&gt;""),"Yes","No")</f>
        <v>No</v>
      </c>
      <c r="BK775" s="35" t="str">
        <f aca="false">IFERROR(IF(BD775="","",BD775*INDEX('00 - Lists'!$M$2:$M$11,MATCH(L775,'00 - Lists'!$L$2:$L$11,0))/100000),"")</f>
        <v/>
      </c>
      <c r="BL775" s="35" t="str">
        <f aca="false">IFERROR(IF(BE775="","",BE775*INDEX('00 - Lists'!$M$2:$M$11,MATCH(L775,'00 - Lists'!$L$2:$L$11,0))/100000),"")</f>
        <v/>
      </c>
      <c r="BM775" s="35" t="str">
        <f aca="false">IFERROR(IF(BF775="","",BF775*INDEX('00 - Lists'!$M$2:$M$11,MATCH(L775,'00 - Lists'!$L$2:$L$11,0))/100000),"")</f>
        <v/>
      </c>
      <c r="BN775" s="35" t="str">
        <f aca="false">IFERROR(IF(BG775="","",BG775*INDEX('00 - Lists'!$M$2:$M$11,MATCH(L775,'00 - Lists'!$L$2:$L$11,0))/100000),"")</f>
        <v/>
      </c>
      <c r="BO775" s="35" t="str">
        <f aca="false">IFERROR(IF(BH775="","",BH775*INDEX('00 - Lists'!$M$2:$M$11,MATCH(L775,'00 - Lists'!$L$2:$L$11,0))/100000),"")</f>
        <v/>
      </c>
      <c r="BP775" s="35" t="str">
        <f aca="false">IFERROR(IF(BI775="","",BI775*INDEX('00 - Lists'!$M$2:$M$11,MATCH(L775,'00 - Lists'!$L$2:$L$11,0))/100000),"")</f>
        <v/>
      </c>
      <c r="BS775" s="36" t="str">
        <f aca="false">IF(O775="","",IF(O775&gt;=20,"Yes","No"))</f>
        <v/>
      </c>
      <c r="BT775" s="36" t="str">
        <f aca="false">IF(O775="","",IF(O775&gt;=30,"Yes","No"))</f>
        <v/>
      </c>
      <c r="BU775" s="36" t="str">
        <f aca="false">IF(O775="","",IF(O775&gt;=75,"Yes","No"))</f>
        <v/>
      </c>
      <c r="BV775" s="36" t="str">
        <f aca="false">IF(O775="","",IF(O775&gt;=100,"Yes","No"))</f>
        <v/>
      </c>
      <c r="BW775" s="36" t="str">
        <f aca="false">IF(O775="","",IF(O775&gt;=150,"Yes","No"))</f>
        <v/>
      </c>
      <c r="BX775" s="36" t="str">
        <f aca="false">IF(O775="","",IF(O775&gt;=200,"Yes","No"))</f>
        <v/>
      </c>
      <c r="BY775" s="36" t="str">
        <f aca="false">IF(Q775="","",IF(Q775&gt;=150000,"Yes","No"))</f>
        <v/>
      </c>
      <c r="BZ775" s="36" t="str">
        <f aca="false">IF(Q775="","",IF(Q775&gt;=200000,"Yes","No"))</f>
        <v/>
      </c>
      <c r="CA775" s="36" t="str">
        <f aca="false">IF(Q775="","",IF(Q775&gt;=250000,"Yes","No"))</f>
        <v/>
      </c>
      <c r="CB775" s="36" t="str">
        <f aca="false">IF(Q775="","",IF(Q775&gt;=300000,"Yes","No"))</f>
        <v/>
      </c>
      <c r="CC775" s="37"/>
      <c r="CD775" s="36" t="str">
        <f aca="true">IF(B775="","",IF(TODAY()-B775&lt;=7,"🟢 0-7d",IF(TODAY()-B775&lt;=30,"🟡 8-30d",IF(TODAY()-B775&lt;=60,"🟠 31-60d","🔴 60d+"))))</f>
        <v/>
      </c>
      <c r="CE775" s="36" t="str">
        <f aca="false">IF(G775="","",IF(G775&lt;&gt;"USA","N/A - Not USA Role",IF(J775="Yes",IF(OR(F775="Intern",F775="New Grad"),"🟡 Possible","🟢 Strong"),IF(J775="No","🔴 Difficult","⚪ Unknown"))))</f>
        <v/>
      </c>
      <c r="CF775" s="37"/>
      <c r="CG775" s="37"/>
      <c r="CH775" s="38"/>
      <c r="CI775" s="38"/>
      <c r="CJ775" s="38"/>
      <c r="CK775" s="38"/>
    </row>
    <row r="776" customFormat="false" ht="15" hidden="false" customHeight="true" outlineLevel="0" collapsed="false">
      <c r="A776" s="26" t="str">
        <f aca="false">IF($C776="","",ROW()-3)</f>
        <v/>
      </c>
      <c r="B776" s="27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9"/>
      <c r="N776" s="29"/>
      <c r="O776" s="30" t="str">
        <f aca="false">IFERROR(IF(M776="","",M776*INDEX('00 - Lists'!$M$2:$M$11,MATCH(L776,'00 - Lists'!$L$2:$L$11,0))/100000),"")</f>
        <v/>
      </c>
      <c r="P776" s="30" t="str">
        <f aca="false">IFERROR(IF(N776="","",N776*INDEX('00 - Lists'!$M$2:$M$11,MATCH(L776,'00 - Lists'!$L$2:$L$11,0))/100000),"")</f>
        <v/>
      </c>
      <c r="Q776" s="31" t="str">
        <f aca="false">IFERROR(IF(M776="","",M776*INDEX('00 - Lists'!$N$2:$N$11,MATCH(L776,'00 - Lists'!$L$2:$L$11,0))),"")</f>
        <v/>
      </c>
      <c r="R776" s="31" t="str">
        <f aca="false">IFERROR(IF(N776="","",N776*INDEX('00 - Lists'!$N$2:$N$11,MATCH(L776,'00 - Lists'!$L$2:$L$11,0))),"")</f>
        <v/>
      </c>
      <c r="S776" s="32" t="str">
        <f aca="false">IF(O776="","",IF(O776&gt;=50,"Yes","No"))</f>
        <v/>
      </c>
      <c r="T776" s="32" t="str">
        <f aca="false">IF(Q776="","",IF(Q776&gt;=100000,"Yes","No"))</f>
        <v/>
      </c>
      <c r="U776" s="28"/>
      <c r="V776" s="28"/>
      <c r="W776" s="28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J776" s="34" t="str">
        <f aca="false">IF(OR($BD776&lt;&gt;"",$BF776&lt;&gt;"",$BH776&lt;&gt;""),"Yes","No")</f>
        <v>No</v>
      </c>
      <c r="BK776" s="35" t="str">
        <f aca="false">IFERROR(IF(BD776="","",BD776*INDEX('00 - Lists'!$M$2:$M$11,MATCH(L776,'00 - Lists'!$L$2:$L$11,0))/100000),"")</f>
        <v/>
      </c>
      <c r="BL776" s="35" t="str">
        <f aca="false">IFERROR(IF(BE776="","",BE776*INDEX('00 - Lists'!$M$2:$M$11,MATCH(L776,'00 - Lists'!$L$2:$L$11,0))/100000),"")</f>
        <v/>
      </c>
      <c r="BM776" s="35" t="str">
        <f aca="false">IFERROR(IF(BF776="","",BF776*INDEX('00 - Lists'!$M$2:$M$11,MATCH(L776,'00 - Lists'!$L$2:$L$11,0))/100000),"")</f>
        <v/>
      </c>
      <c r="BN776" s="35" t="str">
        <f aca="false">IFERROR(IF(BG776="","",BG776*INDEX('00 - Lists'!$M$2:$M$11,MATCH(L776,'00 - Lists'!$L$2:$L$11,0))/100000),"")</f>
        <v/>
      </c>
      <c r="BO776" s="35" t="str">
        <f aca="false">IFERROR(IF(BH776="","",BH776*INDEX('00 - Lists'!$M$2:$M$11,MATCH(L776,'00 - Lists'!$L$2:$L$11,0))/100000),"")</f>
        <v/>
      </c>
      <c r="BP776" s="35" t="str">
        <f aca="false">IFERROR(IF(BI776="","",BI776*INDEX('00 - Lists'!$M$2:$M$11,MATCH(L776,'00 - Lists'!$L$2:$L$11,0))/100000),"")</f>
        <v/>
      </c>
      <c r="BS776" s="36" t="str">
        <f aca="false">IF(O776="","",IF(O776&gt;=20,"Yes","No"))</f>
        <v/>
      </c>
      <c r="BT776" s="36" t="str">
        <f aca="false">IF(O776="","",IF(O776&gt;=30,"Yes","No"))</f>
        <v/>
      </c>
      <c r="BU776" s="36" t="str">
        <f aca="false">IF(O776="","",IF(O776&gt;=75,"Yes","No"))</f>
        <v/>
      </c>
      <c r="BV776" s="36" t="str">
        <f aca="false">IF(O776="","",IF(O776&gt;=100,"Yes","No"))</f>
        <v/>
      </c>
      <c r="BW776" s="36" t="str">
        <f aca="false">IF(O776="","",IF(O776&gt;=150,"Yes","No"))</f>
        <v/>
      </c>
      <c r="BX776" s="36" t="str">
        <f aca="false">IF(O776="","",IF(O776&gt;=200,"Yes","No"))</f>
        <v/>
      </c>
      <c r="BY776" s="36" t="str">
        <f aca="false">IF(Q776="","",IF(Q776&gt;=150000,"Yes","No"))</f>
        <v/>
      </c>
      <c r="BZ776" s="36" t="str">
        <f aca="false">IF(Q776="","",IF(Q776&gt;=200000,"Yes","No"))</f>
        <v/>
      </c>
      <c r="CA776" s="36" t="str">
        <f aca="false">IF(Q776="","",IF(Q776&gt;=250000,"Yes","No"))</f>
        <v/>
      </c>
      <c r="CB776" s="36" t="str">
        <f aca="false">IF(Q776="","",IF(Q776&gt;=300000,"Yes","No"))</f>
        <v/>
      </c>
      <c r="CC776" s="37"/>
      <c r="CD776" s="36" t="str">
        <f aca="true">IF(B776="","",IF(TODAY()-B776&lt;=7,"🟢 0-7d",IF(TODAY()-B776&lt;=30,"🟡 8-30d",IF(TODAY()-B776&lt;=60,"🟠 31-60d","🔴 60d+"))))</f>
        <v/>
      </c>
      <c r="CE776" s="36" t="str">
        <f aca="false">IF(G776="","",IF(G776&lt;&gt;"USA","N/A - Not USA Role",IF(J776="Yes",IF(OR(F776="Intern",F776="New Grad"),"🟡 Possible","🟢 Strong"),IF(J776="No","🔴 Difficult","⚪ Unknown"))))</f>
        <v/>
      </c>
      <c r="CF776" s="37"/>
      <c r="CG776" s="37"/>
      <c r="CH776" s="38"/>
      <c r="CI776" s="38"/>
      <c r="CJ776" s="38"/>
      <c r="CK776" s="38"/>
    </row>
    <row r="777" customFormat="false" ht="15" hidden="false" customHeight="true" outlineLevel="0" collapsed="false">
      <c r="A777" s="26" t="str">
        <f aca="false">IF($C777="","",ROW()-3)</f>
        <v/>
      </c>
      <c r="B777" s="27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9"/>
      <c r="N777" s="29"/>
      <c r="O777" s="30" t="str">
        <f aca="false">IFERROR(IF(M777="","",M777*INDEX('00 - Lists'!$M$2:$M$11,MATCH(L777,'00 - Lists'!$L$2:$L$11,0))/100000),"")</f>
        <v/>
      </c>
      <c r="P777" s="30" t="str">
        <f aca="false">IFERROR(IF(N777="","",N777*INDEX('00 - Lists'!$M$2:$M$11,MATCH(L777,'00 - Lists'!$L$2:$L$11,0))/100000),"")</f>
        <v/>
      </c>
      <c r="Q777" s="31" t="str">
        <f aca="false">IFERROR(IF(M777="","",M777*INDEX('00 - Lists'!$N$2:$N$11,MATCH(L777,'00 - Lists'!$L$2:$L$11,0))),"")</f>
        <v/>
      </c>
      <c r="R777" s="31" t="str">
        <f aca="false">IFERROR(IF(N777="","",N777*INDEX('00 - Lists'!$N$2:$N$11,MATCH(L777,'00 - Lists'!$L$2:$L$11,0))),"")</f>
        <v/>
      </c>
      <c r="S777" s="32" t="str">
        <f aca="false">IF(O777="","",IF(O777&gt;=50,"Yes","No"))</f>
        <v/>
      </c>
      <c r="T777" s="32" t="str">
        <f aca="false">IF(Q777="","",IF(Q777&gt;=100000,"Yes","No"))</f>
        <v/>
      </c>
      <c r="U777" s="28"/>
      <c r="V777" s="28"/>
      <c r="W777" s="28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J777" s="34" t="str">
        <f aca="false">IF(OR($BD777&lt;&gt;"",$BF777&lt;&gt;"",$BH777&lt;&gt;""),"Yes","No")</f>
        <v>No</v>
      </c>
      <c r="BK777" s="35" t="str">
        <f aca="false">IFERROR(IF(BD777="","",BD777*INDEX('00 - Lists'!$M$2:$M$11,MATCH(L777,'00 - Lists'!$L$2:$L$11,0))/100000),"")</f>
        <v/>
      </c>
      <c r="BL777" s="35" t="str">
        <f aca="false">IFERROR(IF(BE777="","",BE777*INDEX('00 - Lists'!$M$2:$M$11,MATCH(L777,'00 - Lists'!$L$2:$L$11,0))/100000),"")</f>
        <v/>
      </c>
      <c r="BM777" s="35" t="str">
        <f aca="false">IFERROR(IF(BF777="","",BF777*INDEX('00 - Lists'!$M$2:$M$11,MATCH(L777,'00 - Lists'!$L$2:$L$11,0))/100000),"")</f>
        <v/>
      </c>
      <c r="BN777" s="35" t="str">
        <f aca="false">IFERROR(IF(BG777="","",BG777*INDEX('00 - Lists'!$M$2:$M$11,MATCH(L777,'00 - Lists'!$L$2:$L$11,0))/100000),"")</f>
        <v/>
      </c>
      <c r="BO777" s="35" t="str">
        <f aca="false">IFERROR(IF(BH777="","",BH777*INDEX('00 - Lists'!$M$2:$M$11,MATCH(L777,'00 - Lists'!$L$2:$L$11,0))/100000),"")</f>
        <v/>
      </c>
      <c r="BP777" s="35" t="str">
        <f aca="false">IFERROR(IF(BI777="","",BI777*INDEX('00 - Lists'!$M$2:$M$11,MATCH(L777,'00 - Lists'!$L$2:$L$11,0))/100000),"")</f>
        <v/>
      </c>
      <c r="BS777" s="36" t="str">
        <f aca="false">IF(O777="","",IF(O777&gt;=20,"Yes","No"))</f>
        <v/>
      </c>
      <c r="BT777" s="36" t="str">
        <f aca="false">IF(O777="","",IF(O777&gt;=30,"Yes","No"))</f>
        <v/>
      </c>
      <c r="BU777" s="36" t="str">
        <f aca="false">IF(O777="","",IF(O777&gt;=75,"Yes","No"))</f>
        <v/>
      </c>
      <c r="BV777" s="36" t="str">
        <f aca="false">IF(O777="","",IF(O777&gt;=100,"Yes","No"))</f>
        <v/>
      </c>
      <c r="BW777" s="36" t="str">
        <f aca="false">IF(O777="","",IF(O777&gt;=150,"Yes","No"))</f>
        <v/>
      </c>
      <c r="BX777" s="36" t="str">
        <f aca="false">IF(O777="","",IF(O777&gt;=200,"Yes","No"))</f>
        <v/>
      </c>
      <c r="BY777" s="36" t="str">
        <f aca="false">IF(Q777="","",IF(Q777&gt;=150000,"Yes","No"))</f>
        <v/>
      </c>
      <c r="BZ777" s="36" t="str">
        <f aca="false">IF(Q777="","",IF(Q777&gt;=200000,"Yes","No"))</f>
        <v/>
      </c>
      <c r="CA777" s="36" t="str">
        <f aca="false">IF(Q777="","",IF(Q777&gt;=250000,"Yes","No"))</f>
        <v/>
      </c>
      <c r="CB777" s="36" t="str">
        <f aca="false">IF(Q777="","",IF(Q777&gt;=300000,"Yes","No"))</f>
        <v/>
      </c>
      <c r="CC777" s="37"/>
      <c r="CD777" s="36" t="str">
        <f aca="true">IF(B777="","",IF(TODAY()-B777&lt;=7,"🟢 0-7d",IF(TODAY()-B777&lt;=30,"🟡 8-30d",IF(TODAY()-B777&lt;=60,"🟠 31-60d","🔴 60d+"))))</f>
        <v/>
      </c>
      <c r="CE777" s="36" t="str">
        <f aca="false">IF(G777="","",IF(G777&lt;&gt;"USA","N/A - Not USA Role",IF(J777="Yes",IF(OR(F777="Intern",F777="New Grad"),"🟡 Possible","🟢 Strong"),IF(J777="No","🔴 Difficult","⚪ Unknown"))))</f>
        <v/>
      </c>
      <c r="CF777" s="37"/>
      <c r="CG777" s="37"/>
      <c r="CH777" s="38"/>
      <c r="CI777" s="38"/>
      <c r="CJ777" s="38"/>
      <c r="CK777" s="38"/>
    </row>
    <row r="778" customFormat="false" ht="15" hidden="false" customHeight="true" outlineLevel="0" collapsed="false">
      <c r="A778" s="26" t="str">
        <f aca="false">IF($C778="","",ROW()-3)</f>
        <v/>
      </c>
      <c r="B778" s="27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9"/>
      <c r="N778" s="29"/>
      <c r="O778" s="30" t="str">
        <f aca="false">IFERROR(IF(M778="","",M778*INDEX('00 - Lists'!$M$2:$M$11,MATCH(L778,'00 - Lists'!$L$2:$L$11,0))/100000),"")</f>
        <v/>
      </c>
      <c r="P778" s="30" t="str">
        <f aca="false">IFERROR(IF(N778="","",N778*INDEX('00 - Lists'!$M$2:$M$11,MATCH(L778,'00 - Lists'!$L$2:$L$11,0))/100000),"")</f>
        <v/>
      </c>
      <c r="Q778" s="31" t="str">
        <f aca="false">IFERROR(IF(M778="","",M778*INDEX('00 - Lists'!$N$2:$N$11,MATCH(L778,'00 - Lists'!$L$2:$L$11,0))),"")</f>
        <v/>
      </c>
      <c r="R778" s="31" t="str">
        <f aca="false">IFERROR(IF(N778="","",N778*INDEX('00 - Lists'!$N$2:$N$11,MATCH(L778,'00 - Lists'!$L$2:$L$11,0))),"")</f>
        <v/>
      </c>
      <c r="S778" s="32" t="str">
        <f aca="false">IF(O778="","",IF(O778&gt;=50,"Yes","No"))</f>
        <v/>
      </c>
      <c r="T778" s="32" t="str">
        <f aca="false">IF(Q778="","",IF(Q778&gt;=100000,"Yes","No"))</f>
        <v/>
      </c>
      <c r="U778" s="28"/>
      <c r="V778" s="28"/>
      <c r="W778" s="28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J778" s="34" t="str">
        <f aca="false">IF(OR($BD778&lt;&gt;"",$BF778&lt;&gt;"",$BH778&lt;&gt;""),"Yes","No")</f>
        <v>No</v>
      </c>
      <c r="BK778" s="35" t="str">
        <f aca="false">IFERROR(IF(BD778="","",BD778*INDEX('00 - Lists'!$M$2:$M$11,MATCH(L778,'00 - Lists'!$L$2:$L$11,0))/100000),"")</f>
        <v/>
      </c>
      <c r="BL778" s="35" t="str">
        <f aca="false">IFERROR(IF(BE778="","",BE778*INDEX('00 - Lists'!$M$2:$M$11,MATCH(L778,'00 - Lists'!$L$2:$L$11,0))/100000),"")</f>
        <v/>
      </c>
      <c r="BM778" s="35" t="str">
        <f aca="false">IFERROR(IF(BF778="","",BF778*INDEX('00 - Lists'!$M$2:$M$11,MATCH(L778,'00 - Lists'!$L$2:$L$11,0))/100000),"")</f>
        <v/>
      </c>
      <c r="BN778" s="35" t="str">
        <f aca="false">IFERROR(IF(BG778="","",BG778*INDEX('00 - Lists'!$M$2:$M$11,MATCH(L778,'00 - Lists'!$L$2:$L$11,0))/100000),"")</f>
        <v/>
      </c>
      <c r="BO778" s="35" t="str">
        <f aca="false">IFERROR(IF(BH778="","",BH778*INDEX('00 - Lists'!$M$2:$M$11,MATCH(L778,'00 - Lists'!$L$2:$L$11,0))/100000),"")</f>
        <v/>
      </c>
      <c r="BP778" s="35" t="str">
        <f aca="false">IFERROR(IF(BI778="","",BI778*INDEX('00 - Lists'!$M$2:$M$11,MATCH(L778,'00 - Lists'!$L$2:$L$11,0))/100000),"")</f>
        <v/>
      </c>
      <c r="BS778" s="36" t="str">
        <f aca="false">IF(O778="","",IF(O778&gt;=20,"Yes","No"))</f>
        <v/>
      </c>
      <c r="BT778" s="36" t="str">
        <f aca="false">IF(O778="","",IF(O778&gt;=30,"Yes","No"))</f>
        <v/>
      </c>
      <c r="BU778" s="36" t="str">
        <f aca="false">IF(O778="","",IF(O778&gt;=75,"Yes","No"))</f>
        <v/>
      </c>
      <c r="BV778" s="36" t="str">
        <f aca="false">IF(O778="","",IF(O778&gt;=100,"Yes","No"))</f>
        <v/>
      </c>
      <c r="BW778" s="36" t="str">
        <f aca="false">IF(O778="","",IF(O778&gt;=150,"Yes","No"))</f>
        <v/>
      </c>
      <c r="BX778" s="36" t="str">
        <f aca="false">IF(O778="","",IF(O778&gt;=200,"Yes","No"))</f>
        <v/>
      </c>
      <c r="BY778" s="36" t="str">
        <f aca="false">IF(Q778="","",IF(Q778&gt;=150000,"Yes","No"))</f>
        <v/>
      </c>
      <c r="BZ778" s="36" t="str">
        <f aca="false">IF(Q778="","",IF(Q778&gt;=200000,"Yes","No"))</f>
        <v/>
      </c>
      <c r="CA778" s="36" t="str">
        <f aca="false">IF(Q778="","",IF(Q778&gt;=250000,"Yes","No"))</f>
        <v/>
      </c>
      <c r="CB778" s="36" t="str">
        <f aca="false">IF(Q778="","",IF(Q778&gt;=300000,"Yes","No"))</f>
        <v/>
      </c>
      <c r="CC778" s="37"/>
      <c r="CD778" s="36" t="str">
        <f aca="true">IF(B778="","",IF(TODAY()-B778&lt;=7,"🟢 0-7d",IF(TODAY()-B778&lt;=30,"🟡 8-30d",IF(TODAY()-B778&lt;=60,"🟠 31-60d","🔴 60d+"))))</f>
        <v/>
      </c>
      <c r="CE778" s="36" t="str">
        <f aca="false">IF(G778="","",IF(G778&lt;&gt;"USA","N/A - Not USA Role",IF(J778="Yes",IF(OR(F778="Intern",F778="New Grad"),"🟡 Possible","🟢 Strong"),IF(J778="No","🔴 Difficult","⚪ Unknown"))))</f>
        <v/>
      </c>
      <c r="CF778" s="37"/>
      <c r="CG778" s="37"/>
      <c r="CH778" s="38"/>
      <c r="CI778" s="38"/>
      <c r="CJ778" s="38"/>
      <c r="CK778" s="38"/>
    </row>
    <row r="779" customFormat="false" ht="15" hidden="false" customHeight="true" outlineLevel="0" collapsed="false">
      <c r="A779" s="26" t="str">
        <f aca="false">IF($C779="","",ROW()-3)</f>
        <v/>
      </c>
      <c r="B779" s="27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9"/>
      <c r="N779" s="29"/>
      <c r="O779" s="30" t="str">
        <f aca="false">IFERROR(IF(M779="","",M779*INDEX('00 - Lists'!$M$2:$M$11,MATCH(L779,'00 - Lists'!$L$2:$L$11,0))/100000),"")</f>
        <v/>
      </c>
      <c r="P779" s="30" t="str">
        <f aca="false">IFERROR(IF(N779="","",N779*INDEX('00 - Lists'!$M$2:$M$11,MATCH(L779,'00 - Lists'!$L$2:$L$11,0))/100000),"")</f>
        <v/>
      </c>
      <c r="Q779" s="31" t="str">
        <f aca="false">IFERROR(IF(M779="","",M779*INDEX('00 - Lists'!$N$2:$N$11,MATCH(L779,'00 - Lists'!$L$2:$L$11,0))),"")</f>
        <v/>
      </c>
      <c r="R779" s="31" t="str">
        <f aca="false">IFERROR(IF(N779="","",N779*INDEX('00 - Lists'!$N$2:$N$11,MATCH(L779,'00 - Lists'!$L$2:$L$11,0))),"")</f>
        <v/>
      </c>
      <c r="S779" s="32" t="str">
        <f aca="false">IF(O779="","",IF(O779&gt;=50,"Yes","No"))</f>
        <v/>
      </c>
      <c r="T779" s="32" t="str">
        <f aca="false">IF(Q779="","",IF(Q779&gt;=100000,"Yes","No"))</f>
        <v/>
      </c>
      <c r="U779" s="28"/>
      <c r="V779" s="28"/>
      <c r="W779" s="28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J779" s="34" t="str">
        <f aca="false">IF(OR($BD779&lt;&gt;"",$BF779&lt;&gt;"",$BH779&lt;&gt;""),"Yes","No")</f>
        <v>No</v>
      </c>
      <c r="BK779" s="35" t="str">
        <f aca="false">IFERROR(IF(BD779="","",BD779*INDEX('00 - Lists'!$M$2:$M$11,MATCH(L779,'00 - Lists'!$L$2:$L$11,0))/100000),"")</f>
        <v/>
      </c>
      <c r="BL779" s="35" t="str">
        <f aca="false">IFERROR(IF(BE779="","",BE779*INDEX('00 - Lists'!$M$2:$M$11,MATCH(L779,'00 - Lists'!$L$2:$L$11,0))/100000),"")</f>
        <v/>
      </c>
      <c r="BM779" s="35" t="str">
        <f aca="false">IFERROR(IF(BF779="","",BF779*INDEX('00 - Lists'!$M$2:$M$11,MATCH(L779,'00 - Lists'!$L$2:$L$11,0))/100000),"")</f>
        <v/>
      </c>
      <c r="BN779" s="35" t="str">
        <f aca="false">IFERROR(IF(BG779="","",BG779*INDEX('00 - Lists'!$M$2:$M$11,MATCH(L779,'00 - Lists'!$L$2:$L$11,0))/100000),"")</f>
        <v/>
      </c>
      <c r="BO779" s="35" t="str">
        <f aca="false">IFERROR(IF(BH779="","",BH779*INDEX('00 - Lists'!$M$2:$M$11,MATCH(L779,'00 - Lists'!$L$2:$L$11,0))/100000),"")</f>
        <v/>
      </c>
      <c r="BP779" s="35" t="str">
        <f aca="false">IFERROR(IF(BI779="","",BI779*INDEX('00 - Lists'!$M$2:$M$11,MATCH(L779,'00 - Lists'!$L$2:$L$11,0))/100000),"")</f>
        <v/>
      </c>
      <c r="BS779" s="36" t="str">
        <f aca="false">IF(O779="","",IF(O779&gt;=20,"Yes","No"))</f>
        <v/>
      </c>
      <c r="BT779" s="36" t="str">
        <f aca="false">IF(O779="","",IF(O779&gt;=30,"Yes","No"))</f>
        <v/>
      </c>
      <c r="BU779" s="36" t="str">
        <f aca="false">IF(O779="","",IF(O779&gt;=75,"Yes","No"))</f>
        <v/>
      </c>
      <c r="BV779" s="36" t="str">
        <f aca="false">IF(O779="","",IF(O779&gt;=100,"Yes","No"))</f>
        <v/>
      </c>
      <c r="BW779" s="36" t="str">
        <f aca="false">IF(O779="","",IF(O779&gt;=150,"Yes","No"))</f>
        <v/>
      </c>
      <c r="BX779" s="36" t="str">
        <f aca="false">IF(O779="","",IF(O779&gt;=200,"Yes","No"))</f>
        <v/>
      </c>
      <c r="BY779" s="36" t="str">
        <f aca="false">IF(Q779="","",IF(Q779&gt;=150000,"Yes","No"))</f>
        <v/>
      </c>
      <c r="BZ779" s="36" t="str">
        <f aca="false">IF(Q779="","",IF(Q779&gt;=200000,"Yes","No"))</f>
        <v/>
      </c>
      <c r="CA779" s="36" t="str">
        <f aca="false">IF(Q779="","",IF(Q779&gt;=250000,"Yes","No"))</f>
        <v/>
      </c>
      <c r="CB779" s="36" t="str">
        <f aca="false">IF(Q779="","",IF(Q779&gt;=300000,"Yes","No"))</f>
        <v/>
      </c>
      <c r="CC779" s="37"/>
      <c r="CD779" s="36" t="str">
        <f aca="true">IF(B779="","",IF(TODAY()-B779&lt;=7,"🟢 0-7d",IF(TODAY()-B779&lt;=30,"🟡 8-30d",IF(TODAY()-B779&lt;=60,"🟠 31-60d","🔴 60d+"))))</f>
        <v/>
      </c>
      <c r="CE779" s="36" t="str">
        <f aca="false">IF(G779="","",IF(G779&lt;&gt;"USA","N/A - Not USA Role",IF(J779="Yes",IF(OR(F779="Intern",F779="New Grad"),"🟡 Possible","🟢 Strong"),IF(J779="No","🔴 Difficult","⚪ Unknown"))))</f>
        <v/>
      </c>
      <c r="CF779" s="37"/>
      <c r="CG779" s="37"/>
      <c r="CH779" s="38"/>
      <c r="CI779" s="38"/>
      <c r="CJ779" s="38"/>
      <c r="CK779" s="38"/>
    </row>
    <row r="780" customFormat="false" ht="15" hidden="false" customHeight="true" outlineLevel="0" collapsed="false">
      <c r="A780" s="26" t="str">
        <f aca="false">IF($C780="","",ROW()-3)</f>
        <v/>
      </c>
      <c r="B780" s="27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9"/>
      <c r="N780" s="29"/>
      <c r="O780" s="30" t="str">
        <f aca="false">IFERROR(IF(M780="","",M780*INDEX('00 - Lists'!$M$2:$M$11,MATCH(L780,'00 - Lists'!$L$2:$L$11,0))/100000),"")</f>
        <v/>
      </c>
      <c r="P780" s="30" t="str">
        <f aca="false">IFERROR(IF(N780="","",N780*INDEX('00 - Lists'!$M$2:$M$11,MATCH(L780,'00 - Lists'!$L$2:$L$11,0))/100000),"")</f>
        <v/>
      </c>
      <c r="Q780" s="31" t="str">
        <f aca="false">IFERROR(IF(M780="","",M780*INDEX('00 - Lists'!$N$2:$N$11,MATCH(L780,'00 - Lists'!$L$2:$L$11,0))),"")</f>
        <v/>
      </c>
      <c r="R780" s="31" t="str">
        <f aca="false">IFERROR(IF(N780="","",N780*INDEX('00 - Lists'!$N$2:$N$11,MATCH(L780,'00 - Lists'!$L$2:$L$11,0))),"")</f>
        <v/>
      </c>
      <c r="S780" s="32" t="str">
        <f aca="false">IF(O780="","",IF(O780&gt;=50,"Yes","No"))</f>
        <v/>
      </c>
      <c r="T780" s="32" t="str">
        <f aca="false">IF(Q780="","",IF(Q780&gt;=100000,"Yes","No"))</f>
        <v/>
      </c>
      <c r="U780" s="28"/>
      <c r="V780" s="28"/>
      <c r="W780" s="28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J780" s="34" t="str">
        <f aca="false">IF(OR($BD780&lt;&gt;"",$BF780&lt;&gt;"",$BH780&lt;&gt;""),"Yes","No")</f>
        <v>No</v>
      </c>
      <c r="BK780" s="35" t="str">
        <f aca="false">IFERROR(IF(BD780="","",BD780*INDEX('00 - Lists'!$M$2:$M$11,MATCH(L780,'00 - Lists'!$L$2:$L$11,0))/100000),"")</f>
        <v/>
      </c>
      <c r="BL780" s="35" t="str">
        <f aca="false">IFERROR(IF(BE780="","",BE780*INDEX('00 - Lists'!$M$2:$M$11,MATCH(L780,'00 - Lists'!$L$2:$L$11,0))/100000),"")</f>
        <v/>
      </c>
      <c r="BM780" s="35" t="str">
        <f aca="false">IFERROR(IF(BF780="","",BF780*INDEX('00 - Lists'!$M$2:$M$11,MATCH(L780,'00 - Lists'!$L$2:$L$11,0))/100000),"")</f>
        <v/>
      </c>
      <c r="BN780" s="35" t="str">
        <f aca="false">IFERROR(IF(BG780="","",BG780*INDEX('00 - Lists'!$M$2:$M$11,MATCH(L780,'00 - Lists'!$L$2:$L$11,0))/100000),"")</f>
        <v/>
      </c>
      <c r="BO780" s="35" t="str">
        <f aca="false">IFERROR(IF(BH780="","",BH780*INDEX('00 - Lists'!$M$2:$M$11,MATCH(L780,'00 - Lists'!$L$2:$L$11,0))/100000),"")</f>
        <v/>
      </c>
      <c r="BP780" s="35" t="str">
        <f aca="false">IFERROR(IF(BI780="","",BI780*INDEX('00 - Lists'!$M$2:$M$11,MATCH(L780,'00 - Lists'!$L$2:$L$11,0))/100000),"")</f>
        <v/>
      </c>
      <c r="BS780" s="36" t="str">
        <f aca="false">IF(O780="","",IF(O780&gt;=20,"Yes","No"))</f>
        <v/>
      </c>
      <c r="BT780" s="36" t="str">
        <f aca="false">IF(O780="","",IF(O780&gt;=30,"Yes","No"))</f>
        <v/>
      </c>
      <c r="BU780" s="36" t="str">
        <f aca="false">IF(O780="","",IF(O780&gt;=75,"Yes","No"))</f>
        <v/>
      </c>
      <c r="BV780" s="36" t="str">
        <f aca="false">IF(O780="","",IF(O780&gt;=100,"Yes","No"))</f>
        <v/>
      </c>
      <c r="BW780" s="36" t="str">
        <f aca="false">IF(O780="","",IF(O780&gt;=150,"Yes","No"))</f>
        <v/>
      </c>
      <c r="BX780" s="36" t="str">
        <f aca="false">IF(O780="","",IF(O780&gt;=200,"Yes","No"))</f>
        <v/>
      </c>
      <c r="BY780" s="36" t="str">
        <f aca="false">IF(Q780="","",IF(Q780&gt;=150000,"Yes","No"))</f>
        <v/>
      </c>
      <c r="BZ780" s="36" t="str">
        <f aca="false">IF(Q780="","",IF(Q780&gt;=200000,"Yes","No"))</f>
        <v/>
      </c>
      <c r="CA780" s="36" t="str">
        <f aca="false">IF(Q780="","",IF(Q780&gt;=250000,"Yes","No"))</f>
        <v/>
      </c>
      <c r="CB780" s="36" t="str">
        <f aca="false">IF(Q780="","",IF(Q780&gt;=300000,"Yes","No"))</f>
        <v/>
      </c>
      <c r="CC780" s="37"/>
      <c r="CD780" s="36" t="str">
        <f aca="true">IF(B780="","",IF(TODAY()-B780&lt;=7,"🟢 0-7d",IF(TODAY()-B780&lt;=30,"🟡 8-30d",IF(TODAY()-B780&lt;=60,"🟠 31-60d","🔴 60d+"))))</f>
        <v/>
      </c>
      <c r="CE780" s="36" t="str">
        <f aca="false">IF(G780="","",IF(G780&lt;&gt;"USA","N/A - Not USA Role",IF(J780="Yes",IF(OR(F780="Intern",F780="New Grad"),"🟡 Possible","🟢 Strong"),IF(J780="No","🔴 Difficult","⚪ Unknown"))))</f>
        <v/>
      </c>
      <c r="CF780" s="37"/>
      <c r="CG780" s="37"/>
      <c r="CH780" s="38"/>
      <c r="CI780" s="38"/>
      <c r="CJ780" s="38"/>
      <c r="CK780" s="38"/>
    </row>
    <row r="781" customFormat="false" ht="15" hidden="false" customHeight="true" outlineLevel="0" collapsed="false">
      <c r="A781" s="26" t="str">
        <f aca="false">IF($C781="","",ROW()-3)</f>
        <v/>
      </c>
      <c r="B781" s="27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9"/>
      <c r="N781" s="29"/>
      <c r="O781" s="30" t="str">
        <f aca="false">IFERROR(IF(M781="","",M781*INDEX('00 - Lists'!$M$2:$M$11,MATCH(L781,'00 - Lists'!$L$2:$L$11,0))/100000),"")</f>
        <v/>
      </c>
      <c r="P781" s="30" t="str">
        <f aca="false">IFERROR(IF(N781="","",N781*INDEX('00 - Lists'!$M$2:$M$11,MATCH(L781,'00 - Lists'!$L$2:$L$11,0))/100000),"")</f>
        <v/>
      </c>
      <c r="Q781" s="31" t="str">
        <f aca="false">IFERROR(IF(M781="","",M781*INDEX('00 - Lists'!$N$2:$N$11,MATCH(L781,'00 - Lists'!$L$2:$L$11,0))),"")</f>
        <v/>
      </c>
      <c r="R781" s="31" t="str">
        <f aca="false">IFERROR(IF(N781="","",N781*INDEX('00 - Lists'!$N$2:$N$11,MATCH(L781,'00 - Lists'!$L$2:$L$11,0))),"")</f>
        <v/>
      </c>
      <c r="S781" s="32" t="str">
        <f aca="false">IF(O781="","",IF(O781&gt;=50,"Yes","No"))</f>
        <v/>
      </c>
      <c r="T781" s="32" t="str">
        <f aca="false">IF(Q781="","",IF(Q781&gt;=100000,"Yes","No"))</f>
        <v/>
      </c>
      <c r="U781" s="28"/>
      <c r="V781" s="28"/>
      <c r="W781" s="28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J781" s="34" t="str">
        <f aca="false">IF(OR($BD781&lt;&gt;"",$BF781&lt;&gt;"",$BH781&lt;&gt;""),"Yes","No")</f>
        <v>No</v>
      </c>
      <c r="BK781" s="35" t="str">
        <f aca="false">IFERROR(IF(BD781="","",BD781*INDEX('00 - Lists'!$M$2:$M$11,MATCH(L781,'00 - Lists'!$L$2:$L$11,0))/100000),"")</f>
        <v/>
      </c>
      <c r="BL781" s="35" t="str">
        <f aca="false">IFERROR(IF(BE781="","",BE781*INDEX('00 - Lists'!$M$2:$M$11,MATCH(L781,'00 - Lists'!$L$2:$L$11,0))/100000),"")</f>
        <v/>
      </c>
      <c r="BM781" s="35" t="str">
        <f aca="false">IFERROR(IF(BF781="","",BF781*INDEX('00 - Lists'!$M$2:$M$11,MATCH(L781,'00 - Lists'!$L$2:$L$11,0))/100000),"")</f>
        <v/>
      </c>
      <c r="BN781" s="35" t="str">
        <f aca="false">IFERROR(IF(BG781="","",BG781*INDEX('00 - Lists'!$M$2:$M$11,MATCH(L781,'00 - Lists'!$L$2:$L$11,0))/100000),"")</f>
        <v/>
      </c>
      <c r="BO781" s="35" t="str">
        <f aca="false">IFERROR(IF(BH781="","",BH781*INDEX('00 - Lists'!$M$2:$M$11,MATCH(L781,'00 - Lists'!$L$2:$L$11,0))/100000),"")</f>
        <v/>
      </c>
      <c r="BP781" s="35" t="str">
        <f aca="false">IFERROR(IF(BI781="","",BI781*INDEX('00 - Lists'!$M$2:$M$11,MATCH(L781,'00 - Lists'!$L$2:$L$11,0))/100000),"")</f>
        <v/>
      </c>
      <c r="BS781" s="36" t="str">
        <f aca="false">IF(O781="","",IF(O781&gt;=20,"Yes","No"))</f>
        <v/>
      </c>
      <c r="BT781" s="36" t="str">
        <f aca="false">IF(O781="","",IF(O781&gt;=30,"Yes","No"))</f>
        <v/>
      </c>
      <c r="BU781" s="36" t="str">
        <f aca="false">IF(O781="","",IF(O781&gt;=75,"Yes","No"))</f>
        <v/>
      </c>
      <c r="BV781" s="36" t="str">
        <f aca="false">IF(O781="","",IF(O781&gt;=100,"Yes","No"))</f>
        <v/>
      </c>
      <c r="BW781" s="36" t="str">
        <f aca="false">IF(O781="","",IF(O781&gt;=150,"Yes","No"))</f>
        <v/>
      </c>
      <c r="BX781" s="36" t="str">
        <f aca="false">IF(O781="","",IF(O781&gt;=200,"Yes","No"))</f>
        <v/>
      </c>
      <c r="BY781" s="36" t="str">
        <f aca="false">IF(Q781="","",IF(Q781&gt;=150000,"Yes","No"))</f>
        <v/>
      </c>
      <c r="BZ781" s="36" t="str">
        <f aca="false">IF(Q781="","",IF(Q781&gt;=200000,"Yes","No"))</f>
        <v/>
      </c>
      <c r="CA781" s="36" t="str">
        <f aca="false">IF(Q781="","",IF(Q781&gt;=250000,"Yes","No"))</f>
        <v/>
      </c>
      <c r="CB781" s="36" t="str">
        <f aca="false">IF(Q781="","",IF(Q781&gt;=300000,"Yes","No"))</f>
        <v/>
      </c>
      <c r="CC781" s="37"/>
      <c r="CD781" s="36" t="str">
        <f aca="true">IF(B781="","",IF(TODAY()-B781&lt;=7,"🟢 0-7d",IF(TODAY()-B781&lt;=30,"🟡 8-30d",IF(TODAY()-B781&lt;=60,"🟠 31-60d","🔴 60d+"))))</f>
        <v/>
      </c>
      <c r="CE781" s="36" t="str">
        <f aca="false">IF(G781="","",IF(G781&lt;&gt;"USA","N/A - Not USA Role",IF(J781="Yes",IF(OR(F781="Intern",F781="New Grad"),"🟡 Possible","🟢 Strong"),IF(J781="No","🔴 Difficult","⚪ Unknown"))))</f>
        <v/>
      </c>
      <c r="CF781" s="37"/>
      <c r="CG781" s="37"/>
      <c r="CH781" s="38"/>
      <c r="CI781" s="38"/>
      <c r="CJ781" s="38"/>
      <c r="CK781" s="38"/>
    </row>
    <row r="782" customFormat="false" ht="15" hidden="false" customHeight="true" outlineLevel="0" collapsed="false">
      <c r="A782" s="26" t="str">
        <f aca="false">IF($C782="","",ROW()-3)</f>
        <v/>
      </c>
      <c r="B782" s="27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9"/>
      <c r="N782" s="29"/>
      <c r="O782" s="30" t="str">
        <f aca="false">IFERROR(IF(M782="","",M782*INDEX('00 - Lists'!$M$2:$M$11,MATCH(L782,'00 - Lists'!$L$2:$L$11,0))/100000),"")</f>
        <v/>
      </c>
      <c r="P782" s="30" t="str">
        <f aca="false">IFERROR(IF(N782="","",N782*INDEX('00 - Lists'!$M$2:$M$11,MATCH(L782,'00 - Lists'!$L$2:$L$11,0))/100000),"")</f>
        <v/>
      </c>
      <c r="Q782" s="31" t="str">
        <f aca="false">IFERROR(IF(M782="","",M782*INDEX('00 - Lists'!$N$2:$N$11,MATCH(L782,'00 - Lists'!$L$2:$L$11,0))),"")</f>
        <v/>
      </c>
      <c r="R782" s="31" t="str">
        <f aca="false">IFERROR(IF(N782="","",N782*INDEX('00 - Lists'!$N$2:$N$11,MATCH(L782,'00 - Lists'!$L$2:$L$11,0))),"")</f>
        <v/>
      </c>
      <c r="S782" s="32" t="str">
        <f aca="false">IF(O782="","",IF(O782&gt;=50,"Yes","No"))</f>
        <v/>
      </c>
      <c r="T782" s="32" t="str">
        <f aca="false">IF(Q782="","",IF(Q782&gt;=100000,"Yes","No"))</f>
        <v/>
      </c>
      <c r="U782" s="28"/>
      <c r="V782" s="28"/>
      <c r="W782" s="28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J782" s="34" t="str">
        <f aca="false">IF(OR($BD782&lt;&gt;"",$BF782&lt;&gt;"",$BH782&lt;&gt;""),"Yes","No")</f>
        <v>No</v>
      </c>
      <c r="BK782" s="35" t="str">
        <f aca="false">IFERROR(IF(BD782="","",BD782*INDEX('00 - Lists'!$M$2:$M$11,MATCH(L782,'00 - Lists'!$L$2:$L$11,0))/100000),"")</f>
        <v/>
      </c>
      <c r="BL782" s="35" t="str">
        <f aca="false">IFERROR(IF(BE782="","",BE782*INDEX('00 - Lists'!$M$2:$M$11,MATCH(L782,'00 - Lists'!$L$2:$L$11,0))/100000),"")</f>
        <v/>
      </c>
      <c r="BM782" s="35" t="str">
        <f aca="false">IFERROR(IF(BF782="","",BF782*INDEX('00 - Lists'!$M$2:$M$11,MATCH(L782,'00 - Lists'!$L$2:$L$11,0))/100000),"")</f>
        <v/>
      </c>
      <c r="BN782" s="35" t="str">
        <f aca="false">IFERROR(IF(BG782="","",BG782*INDEX('00 - Lists'!$M$2:$M$11,MATCH(L782,'00 - Lists'!$L$2:$L$11,0))/100000),"")</f>
        <v/>
      </c>
      <c r="BO782" s="35" t="str">
        <f aca="false">IFERROR(IF(BH782="","",BH782*INDEX('00 - Lists'!$M$2:$M$11,MATCH(L782,'00 - Lists'!$L$2:$L$11,0))/100000),"")</f>
        <v/>
      </c>
      <c r="BP782" s="35" t="str">
        <f aca="false">IFERROR(IF(BI782="","",BI782*INDEX('00 - Lists'!$M$2:$M$11,MATCH(L782,'00 - Lists'!$L$2:$L$11,0))/100000),"")</f>
        <v/>
      </c>
      <c r="BS782" s="36" t="str">
        <f aca="false">IF(O782="","",IF(O782&gt;=20,"Yes","No"))</f>
        <v/>
      </c>
      <c r="BT782" s="36" t="str">
        <f aca="false">IF(O782="","",IF(O782&gt;=30,"Yes","No"))</f>
        <v/>
      </c>
      <c r="BU782" s="36" t="str">
        <f aca="false">IF(O782="","",IF(O782&gt;=75,"Yes","No"))</f>
        <v/>
      </c>
      <c r="BV782" s="36" t="str">
        <f aca="false">IF(O782="","",IF(O782&gt;=100,"Yes","No"))</f>
        <v/>
      </c>
      <c r="BW782" s="36" t="str">
        <f aca="false">IF(O782="","",IF(O782&gt;=150,"Yes","No"))</f>
        <v/>
      </c>
      <c r="BX782" s="36" t="str">
        <f aca="false">IF(O782="","",IF(O782&gt;=200,"Yes","No"))</f>
        <v/>
      </c>
      <c r="BY782" s="36" t="str">
        <f aca="false">IF(Q782="","",IF(Q782&gt;=150000,"Yes","No"))</f>
        <v/>
      </c>
      <c r="BZ782" s="36" t="str">
        <f aca="false">IF(Q782="","",IF(Q782&gt;=200000,"Yes","No"))</f>
        <v/>
      </c>
      <c r="CA782" s="36" t="str">
        <f aca="false">IF(Q782="","",IF(Q782&gt;=250000,"Yes","No"))</f>
        <v/>
      </c>
      <c r="CB782" s="36" t="str">
        <f aca="false">IF(Q782="","",IF(Q782&gt;=300000,"Yes","No"))</f>
        <v/>
      </c>
      <c r="CC782" s="37"/>
      <c r="CD782" s="36" t="str">
        <f aca="true">IF(B782="","",IF(TODAY()-B782&lt;=7,"🟢 0-7d",IF(TODAY()-B782&lt;=30,"🟡 8-30d",IF(TODAY()-B782&lt;=60,"🟠 31-60d","🔴 60d+"))))</f>
        <v/>
      </c>
      <c r="CE782" s="36" t="str">
        <f aca="false">IF(G782="","",IF(G782&lt;&gt;"USA","N/A - Not USA Role",IF(J782="Yes",IF(OR(F782="Intern",F782="New Grad"),"🟡 Possible","🟢 Strong"),IF(J782="No","🔴 Difficult","⚪ Unknown"))))</f>
        <v/>
      </c>
      <c r="CF782" s="37"/>
      <c r="CG782" s="37"/>
      <c r="CH782" s="38"/>
      <c r="CI782" s="38"/>
      <c r="CJ782" s="38"/>
      <c r="CK782" s="38"/>
    </row>
    <row r="783" customFormat="false" ht="15" hidden="false" customHeight="true" outlineLevel="0" collapsed="false">
      <c r="A783" s="26" t="str">
        <f aca="false">IF($C783="","",ROW()-3)</f>
        <v/>
      </c>
      <c r="B783" s="27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9"/>
      <c r="N783" s="29"/>
      <c r="O783" s="30" t="str">
        <f aca="false">IFERROR(IF(M783="","",M783*INDEX('00 - Lists'!$M$2:$M$11,MATCH(L783,'00 - Lists'!$L$2:$L$11,0))/100000),"")</f>
        <v/>
      </c>
      <c r="P783" s="30" t="str">
        <f aca="false">IFERROR(IF(N783="","",N783*INDEX('00 - Lists'!$M$2:$M$11,MATCH(L783,'00 - Lists'!$L$2:$L$11,0))/100000),"")</f>
        <v/>
      </c>
      <c r="Q783" s="31" t="str">
        <f aca="false">IFERROR(IF(M783="","",M783*INDEX('00 - Lists'!$N$2:$N$11,MATCH(L783,'00 - Lists'!$L$2:$L$11,0))),"")</f>
        <v/>
      </c>
      <c r="R783" s="31" t="str">
        <f aca="false">IFERROR(IF(N783="","",N783*INDEX('00 - Lists'!$N$2:$N$11,MATCH(L783,'00 - Lists'!$L$2:$L$11,0))),"")</f>
        <v/>
      </c>
      <c r="S783" s="32" t="str">
        <f aca="false">IF(O783="","",IF(O783&gt;=50,"Yes","No"))</f>
        <v/>
      </c>
      <c r="T783" s="32" t="str">
        <f aca="false">IF(Q783="","",IF(Q783&gt;=100000,"Yes","No"))</f>
        <v/>
      </c>
      <c r="U783" s="28"/>
      <c r="V783" s="28"/>
      <c r="W783" s="28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J783" s="34" t="str">
        <f aca="false">IF(OR($BD783&lt;&gt;"",$BF783&lt;&gt;"",$BH783&lt;&gt;""),"Yes","No")</f>
        <v>No</v>
      </c>
      <c r="BK783" s="35" t="str">
        <f aca="false">IFERROR(IF(BD783="","",BD783*INDEX('00 - Lists'!$M$2:$M$11,MATCH(L783,'00 - Lists'!$L$2:$L$11,0))/100000),"")</f>
        <v/>
      </c>
      <c r="BL783" s="35" t="str">
        <f aca="false">IFERROR(IF(BE783="","",BE783*INDEX('00 - Lists'!$M$2:$M$11,MATCH(L783,'00 - Lists'!$L$2:$L$11,0))/100000),"")</f>
        <v/>
      </c>
      <c r="BM783" s="35" t="str">
        <f aca="false">IFERROR(IF(BF783="","",BF783*INDEX('00 - Lists'!$M$2:$M$11,MATCH(L783,'00 - Lists'!$L$2:$L$11,0))/100000),"")</f>
        <v/>
      </c>
      <c r="BN783" s="35" t="str">
        <f aca="false">IFERROR(IF(BG783="","",BG783*INDEX('00 - Lists'!$M$2:$M$11,MATCH(L783,'00 - Lists'!$L$2:$L$11,0))/100000),"")</f>
        <v/>
      </c>
      <c r="BO783" s="35" t="str">
        <f aca="false">IFERROR(IF(BH783="","",BH783*INDEX('00 - Lists'!$M$2:$M$11,MATCH(L783,'00 - Lists'!$L$2:$L$11,0))/100000),"")</f>
        <v/>
      </c>
      <c r="BP783" s="35" t="str">
        <f aca="false">IFERROR(IF(BI783="","",BI783*INDEX('00 - Lists'!$M$2:$M$11,MATCH(L783,'00 - Lists'!$L$2:$L$11,0))/100000),"")</f>
        <v/>
      </c>
      <c r="BS783" s="36" t="str">
        <f aca="false">IF(O783="","",IF(O783&gt;=20,"Yes","No"))</f>
        <v/>
      </c>
      <c r="BT783" s="36" t="str">
        <f aca="false">IF(O783="","",IF(O783&gt;=30,"Yes","No"))</f>
        <v/>
      </c>
      <c r="BU783" s="36" t="str">
        <f aca="false">IF(O783="","",IF(O783&gt;=75,"Yes","No"))</f>
        <v/>
      </c>
      <c r="BV783" s="36" t="str">
        <f aca="false">IF(O783="","",IF(O783&gt;=100,"Yes","No"))</f>
        <v/>
      </c>
      <c r="BW783" s="36" t="str">
        <f aca="false">IF(O783="","",IF(O783&gt;=150,"Yes","No"))</f>
        <v/>
      </c>
      <c r="BX783" s="36" t="str">
        <f aca="false">IF(O783="","",IF(O783&gt;=200,"Yes","No"))</f>
        <v/>
      </c>
      <c r="BY783" s="36" t="str">
        <f aca="false">IF(Q783="","",IF(Q783&gt;=150000,"Yes","No"))</f>
        <v/>
      </c>
      <c r="BZ783" s="36" t="str">
        <f aca="false">IF(Q783="","",IF(Q783&gt;=200000,"Yes","No"))</f>
        <v/>
      </c>
      <c r="CA783" s="36" t="str">
        <f aca="false">IF(Q783="","",IF(Q783&gt;=250000,"Yes","No"))</f>
        <v/>
      </c>
      <c r="CB783" s="36" t="str">
        <f aca="false">IF(Q783="","",IF(Q783&gt;=300000,"Yes","No"))</f>
        <v/>
      </c>
      <c r="CC783" s="37"/>
      <c r="CD783" s="36" t="str">
        <f aca="true">IF(B783="","",IF(TODAY()-B783&lt;=7,"🟢 0-7d",IF(TODAY()-B783&lt;=30,"🟡 8-30d",IF(TODAY()-B783&lt;=60,"🟠 31-60d","🔴 60d+"))))</f>
        <v/>
      </c>
      <c r="CE783" s="36" t="str">
        <f aca="false">IF(G783="","",IF(G783&lt;&gt;"USA","N/A - Not USA Role",IF(J783="Yes",IF(OR(F783="Intern",F783="New Grad"),"🟡 Possible","🟢 Strong"),IF(J783="No","🔴 Difficult","⚪ Unknown"))))</f>
        <v/>
      </c>
      <c r="CF783" s="37"/>
      <c r="CG783" s="37"/>
      <c r="CH783" s="38"/>
      <c r="CI783" s="38"/>
      <c r="CJ783" s="38"/>
      <c r="CK783" s="38"/>
    </row>
    <row r="784" customFormat="false" ht="15" hidden="false" customHeight="true" outlineLevel="0" collapsed="false">
      <c r="A784" s="26" t="str">
        <f aca="false">IF($C784="","",ROW()-3)</f>
        <v/>
      </c>
      <c r="B784" s="27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9"/>
      <c r="N784" s="29"/>
      <c r="O784" s="30" t="str">
        <f aca="false">IFERROR(IF(M784="","",M784*INDEX('00 - Lists'!$M$2:$M$11,MATCH(L784,'00 - Lists'!$L$2:$L$11,0))/100000),"")</f>
        <v/>
      </c>
      <c r="P784" s="30" t="str">
        <f aca="false">IFERROR(IF(N784="","",N784*INDEX('00 - Lists'!$M$2:$M$11,MATCH(L784,'00 - Lists'!$L$2:$L$11,0))/100000),"")</f>
        <v/>
      </c>
      <c r="Q784" s="31" t="str">
        <f aca="false">IFERROR(IF(M784="","",M784*INDEX('00 - Lists'!$N$2:$N$11,MATCH(L784,'00 - Lists'!$L$2:$L$11,0))),"")</f>
        <v/>
      </c>
      <c r="R784" s="31" t="str">
        <f aca="false">IFERROR(IF(N784="","",N784*INDEX('00 - Lists'!$N$2:$N$11,MATCH(L784,'00 - Lists'!$L$2:$L$11,0))),"")</f>
        <v/>
      </c>
      <c r="S784" s="32" t="str">
        <f aca="false">IF(O784="","",IF(O784&gt;=50,"Yes","No"))</f>
        <v/>
      </c>
      <c r="T784" s="32" t="str">
        <f aca="false">IF(Q784="","",IF(Q784&gt;=100000,"Yes","No"))</f>
        <v/>
      </c>
      <c r="U784" s="28"/>
      <c r="V784" s="28"/>
      <c r="W784" s="28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J784" s="34" t="str">
        <f aca="false">IF(OR($BD784&lt;&gt;"",$BF784&lt;&gt;"",$BH784&lt;&gt;""),"Yes","No")</f>
        <v>No</v>
      </c>
      <c r="BK784" s="35" t="str">
        <f aca="false">IFERROR(IF(BD784="","",BD784*INDEX('00 - Lists'!$M$2:$M$11,MATCH(L784,'00 - Lists'!$L$2:$L$11,0))/100000),"")</f>
        <v/>
      </c>
      <c r="BL784" s="35" t="str">
        <f aca="false">IFERROR(IF(BE784="","",BE784*INDEX('00 - Lists'!$M$2:$M$11,MATCH(L784,'00 - Lists'!$L$2:$L$11,0))/100000),"")</f>
        <v/>
      </c>
      <c r="BM784" s="35" t="str">
        <f aca="false">IFERROR(IF(BF784="","",BF784*INDEX('00 - Lists'!$M$2:$M$11,MATCH(L784,'00 - Lists'!$L$2:$L$11,0))/100000),"")</f>
        <v/>
      </c>
      <c r="BN784" s="35" t="str">
        <f aca="false">IFERROR(IF(BG784="","",BG784*INDEX('00 - Lists'!$M$2:$M$11,MATCH(L784,'00 - Lists'!$L$2:$L$11,0))/100000),"")</f>
        <v/>
      </c>
      <c r="BO784" s="35" t="str">
        <f aca="false">IFERROR(IF(BH784="","",BH784*INDEX('00 - Lists'!$M$2:$M$11,MATCH(L784,'00 - Lists'!$L$2:$L$11,0))/100000),"")</f>
        <v/>
      </c>
      <c r="BP784" s="35" t="str">
        <f aca="false">IFERROR(IF(BI784="","",BI784*INDEX('00 - Lists'!$M$2:$M$11,MATCH(L784,'00 - Lists'!$L$2:$L$11,0))/100000),"")</f>
        <v/>
      </c>
      <c r="BS784" s="36" t="str">
        <f aca="false">IF(O784="","",IF(O784&gt;=20,"Yes","No"))</f>
        <v/>
      </c>
      <c r="BT784" s="36" t="str">
        <f aca="false">IF(O784="","",IF(O784&gt;=30,"Yes","No"))</f>
        <v/>
      </c>
      <c r="BU784" s="36" t="str">
        <f aca="false">IF(O784="","",IF(O784&gt;=75,"Yes","No"))</f>
        <v/>
      </c>
      <c r="BV784" s="36" t="str">
        <f aca="false">IF(O784="","",IF(O784&gt;=100,"Yes","No"))</f>
        <v/>
      </c>
      <c r="BW784" s="36" t="str">
        <f aca="false">IF(O784="","",IF(O784&gt;=150,"Yes","No"))</f>
        <v/>
      </c>
      <c r="BX784" s="36" t="str">
        <f aca="false">IF(O784="","",IF(O784&gt;=200,"Yes","No"))</f>
        <v/>
      </c>
      <c r="BY784" s="36" t="str">
        <f aca="false">IF(Q784="","",IF(Q784&gt;=150000,"Yes","No"))</f>
        <v/>
      </c>
      <c r="BZ784" s="36" t="str">
        <f aca="false">IF(Q784="","",IF(Q784&gt;=200000,"Yes","No"))</f>
        <v/>
      </c>
      <c r="CA784" s="36" t="str">
        <f aca="false">IF(Q784="","",IF(Q784&gt;=250000,"Yes","No"))</f>
        <v/>
      </c>
      <c r="CB784" s="36" t="str">
        <f aca="false">IF(Q784="","",IF(Q784&gt;=300000,"Yes","No"))</f>
        <v/>
      </c>
      <c r="CC784" s="37"/>
      <c r="CD784" s="36" t="str">
        <f aca="true">IF(B784="","",IF(TODAY()-B784&lt;=7,"🟢 0-7d",IF(TODAY()-B784&lt;=30,"🟡 8-30d",IF(TODAY()-B784&lt;=60,"🟠 31-60d","🔴 60d+"))))</f>
        <v/>
      </c>
      <c r="CE784" s="36" t="str">
        <f aca="false">IF(G784="","",IF(G784&lt;&gt;"USA","N/A - Not USA Role",IF(J784="Yes",IF(OR(F784="Intern",F784="New Grad"),"🟡 Possible","🟢 Strong"),IF(J784="No","🔴 Difficult","⚪ Unknown"))))</f>
        <v/>
      </c>
      <c r="CF784" s="37"/>
      <c r="CG784" s="37"/>
      <c r="CH784" s="38"/>
      <c r="CI784" s="38"/>
      <c r="CJ784" s="38"/>
      <c r="CK784" s="38"/>
    </row>
    <row r="785" customFormat="false" ht="15" hidden="false" customHeight="true" outlineLevel="0" collapsed="false">
      <c r="A785" s="26" t="str">
        <f aca="false">IF($C785="","",ROW()-3)</f>
        <v/>
      </c>
      <c r="B785" s="27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9"/>
      <c r="N785" s="29"/>
      <c r="O785" s="30" t="str">
        <f aca="false">IFERROR(IF(M785="","",M785*INDEX('00 - Lists'!$M$2:$M$11,MATCH(L785,'00 - Lists'!$L$2:$L$11,0))/100000),"")</f>
        <v/>
      </c>
      <c r="P785" s="30" t="str">
        <f aca="false">IFERROR(IF(N785="","",N785*INDEX('00 - Lists'!$M$2:$M$11,MATCH(L785,'00 - Lists'!$L$2:$L$11,0))/100000),"")</f>
        <v/>
      </c>
      <c r="Q785" s="31" t="str">
        <f aca="false">IFERROR(IF(M785="","",M785*INDEX('00 - Lists'!$N$2:$N$11,MATCH(L785,'00 - Lists'!$L$2:$L$11,0))),"")</f>
        <v/>
      </c>
      <c r="R785" s="31" t="str">
        <f aca="false">IFERROR(IF(N785="","",N785*INDEX('00 - Lists'!$N$2:$N$11,MATCH(L785,'00 - Lists'!$L$2:$L$11,0))),"")</f>
        <v/>
      </c>
      <c r="S785" s="32" t="str">
        <f aca="false">IF(O785="","",IF(O785&gt;=50,"Yes","No"))</f>
        <v/>
      </c>
      <c r="T785" s="32" t="str">
        <f aca="false">IF(Q785="","",IF(Q785&gt;=100000,"Yes","No"))</f>
        <v/>
      </c>
      <c r="U785" s="28"/>
      <c r="V785" s="28"/>
      <c r="W785" s="28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J785" s="34" t="str">
        <f aca="false">IF(OR($BD785&lt;&gt;"",$BF785&lt;&gt;"",$BH785&lt;&gt;""),"Yes","No")</f>
        <v>No</v>
      </c>
      <c r="BK785" s="35" t="str">
        <f aca="false">IFERROR(IF(BD785="","",BD785*INDEX('00 - Lists'!$M$2:$M$11,MATCH(L785,'00 - Lists'!$L$2:$L$11,0))/100000),"")</f>
        <v/>
      </c>
      <c r="BL785" s="35" t="str">
        <f aca="false">IFERROR(IF(BE785="","",BE785*INDEX('00 - Lists'!$M$2:$M$11,MATCH(L785,'00 - Lists'!$L$2:$L$11,0))/100000),"")</f>
        <v/>
      </c>
      <c r="BM785" s="35" t="str">
        <f aca="false">IFERROR(IF(BF785="","",BF785*INDEX('00 - Lists'!$M$2:$M$11,MATCH(L785,'00 - Lists'!$L$2:$L$11,0))/100000),"")</f>
        <v/>
      </c>
      <c r="BN785" s="35" t="str">
        <f aca="false">IFERROR(IF(BG785="","",BG785*INDEX('00 - Lists'!$M$2:$M$11,MATCH(L785,'00 - Lists'!$L$2:$L$11,0))/100000),"")</f>
        <v/>
      </c>
      <c r="BO785" s="35" t="str">
        <f aca="false">IFERROR(IF(BH785="","",BH785*INDEX('00 - Lists'!$M$2:$M$11,MATCH(L785,'00 - Lists'!$L$2:$L$11,0))/100000),"")</f>
        <v/>
      </c>
      <c r="BP785" s="35" t="str">
        <f aca="false">IFERROR(IF(BI785="","",BI785*INDEX('00 - Lists'!$M$2:$M$11,MATCH(L785,'00 - Lists'!$L$2:$L$11,0))/100000),"")</f>
        <v/>
      </c>
      <c r="BS785" s="36" t="str">
        <f aca="false">IF(O785="","",IF(O785&gt;=20,"Yes","No"))</f>
        <v/>
      </c>
      <c r="BT785" s="36" t="str">
        <f aca="false">IF(O785="","",IF(O785&gt;=30,"Yes","No"))</f>
        <v/>
      </c>
      <c r="BU785" s="36" t="str">
        <f aca="false">IF(O785="","",IF(O785&gt;=75,"Yes","No"))</f>
        <v/>
      </c>
      <c r="BV785" s="36" t="str">
        <f aca="false">IF(O785="","",IF(O785&gt;=100,"Yes","No"))</f>
        <v/>
      </c>
      <c r="BW785" s="36" t="str">
        <f aca="false">IF(O785="","",IF(O785&gt;=150,"Yes","No"))</f>
        <v/>
      </c>
      <c r="BX785" s="36" t="str">
        <f aca="false">IF(O785="","",IF(O785&gt;=200,"Yes","No"))</f>
        <v/>
      </c>
      <c r="BY785" s="36" t="str">
        <f aca="false">IF(Q785="","",IF(Q785&gt;=150000,"Yes","No"))</f>
        <v/>
      </c>
      <c r="BZ785" s="36" t="str">
        <f aca="false">IF(Q785="","",IF(Q785&gt;=200000,"Yes","No"))</f>
        <v/>
      </c>
      <c r="CA785" s="36" t="str">
        <f aca="false">IF(Q785="","",IF(Q785&gt;=250000,"Yes","No"))</f>
        <v/>
      </c>
      <c r="CB785" s="36" t="str">
        <f aca="false">IF(Q785="","",IF(Q785&gt;=300000,"Yes","No"))</f>
        <v/>
      </c>
      <c r="CC785" s="37"/>
      <c r="CD785" s="36" t="str">
        <f aca="true">IF(B785="","",IF(TODAY()-B785&lt;=7,"🟢 0-7d",IF(TODAY()-B785&lt;=30,"🟡 8-30d",IF(TODAY()-B785&lt;=60,"🟠 31-60d","🔴 60d+"))))</f>
        <v/>
      </c>
      <c r="CE785" s="36" t="str">
        <f aca="false">IF(G785="","",IF(G785&lt;&gt;"USA","N/A - Not USA Role",IF(J785="Yes",IF(OR(F785="Intern",F785="New Grad"),"🟡 Possible","🟢 Strong"),IF(J785="No","🔴 Difficult","⚪ Unknown"))))</f>
        <v/>
      </c>
      <c r="CF785" s="37"/>
      <c r="CG785" s="37"/>
      <c r="CH785" s="38"/>
      <c r="CI785" s="38"/>
      <c r="CJ785" s="38"/>
      <c r="CK785" s="38"/>
    </row>
    <row r="786" customFormat="false" ht="15" hidden="false" customHeight="true" outlineLevel="0" collapsed="false">
      <c r="A786" s="26" t="str">
        <f aca="false">IF($C786="","",ROW()-3)</f>
        <v/>
      </c>
      <c r="B786" s="27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9"/>
      <c r="N786" s="29"/>
      <c r="O786" s="30" t="str">
        <f aca="false">IFERROR(IF(M786="","",M786*INDEX('00 - Lists'!$M$2:$M$11,MATCH(L786,'00 - Lists'!$L$2:$L$11,0))/100000),"")</f>
        <v/>
      </c>
      <c r="P786" s="30" t="str">
        <f aca="false">IFERROR(IF(N786="","",N786*INDEX('00 - Lists'!$M$2:$M$11,MATCH(L786,'00 - Lists'!$L$2:$L$11,0))/100000),"")</f>
        <v/>
      </c>
      <c r="Q786" s="31" t="str">
        <f aca="false">IFERROR(IF(M786="","",M786*INDEX('00 - Lists'!$N$2:$N$11,MATCH(L786,'00 - Lists'!$L$2:$L$11,0))),"")</f>
        <v/>
      </c>
      <c r="R786" s="31" t="str">
        <f aca="false">IFERROR(IF(N786="","",N786*INDEX('00 - Lists'!$N$2:$N$11,MATCH(L786,'00 - Lists'!$L$2:$L$11,0))),"")</f>
        <v/>
      </c>
      <c r="S786" s="32" t="str">
        <f aca="false">IF(O786="","",IF(O786&gt;=50,"Yes","No"))</f>
        <v/>
      </c>
      <c r="T786" s="32" t="str">
        <f aca="false">IF(Q786="","",IF(Q786&gt;=100000,"Yes","No"))</f>
        <v/>
      </c>
      <c r="U786" s="28"/>
      <c r="V786" s="28"/>
      <c r="W786" s="28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J786" s="34" t="str">
        <f aca="false">IF(OR($BD786&lt;&gt;"",$BF786&lt;&gt;"",$BH786&lt;&gt;""),"Yes","No")</f>
        <v>No</v>
      </c>
      <c r="BK786" s="35" t="str">
        <f aca="false">IFERROR(IF(BD786="","",BD786*INDEX('00 - Lists'!$M$2:$M$11,MATCH(L786,'00 - Lists'!$L$2:$L$11,0))/100000),"")</f>
        <v/>
      </c>
      <c r="BL786" s="35" t="str">
        <f aca="false">IFERROR(IF(BE786="","",BE786*INDEX('00 - Lists'!$M$2:$M$11,MATCH(L786,'00 - Lists'!$L$2:$L$11,0))/100000),"")</f>
        <v/>
      </c>
      <c r="BM786" s="35" t="str">
        <f aca="false">IFERROR(IF(BF786="","",BF786*INDEX('00 - Lists'!$M$2:$M$11,MATCH(L786,'00 - Lists'!$L$2:$L$11,0))/100000),"")</f>
        <v/>
      </c>
      <c r="BN786" s="35" t="str">
        <f aca="false">IFERROR(IF(BG786="","",BG786*INDEX('00 - Lists'!$M$2:$M$11,MATCH(L786,'00 - Lists'!$L$2:$L$11,0))/100000),"")</f>
        <v/>
      </c>
      <c r="BO786" s="35" t="str">
        <f aca="false">IFERROR(IF(BH786="","",BH786*INDEX('00 - Lists'!$M$2:$M$11,MATCH(L786,'00 - Lists'!$L$2:$L$11,0))/100000),"")</f>
        <v/>
      </c>
      <c r="BP786" s="35" t="str">
        <f aca="false">IFERROR(IF(BI786="","",BI786*INDEX('00 - Lists'!$M$2:$M$11,MATCH(L786,'00 - Lists'!$L$2:$L$11,0))/100000),"")</f>
        <v/>
      </c>
      <c r="BS786" s="36" t="str">
        <f aca="false">IF(O786="","",IF(O786&gt;=20,"Yes","No"))</f>
        <v/>
      </c>
      <c r="BT786" s="36" t="str">
        <f aca="false">IF(O786="","",IF(O786&gt;=30,"Yes","No"))</f>
        <v/>
      </c>
      <c r="BU786" s="36" t="str">
        <f aca="false">IF(O786="","",IF(O786&gt;=75,"Yes","No"))</f>
        <v/>
      </c>
      <c r="BV786" s="36" t="str">
        <f aca="false">IF(O786="","",IF(O786&gt;=100,"Yes","No"))</f>
        <v/>
      </c>
      <c r="BW786" s="36" t="str">
        <f aca="false">IF(O786="","",IF(O786&gt;=150,"Yes","No"))</f>
        <v/>
      </c>
      <c r="BX786" s="36" t="str">
        <f aca="false">IF(O786="","",IF(O786&gt;=200,"Yes","No"))</f>
        <v/>
      </c>
      <c r="BY786" s="36" t="str">
        <f aca="false">IF(Q786="","",IF(Q786&gt;=150000,"Yes","No"))</f>
        <v/>
      </c>
      <c r="BZ786" s="36" t="str">
        <f aca="false">IF(Q786="","",IF(Q786&gt;=200000,"Yes","No"))</f>
        <v/>
      </c>
      <c r="CA786" s="36" t="str">
        <f aca="false">IF(Q786="","",IF(Q786&gt;=250000,"Yes","No"))</f>
        <v/>
      </c>
      <c r="CB786" s="36" t="str">
        <f aca="false">IF(Q786="","",IF(Q786&gt;=300000,"Yes","No"))</f>
        <v/>
      </c>
      <c r="CC786" s="37"/>
      <c r="CD786" s="36" t="str">
        <f aca="true">IF(B786="","",IF(TODAY()-B786&lt;=7,"🟢 0-7d",IF(TODAY()-B786&lt;=30,"🟡 8-30d",IF(TODAY()-B786&lt;=60,"🟠 31-60d","🔴 60d+"))))</f>
        <v/>
      </c>
      <c r="CE786" s="36" t="str">
        <f aca="false">IF(G786="","",IF(G786&lt;&gt;"USA","N/A - Not USA Role",IF(J786="Yes",IF(OR(F786="Intern",F786="New Grad"),"🟡 Possible","🟢 Strong"),IF(J786="No","🔴 Difficult","⚪ Unknown"))))</f>
        <v/>
      </c>
      <c r="CF786" s="37"/>
      <c r="CG786" s="37"/>
      <c r="CH786" s="38"/>
      <c r="CI786" s="38"/>
      <c r="CJ786" s="38"/>
      <c r="CK786" s="38"/>
    </row>
    <row r="787" customFormat="false" ht="15" hidden="false" customHeight="true" outlineLevel="0" collapsed="false">
      <c r="A787" s="26" t="str">
        <f aca="false">IF($C787="","",ROW()-3)</f>
        <v/>
      </c>
      <c r="B787" s="27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9"/>
      <c r="N787" s="29"/>
      <c r="O787" s="30" t="str">
        <f aca="false">IFERROR(IF(M787="","",M787*INDEX('00 - Lists'!$M$2:$M$11,MATCH(L787,'00 - Lists'!$L$2:$L$11,0))/100000),"")</f>
        <v/>
      </c>
      <c r="P787" s="30" t="str">
        <f aca="false">IFERROR(IF(N787="","",N787*INDEX('00 - Lists'!$M$2:$M$11,MATCH(L787,'00 - Lists'!$L$2:$L$11,0))/100000),"")</f>
        <v/>
      </c>
      <c r="Q787" s="31" t="str">
        <f aca="false">IFERROR(IF(M787="","",M787*INDEX('00 - Lists'!$N$2:$N$11,MATCH(L787,'00 - Lists'!$L$2:$L$11,0))),"")</f>
        <v/>
      </c>
      <c r="R787" s="31" t="str">
        <f aca="false">IFERROR(IF(N787="","",N787*INDEX('00 - Lists'!$N$2:$N$11,MATCH(L787,'00 - Lists'!$L$2:$L$11,0))),"")</f>
        <v/>
      </c>
      <c r="S787" s="32" t="str">
        <f aca="false">IF(O787="","",IF(O787&gt;=50,"Yes","No"))</f>
        <v/>
      </c>
      <c r="T787" s="32" t="str">
        <f aca="false">IF(Q787="","",IF(Q787&gt;=100000,"Yes","No"))</f>
        <v/>
      </c>
      <c r="U787" s="28"/>
      <c r="V787" s="28"/>
      <c r="W787" s="28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J787" s="34" t="str">
        <f aca="false">IF(OR($BD787&lt;&gt;"",$BF787&lt;&gt;"",$BH787&lt;&gt;""),"Yes","No")</f>
        <v>No</v>
      </c>
      <c r="BK787" s="35" t="str">
        <f aca="false">IFERROR(IF(BD787="","",BD787*INDEX('00 - Lists'!$M$2:$M$11,MATCH(L787,'00 - Lists'!$L$2:$L$11,0))/100000),"")</f>
        <v/>
      </c>
      <c r="BL787" s="35" t="str">
        <f aca="false">IFERROR(IF(BE787="","",BE787*INDEX('00 - Lists'!$M$2:$M$11,MATCH(L787,'00 - Lists'!$L$2:$L$11,0))/100000),"")</f>
        <v/>
      </c>
      <c r="BM787" s="35" t="str">
        <f aca="false">IFERROR(IF(BF787="","",BF787*INDEX('00 - Lists'!$M$2:$M$11,MATCH(L787,'00 - Lists'!$L$2:$L$11,0))/100000),"")</f>
        <v/>
      </c>
      <c r="BN787" s="35" t="str">
        <f aca="false">IFERROR(IF(BG787="","",BG787*INDEX('00 - Lists'!$M$2:$M$11,MATCH(L787,'00 - Lists'!$L$2:$L$11,0))/100000),"")</f>
        <v/>
      </c>
      <c r="BO787" s="35" t="str">
        <f aca="false">IFERROR(IF(BH787="","",BH787*INDEX('00 - Lists'!$M$2:$M$11,MATCH(L787,'00 - Lists'!$L$2:$L$11,0))/100000),"")</f>
        <v/>
      </c>
      <c r="BP787" s="35" t="str">
        <f aca="false">IFERROR(IF(BI787="","",BI787*INDEX('00 - Lists'!$M$2:$M$11,MATCH(L787,'00 - Lists'!$L$2:$L$11,0))/100000),"")</f>
        <v/>
      </c>
      <c r="BS787" s="36" t="str">
        <f aca="false">IF(O787="","",IF(O787&gt;=20,"Yes","No"))</f>
        <v/>
      </c>
      <c r="BT787" s="36" t="str">
        <f aca="false">IF(O787="","",IF(O787&gt;=30,"Yes","No"))</f>
        <v/>
      </c>
      <c r="BU787" s="36" t="str">
        <f aca="false">IF(O787="","",IF(O787&gt;=75,"Yes","No"))</f>
        <v/>
      </c>
      <c r="BV787" s="36" t="str">
        <f aca="false">IF(O787="","",IF(O787&gt;=100,"Yes","No"))</f>
        <v/>
      </c>
      <c r="BW787" s="36" t="str">
        <f aca="false">IF(O787="","",IF(O787&gt;=150,"Yes","No"))</f>
        <v/>
      </c>
      <c r="BX787" s="36" t="str">
        <f aca="false">IF(O787="","",IF(O787&gt;=200,"Yes","No"))</f>
        <v/>
      </c>
      <c r="BY787" s="36" t="str">
        <f aca="false">IF(Q787="","",IF(Q787&gt;=150000,"Yes","No"))</f>
        <v/>
      </c>
      <c r="BZ787" s="36" t="str">
        <f aca="false">IF(Q787="","",IF(Q787&gt;=200000,"Yes","No"))</f>
        <v/>
      </c>
      <c r="CA787" s="36" t="str">
        <f aca="false">IF(Q787="","",IF(Q787&gt;=250000,"Yes","No"))</f>
        <v/>
      </c>
      <c r="CB787" s="36" t="str">
        <f aca="false">IF(Q787="","",IF(Q787&gt;=300000,"Yes","No"))</f>
        <v/>
      </c>
      <c r="CC787" s="37"/>
      <c r="CD787" s="36" t="str">
        <f aca="true">IF(B787="","",IF(TODAY()-B787&lt;=7,"🟢 0-7d",IF(TODAY()-B787&lt;=30,"🟡 8-30d",IF(TODAY()-B787&lt;=60,"🟠 31-60d","🔴 60d+"))))</f>
        <v/>
      </c>
      <c r="CE787" s="36" t="str">
        <f aca="false">IF(G787="","",IF(G787&lt;&gt;"USA","N/A - Not USA Role",IF(J787="Yes",IF(OR(F787="Intern",F787="New Grad"),"🟡 Possible","🟢 Strong"),IF(J787="No","🔴 Difficult","⚪ Unknown"))))</f>
        <v/>
      </c>
      <c r="CF787" s="37"/>
      <c r="CG787" s="37"/>
      <c r="CH787" s="38"/>
      <c r="CI787" s="38"/>
      <c r="CJ787" s="38"/>
      <c r="CK787" s="38"/>
    </row>
    <row r="788" customFormat="false" ht="15" hidden="false" customHeight="true" outlineLevel="0" collapsed="false">
      <c r="A788" s="26" t="str">
        <f aca="false">IF($C788="","",ROW()-3)</f>
        <v/>
      </c>
      <c r="B788" s="27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9"/>
      <c r="N788" s="29"/>
      <c r="O788" s="30" t="str">
        <f aca="false">IFERROR(IF(M788="","",M788*INDEX('00 - Lists'!$M$2:$M$11,MATCH(L788,'00 - Lists'!$L$2:$L$11,0))/100000),"")</f>
        <v/>
      </c>
      <c r="P788" s="30" t="str">
        <f aca="false">IFERROR(IF(N788="","",N788*INDEX('00 - Lists'!$M$2:$M$11,MATCH(L788,'00 - Lists'!$L$2:$L$11,0))/100000),"")</f>
        <v/>
      </c>
      <c r="Q788" s="31" t="str">
        <f aca="false">IFERROR(IF(M788="","",M788*INDEX('00 - Lists'!$N$2:$N$11,MATCH(L788,'00 - Lists'!$L$2:$L$11,0))),"")</f>
        <v/>
      </c>
      <c r="R788" s="31" t="str">
        <f aca="false">IFERROR(IF(N788="","",N788*INDEX('00 - Lists'!$N$2:$N$11,MATCH(L788,'00 - Lists'!$L$2:$L$11,0))),"")</f>
        <v/>
      </c>
      <c r="S788" s="32" t="str">
        <f aca="false">IF(O788="","",IF(O788&gt;=50,"Yes","No"))</f>
        <v/>
      </c>
      <c r="T788" s="32" t="str">
        <f aca="false">IF(Q788="","",IF(Q788&gt;=100000,"Yes","No"))</f>
        <v/>
      </c>
      <c r="U788" s="28"/>
      <c r="V788" s="28"/>
      <c r="W788" s="28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J788" s="34" t="str">
        <f aca="false">IF(OR($BD788&lt;&gt;"",$BF788&lt;&gt;"",$BH788&lt;&gt;""),"Yes","No")</f>
        <v>No</v>
      </c>
      <c r="BK788" s="35" t="str">
        <f aca="false">IFERROR(IF(BD788="","",BD788*INDEX('00 - Lists'!$M$2:$M$11,MATCH(L788,'00 - Lists'!$L$2:$L$11,0))/100000),"")</f>
        <v/>
      </c>
      <c r="BL788" s="35" t="str">
        <f aca="false">IFERROR(IF(BE788="","",BE788*INDEX('00 - Lists'!$M$2:$M$11,MATCH(L788,'00 - Lists'!$L$2:$L$11,0))/100000),"")</f>
        <v/>
      </c>
      <c r="BM788" s="35" t="str">
        <f aca="false">IFERROR(IF(BF788="","",BF788*INDEX('00 - Lists'!$M$2:$M$11,MATCH(L788,'00 - Lists'!$L$2:$L$11,0))/100000),"")</f>
        <v/>
      </c>
      <c r="BN788" s="35" t="str">
        <f aca="false">IFERROR(IF(BG788="","",BG788*INDEX('00 - Lists'!$M$2:$M$11,MATCH(L788,'00 - Lists'!$L$2:$L$11,0))/100000),"")</f>
        <v/>
      </c>
      <c r="BO788" s="35" t="str">
        <f aca="false">IFERROR(IF(BH788="","",BH788*INDEX('00 - Lists'!$M$2:$M$11,MATCH(L788,'00 - Lists'!$L$2:$L$11,0))/100000),"")</f>
        <v/>
      </c>
      <c r="BP788" s="35" t="str">
        <f aca="false">IFERROR(IF(BI788="","",BI788*INDEX('00 - Lists'!$M$2:$M$11,MATCH(L788,'00 - Lists'!$L$2:$L$11,0))/100000),"")</f>
        <v/>
      </c>
      <c r="BS788" s="36" t="str">
        <f aca="false">IF(O788="","",IF(O788&gt;=20,"Yes","No"))</f>
        <v/>
      </c>
      <c r="BT788" s="36" t="str">
        <f aca="false">IF(O788="","",IF(O788&gt;=30,"Yes","No"))</f>
        <v/>
      </c>
      <c r="BU788" s="36" t="str">
        <f aca="false">IF(O788="","",IF(O788&gt;=75,"Yes","No"))</f>
        <v/>
      </c>
      <c r="BV788" s="36" t="str">
        <f aca="false">IF(O788="","",IF(O788&gt;=100,"Yes","No"))</f>
        <v/>
      </c>
      <c r="BW788" s="36" t="str">
        <f aca="false">IF(O788="","",IF(O788&gt;=150,"Yes","No"))</f>
        <v/>
      </c>
      <c r="BX788" s="36" t="str">
        <f aca="false">IF(O788="","",IF(O788&gt;=200,"Yes","No"))</f>
        <v/>
      </c>
      <c r="BY788" s="36" t="str">
        <f aca="false">IF(Q788="","",IF(Q788&gt;=150000,"Yes","No"))</f>
        <v/>
      </c>
      <c r="BZ788" s="36" t="str">
        <f aca="false">IF(Q788="","",IF(Q788&gt;=200000,"Yes","No"))</f>
        <v/>
      </c>
      <c r="CA788" s="36" t="str">
        <f aca="false">IF(Q788="","",IF(Q788&gt;=250000,"Yes","No"))</f>
        <v/>
      </c>
      <c r="CB788" s="36" t="str">
        <f aca="false">IF(Q788="","",IF(Q788&gt;=300000,"Yes","No"))</f>
        <v/>
      </c>
      <c r="CC788" s="37"/>
      <c r="CD788" s="36" t="str">
        <f aca="true">IF(B788="","",IF(TODAY()-B788&lt;=7,"🟢 0-7d",IF(TODAY()-B788&lt;=30,"🟡 8-30d",IF(TODAY()-B788&lt;=60,"🟠 31-60d","🔴 60d+"))))</f>
        <v/>
      </c>
      <c r="CE788" s="36" t="str">
        <f aca="false">IF(G788="","",IF(G788&lt;&gt;"USA","N/A - Not USA Role",IF(J788="Yes",IF(OR(F788="Intern",F788="New Grad"),"🟡 Possible","🟢 Strong"),IF(J788="No","🔴 Difficult","⚪ Unknown"))))</f>
        <v/>
      </c>
      <c r="CF788" s="37"/>
      <c r="CG788" s="37"/>
      <c r="CH788" s="38"/>
      <c r="CI788" s="38"/>
      <c r="CJ788" s="38"/>
      <c r="CK788" s="38"/>
    </row>
    <row r="789" customFormat="false" ht="15" hidden="false" customHeight="true" outlineLevel="0" collapsed="false">
      <c r="A789" s="26" t="str">
        <f aca="false">IF($C789="","",ROW()-3)</f>
        <v/>
      </c>
      <c r="B789" s="27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9"/>
      <c r="N789" s="29"/>
      <c r="O789" s="30" t="str">
        <f aca="false">IFERROR(IF(M789="","",M789*INDEX('00 - Lists'!$M$2:$M$11,MATCH(L789,'00 - Lists'!$L$2:$L$11,0))/100000),"")</f>
        <v/>
      </c>
      <c r="P789" s="30" t="str">
        <f aca="false">IFERROR(IF(N789="","",N789*INDEX('00 - Lists'!$M$2:$M$11,MATCH(L789,'00 - Lists'!$L$2:$L$11,0))/100000),"")</f>
        <v/>
      </c>
      <c r="Q789" s="31" t="str">
        <f aca="false">IFERROR(IF(M789="","",M789*INDEX('00 - Lists'!$N$2:$N$11,MATCH(L789,'00 - Lists'!$L$2:$L$11,0))),"")</f>
        <v/>
      </c>
      <c r="R789" s="31" t="str">
        <f aca="false">IFERROR(IF(N789="","",N789*INDEX('00 - Lists'!$N$2:$N$11,MATCH(L789,'00 - Lists'!$L$2:$L$11,0))),"")</f>
        <v/>
      </c>
      <c r="S789" s="32" t="str">
        <f aca="false">IF(O789="","",IF(O789&gt;=50,"Yes","No"))</f>
        <v/>
      </c>
      <c r="T789" s="32" t="str">
        <f aca="false">IF(Q789="","",IF(Q789&gt;=100000,"Yes","No"))</f>
        <v/>
      </c>
      <c r="U789" s="28"/>
      <c r="V789" s="28"/>
      <c r="W789" s="28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J789" s="34" t="str">
        <f aca="false">IF(OR($BD789&lt;&gt;"",$BF789&lt;&gt;"",$BH789&lt;&gt;""),"Yes","No")</f>
        <v>No</v>
      </c>
      <c r="BK789" s="35" t="str">
        <f aca="false">IFERROR(IF(BD789="","",BD789*INDEX('00 - Lists'!$M$2:$M$11,MATCH(L789,'00 - Lists'!$L$2:$L$11,0))/100000),"")</f>
        <v/>
      </c>
      <c r="BL789" s="35" t="str">
        <f aca="false">IFERROR(IF(BE789="","",BE789*INDEX('00 - Lists'!$M$2:$M$11,MATCH(L789,'00 - Lists'!$L$2:$L$11,0))/100000),"")</f>
        <v/>
      </c>
      <c r="BM789" s="35" t="str">
        <f aca="false">IFERROR(IF(BF789="","",BF789*INDEX('00 - Lists'!$M$2:$M$11,MATCH(L789,'00 - Lists'!$L$2:$L$11,0))/100000),"")</f>
        <v/>
      </c>
      <c r="BN789" s="35" t="str">
        <f aca="false">IFERROR(IF(BG789="","",BG789*INDEX('00 - Lists'!$M$2:$M$11,MATCH(L789,'00 - Lists'!$L$2:$L$11,0))/100000),"")</f>
        <v/>
      </c>
      <c r="BO789" s="35" t="str">
        <f aca="false">IFERROR(IF(BH789="","",BH789*INDEX('00 - Lists'!$M$2:$M$11,MATCH(L789,'00 - Lists'!$L$2:$L$11,0))/100000),"")</f>
        <v/>
      </c>
      <c r="BP789" s="35" t="str">
        <f aca="false">IFERROR(IF(BI789="","",BI789*INDEX('00 - Lists'!$M$2:$M$11,MATCH(L789,'00 - Lists'!$L$2:$L$11,0))/100000),"")</f>
        <v/>
      </c>
      <c r="BS789" s="36" t="str">
        <f aca="false">IF(O789="","",IF(O789&gt;=20,"Yes","No"))</f>
        <v/>
      </c>
      <c r="BT789" s="36" t="str">
        <f aca="false">IF(O789="","",IF(O789&gt;=30,"Yes","No"))</f>
        <v/>
      </c>
      <c r="BU789" s="36" t="str">
        <f aca="false">IF(O789="","",IF(O789&gt;=75,"Yes","No"))</f>
        <v/>
      </c>
      <c r="BV789" s="36" t="str">
        <f aca="false">IF(O789="","",IF(O789&gt;=100,"Yes","No"))</f>
        <v/>
      </c>
      <c r="BW789" s="36" t="str">
        <f aca="false">IF(O789="","",IF(O789&gt;=150,"Yes","No"))</f>
        <v/>
      </c>
      <c r="BX789" s="36" t="str">
        <f aca="false">IF(O789="","",IF(O789&gt;=200,"Yes","No"))</f>
        <v/>
      </c>
      <c r="BY789" s="36" t="str">
        <f aca="false">IF(Q789="","",IF(Q789&gt;=150000,"Yes","No"))</f>
        <v/>
      </c>
      <c r="BZ789" s="36" t="str">
        <f aca="false">IF(Q789="","",IF(Q789&gt;=200000,"Yes","No"))</f>
        <v/>
      </c>
      <c r="CA789" s="36" t="str">
        <f aca="false">IF(Q789="","",IF(Q789&gt;=250000,"Yes","No"))</f>
        <v/>
      </c>
      <c r="CB789" s="36" t="str">
        <f aca="false">IF(Q789="","",IF(Q789&gt;=300000,"Yes","No"))</f>
        <v/>
      </c>
      <c r="CC789" s="37"/>
      <c r="CD789" s="36" t="str">
        <f aca="true">IF(B789="","",IF(TODAY()-B789&lt;=7,"🟢 0-7d",IF(TODAY()-B789&lt;=30,"🟡 8-30d",IF(TODAY()-B789&lt;=60,"🟠 31-60d","🔴 60d+"))))</f>
        <v/>
      </c>
      <c r="CE789" s="36" t="str">
        <f aca="false">IF(G789="","",IF(G789&lt;&gt;"USA","N/A - Not USA Role",IF(J789="Yes",IF(OR(F789="Intern",F789="New Grad"),"🟡 Possible","🟢 Strong"),IF(J789="No","🔴 Difficult","⚪ Unknown"))))</f>
        <v/>
      </c>
      <c r="CF789" s="37"/>
      <c r="CG789" s="37"/>
      <c r="CH789" s="38"/>
      <c r="CI789" s="38"/>
      <c r="CJ789" s="38"/>
      <c r="CK789" s="38"/>
    </row>
    <row r="790" customFormat="false" ht="15" hidden="false" customHeight="true" outlineLevel="0" collapsed="false">
      <c r="A790" s="26" t="str">
        <f aca="false">IF($C790="","",ROW()-3)</f>
        <v/>
      </c>
      <c r="B790" s="27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9"/>
      <c r="N790" s="29"/>
      <c r="O790" s="30" t="str">
        <f aca="false">IFERROR(IF(M790="","",M790*INDEX('00 - Lists'!$M$2:$M$11,MATCH(L790,'00 - Lists'!$L$2:$L$11,0))/100000),"")</f>
        <v/>
      </c>
      <c r="P790" s="30" t="str">
        <f aca="false">IFERROR(IF(N790="","",N790*INDEX('00 - Lists'!$M$2:$M$11,MATCH(L790,'00 - Lists'!$L$2:$L$11,0))/100000),"")</f>
        <v/>
      </c>
      <c r="Q790" s="31" t="str">
        <f aca="false">IFERROR(IF(M790="","",M790*INDEX('00 - Lists'!$N$2:$N$11,MATCH(L790,'00 - Lists'!$L$2:$L$11,0))),"")</f>
        <v/>
      </c>
      <c r="R790" s="31" t="str">
        <f aca="false">IFERROR(IF(N790="","",N790*INDEX('00 - Lists'!$N$2:$N$11,MATCH(L790,'00 - Lists'!$L$2:$L$11,0))),"")</f>
        <v/>
      </c>
      <c r="S790" s="32" t="str">
        <f aca="false">IF(O790="","",IF(O790&gt;=50,"Yes","No"))</f>
        <v/>
      </c>
      <c r="T790" s="32" t="str">
        <f aca="false">IF(Q790="","",IF(Q790&gt;=100000,"Yes","No"))</f>
        <v/>
      </c>
      <c r="U790" s="28"/>
      <c r="V790" s="28"/>
      <c r="W790" s="28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J790" s="34" t="str">
        <f aca="false">IF(OR($BD790&lt;&gt;"",$BF790&lt;&gt;"",$BH790&lt;&gt;""),"Yes","No")</f>
        <v>No</v>
      </c>
      <c r="BK790" s="35" t="str">
        <f aca="false">IFERROR(IF(BD790="","",BD790*INDEX('00 - Lists'!$M$2:$M$11,MATCH(L790,'00 - Lists'!$L$2:$L$11,0))/100000),"")</f>
        <v/>
      </c>
      <c r="BL790" s="35" t="str">
        <f aca="false">IFERROR(IF(BE790="","",BE790*INDEX('00 - Lists'!$M$2:$M$11,MATCH(L790,'00 - Lists'!$L$2:$L$11,0))/100000),"")</f>
        <v/>
      </c>
      <c r="BM790" s="35" t="str">
        <f aca="false">IFERROR(IF(BF790="","",BF790*INDEX('00 - Lists'!$M$2:$M$11,MATCH(L790,'00 - Lists'!$L$2:$L$11,0))/100000),"")</f>
        <v/>
      </c>
      <c r="BN790" s="35" t="str">
        <f aca="false">IFERROR(IF(BG790="","",BG790*INDEX('00 - Lists'!$M$2:$M$11,MATCH(L790,'00 - Lists'!$L$2:$L$11,0))/100000),"")</f>
        <v/>
      </c>
      <c r="BO790" s="35" t="str">
        <f aca="false">IFERROR(IF(BH790="","",BH790*INDEX('00 - Lists'!$M$2:$M$11,MATCH(L790,'00 - Lists'!$L$2:$L$11,0))/100000),"")</f>
        <v/>
      </c>
      <c r="BP790" s="35" t="str">
        <f aca="false">IFERROR(IF(BI790="","",BI790*INDEX('00 - Lists'!$M$2:$M$11,MATCH(L790,'00 - Lists'!$L$2:$L$11,0))/100000),"")</f>
        <v/>
      </c>
      <c r="BS790" s="36" t="str">
        <f aca="false">IF(O790="","",IF(O790&gt;=20,"Yes","No"))</f>
        <v/>
      </c>
      <c r="BT790" s="36" t="str">
        <f aca="false">IF(O790="","",IF(O790&gt;=30,"Yes","No"))</f>
        <v/>
      </c>
      <c r="BU790" s="36" t="str">
        <f aca="false">IF(O790="","",IF(O790&gt;=75,"Yes","No"))</f>
        <v/>
      </c>
      <c r="BV790" s="36" t="str">
        <f aca="false">IF(O790="","",IF(O790&gt;=100,"Yes","No"))</f>
        <v/>
      </c>
      <c r="BW790" s="36" t="str">
        <f aca="false">IF(O790="","",IF(O790&gt;=150,"Yes","No"))</f>
        <v/>
      </c>
      <c r="BX790" s="36" t="str">
        <f aca="false">IF(O790="","",IF(O790&gt;=200,"Yes","No"))</f>
        <v/>
      </c>
      <c r="BY790" s="36" t="str">
        <f aca="false">IF(Q790="","",IF(Q790&gt;=150000,"Yes","No"))</f>
        <v/>
      </c>
      <c r="BZ790" s="36" t="str">
        <f aca="false">IF(Q790="","",IF(Q790&gt;=200000,"Yes","No"))</f>
        <v/>
      </c>
      <c r="CA790" s="36" t="str">
        <f aca="false">IF(Q790="","",IF(Q790&gt;=250000,"Yes","No"))</f>
        <v/>
      </c>
      <c r="CB790" s="36" t="str">
        <f aca="false">IF(Q790="","",IF(Q790&gt;=300000,"Yes","No"))</f>
        <v/>
      </c>
      <c r="CC790" s="37"/>
      <c r="CD790" s="36" t="str">
        <f aca="true">IF(B790="","",IF(TODAY()-B790&lt;=7,"🟢 0-7d",IF(TODAY()-B790&lt;=30,"🟡 8-30d",IF(TODAY()-B790&lt;=60,"🟠 31-60d","🔴 60d+"))))</f>
        <v/>
      </c>
      <c r="CE790" s="36" t="str">
        <f aca="false">IF(G790="","",IF(G790&lt;&gt;"USA","N/A - Not USA Role",IF(J790="Yes",IF(OR(F790="Intern",F790="New Grad"),"🟡 Possible","🟢 Strong"),IF(J790="No","🔴 Difficult","⚪ Unknown"))))</f>
        <v/>
      </c>
      <c r="CF790" s="37"/>
      <c r="CG790" s="37"/>
      <c r="CH790" s="38"/>
      <c r="CI790" s="38"/>
      <c r="CJ790" s="38"/>
      <c r="CK790" s="38"/>
    </row>
    <row r="791" customFormat="false" ht="15" hidden="false" customHeight="true" outlineLevel="0" collapsed="false">
      <c r="A791" s="26" t="str">
        <f aca="false">IF($C791="","",ROW()-3)</f>
        <v/>
      </c>
      <c r="B791" s="27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9"/>
      <c r="N791" s="29"/>
      <c r="O791" s="30" t="str">
        <f aca="false">IFERROR(IF(M791="","",M791*INDEX('00 - Lists'!$M$2:$M$11,MATCH(L791,'00 - Lists'!$L$2:$L$11,0))/100000),"")</f>
        <v/>
      </c>
      <c r="P791" s="30" t="str">
        <f aca="false">IFERROR(IF(N791="","",N791*INDEX('00 - Lists'!$M$2:$M$11,MATCH(L791,'00 - Lists'!$L$2:$L$11,0))/100000),"")</f>
        <v/>
      </c>
      <c r="Q791" s="31" t="str">
        <f aca="false">IFERROR(IF(M791="","",M791*INDEX('00 - Lists'!$N$2:$N$11,MATCH(L791,'00 - Lists'!$L$2:$L$11,0))),"")</f>
        <v/>
      </c>
      <c r="R791" s="31" t="str">
        <f aca="false">IFERROR(IF(N791="","",N791*INDEX('00 - Lists'!$N$2:$N$11,MATCH(L791,'00 - Lists'!$L$2:$L$11,0))),"")</f>
        <v/>
      </c>
      <c r="S791" s="32" t="str">
        <f aca="false">IF(O791="","",IF(O791&gt;=50,"Yes","No"))</f>
        <v/>
      </c>
      <c r="T791" s="32" t="str">
        <f aca="false">IF(Q791="","",IF(Q791&gt;=100000,"Yes","No"))</f>
        <v/>
      </c>
      <c r="U791" s="28"/>
      <c r="V791" s="28"/>
      <c r="W791" s="28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J791" s="34" t="str">
        <f aca="false">IF(OR($BD791&lt;&gt;"",$BF791&lt;&gt;"",$BH791&lt;&gt;""),"Yes","No")</f>
        <v>No</v>
      </c>
      <c r="BK791" s="35" t="str">
        <f aca="false">IFERROR(IF(BD791="","",BD791*INDEX('00 - Lists'!$M$2:$M$11,MATCH(L791,'00 - Lists'!$L$2:$L$11,0))/100000),"")</f>
        <v/>
      </c>
      <c r="BL791" s="35" t="str">
        <f aca="false">IFERROR(IF(BE791="","",BE791*INDEX('00 - Lists'!$M$2:$M$11,MATCH(L791,'00 - Lists'!$L$2:$L$11,0))/100000),"")</f>
        <v/>
      </c>
      <c r="BM791" s="35" t="str">
        <f aca="false">IFERROR(IF(BF791="","",BF791*INDEX('00 - Lists'!$M$2:$M$11,MATCH(L791,'00 - Lists'!$L$2:$L$11,0))/100000),"")</f>
        <v/>
      </c>
      <c r="BN791" s="35" t="str">
        <f aca="false">IFERROR(IF(BG791="","",BG791*INDEX('00 - Lists'!$M$2:$M$11,MATCH(L791,'00 - Lists'!$L$2:$L$11,0))/100000),"")</f>
        <v/>
      </c>
      <c r="BO791" s="35" t="str">
        <f aca="false">IFERROR(IF(BH791="","",BH791*INDEX('00 - Lists'!$M$2:$M$11,MATCH(L791,'00 - Lists'!$L$2:$L$11,0))/100000),"")</f>
        <v/>
      </c>
      <c r="BP791" s="35" t="str">
        <f aca="false">IFERROR(IF(BI791="","",BI791*INDEX('00 - Lists'!$M$2:$M$11,MATCH(L791,'00 - Lists'!$L$2:$L$11,0))/100000),"")</f>
        <v/>
      </c>
      <c r="BS791" s="36" t="str">
        <f aca="false">IF(O791="","",IF(O791&gt;=20,"Yes","No"))</f>
        <v/>
      </c>
      <c r="BT791" s="36" t="str">
        <f aca="false">IF(O791="","",IF(O791&gt;=30,"Yes","No"))</f>
        <v/>
      </c>
      <c r="BU791" s="36" t="str">
        <f aca="false">IF(O791="","",IF(O791&gt;=75,"Yes","No"))</f>
        <v/>
      </c>
      <c r="BV791" s="36" t="str">
        <f aca="false">IF(O791="","",IF(O791&gt;=100,"Yes","No"))</f>
        <v/>
      </c>
      <c r="BW791" s="36" t="str">
        <f aca="false">IF(O791="","",IF(O791&gt;=150,"Yes","No"))</f>
        <v/>
      </c>
      <c r="BX791" s="36" t="str">
        <f aca="false">IF(O791="","",IF(O791&gt;=200,"Yes","No"))</f>
        <v/>
      </c>
      <c r="BY791" s="36" t="str">
        <f aca="false">IF(Q791="","",IF(Q791&gt;=150000,"Yes","No"))</f>
        <v/>
      </c>
      <c r="BZ791" s="36" t="str">
        <f aca="false">IF(Q791="","",IF(Q791&gt;=200000,"Yes","No"))</f>
        <v/>
      </c>
      <c r="CA791" s="36" t="str">
        <f aca="false">IF(Q791="","",IF(Q791&gt;=250000,"Yes","No"))</f>
        <v/>
      </c>
      <c r="CB791" s="36" t="str">
        <f aca="false">IF(Q791="","",IF(Q791&gt;=300000,"Yes","No"))</f>
        <v/>
      </c>
      <c r="CC791" s="37"/>
      <c r="CD791" s="36" t="str">
        <f aca="true">IF(B791="","",IF(TODAY()-B791&lt;=7,"🟢 0-7d",IF(TODAY()-B791&lt;=30,"🟡 8-30d",IF(TODAY()-B791&lt;=60,"🟠 31-60d","🔴 60d+"))))</f>
        <v/>
      </c>
      <c r="CE791" s="36" t="str">
        <f aca="false">IF(G791="","",IF(G791&lt;&gt;"USA","N/A - Not USA Role",IF(J791="Yes",IF(OR(F791="Intern",F791="New Grad"),"🟡 Possible","🟢 Strong"),IF(J791="No","🔴 Difficult","⚪ Unknown"))))</f>
        <v/>
      </c>
      <c r="CF791" s="37"/>
      <c r="CG791" s="37"/>
      <c r="CH791" s="38"/>
      <c r="CI791" s="38"/>
      <c r="CJ791" s="38"/>
      <c r="CK791" s="38"/>
    </row>
    <row r="792" customFormat="false" ht="15" hidden="false" customHeight="true" outlineLevel="0" collapsed="false">
      <c r="A792" s="26" t="str">
        <f aca="false">IF($C792="","",ROW()-3)</f>
        <v/>
      </c>
      <c r="B792" s="27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9"/>
      <c r="N792" s="29"/>
      <c r="O792" s="30" t="str">
        <f aca="false">IFERROR(IF(M792="","",M792*INDEX('00 - Lists'!$M$2:$M$11,MATCH(L792,'00 - Lists'!$L$2:$L$11,0))/100000),"")</f>
        <v/>
      </c>
      <c r="P792" s="30" t="str">
        <f aca="false">IFERROR(IF(N792="","",N792*INDEX('00 - Lists'!$M$2:$M$11,MATCH(L792,'00 - Lists'!$L$2:$L$11,0))/100000),"")</f>
        <v/>
      </c>
      <c r="Q792" s="31" t="str">
        <f aca="false">IFERROR(IF(M792="","",M792*INDEX('00 - Lists'!$N$2:$N$11,MATCH(L792,'00 - Lists'!$L$2:$L$11,0))),"")</f>
        <v/>
      </c>
      <c r="R792" s="31" t="str">
        <f aca="false">IFERROR(IF(N792="","",N792*INDEX('00 - Lists'!$N$2:$N$11,MATCH(L792,'00 - Lists'!$L$2:$L$11,0))),"")</f>
        <v/>
      </c>
      <c r="S792" s="32" t="str">
        <f aca="false">IF(O792="","",IF(O792&gt;=50,"Yes","No"))</f>
        <v/>
      </c>
      <c r="T792" s="32" t="str">
        <f aca="false">IF(Q792="","",IF(Q792&gt;=100000,"Yes","No"))</f>
        <v/>
      </c>
      <c r="U792" s="28"/>
      <c r="V792" s="28"/>
      <c r="W792" s="28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J792" s="34" t="str">
        <f aca="false">IF(OR($BD792&lt;&gt;"",$BF792&lt;&gt;"",$BH792&lt;&gt;""),"Yes","No")</f>
        <v>No</v>
      </c>
      <c r="BK792" s="35" t="str">
        <f aca="false">IFERROR(IF(BD792="","",BD792*INDEX('00 - Lists'!$M$2:$M$11,MATCH(L792,'00 - Lists'!$L$2:$L$11,0))/100000),"")</f>
        <v/>
      </c>
      <c r="BL792" s="35" t="str">
        <f aca="false">IFERROR(IF(BE792="","",BE792*INDEX('00 - Lists'!$M$2:$M$11,MATCH(L792,'00 - Lists'!$L$2:$L$11,0))/100000),"")</f>
        <v/>
      </c>
      <c r="BM792" s="35" t="str">
        <f aca="false">IFERROR(IF(BF792="","",BF792*INDEX('00 - Lists'!$M$2:$M$11,MATCH(L792,'00 - Lists'!$L$2:$L$11,0))/100000),"")</f>
        <v/>
      </c>
      <c r="BN792" s="35" t="str">
        <f aca="false">IFERROR(IF(BG792="","",BG792*INDEX('00 - Lists'!$M$2:$M$11,MATCH(L792,'00 - Lists'!$L$2:$L$11,0))/100000),"")</f>
        <v/>
      </c>
      <c r="BO792" s="35" t="str">
        <f aca="false">IFERROR(IF(BH792="","",BH792*INDEX('00 - Lists'!$M$2:$M$11,MATCH(L792,'00 - Lists'!$L$2:$L$11,0))/100000),"")</f>
        <v/>
      </c>
      <c r="BP792" s="35" t="str">
        <f aca="false">IFERROR(IF(BI792="","",BI792*INDEX('00 - Lists'!$M$2:$M$11,MATCH(L792,'00 - Lists'!$L$2:$L$11,0))/100000),"")</f>
        <v/>
      </c>
      <c r="BS792" s="36" t="str">
        <f aca="false">IF(O792="","",IF(O792&gt;=20,"Yes","No"))</f>
        <v/>
      </c>
      <c r="BT792" s="36" t="str">
        <f aca="false">IF(O792="","",IF(O792&gt;=30,"Yes","No"))</f>
        <v/>
      </c>
      <c r="BU792" s="36" t="str">
        <f aca="false">IF(O792="","",IF(O792&gt;=75,"Yes","No"))</f>
        <v/>
      </c>
      <c r="BV792" s="36" t="str">
        <f aca="false">IF(O792="","",IF(O792&gt;=100,"Yes","No"))</f>
        <v/>
      </c>
      <c r="BW792" s="36" t="str">
        <f aca="false">IF(O792="","",IF(O792&gt;=150,"Yes","No"))</f>
        <v/>
      </c>
      <c r="BX792" s="36" t="str">
        <f aca="false">IF(O792="","",IF(O792&gt;=200,"Yes","No"))</f>
        <v/>
      </c>
      <c r="BY792" s="36" t="str">
        <f aca="false">IF(Q792="","",IF(Q792&gt;=150000,"Yes","No"))</f>
        <v/>
      </c>
      <c r="BZ792" s="36" t="str">
        <f aca="false">IF(Q792="","",IF(Q792&gt;=200000,"Yes","No"))</f>
        <v/>
      </c>
      <c r="CA792" s="36" t="str">
        <f aca="false">IF(Q792="","",IF(Q792&gt;=250000,"Yes","No"))</f>
        <v/>
      </c>
      <c r="CB792" s="36" t="str">
        <f aca="false">IF(Q792="","",IF(Q792&gt;=300000,"Yes","No"))</f>
        <v/>
      </c>
      <c r="CC792" s="37"/>
      <c r="CD792" s="36" t="str">
        <f aca="true">IF(B792="","",IF(TODAY()-B792&lt;=7,"🟢 0-7d",IF(TODAY()-B792&lt;=30,"🟡 8-30d",IF(TODAY()-B792&lt;=60,"🟠 31-60d","🔴 60d+"))))</f>
        <v/>
      </c>
      <c r="CE792" s="36" t="str">
        <f aca="false">IF(G792="","",IF(G792&lt;&gt;"USA","N/A - Not USA Role",IF(J792="Yes",IF(OR(F792="Intern",F792="New Grad"),"🟡 Possible","🟢 Strong"),IF(J792="No","🔴 Difficult","⚪ Unknown"))))</f>
        <v/>
      </c>
      <c r="CF792" s="37"/>
      <c r="CG792" s="37"/>
      <c r="CH792" s="38"/>
      <c r="CI792" s="38"/>
      <c r="CJ792" s="38"/>
      <c r="CK792" s="38"/>
    </row>
    <row r="793" customFormat="false" ht="15" hidden="false" customHeight="true" outlineLevel="0" collapsed="false">
      <c r="A793" s="26" t="str">
        <f aca="false">IF($C793="","",ROW()-3)</f>
        <v/>
      </c>
      <c r="B793" s="27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9"/>
      <c r="N793" s="29"/>
      <c r="O793" s="30" t="str">
        <f aca="false">IFERROR(IF(M793="","",M793*INDEX('00 - Lists'!$M$2:$M$11,MATCH(L793,'00 - Lists'!$L$2:$L$11,0))/100000),"")</f>
        <v/>
      </c>
      <c r="P793" s="30" t="str">
        <f aca="false">IFERROR(IF(N793="","",N793*INDEX('00 - Lists'!$M$2:$M$11,MATCH(L793,'00 - Lists'!$L$2:$L$11,0))/100000),"")</f>
        <v/>
      </c>
      <c r="Q793" s="31" t="str">
        <f aca="false">IFERROR(IF(M793="","",M793*INDEX('00 - Lists'!$N$2:$N$11,MATCH(L793,'00 - Lists'!$L$2:$L$11,0))),"")</f>
        <v/>
      </c>
      <c r="R793" s="31" t="str">
        <f aca="false">IFERROR(IF(N793="","",N793*INDEX('00 - Lists'!$N$2:$N$11,MATCH(L793,'00 - Lists'!$L$2:$L$11,0))),"")</f>
        <v/>
      </c>
      <c r="S793" s="32" t="str">
        <f aca="false">IF(O793="","",IF(O793&gt;=50,"Yes","No"))</f>
        <v/>
      </c>
      <c r="T793" s="32" t="str">
        <f aca="false">IF(Q793="","",IF(Q793&gt;=100000,"Yes","No"))</f>
        <v/>
      </c>
      <c r="U793" s="28"/>
      <c r="V793" s="28"/>
      <c r="W793" s="28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J793" s="34" t="str">
        <f aca="false">IF(OR($BD793&lt;&gt;"",$BF793&lt;&gt;"",$BH793&lt;&gt;""),"Yes","No")</f>
        <v>No</v>
      </c>
      <c r="BK793" s="35" t="str">
        <f aca="false">IFERROR(IF(BD793="","",BD793*INDEX('00 - Lists'!$M$2:$M$11,MATCH(L793,'00 - Lists'!$L$2:$L$11,0))/100000),"")</f>
        <v/>
      </c>
      <c r="BL793" s="35" t="str">
        <f aca="false">IFERROR(IF(BE793="","",BE793*INDEX('00 - Lists'!$M$2:$M$11,MATCH(L793,'00 - Lists'!$L$2:$L$11,0))/100000),"")</f>
        <v/>
      </c>
      <c r="BM793" s="35" t="str">
        <f aca="false">IFERROR(IF(BF793="","",BF793*INDEX('00 - Lists'!$M$2:$M$11,MATCH(L793,'00 - Lists'!$L$2:$L$11,0))/100000),"")</f>
        <v/>
      </c>
      <c r="BN793" s="35" t="str">
        <f aca="false">IFERROR(IF(BG793="","",BG793*INDEX('00 - Lists'!$M$2:$M$11,MATCH(L793,'00 - Lists'!$L$2:$L$11,0))/100000),"")</f>
        <v/>
      </c>
      <c r="BO793" s="35" t="str">
        <f aca="false">IFERROR(IF(BH793="","",BH793*INDEX('00 - Lists'!$M$2:$M$11,MATCH(L793,'00 - Lists'!$L$2:$L$11,0))/100000),"")</f>
        <v/>
      </c>
      <c r="BP793" s="35" t="str">
        <f aca="false">IFERROR(IF(BI793="","",BI793*INDEX('00 - Lists'!$M$2:$M$11,MATCH(L793,'00 - Lists'!$L$2:$L$11,0))/100000),"")</f>
        <v/>
      </c>
      <c r="BS793" s="36" t="str">
        <f aca="false">IF(O793="","",IF(O793&gt;=20,"Yes","No"))</f>
        <v/>
      </c>
      <c r="BT793" s="36" t="str">
        <f aca="false">IF(O793="","",IF(O793&gt;=30,"Yes","No"))</f>
        <v/>
      </c>
      <c r="BU793" s="36" t="str">
        <f aca="false">IF(O793="","",IF(O793&gt;=75,"Yes","No"))</f>
        <v/>
      </c>
      <c r="BV793" s="36" t="str">
        <f aca="false">IF(O793="","",IF(O793&gt;=100,"Yes","No"))</f>
        <v/>
      </c>
      <c r="BW793" s="36" t="str">
        <f aca="false">IF(O793="","",IF(O793&gt;=150,"Yes","No"))</f>
        <v/>
      </c>
      <c r="BX793" s="36" t="str">
        <f aca="false">IF(O793="","",IF(O793&gt;=200,"Yes","No"))</f>
        <v/>
      </c>
      <c r="BY793" s="36" t="str">
        <f aca="false">IF(Q793="","",IF(Q793&gt;=150000,"Yes","No"))</f>
        <v/>
      </c>
      <c r="BZ793" s="36" t="str">
        <f aca="false">IF(Q793="","",IF(Q793&gt;=200000,"Yes","No"))</f>
        <v/>
      </c>
      <c r="CA793" s="36" t="str">
        <f aca="false">IF(Q793="","",IF(Q793&gt;=250000,"Yes","No"))</f>
        <v/>
      </c>
      <c r="CB793" s="36" t="str">
        <f aca="false">IF(Q793="","",IF(Q793&gt;=300000,"Yes","No"))</f>
        <v/>
      </c>
      <c r="CC793" s="37"/>
      <c r="CD793" s="36" t="str">
        <f aca="true">IF(B793="","",IF(TODAY()-B793&lt;=7,"🟢 0-7d",IF(TODAY()-B793&lt;=30,"🟡 8-30d",IF(TODAY()-B793&lt;=60,"🟠 31-60d","🔴 60d+"))))</f>
        <v/>
      </c>
      <c r="CE793" s="36" t="str">
        <f aca="false">IF(G793="","",IF(G793&lt;&gt;"USA","N/A - Not USA Role",IF(J793="Yes",IF(OR(F793="Intern",F793="New Grad"),"🟡 Possible","🟢 Strong"),IF(J793="No","🔴 Difficult","⚪ Unknown"))))</f>
        <v/>
      </c>
      <c r="CF793" s="37"/>
      <c r="CG793" s="37"/>
      <c r="CH793" s="38"/>
      <c r="CI793" s="38"/>
      <c r="CJ793" s="38"/>
      <c r="CK793" s="38"/>
    </row>
    <row r="794" customFormat="false" ht="15" hidden="false" customHeight="true" outlineLevel="0" collapsed="false">
      <c r="A794" s="26" t="str">
        <f aca="false">IF($C794="","",ROW()-3)</f>
        <v/>
      </c>
      <c r="B794" s="27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9"/>
      <c r="N794" s="29"/>
      <c r="O794" s="30" t="str">
        <f aca="false">IFERROR(IF(M794="","",M794*INDEX('00 - Lists'!$M$2:$M$11,MATCH(L794,'00 - Lists'!$L$2:$L$11,0))/100000),"")</f>
        <v/>
      </c>
      <c r="P794" s="30" t="str">
        <f aca="false">IFERROR(IF(N794="","",N794*INDEX('00 - Lists'!$M$2:$M$11,MATCH(L794,'00 - Lists'!$L$2:$L$11,0))/100000),"")</f>
        <v/>
      </c>
      <c r="Q794" s="31" t="str">
        <f aca="false">IFERROR(IF(M794="","",M794*INDEX('00 - Lists'!$N$2:$N$11,MATCH(L794,'00 - Lists'!$L$2:$L$11,0))),"")</f>
        <v/>
      </c>
      <c r="R794" s="31" t="str">
        <f aca="false">IFERROR(IF(N794="","",N794*INDEX('00 - Lists'!$N$2:$N$11,MATCH(L794,'00 - Lists'!$L$2:$L$11,0))),"")</f>
        <v/>
      </c>
      <c r="S794" s="32" t="str">
        <f aca="false">IF(O794="","",IF(O794&gt;=50,"Yes","No"))</f>
        <v/>
      </c>
      <c r="T794" s="32" t="str">
        <f aca="false">IF(Q794="","",IF(Q794&gt;=100000,"Yes","No"))</f>
        <v/>
      </c>
      <c r="U794" s="28"/>
      <c r="V794" s="28"/>
      <c r="W794" s="28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J794" s="34" t="str">
        <f aca="false">IF(OR($BD794&lt;&gt;"",$BF794&lt;&gt;"",$BH794&lt;&gt;""),"Yes","No")</f>
        <v>No</v>
      </c>
      <c r="BK794" s="35" t="str">
        <f aca="false">IFERROR(IF(BD794="","",BD794*INDEX('00 - Lists'!$M$2:$M$11,MATCH(L794,'00 - Lists'!$L$2:$L$11,0))/100000),"")</f>
        <v/>
      </c>
      <c r="BL794" s="35" t="str">
        <f aca="false">IFERROR(IF(BE794="","",BE794*INDEX('00 - Lists'!$M$2:$M$11,MATCH(L794,'00 - Lists'!$L$2:$L$11,0))/100000),"")</f>
        <v/>
      </c>
      <c r="BM794" s="35" t="str">
        <f aca="false">IFERROR(IF(BF794="","",BF794*INDEX('00 - Lists'!$M$2:$M$11,MATCH(L794,'00 - Lists'!$L$2:$L$11,0))/100000),"")</f>
        <v/>
      </c>
      <c r="BN794" s="35" t="str">
        <f aca="false">IFERROR(IF(BG794="","",BG794*INDEX('00 - Lists'!$M$2:$M$11,MATCH(L794,'00 - Lists'!$L$2:$L$11,0))/100000),"")</f>
        <v/>
      </c>
      <c r="BO794" s="35" t="str">
        <f aca="false">IFERROR(IF(BH794="","",BH794*INDEX('00 - Lists'!$M$2:$M$11,MATCH(L794,'00 - Lists'!$L$2:$L$11,0))/100000),"")</f>
        <v/>
      </c>
      <c r="BP794" s="35" t="str">
        <f aca="false">IFERROR(IF(BI794="","",BI794*INDEX('00 - Lists'!$M$2:$M$11,MATCH(L794,'00 - Lists'!$L$2:$L$11,0))/100000),"")</f>
        <v/>
      </c>
      <c r="BS794" s="36" t="str">
        <f aca="false">IF(O794="","",IF(O794&gt;=20,"Yes","No"))</f>
        <v/>
      </c>
      <c r="BT794" s="36" t="str">
        <f aca="false">IF(O794="","",IF(O794&gt;=30,"Yes","No"))</f>
        <v/>
      </c>
      <c r="BU794" s="36" t="str">
        <f aca="false">IF(O794="","",IF(O794&gt;=75,"Yes","No"))</f>
        <v/>
      </c>
      <c r="BV794" s="36" t="str">
        <f aca="false">IF(O794="","",IF(O794&gt;=100,"Yes","No"))</f>
        <v/>
      </c>
      <c r="BW794" s="36" t="str">
        <f aca="false">IF(O794="","",IF(O794&gt;=150,"Yes","No"))</f>
        <v/>
      </c>
      <c r="BX794" s="36" t="str">
        <f aca="false">IF(O794="","",IF(O794&gt;=200,"Yes","No"))</f>
        <v/>
      </c>
      <c r="BY794" s="36" t="str">
        <f aca="false">IF(Q794="","",IF(Q794&gt;=150000,"Yes","No"))</f>
        <v/>
      </c>
      <c r="BZ794" s="36" t="str">
        <f aca="false">IF(Q794="","",IF(Q794&gt;=200000,"Yes","No"))</f>
        <v/>
      </c>
      <c r="CA794" s="36" t="str">
        <f aca="false">IF(Q794="","",IF(Q794&gt;=250000,"Yes","No"))</f>
        <v/>
      </c>
      <c r="CB794" s="36" t="str">
        <f aca="false">IF(Q794="","",IF(Q794&gt;=300000,"Yes","No"))</f>
        <v/>
      </c>
      <c r="CC794" s="37"/>
      <c r="CD794" s="36" t="str">
        <f aca="true">IF(B794="","",IF(TODAY()-B794&lt;=7,"🟢 0-7d",IF(TODAY()-B794&lt;=30,"🟡 8-30d",IF(TODAY()-B794&lt;=60,"🟠 31-60d","🔴 60d+"))))</f>
        <v/>
      </c>
      <c r="CE794" s="36" t="str">
        <f aca="false">IF(G794="","",IF(G794&lt;&gt;"USA","N/A - Not USA Role",IF(J794="Yes",IF(OR(F794="Intern",F794="New Grad"),"🟡 Possible","🟢 Strong"),IF(J794="No","🔴 Difficult","⚪ Unknown"))))</f>
        <v/>
      </c>
      <c r="CF794" s="37"/>
      <c r="CG794" s="37"/>
      <c r="CH794" s="38"/>
      <c r="CI794" s="38"/>
      <c r="CJ794" s="38"/>
      <c r="CK794" s="38"/>
    </row>
    <row r="795" customFormat="false" ht="15" hidden="false" customHeight="true" outlineLevel="0" collapsed="false">
      <c r="A795" s="26" t="str">
        <f aca="false">IF($C795="","",ROW()-3)</f>
        <v/>
      </c>
      <c r="B795" s="27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9"/>
      <c r="N795" s="29"/>
      <c r="O795" s="30" t="str">
        <f aca="false">IFERROR(IF(M795="","",M795*INDEX('00 - Lists'!$M$2:$M$11,MATCH(L795,'00 - Lists'!$L$2:$L$11,0))/100000),"")</f>
        <v/>
      </c>
      <c r="P795" s="30" t="str">
        <f aca="false">IFERROR(IF(N795="","",N795*INDEX('00 - Lists'!$M$2:$M$11,MATCH(L795,'00 - Lists'!$L$2:$L$11,0))/100000),"")</f>
        <v/>
      </c>
      <c r="Q795" s="31" t="str">
        <f aca="false">IFERROR(IF(M795="","",M795*INDEX('00 - Lists'!$N$2:$N$11,MATCH(L795,'00 - Lists'!$L$2:$L$11,0))),"")</f>
        <v/>
      </c>
      <c r="R795" s="31" t="str">
        <f aca="false">IFERROR(IF(N795="","",N795*INDEX('00 - Lists'!$N$2:$N$11,MATCH(L795,'00 - Lists'!$L$2:$L$11,0))),"")</f>
        <v/>
      </c>
      <c r="S795" s="32" t="str">
        <f aca="false">IF(O795="","",IF(O795&gt;=50,"Yes","No"))</f>
        <v/>
      </c>
      <c r="T795" s="32" t="str">
        <f aca="false">IF(Q795="","",IF(Q795&gt;=100000,"Yes","No"))</f>
        <v/>
      </c>
      <c r="U795" s="28"/>
      <c r="V795" s="28"/>
      <c r="W795" s="28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J795" s="34" t="str">
        <f aca="false">IF(OR($BD795&lt;&gt;"",$BF795&lt;&gt;"",$BH795&lt;&gt;""),"Yes","No")</f>
        <v>No</v>
      </c>
      <c r="BK795" s="35" t="str">
        <f aca="false">IFERROR(IF(BD795="","",BD795*INDEX('00 - Lists'!$M$2:$M$11,MATCH(L795,'00 - Lists'!$L$2:$L$11,0))/100000),"")</f>
        <v/>
      </c>
      <c r="BL795" s="35" t="str">
        <f aca="false">IFERROR(IF(BE795="","",BE795*INDEX('00 - Lists'!$M$2:$M$11,MATCH(L795,'00 - Lists'!$L$2:$L$11,0))/100000),"")</f>
        <v/>
      </c>
      <c r="BM795" s="35" t="str">
        <f aca="false">IFERROR(IF(BF795="","",BF795*INDEX('00 - Lists'!$M$2:$M$11,MATCH(L795,'00 - Lists'!$L$2:$L$11,0))/100000),"")</f>
        <v/>
      </c>
      <c r="BN795" s="35" t="str">
        <f aca="false">IFERROR(IF(BG795="","",BG795*INDEX('00 - Lists'!$M$2:$M$11,MATCH(L795,'00 - Lists'!$L$2:$L$11,0))/100000),"")</f>
        <v/>
      </c>
      <c r="BO795" s="35" t="str">
        <f aca="false">IFERROR(IF(BH795="","",BH795*INDEX('00 - Lists'!$M$2:$M$11,MATCH(L795,'00 - Lists'!$L$2:$L$11,0))/100000),"")</f>
        <v/>
      </c>
      <c r="BP795" s="35" t="str">
        <f aca="false">IFERROR(IF(BI795="","",BI795*INDEX('00 - Lists'!$M$2:$M$11,MATCH(L795,'00 - Lists'!$L$2:$L$11,0))/100000),"")</f>
        <v/>
      </c>
      <c r="BS795" s="36" t="str">
        <f aca="false">IF(O795="","",IF(O795&gt;=20,"Yes","No"))</f>
        <v/>
      </c>
      <c r="BT795" s="36" t="str">
        <f aca="false">IF(O795="","",IF(O795&gt;=30,"Yes","No"))</f>
        <v/>
      </c>
      <c r="BU795" s="36" t="str">
        <f aca="false">IF(O795="","",IF(O795&gt;=75,"Yes","No"))</f>
        <v/>
      </c>
      <c r="BV795" s="36" t="str">
        <f aca="false">IF(O795="","",IF(O795&gt;=100,"Yes","No"))</f>
        <v/>
      </c>
      <c r="BW795" s="36" t="str">
        <f aca="false">IF(O795="","",IF(O795&gt;=150,"Yes","No"))</f>
        <v/>
      </c>
      <c r="BX795" s="36" t="str">
        <f aca="false">IF(O795="","",IF(O795&gt;=200,"Yes","No"))</f>
        <v/>
      </c>
      <c r="BY795" s="36" t="str">
        <f aca="false">IF(Q795="","",IF(Q795&gt;=150000,"Yes","No"))</f>
        <v/>
      </c>
      <c r="BZ795" s="36" t="str">
        <f aca="false">IF(Q795="","",IF(Q795&gt;=200000,"Yes","No"))</f>
        <v/>
      </c>
      <c r="CA795" s="36" t="str">
        <f aca="false">IF(Q795="","",IF(Q795&gt;=250000,"Yes","No"))</f>
        <v/>
      </c>
      <c r="CB795" s="36" t="str">
        <f aca="false">IF(Q795="","",IF(Q795&gt;=300000,"Yes","No"))</f>
        <v/>
      </c>
      <c r="CC795" s="37"/>
      <c r="CD795" s="36" t="str">
        <f aca="true">IF(B795="","",IF(TODAY()-B795&lt;=7,"🟢 0-7d",IF(TODAY()-B795&lt;=30,"🟡 8-30d",IF(TODAY()-B795&lt;=60,"🟠 31-60d","🔴 60d+"))))</f>
        <v/>
      </c>
      <c r="CE795" s="36" t="str">
        <f aca="false">IF(G795="","",IF(G795&lt;&gt;"USA","N/A - Not USA Role",IF(J795="Yes",IF(OR(F795="Intern",F795="New Grad"),"🟡 Possible","🟢 Strong"),IF(J795="No","🔴 Difficult","⚪ Unknown"))))</f>
        <v/>
      </c>
      <c r="CF795" s="37"/>
      <c r="CG795" s="37"/>
      <c r="CH795" s="38"/>
      <c r="CI795" s="38"/>
      <c r="CJ795" s="38"/>
      <c r="CK795" s="38"/>
    </row>
    <row r="796" customFormat="false" ht="15" hidden="false" customHeight="true" outlineLevel="0" collapsed="false">
      <c r="A796" s="26" t="str">
        <f aca="false">IF($C796="","",ROW()-3)</f>
        <v/>
      </c>
      <c r="B796" s="27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9"/>
      <c r="N796" s="29"/>
      <c r="O796" s="30" t="str">
        <f aca="false">IFERROR(IF(M796="","",M796*INDEX('00 - Lists'!$M$2:$M$11,MATCH(L796,'00 - Lists'!$L$2:$L$11,0))/100000),"")</f>
        <v/>
      </c>
      <c r="P796" s="30" t="str">
        <f aca="false">IFERROR(IF(N796="","",N796*INDEX('00 - Lists'!$M$2:$M$11,MATCH(L796,'00 - Lists'!$L$2:$L$11,0))/100000),"")</f>
        <v/>
      </c>
      <c r="Q796" s="31" t="str">
        <f aca="false">IFERROR(IF(M796="","",M796*INDEX('00 - Lists'!$N$2:$N$11,MATCH(L796,'00 - Lists'!$L$2:$L$11,0))),"")</f>
        <v/>
      </c>
      <c r="R796" s="31" t="str">
        <f aca="false">IFERROR(IF(N796="","",N796*INDEX('00 - Lists'!$N$2:$N$11,MATCH(L796,'00 - Lists'!$L$2:$L$11,0))),"")</f>
        <v/>
      </c>
      <c r="S796" s="32" t="str">
        <f aca="false">IF(O796="","",IF(O796&gt;=50,"Yes","No"))</f>
        <v/>
      </c>
      <c r="T796" s="32" t="str">
        <f aca="false">IF(Q796="","",IF(Q796&gt;=100000,"Yes","No"))</f>
        <v/>
      </c>
      <c r="U796" s="28"/>
      <c r="V796" s="28"/>
      <c r="W796" s="28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J796" s="34" t="str">
        <f aca="false">IF(OR($BD796&lt;&gt;"",$BF796&lt;&gt;"",$BH796&lt;&gt;""),"Yes","No")</f>
        <v>No</v>
      </c>
      <c r="BK796" s="35" t="str">
        <f aca="false">IFERROR(IF(BD796="","",BD796*INDEX('00 - Lists'!$M$2:$M$11,MATCH(L796,'00 - Lists'!$L$2:$L$11,0))/100000),"")</f>
        <v/>
      </c>
      <c r="BL796" s="35" t="str">
        <f aca="false">IFERROR(IF(BE796="","",BE796*INDEX('00 - Lists'!$M$2:$M$11,MATCH(L796,'00 - Lists'!$L$2:$L$11,0))/100000),"")</f>
        <v/>
      </c>
      <c r="BM796" s="35" t="str">
        <f aca="false">IFERROR(IF(BF796="","",BF796*INDEX('00 - Lists'!$M$2:$M$11,MATCH(L796,'00 - Lists'!$L$2:$L$11,0))/100000),"")</f>
        <v/>
      </c>
      <c r="BN796" s="35" t="str">
        <f aca="false">IFERROR(IF(BG796="","",BG796*INDEX('00 - Lists'!$M$2:$M$11,MATCH(L796,'00 - Lists'!$L$2:$L$11,0))/100000),"")</f>
        <v/>
      </c>
      <c r="BO796" s="35" t="str">
        <f aca="false">IFERROR(IF(BH796="","",BH796*INDEX('00 - Lists'!$M$2:$M$11,MATCH(L796,'00 - Lists'!$L$2:$L$11,0))/100000),"")</f>
        <v/>
      </c>
      <c r="BP796" s="35" t="str">
        <f aca="false">IFERROR(IF(BI796="","",BI796*INDEX('00 - Lists'!$M$2:$M$11,MATCH(L796,'00 - Lists'!$L$2:$L$11,0))/100000),"")</f>
        <v/>
      </c>
      <c r="BS796" s="36" t="str">
        <f aca="false">IF(O796="","",IF(O796&gt;=20,"Yes","No"))</f>
        <v/>
      </c>
      <c r="BT796" s="36" t="str">
        <f aca="false">IF(O796="","",IF(O796&gt;=30,"Yes","No"))</f>
        <v/>
      </c>
      <c r="BU796" s="36" t="str">
        <f aca="false">IF(O796="","",IF(O796&gt;=75,"Yes","No"))</f>
        <v/>
      </c>
      <c r="BV796" s="36" t="str">
        <f aca="false">IF(O796="","",IF(O796&gt;=100,"Yes","No"))</f>
        <v/>
      </c>
      <c r="BW796" s="36" t="str">
        <f aca="false">IF(O796="","",IF(O796&gt;=150,"Yes","No"))</f>
        <v/>
      </c>
      <c r="BX796" s="36" t="str">
        <f aca="false">IF(O796="","",IF(O796&gt;=200,"Yes","No"))</f>
        <v/>
      </c>
      <c r="BY796" s="36" t="str">
        <f aca="false">IF(Q796="","",IF(Q796&gt;=150000,"Yes","No"))</f>
        <v/>
      </c>
      <c r="BZ796" s="36" t="str">
        <f aca="false">IF(Q796="","",IF(Q796&gt;=200000,"Yes","No"))</f>
        <v/>
      </c>
      <c r="CA796" s="36" t="str">
        <f aca="false">IF(Q796="","",IF(Q796&gt;=250000,"Yes","No"))</f>
        <v/>
      </c>
      <c r="CB796" s="36" t="str">
        <f aca="false">IF(Q796="","",IF(Q796&gt;=300000,"Yes","No"))</f>
        <v/>
      </c>
      <c r="CC796" s="37"/>
      <c r="CD796" s="36" t="str">
        <f aca="true">IF(B796="","",IF(TODAY()-B796&lt;=7,"🟢 0-7d",IF(TODAY()-B796&lt;=30,"🟡 8-30d",IF(TODAY()-B796&lt;=60,"🟠 31-60d","🔴 60d+"))))</f>
        <v/>
      </c>
      <c r="CE796" s="36" t="str">
        <f aca="false">IF(G796="","",IF(G796&lt;&gt;"USA","N/A - Not USA Role",IF(J796="Yes",IF(OR(F796="Intern",F796="New Grad"),"🟡 Possible","🟢 Strong"),IF(J796="No","🔴 Difficult","⚪ Unknown"))))</f>
        <v/>
      </c>
      <c r="CF796" s="37"/>
      <c r="CG796" s="37"/>
      <c r="CH796" s="38"/>
      <c r="CI796" s="38"/>
      <c r="CJ796" s="38"/>
      <c r="CK796" s="38"/>
    </row>
    <row r="797" customFormat="false" ht="15" hidden="false" customHeight="true" outlineLevel="0" collapsed="false">
      <c r="A797" s="26" t="str">
        <f aca="false">IF($C797="","",ROW()-3)</f>
        <v/>
      </c>
      <c r="B797" s="27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9"/>
      <c r="N797" s="29"/>
      <c r="O797" s="30" t="str">
        <f aca="false">IFERROR(IF(M797="","",M797*INDEX('00 - Lists'!$M$2:$M$11,MATCH(L797,'00 - Lists'!$L$2:$L$11,0))/100000),"")</f>
        <v/>
      </c>
      <c r="P797" s="30" t="str">
        <f aca="false">IFERROR(IF(N797="","",N797*INDEX('00 - Lists'!$M$2:$M$11,MATCH(L797,'00 - Lists'!$L$2:$L$11,0))/100000),"")</f>
        <v/>
      </c>
      <c r="Q797" s="31" t="str">
        <f aca="false">IFERROR(IF(M797="","",M797*INDEX('00 - Lists'!$N$2:$N$11,MATCH(L797,'00 - Lists'!$L$2:$L$11,0))),"")</f>
        <v/>
      </c>
      <c r="R797" s="31" t="str">
        <f aca="false">IFERROR(IF(N797="","",N797*INDEX('00 - Lists'!$N$2:$N$11,MATCH(L797,'00 - Lists'!$L$2:$L$11,0))),"")</f>
        <v/>
      </c>
      <c r="S797" s="32" t="str">
        <f aca="false">IF(O797="","",IF(O797&gt;=50,"Yes","No"))</f>
        <v/>
      </c>
      <c r="T797" s="32" t="str">
        <f aca="false">IF(Q797="","",IF(Q797&gt;=100000,"Yes","No"))</f>
        <v/>
      </c>
      <c r="U797" s="28"/>
      <c r="V797" s="28"/>
      <c r="W797" s="28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J797" s="34" t="str">
        <f aca="false">IF(OR($BD797&lt;&gt;"",$BF797&lt;&gt;"",$BH797&lt;&gt;""),"Yes","No")</f>
        <v>No</v>
      </c>
      <c r="BK797" s="35" t="str">
        <f aca="false">IFERROR(IF(BD797="","",BD797*INDEX('00 - Lists'!$M$2:$M$11,MATCH(L797,'00 - Lists'!$L$2:$L$11,0))/100000),"")</f>
        <v/>
      </c>
      <c r="BL797" s="35" t="str">
        <f aca="false">IFERROR(IF(BE797="","",BE797*INDEX('00 - Lists'!$M$2:$M$11,MATCH(L797,'00 - Lists'!$L$2:$L$11,0))/100000),"")</f>
        <v/>
      </c>
      <c r="BM797" s="35" t="str">
        <f aca="false">IFERROR(IF(BF797="","",BF797*INDEX('00 - Lists'!$M$2:$M$11,MATCH(L797,'00 - Lists'!$L$2:$L$11,0))/100000),"")</f>
        <v/>
      </c>
      <c r="BN797" s="35" t="str">
        <f aca="false">IFERROR(IF(BG797="","",BG797*INDEX('00 - Lists'!$M$2:$M$11,MATCH(L797,'00 - Lists'!$L$2:$L$11,0))/100000),"")</f>
        <v/>
      </c>
      <c r="BO797" s="35" t="str">
        <f aca="false">IFERROR(IF(BH797="","",BH797*INDEX('00 - Lists'!$M$2:$M$11,MATCH(L797,'00 - Lists'!$L$2:$L$11,0))/100000),"")</f>
        <v/>
      </c>
      <c r="BP797" s="35" t="str">
        <f aca="false">IFERROR(IF(BI797="","",BI797*INDEX('00 - Lists'!$M$2:$M$11,MATCH(L797,'00 - Lists'!$L$2:$L$11,0))/100000),"")</f>
        <v/>
      </c>
      <c r="BS797" s="36" t="str">
        <f aca="false">IF(O797="","",IF(O797&gt;=20,"Yes","No"))</f>
        <v/>
      </c>
      <c r="BT797" s="36" t="str">
        <f aca="false">IF(O797="","",IF(O797&gt;=30,"Yes","No"))</f>
        <v/>
      </c>
      <c r="BU797" s="36" t="str">
        <f aca="false">IF(O797="","",IF(O797&gt;=75,"Yes","No"))</f>
        <v/>
      </c>
      <c r="BV797" s="36" t="str">
        <f aca="false">IF(O797="","",IF(O797&gt;=100,"Yes","No"))</f>
        <v/>
      </c>
      <c r="BW797" s="36" t="str">
        <f aca="false">IF(O797="","",IF(O797&gt;=150,"Yes","No"))</f>
        <v/>
      </c>
      <c r="BX797" s="36" t="str">
        <f aca="false">IF(O797="","",IF(O797&gt;=200,"Yes","No"))</f>
        <v/>
      </c>
      <c r="BY797" s="36" t="str">
        <f aca="false">IF(Q797="","",IF(Q797&gt;=150000,"Yes","No"))</f>
        <v/>
      </c>
      <c r="BZ797" s="36" t="str">
        <f aca="false">IF(Q797="","",IF(Q797&gt;=200000,"Yes","No"))</f>
        <v/>
      </c>
      <c r="CA797" s="36" t="str">
        <f aca="false">IF(Q797="","",IF(Q797&gt;=250000,"Yes","No"))</f>
        <v/>
      </c>
      <c r="CB797" s="36" t="str">
        <f aca="false">IF(Q797="","",IF(Q797&gt;=300000,"Yes","No"))</f>
        <v/>
      </c>
      <c r="CC797" s="37"/>
      <c r="CD797" s="36" t="str">
        <f aca="true">IF(B797="","",IF(TODAY()-B797&lt;=7,"🟢 0-7d",IF(TODAY()-B797&lt;=30,"🟡 8-30d",IF(TODAY()-B797&lt;=60,"🟠 31-60d","🔴 60d+"))))</f>
        <v/>
      </c>
      <c r="CE797" s="36" t="str">
        <f aca="false">IF(G797="","",IF(G797&lt;&gt;"USA","N/A - Not USA Role",IF(J797="Yes",IF(OR(F797="Intern",F797="New Grad"),"🟡 Possible","🟢 Strong"),IF(J797="No","🔴 Difficult","⚪ Unknown"))))</f>
        <v/>
      </c>
      <c r="CF797" s="37"/>
      <c r="CG797" s="37"/>
      <c r="CH797" s="38"/>
      <c r="CI797" s="38"/>
      <c r="CJ797" s="38"/>
      <c r="CK797" s="38"/>
    </row>
    <row r="798" customFormat="false" ht="15" hidden="false" customHeight="true" outlineLevel="0" collapsed="false">
      <c r="A798" s="26" t="str">
        <f aca="false">IF($C798="","",ROW()-3)</f>
        <v/>
      </c>
      <c r="B798" s="27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9"/>
      <c r="N798" s="29"/>
      <c r="O798" s="30" t="str">
        <f aca="false">IFERROR(IF(M798="","",M798*INDEX('00 - Lists'!$M$2:$M$11,MATCH(L798,'00 - Lists'!$L$2:$L$11,0))/100000),"")</f>
        <v/>
      </c>
      <c r="P798" s="30" t="str">
        <f aca="false">IFERROR(IF(N798="","",N798*INDEX('00 - Lists'!$M$2:$M$11,MATCH(L798,'00 - Lists'!$L$2:$L$11,0))/100000),"")</f>
        <v/>
      </c>
      <c r="Q798" s="31" t="str">
        <f aca="false">IFERROR(IF(M798="","",M798*INDEX('00 - Lists'!$N$2:$N$11,MATCH(L798,'00 - Lists'!$L$2:$L$11,0))),"")</f>
        <v/>
      </c>
      <c r="R798" s="31" t="str">
        <f aca="false">IFERROR(IF(N798="","",N798*INDEX('00 - Lists'!$N$2:$N$11,MATCH(L798,'00 - Lists'!$L$2:$L$11,0))),"")</f>
        <v/>
      </c>
      <c r="S798" s="32" t="str">
        <f aca="false">IF(O798="","",IF(O798&gt;=50,"Yes","No"))</f>
        <v/>
      </c>
      <c r="T798" s="32" t="str">
        <f aca="false">IF(Q798="","",IF(Q798&gt;=100000,"Yes","No"))</f>
        <v/>
      </c>
      <c r="U798" s="28"/>
      <c r="V798" s="28"/>
      <c r="W798" s="28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J798" s="34" t="str">
        <f aca="false">IF(OR($BD798&lt;&gt;"",$BF798&lt;&gt;"",$BH798&lt;&gt;""),"Yes","No")</f>
        <v>No</v>
      </c>
      <c r="BK798" s="35" t="str">
        <f aca="false">IFERROR(IF(BD798="","",BD798*INDEX('00 - Lists'!$M$2:$M$11,MATCH(L798,'00 - Lists'!$L$2:$L$11,0))/100000),"")</f>
        <v/>
      </c>
      <c r="BL798" s="35" t="str">
        <f aca="false">IFERROR(IF(BE798="","",BE798*INDEX('00 - Lists'!$M$2:$M$11,MATCH(L798,'00 - Lists'!$L$2:$L$11,0))/100000),"")</f>
        <v/>
      </c>
      <c r="BM798" s="35" t="str">
        <f aca="false">IFERROR(IF(BF798="","",BF798*INDEX('00 - Lists'!$M$2:$M$11,MATCH(L798,'00 - Lists'!$L$2:$L$11,0))/100000),"")</f>
        <v/>
      </c>
      <c r="BN798" s="35" t="str">
        <f aca="false">IFERROR(IF(BG798="","",BG798*INDEX('00 - Lists'!$M$2:$M$11,MATCH(L798,'00 - Lists'!$L$2:$L$11,0))/100000),"")</f>
        <v/>
      </c>
      <c r="BO798" s="35" t="str">
        <f aca="false">IFERROR(IF(BH798="","",BH798*INDEX('00 - Lists'!$M$2:$M$11,MATCH(L798,'00 - Lists'!$L$2:$L$11,0))/100000),"")</f>
        <v/>
      </c>
      <c r="BP798" s="35" t="str">
        <f aca="false">IFERROR(IF(BI798="","",BI798*INDEX('00 - Lists'!$M$2:$M$11,MATCH(L798,'00 - Lists'!$L$2:$L$11,0))/100000),"")</f>
        <v/>
      </c>
      <c r="BS798" s="36" t="str">
        <f aca="false">IF(O798="","",IF(O798&gt;=20,"Yes","No"))</f>
        <v/>
      </c>
      <c r="BT798" s="36" t="str">
        <f aca="false">IF(O798="","",IF(O798&gt;=30,"Yes","No"))</f>
        <v/>
      </c>
      <c r="BU798" s="36" t="str">
        <f aca="false">IF(O798="","",IF(O798&gt;=75,"Yes","No"))</f>
        <v/>
      </c>
      <c r="BV798" s="36" t="str">
        <f aca="false">IF(O798="","",IF(O798&gt;=100,"Yes","No"))</f>
        <v/>
      </c>
      <c r="BW798" s="36" t="str">
        <f aca="false">IF(O798="","",IF(O798&gt;=150,"Yes","No"))</f>
        <v/>
      </c>
      <c r="BX798" s="36" t="str">
        <f aca="false">IF(O798="","",IF(O798&gt;=200,"Yes","No"))</f>
        <v/>
      </c>
      <c r="BY798" s="36" t="str">
        <f aca="false">IF(Q798="","",IF(Q798&gt;=150000,"Yes","No"))</f>
        <v/>
      </c>
      <c r="BZ798" s="36" t="str">
        <f aca="false">IF(Q798="","",IF(Q798&gt;=200000,"Yes","No"))</f>
        <v/>
      </c>
      <c r="CA798" s="36" t="str">
        <f aca="false">IF(Q798="","",IF(Q798&gt;=250000,"Yes","No"))</f>
        <v/>
      </c>
      <c r="CB798" s="36" t="str">
        <f aca="false">IF(Q798="","",IF(Q798&gt;=300000,"Yes","No"))</f>
        <v/>
      </c>
      <c r="CC798" s="37"/>
      <c r="CD798" s="36" t="str">
        <f aca="true">IF(B798="","",IF(TODAY()-B798&lt;=7,"🟢 0-7d",IF(TODAY()-B798&lt;=30,"🟡 8-30d",IF(TODAY()-B798&lt;=60,"🟠 31-60d","🔴 60d+"))))</f>
        <v/>
      </c>
      <c r="CE798" s="36" t="str">
        <f aca="false">IF(G798="","",IF(G798&lt;&gt;"USA","N/A - Not USA Role",IF(J798="Yes",IF(OR(F798="Intern",F798="New Grad"),"🟡 Possible","🟢 Strong"),IF(J798="No","🔴 Difficult","⚪ Unknown"))))</f>
        <v/>
      </c>
      <c r="CF798" s="37"/>
      <c r="CG798" s="37"/>
      <c r="CH798" s="38"/>
      <c r="CI798" s="38"/>
      <c r="CJ798" s="38"/>
      <c r="CK798" s="38"/>
    </row>
    <row r="799" customFormat="false" ht="15" hidden="false" customHeight="true" outlineLevel="0" collapsed="false">
      <c r="A799" s="26" t="str">
        <f aca="false">IF($C799="","",ROW()-3)</f>
        <v/>
      </c>
      <c r="B799" s="27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9"/>
      <c r="N799" s="29"/>
      <c r="O799" s="30" t="str">
        <f aca="false">IFERROR(IF(M799="","",M799*INDEX('00 - Lists'!$M$2:$M$11,MATCH(L799,'00 - Lists'!$L$2:$L$11,0))/100000),"")</f>
        <v/>
      </c>
      <c r="P799" s="30" t="str">
        <f aca="false">IFERROR(IF(N799="","",N799*INDEX('00 - Lists'!$M$2:$M$11,MATCH(L799,'00 - Lists'!$L$2:$L$11,0))/100000),"")</f>
        <v/>
      </c>
      <c r="Q799" s="31" t="str">
        <f aca="false">IFERROR(IF(M799="","",M799*INDEX('00 - Lists'!$N$2:$N$11,MATCH(L799,'00 - Lists'!$L$2:$L$11,0))),"")</f>
        <v/>
      </c>
      <c r="R799" s="31" t="str">
        <f aca="false">IFERROR(IF(N799="","",N799*INDEX('00 - Lists'!$N$2:$N$11,MATCH(L799,'00 - Lists'!$L$2:$L$11,0))),"")</f>
        <v/>
      </c>
      <c r="S799" s="32" t="str">
        <f aca="false">IF(O799="","",IF(O799&gt;=50,"Yes","No"))</f>
        <v/>
      </c>
      <c r="T799" s="32" t="str">
        <f aca="false">IF(Q799="","",IF(Q799&gt;=100000,"Yes","No"))</f>
        <v/>
      </c>
      <c r="U799" s="28"/>
      <c r="V799" s="28"/>
      <c r="W799" s="28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J799" s="34" t="str">
        <f aca="false">IF(OR($BD799&lt;&gt;"",$BF799&lt;&gt;"",$BH799&lt;&gt;""),"Yes","No")</f>
        <v>No</v>
      </c>
      <c r="BK799" s="35" t="str">
        <f aca="false">IFERROR(IF(BD799="","",BD799*INDEX('00 - Lists'!$M$2:$M$11,MATCH(L799,'00 - Lists'!$L$2:$L$11,0))/100000),"")</f>
        <v/>
      </c>
      <c r="BL799" s="35" t="str">
        <f aca="false">IFERROR(IF(BE799="","",BE799*INDEX('00 - Lists'!$M$2:$M$11,MATCH(L799,'00 - Lists'!$L$2:$L$11,0))/100000),"")</f>
        <v/>
      </c>
      <c r="BM799" s="35" t="str">
        <f aca="false">IFERROR(IF(BF799="","",BF799*INDEX('00 - Lists'!$M$2:$M$11,MATCH(L799,'00 - Lists'!$L$2:$L$11,0))/100000),"")</f>
        <v/>
      </c>
      <c r="BN799" s="35" t="str">
        <f aca="false">IFERROR(IF(BG799="","",BG799*INDEX('00 - Lists'!$M$2:$M$11,MATCH(L799,'00 - Lists'!$L$2:$L$11,0))/100000),"")</f>
        <v/>
      </c>
      <c r="BO799" s="35" t="str">
        <f aca="false">IFERROR(IF(BH799="","",BH799*INDEX('00 - Lists'!$M$2:$M$11,MATCH(L799,'00 - Lists'!$L$2:$L$11,0))/100000),"")</f>
        <v/>
      </c>
      <c r="BP799" s="35" t="str">
        <f aca="false">IFERROR(IF(BI799="","",BI799*INDEX('00 - Lists'!$M$2:$M$11,MATCH(L799,'00 - Lists'!$L$2:$L$11,0))/100000),"")</f>
        <v/>
      </c>
      <c r="BS799" s="36" t="str">
        <f aca="false">IF(O799="","",IF(O799&gt;=20,"Yes","No"))</f>
        <v/>
      </c>
      <c r="BT799" s="36" t="str">
        <f aca="false">IF(O799="","",IF(O799&gt;=30,"Yes","No"))</f>
        <v/>
      </c>
      <c r="BU799" s="36" t="str">
        <f aca="false">IF(O799="","",IF(O799&gt;=75,"Yes","No"))</f>
        <v/>
      </c>
      <c r="BV799" s="36" t="str">
        <f aca="false">IF(O799="","",IF(O799&gt;=100,"Yes","No"))</f>
        <v/>
      </c>
      <c r="BW799" s="36" t="str">
        <f aca="false">IF(O799="","",IF(O799&gt;=150,"Yes","No"))</f>
        <v/>
      </c>
      <c r="BX799" s="36" t="str">
        <f aca="false">IF(O799="","",IF(O799&gt;=200,"Yes","No"))</f>
        <v/>
      </c>
      <c r="BY799" s="36" t="str">
        <f aca="false">IF(Q799="","",IF(Q799&gt;=150000,"Yes","No"))</f>
        <v/>
      </c>
      <c r="BZ799" s="36" t="str">
        <f aca="false">IF(Q799="","",IF(Q799&gt;=200000,"Yes","No"))</f>
        <v/>
      </c>
      <c r="CA799" s="36" t="str">
        <f aca="false">IF(Q799="","",IF(Q799&gt;=250000,"Yes","No"))</f>
        <v/>
      </c>
      <c r="CB799" s="36" t="str">
        <f aca="false">IF(Q799="","",IF(Q799&gt;=300000,"Yes","No"))</f>
        <v/>
      </c>
      <c r="CC799" s="37"/>
      <c r="CD799" s="36" t="str">
        <f aca="true">IF(B799="","",IF(TODAY()-B799&lt;=7,"🟢 0-7d",IF(TODAY()-B799&lt;=30,"🟡 8-30d",IF(TODAY()-B799&lt;=60,"🟠 31-60d","🔴 60d+"))))</f>
        <v/>
      </c>
      <c r="CE799" s="36" t="str">
        <f aca="false">IF(G799="","",IF(G799&lt;&gt;"USA","N/A - Not USA Role",IF(J799="Yes",IF(OR(F799="Intern",F799="New Grad"),"🟡 Possible","🟢 Strong"),IF(J799="No","🔴 Difficult","⚪ Unknown"))))</f>
        <v/>
      </c>
      <c r="CF799" s="37"/>
      <c r="CG799" s="37"/>
      <c r="CH799" s="38"/>
      <c r="CI799" s="38"/>
      <c r="CJ799" s="38"/>
      <c r="CK799" s="38"/>
    </row>
    <row r="800" customFormat="false" ht="15" hidden="false" customHeight="true" outlineLevel="0" collapsed="false">
      <c r="A800" s="26" t="str">
        <f aca="false">IF($C800="","",ROW()-3)</f>
        <v/>
      </c>
      <c r="B800" s="27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9"/>
      <c r="N800" s="29"/>
      <c r="O800" s="30" t="str">
        <f aca="false">IFERROR(IF(M800="","",M800*INDEX('00 - Lists'!$M$2:$M$11,MATCH(L800,'00 - Lists'!$L$2:$L$11,0))/100000),"")</f>
        <v/>
      </c>
      <c r="P800" s="30" t="str">
        <f aca="false">IFERROR(IF(N800="","",N800*INDEX('00 - Lists'!$M$2:$M$11,MATCH(L800,'00 - Lists'!$L$2:$L$11,0))/100000),"")</f>
        <v/>
      </c>
      <c r="Q800" s="31" t="str">
        <f aca="false">IFERROR(IF(M800="","",M800*INDEX('00 - Lists'!$N$2:$N$11,MATCH(L800,'00 - Lists'!$L$2:$L$11,0))),"")</f>
        <v/>
      </c>
      <c r="R800" s="31" t="str">
        <f aca="false">IFERROR(IF(N800="","",N800*INDEX('00 - Lists'!$N$2:$N$11,MATCH(L800,'00 - Lists'!$L$2:$L$11,0))),"")</f>
        <v/>
      </c>
      <c r="S800" s="32" t="str">
        <f aca="false">IF(O800="","",IF(O800&gt;=50,"Yes","No"))</f>
        <v/>
      </c>
      <c r="T800" s="32" t="str">
        <f aca="false">IF(Q800="","",IF(Q800&gt;=100000,"Yes","No"))</f>
        <v/>
      </c>
      <c r="U800" s="28"/>
      <c r="V800" s="28"/>
      <c r="W800" s="28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J800" s="34" t="str">
        <f aca="false">IF(OR($BD800&lt;&gt;"",$BF800&lt;&gt;"",$BH800&lt;&gt;""),"Yes","No")</f>
        <v>No</v>
      </c>
      <c r="BK800" s="35" t="str">
        <f aca="false">IFERROR(IF(BD800="","",BD800*INDEX('00 - Lists'!$M$2:$M$11,MATCH(L800,'00 - Lists'!$L$2:$L$11,0))/100000),"")</f>
        <v/>
      </c>
      <c r="BL800" s="35" t="str">
        <f aca="false">IFERROR(IF(BE800="","",BE800*INDEX('00 - Lists'!$M$2:$M$11,MATCH(L800,'00 - Lists'!$L$2:$L$11,0))/100000),"")</f>
        <v/>
      </c>
      <c r="BM800" s="35" t="str">
        <f aca="false">IFERROR(IF(BF800="","",BF800*INDEX('00 - Lists'!$M$2:$M$11,MATCH(L800,'00 - Lists'!$L$2:$L$11,0))/100000),"")</f>
        <v/>
      </c>
      <c r="BN800" s="35" t="str">
        <f aca="false">IFERROR(IF(BG800="","",BG800*INDEX('00 - Lists'!$M$2:$M$11,MATCH(L800,'00 - Lists'!$L$2:$L$11,0))/100000),"")</f>
        <v/>
      </c>
      <c r="BO800" s="35" t="str">
        <f aca="false">IFERROR(IF(BH800="","",BH800*INDEX('00 - Lists'!$M$2:$M$11,MATCH(L800,'00 - Lists'!$L$2:$L$11,0))/100000),"")</f>
        <v/>
      </c>
      <c r="BP800" s="35" t="str">
        <f aca="false">IFERROR(IF(BI800="","",BI800*INDEX('00 - Lists'!$M$2:$M$11,MATCH(L800,'00 - Lists'!$L$2:$L$11,0))/100000),"")</f>
        <v/>
      </c>
      <c r="BS800" s="36" t="str">
        <f aca="false">IF(O800="","",IF(O800&gt;=20,"Yes","No"))</f>
        <v/>
      </c>
      <c r="BT800" s="36" t="str">
        <f aca="false">IF(O800="","",IF(O800&gt;=30,"Yes","No"))</f>
        <v/>
      </c>
      <c r="BU800" s="36" t="str">
        <f aca="false">IF(O800="","",IF(O800&gt;=75,"Yes","No"))</f>
        <v/>
      </c>
      <c r="BV800" s="36" t="str">
        <f aca="false">IF(O800="","",IF(O800&gt;=100,"Yes","No"))</f>
        <v/>
      </c>
      <c r="BW800" s="36" t="str">
        <f aca="false">IF(O800="","",IF(O800&gt;=150,"Yes","No"))</f>
        <v/>
      </c>
      <c r="BX800" s="36" t="str">
        <f aca="false">IF(O800="","",IF(O800&gt;=200,"Yes","No"))</f>
        <v/>
      </c>
      <c r="BY800" s="36" t="str">
        <f aca="false">IF(Q800="","",IF(Q800&gt;=150000,"Yes","No"))</f>
        <v/>
      </c>
      <c r="BZ800" s="36" t="str">
        <f aca="false">IF(Q800="","",IF(Q800&gt;=200000,"Yes","No"))</f>
        <v/>
      </c>
      <c r="CA800" s="36" t="str">
        <f aca="false">IF(Q800="","",IF(Q800&gt;=250000,"Yes","No"))</f>
        <v/>
      </c>
      <c r="CB800" s="36" t="str">
        <f aca="false">IF(Q800="","",IF(Q800&gt;=300000,"Yes","No"))</f>
        <v/>
      </c>
      <c r="CC800" s="37"/>
      <c r="CD800" s="36" t="str">
        <f aca="true">IF(B800="","",IF(TODAY()-B800&lt;=7,"🟢 0-7d",IF(TODAY()-B800&lt;=30,"🟡 8-30d",IF(TODAY()-B800&lt;=60,"🟠 31-60d","🔴 60d+"))))</f>
        <v/>
      </c>
      <c r="CE800" s="36" t="str">
        <f aca="false">IF(G800="","",IF(G800&lt;&gt;"USA","N/A - Not USA Role",IF(J800="Yes",IF(OR(F800="Intern",F800="New Grad"),"🟡 Possible","🟢 Strong"),IF(J800="No","🔴 Difficult","⚪ Unknown"))))</f>
        <v/>
      </c>
      <c r="CF800" s="37"/>
      <c r="CG800" s="37"/>
      <c r="CH800" s="38"/>
      <c r="CI800" s="38"/>
      <c r="CJ800" s="38"/>
      <c r="CK800" s="38"/>
    </row>
    <row r="801" customFormat="false" ht="15" hidden="false" customHeight="true" outlineLevel="0" collapsed="false">
      <c r="A801" s="26" t="str">
        <f aca="false">IF($C801="","",ROW()-3)</f>
        <v/>
      </c>
      <c r="B801" s="27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9"/>
      <c r="N801" s="29"/>
      <c r="O801" s="30" t="str">
        <f aca="false">IFERROR(IF(M801="","",M801*INDEX('00 - Lists'!$M$2:$M$11,MATCH(L801,'00 - Lists'!$L$2:$L$11,0))/100000),"")</f>
        <v/>
      </c>
      <c r="P801" s="30" t="str">
        <f aca="false">IFERROR(IF(N801="","",N801*INDEX('00 - Lists'!$M$2:$M$11,MATCH(L801,'00 - Lists'!$L$2:$L$11,0))/100000),"")</f>
        <v/>
      </c>
      <c r="Q801" s="31" t="str">
        <f aca="false">IFERROR(IF(M801="","",M801*INDEX('00 - Lists'!$N$2:$N$11,MATCH(L801,'00 - Lists'!$L$2:$L$11,0))),"")</f>
        <v/>
      </c>
      <c r="R801" s="31" t="str">
        <f aca="false">IFERROR(IF(N801="","",N801*INDEX('00 - Lists'!$N$2:$N$11,MATCH(L801,'00 - Lists'!$L$2:$L$11,0))),"")</f>
        <v/>
      </c>
      <c r="S801" s="32" t="str">
        <f aca="false">IF(O801="","",IF(O801&gt;=50,"Yes","No"))</f>
        <v/>
      </c>
      <c r="T801" s="32" t="str">
        <f aca="false">IF(Q801="","",IF(Q801&gt;=100000,"Yes","No"))</f>
        <v/>
      </c>
      <c r="U801" s="28"/>
      <c r="V801" s="28"/>
      <c r="W801" s="28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J801" s="34" t="str">
        <f aca="false">IF(OR($BD801&lt;&gt;"",$BF801&lt;&gt;"",$BH801&lt;&gt;""),"Yes","No")</f>
        <v>No</v>
      </c>
      <c r="BK801" s="35" t="str">
        <f aca="false">IFERROR(IF(BD801="","",BD801*INDEX('00 - Lists'!$M$2:$M$11,MATCH(L801,'00 - Lists'!$L$2:$L$11,0))/100000),"")</f>
        <v/>
      </c>
      <c r="BL801" s="35" t="str">
        <f aca="false">IFERROR(IF(BE801="","",BE801*INDEX('00 - Lists'!$M$2:$M$11,MATCH(L801,'00 - Lists'!$L$2:$L$11,0))/100000),"")</f>
        <v/>
      </c>
      <c r="BM801" s="35" t="str">
        <f aca="false">IFERROR(IF(BF801="","",BF801*INDEX('00 - Lists'!$M$2:$M$11,MATCH(L801,'00 - Lists'!$L$2:$L$11,0))/100000),"")</f>
        <v/>
      </c>
      <c r="BN801" s="35" t="str">
        <f aca="false">IFERROR(IF(BG801="","",BG801*INDEX('00 - Lists'!$M$2:$M$11,MATCH(L801,'00 - Lists'!$L$2:$L$11,0))/100000),"")</f>
        <v/>
      </c>
      <c r="BO801" s="35" t="str">
        <f aca="false">IFERROR(IF(BH801="","",BH801*INDEX('00 - Lists'!$M$2:$M$11,MATCH(L801,'00 - Lists'!$L$2:$L$11,0))/100000),"")</f>
        <v/>
      </c>
      <c r="BP801" s="35" t="str">
        <f aca="false">IFERROR(IF(BI801="","",BI801*INDEX('00 - Lists'!$M$2:$M$11,MATCH(L801,'00 - Lists'!$L$2:$L$11,0))/100000),"")</f>
        <v/>
      </c>
      <c r="BS801" s="36" t="str">
        <f aca="false">IF(O801="","",IF(O801&gt;=20,"Yes","No"))</f>
        <v/>
      </c>
      <c r="BT801" s="36" t="str">
        <f aca="false">IF(O801="","",IF(O801&gt;=30,"Yes","No"))</f>
        <v/>
      </c>
      <c r="BU801" s="36" t="str">
        <f aca="false">IF(O801="","",IF(O801&gt;=75,"Yes","No"))</f>
        <v/>
      </c>
      <c r="BV801" s="36" t="str">
        <f aca="false">IF(O801="","",IF(O801&gt;=100,"Yes","No"))</f>
        <v/>
      </c>
      <c r="BW801" s="36" t="str">
        <f aca="false">IF(O801="","",IF(O801&gt;=150,"Yes","No"))</f>
        <v/>
      </c>
      <c r="BX801" s="36" t="str">
        <f aca="false">IF(O801="","",IF(O801&gt;=200,"Yes","No"))</f>
        <v/>
      </c>
      <c r="BY801" s="36" t="str">
        <f aca="false">IF(Q801="","",IF(Q801&gt;=150000,"Yes","No"))</f>
        <v/>
      </c>
      <c r="BZ801" s="36" t="str">
        <f aca="false">IF(Q801="","",IF(Q801&gt;=200000,"Yes","No"))</f>
        <v/>
      </c>
      <c r="CA801" s="36" t="str">
        <f aca="false">IF(Q801="","",IF(Q801&gt;=250000,"Yes","No"))</f>
        <v/>
      </c>
      <c r="CB801" s="36" t="str">
        <f aca="false">IF(Q801="","",IF(Q801&gt;=300000,"Yes","No"))</f>
        <v/>
      </c>
      <c r="CC801" s="37"/>
      <c r="CD801" s="36" t="str">
        <f aca="true">IF(B801="","",IF(TODAY()-B801&lt;=7,"🟢 0-7d",IF(TODAY()-B801&lt;=30,"🟡 8-30d",IF(TODAY()-B801&lt;=60,"🟠 31-60d","🔴 60d+"))))</f>
        <v/>
      </c>
      <c r="CE801" s="36" t="str">
        <f aca="false">IF(G801="","",IF(G801&lt;&gt;"USA","N/A - Not USA Role",IF(J801="Yes",IF(OR(F801="Intern",F801="New Grad"),"🟡 Possible","🟢 Strong"),IF(J801="No","🔴 Difficult","⚪ Unknown"))))</f>
        <v/>
      </c>
      <c r="CF801" s="37"/>
      <c r="CG801" s="37"/>
      <c r="CH801" s="38"/>
      <c r="CI801" s="38"/>
      <c r="CJ801" s="38"/>
      <c r="CK801" s="38"/>
    </row>
    <row r="802" customFormat="false" ht="15" hidden="false" customHeight="true" outlineLevel="0" collapsed="false">
      <c r="A802" s="26" t="str">
        <f aca="false">IF($C802="","",ROW()-3)</f>
        <v/>
      </c>
      <c r="B802" s="27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9"/>
      <c r="N802" s="29"/>
      <c r="O802" s="30" t="str">
        <f aca="false">IFERROR(IF(M802="","",M802*INDEX('00 - Lists'!$M$2:$M$11,MATCH(L802,'00 - Lists'!$L$2:$L$11,0))/100000),"")</f>
        <v/>
      </c>
      <c r="P802" s="30" t="str">
        <f aca="false">IFERROR(IF(N802="","",N802*INDEX('00 - Lists'!$M$2:$M$11,MATCH(L802,'00 - Lists'!$L$2:$L$11,0))/100000),"")</f>
        <v/>
      </c>
      <c r="Q802" s="31" t="str">
        <f aca="false">IFERROR(IF(M802="","",M802*INDEX('00 - Lists'!$N$2:$N$11,MATCH(L802,'00 - Lists'!$L$2:$L$11,0))),"")</f>
        <v/>
      </c>
      <c r="R802" s="31" t="str">
        <f aca="false">IFERROR(IF(N802="","",N802*INDEX('00 - Lists'!$N$2:$N$11,MATCH(L802,'00 - Lists'!$L$2:$L$11,0))),"")</f>
        <v/>
      </c>
      <c r="S802" s="32" t="str">
        <f aca="false">IF(O802="","",IF(O802&gt;=50,"Yes","No"))</f>
        <v/>
      </c>
      <c r="T802" s="32" t="str">
        <f aca="false">IF(Q802="","",IF(Q802&gt;=100000,"Yes","No"))</f>
        <v/>
      </c>
      <c r="U802" s="28"/>
      <c r="V802" s="28"/>
      <c r="W802" s="28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J802" s="34" t="str">
        <f aca="false">IF(OR($BD802&lt;&gt;"",$BF802&lt;&gt;"",$BH802&lt;&gt;""),"Yes","No")</f>
        <v>No</v>
      </c>
      <c r="BK802" s="35" t="str">
        <f aca="false">IFERROR(IF(BD802="","",BD802*INDEX('00 - Lists'!$M$2:$M$11,MATCH(L802,'00 - Lists'!$L$2:$L$11,0))/100000),"")</f>
        <v/>
      </c>
      <c r="BL802" s="35" t="str">
        <f aca="false">IFERROR(IF(BE802="","",BE802*INDEX('00 - Lists'!$M$2:$M$11,MATCH(L802,'00 - Lists'!$L$2:$L$11,0))/100000),"")</f>
        <v/>
      </c>
      <c r="BM802" s="35" t="str">
        <f aca="false">IFERROR(IF(BF802="","",BF802*INDEX('00 - Lists'!$M$2:$M$11,MATCH(L802,'00 - Lists'!$L$2:$L$11,0))/100000),"")</f>
        <v/>
      </c>
      <c r="BN802" s="35" t="str">
        <f aca="false">IFERROR(IF(BG802="","",BG802*INDEX('00 - Lists'!$M$2:$M$11,MATCH(L802,'00 - Lists'!$L$2:$L$11,0))/100000),"")</f>
        <v/>
      </c>
      <c r="BO802" s="35" t="str">
        <f aca="false">IFERROR(IF(BH802="","",BH802*INDEX('00 - Lists'!$M$2:$M$11,MATCH(L802,'00 - Lists'!$L$2:$L$11,0))/100000),"")</f>
        <v/>
      </c>
      <c r="BP802" s="35" t="str">
        <f aca="false">IFERROR(IF(BI802="","",BI802*INDEX('00 - Lists'!$M$2:$M$11,MATCH(L802,'00 - Lists'!$L$2:$L$11,0))/100000),"")</f>
        <v/>
      </c>
      <c r="BS802" s="36" t="str">
        <f aca="false">IF(O802="","",IF(O802&gt;=20,"Yes","No"))</f>
        <v/>
      </c>
      <c r="BT802" s="36" t="str">
        <f aca="false">IF(O802="","",IF(O802&gt;=30,"Yes","No"))</f>
        <v/>
      </c>
      <c r="BU802" s="36" t="str">
        <f aca="false">IF(O802="","",IF(O802&gt;=75,"Yes","No"))</f>
        <v/>
      </c>
      <c r="BV802" s="36" t="str">
        <f aca="false">IF(O802="","",IF(O802&gt;=100,"Yes","No"))</f>
        <v/>
      </c>
      <c r="BW802" s="36" t="str">
        <f aca="false">IF(O802="","",IF(O802&gt;=150,"Yes","No"))</f>
        <v/>
      </c>
      <c r="BX802" s="36" t="str">
        <f aca="false">IF(O802="","",IF(O802&gt;=200,"Yes","No"))</f>
        <v/>
      </c>
      <c r="BY802" s="36" t="str">
        <f aca="false">IF(Q802="","",IF(Q802&gt;=150000,"Yes","No"))</f>
        <v/>
      </c>
      <c r="BZ802" s="36" t="str">
        <f aca="false">IF(Q802="","",IF(Q802&gt;=200000,"Yes","No"))</f>
        <v/>
      </c>
      <c r="CA802" s="36" t="str">
        <f aca="false">IF(Q802="","",IF(Q802&gt;=250000,"Yes","No"))</f>
        <v/>
      </c>
      <c r="CB802" s="36" t="str">
        <f aca="false">IF(Q802="","",IF(Q802&gt;=300000,"Yes","No"))</f>
        <v/>
      </c>
      <c r="CC802" s="37"/>
      <c r="CD802" s="36" t="str">
        <f aca="true">IF(B802="","",IF(TODAY()-B802&lt;=7,"🟢 0-7d",IF(TODAY()-B802&lt;=30,"🟡 8-30d",IF(TODAY()-B802&lt;=60,"🟠 31-60d","🔴 60d+"))))</f>
        <v/>
      </c>
      <c r="CE802" s="36" t="str">
        <f aca="false">IF(G802="","",IF(G802&lt;&gt;"USA","N/A - Not USA Role",IF(J802="Yes",IF(OR(F802="Intern",F802="New Grad"),"🟡 Possible","🟢 Strong"),IF(J802="No","🔴 Difficult","⚪ Unknown"))))</f>
        <v/>
      </c>
      <c r="CF802" s="37"/>
      <c r="CG802" s="37"/>
      <c r="CH802" s="38"/>
      <c r="CI802" s="38"/>
      <c r="CJ802" s="38"/>
      <c r="CK802" s="38"/>
    </row>
    <row r="803" customFormat="false" ht="15" hidden="false" customHeight="true" outlineLevel="0" collapsed="false">
      <c r="A803" s="26" t="str">
        <f aca="false">IF($C803="","",ROW()-3)</f>
        <v/>
      </c>
      <c r="B803" s="27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9"/>
      <c r="N803" s="29"/>
      <c r="O803" s="30" t="str">
        <f aca="false">IFERROR(IF(M803="","",M803*INDEX('00 - Lists'!$M$2:$M$11,MATCH(L803,'00 - Lists'!$L$2:$L$11,0))/100000),"")</f>
        <v/>
      </c>
      <c r="P803" s="30" t="str">
        <f aca="false">IFERROR(IF(N803="","",N803*INDEX('00 - Lists'!$M$2:$M$11,MATCH(L803,'00 - Lists'!$L$2:$L$11,0))/100000),"")</f>
        <v/>
      </c>
      <c r="Q803" s="31" t="str">
        <f aca="false">IFERROR(IF(M803="","",M803*INDEX('00 - Lists'!$N$2:$N$11,MATCH(L803,'00 - Lists'!$L$2:$L$11,0))),"")</f>
        <v/>
      </c>
      <c r="R803" s="31" t="str">
        <f aca="false">IFERROR(IF(N803="","",N803*INDEX('00 - Lists'!$N$2:$N$11,MATCH(L803,'00 - Lists'!$L$2:$L$11,0))),"")</f>
        <v/>
      </c>
      <c r="S803" s="32" t="str">
        <f aca="false">IF(O803="","",IF(O803&gt;=50,"Yes","No"))</f>
        <v/>
      </c>
      <c r="T803" s="32" t="str">
        <f aca="false">IF(Q803="","",IF(Q803&gt;=100000,"Yes","No"))</f>
        <v/>
      </c>
      <c r="U803" s="28"/>
      <c r="V803" s="28"/>
      <c r="W803" s="28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J803" s="34" t="str">
        <f aca="false">IF(OR($BD803&lt;&gt;"",$BF803&lt;&gt;"",$BH803&lt;&gt;""),"Yes","No")</f>
        <v>No</v>
      </c>
      <c r="BK803" s="35" t="str">
        <f aca="false">IFERROR(IF(BD803="","",BD803*INDEX('00 - Lists'!$M$2:$M$11,MATCH(L803,'00 - Lists'!$L$2:$L$11,0))/100000),"")</f>
        <v/>
      </c>
      <c r="BL803" s="35" t="str">
        <f aca="false">IFERROR(IF(BE803="","",BE803*INDEX('00 - Lists'!$M$2:$M$11,MATCH(L803,'00 - Lists'!$L$2:$L$11,0))/100000),"")</f>
        <v/>
      </c>
      <c r="BM803" s="35" t="str">
        <f aca="false">IFERROR(IF(BF803="","",BF803*INDEX('00 - Lists'!$M$2:$M$11,MATCH(L803,'00 - Lists'!$L$2:$L$11,0))/100000),"")</f>
        <v/>
      </c>
      <c r="BN803" s="35" t="str">
        <f aca="false">IFERROR(IF(BG803="","",BG803*INDEX('00 - Lists'!$M$2:$M$11,MATCH(L803,'00 - Lists'!$L$2:$L$11,0))/100000),"")</f>
        <v/>
      </c>
      <c r="BO803" s="35" t="str">
        <f aca="false">IFERROR(IF(BH803="","",BH803*INDEX('00 - Lists'!$M$2:$M$11,MATCH(L803,'00 - Lists'!$L$2:$L$11,0))/100000),"")</f>
        <v/>
      </c>
      <c r="BP803" s="35" t="str">
        <f aca="false">IFERROR(IF(BI803="","",BI803*INDEX('00 - Lists'!$M$2:$M$11,MATCH(L803,'00 - Lists'!$L$2:$L$11,0))/100000),"")</f>
        <v/>
      </c>
      <c r="BS803" s="36" t="str">
        <f aca="false">IF(O803="","",IF(O803&gt;=20,"Yes","No"))</f>
        <v/>
      </c>
      <c r="BT803" s="36" t="str">
        <f aca="false">IF(O803="","",IF(O803&gt;=30,"Yes","No"))</f>
        <v/>
      </c>
      <c r="BU803" s="36" t="str">
        <f aca="false">IF(O803="","",IF(O803&gt;=75,"Yes","No"))</f>
        <v/>
      </c>
      <c r="BV803" s="36" t="str">
        <f aca="false">IF(O803="","",IF(O803&gt;=100,"Yes","No"))</f>
        <v/>
      </c>
      <c r="BW803" s="36" t="str">
        <f aca="false">IF(O803="","",IF(O803&gt;=150,"Yes","No"))</f>
        <v/>
      </c>
      <c r="BX803" s="36" t="str">
        <f aca="false">IF(O803="","",IF(O803&gt;=200,"Yes","No"))</f>
        <v/>
      </c>
      <c r="BY803" s="36" t="str">
        <f aca="false">IF(Q803="","",IF(Q803&gt;=150000,"Yes","No"))</f>
        <v/>
      </c>
      <c r="BZ803" s="36" t="str">
        <f aca="false">IF(Q803="","",IF(Q803&gt;=200000,"Yes","No"))</f>
        <v/>
      </c>
      <c r="CA803" s="36" t="str">
        <f aca="false">IF(Q803="","",IF(Q803&gt;=250000,"Yes","No"))</f>
        <v/>
      </c>
      <c r="CB803" s="36" t="str">
        <f aca="false">IF(Q803="","",IF(Q803&gt;=300000,"Yes","No"))</f>
        <v/>
      </c>
      <c r="CC803" s="37"/>
      <c r="CD803" s="36" t="str">
        <f aca="true">IF(B803="","",IF(TODAY()-B803&lt;=7,"🟢 0-7d",IF(TODAY()-B803&lt;=30,"🟡 8-30d",IF(TODAY()-B803&lt;=60,"🟠 31-60d","🔴 60d+"))))</f>
        <v/>
      </c>
      <c r="CE803" s="36" t="str">
        <f aca="false">IF(G803="","",IF(G803&lt;&gt;"USA","N/A - Not USA Role",IF(J803="Yes",IF(OR(F803="Intern",F803="New Grad"),"🟡 Possible","🟢 Strong"),IF(J803="No","🔴 Difficult","⚪ Unknown"))))</f>
        <v/>
      </c>
      <c r="CF803" s="37"/>
      <c r="CG803" s="37"/>
      <c r="CH803" s="38"/>
      <c r="CI803" s="38"/>
      <c r="CJ803" s="38"/>
      <c r="CK803" s="38"/>
    </row>
    <row r="804" customFormat="false" ht="15" hidden="false" customHeight="true" outlineLevel="0" collapsed="false">
      <c r="A804" s="26" t="str">
        <f aca="false">IF($C804="","",ROW()-3)</f>
        <v/>
      </c>
      <c r="B804" s="27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9"/>
      <c r="N804" s="29"/>
      <c r="O804" s="30" t="str">
        <f aca="false">IFERROR(IF(M804="","",M804*INDEX('00 - Lists'!$M$2:$M$11,MATCH(L804,'00 - Lists'!$L$2:$L$11,0))/100000),"")</f>
        <v/>
      </c>
      <c r="P804" s="30" t="str">
        <f aca="false">IFERROR(IF(N804="","",N804*INDEX('00 - Lists'!$M$2:$M$11,MATCH(L804,'00 - Lists'!$L$2:$L$11,0))/100000),"")</f>
        <v/>
      </c>
      <c r="Q804" s="31" t="str">
        <f aca="false">IFERROR(IF(M804="","",M804*INDEX('00 - Lists'!$N$2:$N$11,MATCH(L804,'00 - Lists'!$L$2:$L$11,0))),"")</f>
        <v/>
      </c>
      <c r="R804" s="31" t="str">
        <f aca="false">IFERROR(IF(N804="","",N804*INDEX('00 - Lists'!$N$2:$N$11,MATCH(L804,'00 - Lists'!$L$2:$L$11,0))),"")</f>
        <v/>
      </c>
      <c r="S804" s="32" t="str">
        <f aca="false">IF(O804="","",IF(O804&gt;=50,"Yes","No"))</f>
        <v/>
      </c>
      <c r="T804" s="32" t="str">
        <f aca="false">IF(Q804="","",IF(Q804&gt;=100000,"Yes","No"))</f>
        <v/>
      </c>
      <c r="U804" s="28"/>
      <c r="V804" s="28"/>
      <c r="W804" s="28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J804" s="34" t="str">
        <f aca="false">IF(OR($BD804&lt;&gt;"",$BF804&lt;&gt;"",$BH804&lt;&gt;""),"Yes","No")</f>
        <v>No</v>
      </c>
      <c r="BK804" s="35" t="str">
        <f aca="false">IFERROR(IF(BD804="","",BD804*INDEX('00 - Lists'!$M$2:$M$11,MATCH(L804,'00 - Lists'!$L$2:$L$11,0))/100000),"")</f>
        <v/>
      </c>
      <c r="BL804" s="35" t="str">
        <f aca="false">IFERROR(IF(BE804="","",BE804*INDEX('00 - Lists'!$M$2:$M$11,MATCH(L804,'00 - Lists'!$L$2:$L$11,0))/100000),"")</f>
        <v/>
      </c>
      <c r="BM804" s="35" t="str">
        <f aca="false">IFERROR(IF(BF804="","",BF804*INDEX('00 - Lists'!$M$2:$M$11,MATCH(L804,'00 - Lists'!$L$2:$L$11,0))/100000),"")</f>
        <v/>
      </c>
      <c r="BN804" s="35" t="str">
        <f aca="false">IFERROR(IF(BG804="","",BG804*INDEX('00 - Lists'!$M$2:$M$11,MATCH(L804,'00 - Lists'!$L$2:$L$11,0))/100000),"")</f>
        <v/>
      </c>
      <c r="BO804" s="35" t="str">
        <f aca="false">IFERROR(IF(BH804="","",BH804*INDEX('00 - Lists'!$M$2:$M$11,MATCH(L804,'00 - Lists'!$L$2:$L$11,0))/100000),"")</f>
        <v/>
      </c>
      <c r="BP804" s="35" t="str">
        <f aca="false">IFERROR(IF(BI804="","",BI804*INDEX('00 - Lists'!$M$2:$M$11,MATCH(L804,'00 - Lists'!$L$2:$L$11,0))/100000),"")</f>
        <v/>
      </c>
      <c r="BS804" s="36" t="str">
        <f aca="false">IF(O804="","",IF(O804&gt;=20,"Yes","No"))</f>
        <v/>
      </c>
      <c r="BT804" s="36" t="str">
        <f aca="false">IF(O804="","",IF(O804&gt;=30,"Yes","No"))</f>
        <v/>
      </c>
      <c r="BU804" s="36" t="str">
        <f aca="false">IF(O804="","",IF(O804&gt;=75,"Yes","No"))</f>
        <v/>
      </c>
      <c r="BV804" s="36" t="str">
        <f aca="false">IF(O804="","",IF(O804&gt;=100,"Yes","No"))</f>
        <v/>
      </c>
      <c r="BW804" s="36" t="str">
        <f aca="false">IF(O804="","",IF(O804&gt;=150,"Yes","No"))</f>
        <v/>
      </c>
      <c r="BX804" s="36" t="str">
        <f aca="false">IF(O804="","",IF(O804&gt;=200,"Yes","No"))</f>
        <v/>
      </c>
      <c r="BY804" s="36" t="str">
        <f aca="false">IF(Q804="","",IF(Q804&gt;=150000,"Yes","No"))</f>
        <v/>
      </c>
      <c r="BZ804" s="36" t="str">
        <f aca="false">IF(Q804="","",IF(Q804&gt;=200000,"Yes","No"))</f>
        <v/>
      </c>
      <c r="CA804" s="36" t="str">
        <f aca="false">IF(Q804="","",IF(Q804&gt;=250000,"Yes","No"))</f>
        <v/>
      </c>
      <c r="CB804" s="36" t="str">
        <f aca="false">IF(Q804="","",IF(Q804&gt;=300000,"Yes","No"))</f>
        <v/>
      </c>
      <c r="CC804" s="37"/>
      <c r="CD804" s="36" t="str">
        <f aca="true">IF(B804="","",IF(TODAY()-B804&lt;=7,"🟢 0-7d",IF(TODAY()-B804&lt;=30,"🟡 8-30d",IF(TODAY()-B804&lt;=60,"🟠 31-60d","🔴 60d+"))))</f>
        <v/>
      </c>
      <c r="CE804" s="36" t="str">
        <f aca="false">IF(G804="","",IF(G804&lt;&gt;"USA","N/A - Not USA Role",IF(J804="Yes",IF(OR(F804="Intern",F804="New Grad"),"🟡 Possible","🟢 Strong"),IF(J804="No","🔴 Difficult","⚪ Unknown"))))</f>
        <v/>
      </c>
      <c r="CF804" s="37"/>
      <c r="CG804" s="37"/>
      <c r="CH804" s="38"/>
      <c r="CI804" s="38"/>
      <c r="CJ804" s="38"/>
      <c r="CK804" s="38"/>
    </row>
    <row r="805" customFormat="false" ht="15" hidden="false" customHeight="true" outlineLevel="0" collapsed="false">
      <c r="A805" s="26" t="str">
        <f aca="false">IF($C805="","",ROW()-3)</f>
        <v/>
      </c>
      <c r="B805" s="27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9"/>
      <c r="N805" s="29"/>
      <c r="O805" s="30" t="str">
        <f aca="false">IFERROR(IF(M805="","",M805*INDEX('00 - Lists'!$M$2:$M$11,MATCH(L805,'00 - Lists'!$L$2:$L$11,0))/100000),"")</f>
        <v/>
      </c>
      <c r="P805" s="30" t="str">
        <f aca="false">IFERROR(IF(N805="","",N805*INDEX('00 - Lists'!$M$2:$M$11,MATCH(L805,'00 - Lists'!$L$2:$L$11,0))/100000),"")</f>
        <v/>
      </c>
      <c r="Q805" s="31" t="str">
        <f aca="false">IFERROR(IF(M805="","",M805*INDEX('00 - Lists'!$N$2:$N$11,MATCH(L805,'00 - Lists'!$L$2:$L$11,0))),"")</f>
        <v/>
      </c>
      <c r="R805" s="31" t="str">
        <f aca="false">IFERROR(IF(N805="","",N805*INDEX('00 - Lists'!$N$2:$N$11,MATCH(L805,'00 - Lists'!$L$2:$L$11,0))),"")</f>
        <v/>
      </c>
      <c r="S805" s="32" t="str">
        <f aca="false">IF(O805="","",IF(O805&gt;=50,"Yes","No"))</f>
        <v/>
      </c>
      <c r="T805" s="32" t="str">
        <f aca="false">IF(Q805="","",IF(Q805&gt;=100000,"Yes","No"))</f>
        <v/>
      </c>
      <c r="U805" s="28"/>
      <c r="V805" s="28"/>
      <c r="W805" s="28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J805" s="34" t="str">
        <f aca="false">IF(OR($BD805&lt;&gt;"",$BF805&lt;&gt;"",$BH805&lt;&gt;""),"Yes","No")</f>
        <v>No</v>
      </c>
      <c r="BK805" s="35" t="str">
        <f aca="false">IFERROR(IF(BD805="","",BD805*INDEX('00 - Lists'!$M$2:$M$11,MATCH(L805,'00 - Lists'!$L$2:$L$11,0))/100000),"")</f>
        <v/>
      </c>
      <c r="BL805" s="35" t="str">
        <f aca="false">IFERROR(IF(BE805="","",BE805*INDEX('00 - Lists'!$M$2:$M$11,MATCH(L805,'00 - Lists'!$L$2:$L$11,0))/100000),"")</f>
        <v/>
      </c>
      <c r="BM805" s="35" t="str">
        <f aca="false">IFERROR(IF(BF805="","",BF805*INDEX('00 - Lists'!$M$2:$M$11,MATCH(L805,'00 - Lists'!$L$2:$L$11,0))/100000),"")</f>
        <v/>
      </c>
      <c r="BN805" s="35" t="str">
        <f aca="false">IFERROR(IF(BG805="","",BG805*INDEX('00 - Lists'!$M$2:$M$11,MATCH(L805,'00 - Lists'!$L$2:$L$11,0))/100000),"")</f>
        <v/>
      </c>
      <c r="BO805" s="35" t="str">
        <f aca="false">IFERROR(IF(BH805="","",BH805*INDEX('00 - Lists'!$M$2:$M$11,MATCH(L805,'00 - Lists'!$L$2:$L$11,0))/100000),"")</f>
        <v/>
      </c>
      <c r="BP805" s="35" t="str">
        <f aca="false">IFERROR(IF(BI805="","",BI805*INDEX('00 - Lists'!$M$2:$M$11,MATCH(L805,'00 - Lists'!$L$2:$L$11,0))/100000),"")</f>
        <v/>
      </c>
      <c r="BS805" s="36" t="str">
        <f aca="false">IF(O805="","",IF(O805&gt;=20,"Yes","No"))</f>
        <v/>
      </c>
      <c r="BT805" s="36" t="str">
        <f aca="false">IF(O805="","",IF(O805&gt;=30,"Yes","No"))</f>
        <v/>
      </c>
      <c r="BU805" s="36" t="str">
        <f aca="false">IF(O805="","",IF(O805&gt;=75,"Yes","No"))</f>
        <v/>
      </c>
      <c r="BV805" s="36" t="str">
        <f aca="false">IF(O805="","",IF(O805&gt;=100,"Yes","No"))</f>
        <v/>
      </c>
      <c r="BW805" s="36" t="str">
        <f aca="false">IF(O805="","",IF(O805&gt;=150,"Yes","No"))</f>
        <v/>
      </c>
      <c r="BX805" s="36" t="str">
        <f aca="false">IF(O805="","",IF(O805&gt;=200,"Yes","No"))</f>
        <v/>
      </c>
      <c r="BY805" s="36" t="str">
        <f aca="false">IF(Q805="","",IF(Q805&gt;=150000,"Yes","No"))</f>
        <v/>
      </c>
      <c r="BZ805" s="36" t="str">
        <f aca="false">IF(Q805="","",IF(Q805&gt;=200000,"Yes","No"))</f>
        <v/>
      </c>
      <c r="CA805" s="36" t="str">
        <f aca="false">IF(Q805="","",IF(Q805&gt;=250000,"Yes","No"))</f>
        <v/>
      </c>
      <c r="CB805" s="36" t="str">
        <f aca="false">IF(Q805="","",IF(Q805&gt;=300000,"Yes","No"))</f>
        <v/>
      </c>
      <c r="CC805" s="37"/>
      <c r="CD805" s="36" t="str">
        <f aca="true">IF(B805="","",IF(TODAY()-B805&lt;=7,"🟢 0-7d",IF(TODAY()-B805&lt;=30,"🟡 8-30d",IF(TODAY()-B805&lt;=60,"🟠 31-60d","🔴 60d+"))))</f>
        <v/>
      </c>
      <c r="CE805" s="36" t="str">
        <f aca="false">IF(G805="","",IF(G805&lt;&gt;"USA","N/A - Not USA Role",IF(J805="Yes",IF(OR(F805="Intern",F805="New Grad"),"🟡 Possible","🟢 Strong"),IF(J805="No","🔴 Difficult","⚪ Unknown"))))</f>
        <v/>
      </c>
      <c r="CF805" s="37"/>
      <c r="CG805" s="37"/>
      <c r="CH805" s="38"/>
      <c r="CI805" s="38"/>
      <c r="CJ805" s="38"/>
      <c r="CK805" s="38"/>
    </row>
    <row r="806" customFormat="false" ht="15" hidden="false" customHeight="true" outlineLevel="0" collapsed="false">
      <c r="A806" s="26" t="str">
        <f aca="false">IF($C806="","",ROW()-3)</f>
        <v/>
      </c>
      <c r="B806" s="27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9"/>
      <c r="N806" s="29"/>
      <c r="O806" s="30" t="str">
        <f aca="false">IFERROR(IF(M806="","",M806*INDEX('00 - Lists'!$M$2:$M$11,MATCH(L806,'00 - Lists'!$L$2:$L$11,0))/100000),"")</f>
        <v/>
      </c>
      <c r="P806" s="30" t="str">
        <f aca="false">IFERROR(IF(N806="","",N806*INDEX('00 - Lists'!$M$2:$M$11,MATCH(L806,'00 - Lists'!$L$2:$L$11,0))/100000),"")</f>
        <v/>
      </c>
      <c r="Q806" s="31" t="str">
        <f aca="false">IFERROR(IF(M806="","",M806*INDEX('00 - Lists'!$N$2:$N$11,MATCH(L806,'00 - Lists'!$L$2:$L$11,0))),"")</f>
        <v/>
      </c>
      <c r="R806" s="31" t="str">
        <f aca="false">IFERROR(IF(N806="","",N806*INDEX('00 - Lists'!$N$2:$N$11,MATCH(L806,'00 - Lists'!$L$2:$L$11,0))),"")</f>
        <v/>
      </c>
      <c r="S806" s="32" t="str">
        <f aca="false">IF(O806="","",IF(O806&gt;=50,"Yes","No"))</f>
        <v/>
      </c>
      <c r="T806" s="32" t="str">
        <f aca="false">IF(Q806="","",IF(Q806&gt;=100000,"Yes","No"))</f>
        <v/>
      </c>
      <c r="U806" s="28"/>
      <c r="V806" s="28"/>
      <c r="W806" s="28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J806" s="34" t="str">
        <f aca="false">IF(OR($BD806&lt;&gt;"",$BF806&lt;&gt;"",$BH806&lt;&gt;""),"Yes","No")</f>
        <v>No</v>
      </c>
      <c r="BK806" s="35" t="str">
        <f aca="false">IFERROR(IF(BD806="","",BD806*INDEX('00 - Lists'!$M$2:$M$11,MATCH(L806,'00 - Lists'!$L$2:$L$11,0))/100000),"")</f>
        <v/>
      </c>
      <c r="BL806" s="35" t="str">
        <f aca="false">IFERROR(IF(BE806="","",BE806*INDEX('00 - Lists'!$M$2:$M$11,MATCH(L806,'00 - Lists'!$L$2:$L$11,0))/100000),"")</f>
        <v/>
      </c>
      <c r="BM806" s="35" t="str">
        <f aca="false">IFERROR(IF(BF806="","",BF806*INDEX('00 - Lists'!$M$2:$M$11,MATCH(L806,'00 - Lists'!$L$2:$L$11,0))/100000),"")</f>
        <v/>
      </c>
      <c r="BN806" s="35" t="str">
        <f aca="false">IFERROR(IF(BG806="","",BG806*INDEX('00 - Lists'!$M$2:$M$11,MATCH(L806,'00 - Lists'!$L$2:$L$11,0))/100000),"")</f>
        <v/>
      </c>
      <c r="BO806" s="35" t="str">
        <f aca="false">IFERROR(IF(BH806="","",BH806*INDEX('00 - Lists'!$M$2:$M$11,MATCH(L806,'00 - Lists'!$L$2:$L$11,0))/100000),"")</f>
        <v/>
      </c>
      <c r="BP806" s="35" t="str">
        <f aca="false">IFERROR(IF(BI806="","",BI806*INDEX('00 - Lists'!$M$2:$M$11,MATCH(L806,'00 - Lists'!$L$2:$L$11,0))/100000),"")</f>
        <v/>
      </c>
      <c r="BS806" s="36" t="str">
        <f aca="false">IF(O806="","",IF(O806&gt;=20,"Yes","No"))</f>
        <v/>
      </c>
      <c r="BT806" s="36" t="str">
        <f aca="false">IF(O806="","",IF(O806&gt;=30,"Yes","No"))</f>
        <v/>
      </c>
      <c r="BU806" s="36" t="str">
        <f aca="false">IF(O806="","",IF(O806&gt;=75,"Yes","No"))</f>
        <v/>
      </c>
      <c r="BV806" s="36" t="str">
        <f aca="false">IF(O806="","",IF(O806&gt;=100,"Yes","No"))</f>
        <v/>
      </c>
      <c r="BW806" s="36" t="str">
        <f aca="false">IF(O806="","",IF(O806&gt;=150,"Yes","No"))</f>
        <v/>
      </c>
      <c r="BX806" s="36" t="str">
        <f aca="false">IF(O806="","",IF(O806&gt;=200,"Yes","No"))</f>
        <v/>
      </c>
      <c r="BY806" s="36" t="str">
        <f aca="false">IF(Q806="","",IF(Q806&gt;=150000,"Yes","No"))</f>
        <v/>
      </c>
      <c r="BZ806" s="36" t="str">
        <f aca="false">IF(Q806="","",IF(Q806&gt;=200000,"Yes","No"))</f>
        <v/>
      </c>
      <c r="CA806" s="36" t="str">
        <f aca="false">IF(Q806="","",IF(Q806&gt;=250000,"Yes","No"))</f>
        <v/>
      </c>
      <c r="CB806" s="36" t="str">
        <f aca="false">IF(Q806="","",IF(Q806&gt;=300000,"Yes","No"))</f>
        <v/>
      </c>
      <c r="CC806" s="37"/>
      <c r="CD806" s="36" t="str">
        <f aca="true">IF(B806="","",IF(TODAY()-B806&lt;=7,"🟢 0-7d",IF(TODAY()-B806&lt;=30,"🟡 8-30d",IF(TODAY()-B806&lt;=60,"🟠 31-60d","🔴 60d+"))))</f>
        <v/>
      </c>
      <c r="CE806" s="36" t="str">
        <f aca="false">IF(G806="","",IF(G806&lt;&gt;"USA","N/A - Not USA Role",IF(J806="Yes",IF(OR(F806="Intern",F806="New Grad"),"🟡 Possible","🟢 Strong"),IF(J806="No","🔴 Difficult","⚪ Unknown"))))</f>
        <v/>
      </c>
      <c r="CF806" s="37"/>
      <c r="CG806" s="37"/>
      <c r="CH806" s="38"/>
      <c r="CI806" s="38"/>
      <c r="CJ806" s="38"/>
      <c r="CK806" s="38"/>
    </row>
    <row r="807" customFormat="false" ht="15" hidden="false" customHeight="true" outlineLevel="0" collapsed="false">
      <c r="A807" s="26" t="str">
        <f aca="false">IF($C807="","",ROW()-3)</f>
        <v/>
      </c>
      <c r="B807" s="27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9"/>
      <c r="N807" s="29"/>
      <c r="O807" s="30" t="str">
        <f aca="false">IFERROR(IF(M807="","",M807*INDEX('00 - Lists'!$M$2:$M$11,MATCH(L807,'00 - Lists'!$L$2:$L$11,0))/100000),"")</f>
        <v/>
      </c>
      <c r="P807" s="30" t="str">
        <f aca="false">IFERROR(IF(N807="","",N807*INDEX('00 - Lists'!$M$2:$M$11,MATCH(L807,'00 - Lists'!$L$2:$L$11,0))/100000),"")</f>
        <v/>
      </c>
      <c r="Q807" s="31" t="str">
        <f aca="false">IFERROR(IF(M807="","",M807*INDEX('00 - Lists'!$N$2:$N$11,MATCH(L807,'00 - Lists'!$L$2:$L$11,0))),"")</f>
        <v/>
      </c>
      <c r="R807" s="31" t="str">
        <f aca="false">IFERROR(IF(N807="","",N807*INDEX('00 - Lists'!$N$2:$N$11,MATCH(L807,'00 - Lists'!$L$2:$L$11,0))),"")</f>
        <v/>
      </c>
      <c r="S807" s="32" t="str">
        <f aca="false">IF(O807="","",IF(O807&gt;=50,"Yes","No"))</f>
        <v/>
      </c>
      <c r="T807" s="32" t="str">
        <f aca="false">IF(Q807="","",IF(Q807&gt;=100000,"Yes","No"))</f>
        <v/>
      </c>
      <c r="U807" s="28"/>
      <c r="V807" s="28"/>
      <c r="W807" s="28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J807" s="34" t="str">
        <f aca="false">IF(OR($BD807&lt;&gt;"",$BF807&lt;&gt;"",$BH807&lt;&gt;""),"Yes","No")</f>
        <v>No</v>
      </c>
      <c r="BK807" s="35" t="str">
        <f aca="false">IFERROR(IF(BD807="","",BD807*INDEX('00 - Lists'!$M$2:$M$11,MATCH(L807,'00 - Lists'!$L$2:$L$11,0))/100000),"")</f>
        <v/>
      </c>
      <c r="BL807" s="35" t="str">
        <f aca="false">IFERROR(IF(BE807="","",BE807*INDEX('00 - Lists'!$M$2:$M$11,MATCH(L807,'00 - Lists'!$L$2:$L$11,0))/100000),"")</f>
        <v/>
      </c>
      <c r="BM807" s="35" t="str">
        <f aca="false">IFERROR(IF(BF807="","",BF807*INDEX('00 - Lists'!$M$2:$M$11,MATCH(L807,'00 - Lists'!$L$2:$L$11,0))/100000),"")</f>
        <v/>
      </c>
      <c r="BN807" s="35" t="str">
        <f aca="false">IFERROR(IF(BG807="","",BG807*INDEX('00 - Lists'!$M$2:$M$11,MATCH(L807,'00 - Lists'!$L$2:$L$11,0))/100000),"")</f>
        <v/>
      </c>
      <c r="BO807" s="35" t="str">
        <f aca="false">IFERROR(IF(BH807="","",BH807*INDEX('00 - Lists'!$M$2:$M$11,MATCH(L807,'00 - Lists'!$L$2:$L$11,0))/100000),"")</f>
        <v/>
      </c>
      <c r="BP807" s="35" t="str">
        <f aca="false">IFERROR(IF(BI807="","",BI807*INDEX('00 - Lists'!$M$2:$M$11,MATCH(L807,'00 - Lists'!$L$2:$L$11,0))/100000),"")</f>
        <v/>
      </c>
      <c r="BS807" s="36" t="str">
        <f aca="false">IF(O807="","",IF(O807&gt;=20,"Yes","No"))</f>
        <v/>
      </c>
      <c r="BT807" s="36" t="str">
        <f aca="false">IF(O807="","",IF(O807&gt;=30,"Yes","No"))</f>
        <v/>
      </c>
      <c r="BU807" s="36" t="str">
        <f aca="false">IF(O807="","",IF(O807&gt;=75,"Yes","No"))</f>
        <v/>
      </c>
      <c r="BV807" s="36" t="str">
        <f aca="false">IF(O807="","",IF(O807&gt;=100,"Yes","No"))</f>
        <v/>
      </c>
      <c r="BW807" s="36" t="str">
        <f aca="false">IF(O807="","",IF(O807&gt;=150,"Yes","No"))</f>
        <v/>
      </c>
      <c r="BX807" s="36" t="str">
        <f aca="false">IF(O807="","",IF(O807&gt;=200,"Yes","No"))</f>
        <v/>
      </c>
      <c r="BY807" s="36" t="str">
        <f aca="false">IF(Q807="","",IF(Q807&gt;=150000,"Yes","No"))</f>
        <v/>
      </c>
      <c r="BZ807" s="36" t="str">
        <f aca="false">IF(Q807="","",IF(Q807&gt;=200000,"Yes","No"))</f>
        <v/>
      </c>
      <c r="CA807" s="36" t="str">
        <f aca="false">IF(Q807="","",IF(Q807&gt;=250000,"Yes","No"))</f>
        <v/>
      </c>
      <c r="CB807" s="36" t="str">
        <f aca="false">IF(Q807="","",IF(Q807&gt;=300000,"Yes","No"))</f>
        <v/>
      </c>
      <c r="CC807" s="37"/>
      <c r="CD807" s="36" t="str">
        <f aca="true">IF(B807="","",IF(TODAY()-B807&lt;=7,"🟢 0-7d",IF(TODAY()-B807&lt;=30,"🟡 8-30d",IF(TODAY()-B807&lt;=60,"🟠 31-60d","🔴 60d+"))))</f>
        <v/>
      </c>
      <c r="CE807" s="36" t="str">
        <f aca="false">IF(G807="","",IF(G807&lt;&gt;"USA","N/A - Not USA Role",IF(J807="Yes",IF(OR(F807="Intern",F807="New Grad"),"🟡 Possible","🟢 Strong"),IF(J807="No","🔴 Difficult","⚪ Unknown"))))</f>
        <v/>
      </c>
      <c r="CF807" s="37"/>
      <c r="CG807" s="37"/>
      <c r="CH807" s="38"/>
      <c r="CI807" s="38"/>
      <c r="CJ807" s="38"/>
      <c r="CK807" s="38"/>
    </row>
    <row r="808" customFormat="false" ht="15" hidden="false" customHeight="true" outlineLevel="0" collapsed="false">
      <c r="A808" s="26" t="str">
        <f aca="false">IF($C808="","",ROW()-3)</f>
        <v/>
      </c>
      <c r="B808" s="27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9"/>
      <c r="N808" s="29"/>
      <c r="O808" s="30" t="str">
        <f aca="false">IFERROR(IF(M808="","",M808*INDEX('00 - Lists'!$M$2:$M$11,MATCH(L808,'00 - Lists'!$L$2:$L$11,0))/100000),"")</f>
        <v/>
      </c>
      <c r="P808" s="30" t="str">
        <f aca="false">IFERROR(IF(N808="","",N808*INDEX('00 - Lists'!$M$2:$M$11,MATCH(L808,'00 - Lists'!$L$2:$L$11,0))/100000),"")</f>
        <v/>
      </c>
      <c r="Q808" s="31" t="str">
        <f aca="false">IFERROR(IF(M808="","",M808*INDEX('00 - Lists'!$N$2:$N$11,MATCH(L808,'00 - Lists'!$L$2:$L$11,0))),"")</f>
        <v/>
      </c>
      <c r="R808" s="31" t="str">
        <f aca="false">IFERROR(IF(N808="","",N808*INDEX('00 - Lists'!$N$2:$N$11,MATCH(L808,'00 - Lists'!$L$2:$L$11,0))),"")</f>
        <v/>
      </c>
      <c r="S808" s="32" t="str">
        <f aca="false">IF(O808="","",IF(O808&gt;=50,"Yes","No"))</f>
        <v/>
      </c>
      <c r="T808" s="32" t="str">
        <f aca="false">IF(Q808="","",IF(Q808&gt;=100000,"Yes","No"))</f>
        <v/>
      </c>
      <c r="U808" s="28"/>
      <c r="V808" s="28"/>
      <c r="W808" s="28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J808" s="34" t="str">
        <f aca="false">IF(OR($BD808&lt;&gt;"",$BF808&lt;&gt;"",$BH808&lt;&gt;""),"Yes","No")</f>
        <v>No</v>
      </c>
      <c r="BK808" s="35" t="str">
        <f aca="false">IFERROR(IF(BD808="","",BD808*INDEX('00 - Lists'!$M$2:$M$11,MATCH(L808,'00 - Lists'!$L$2:$L$11,0))/100000),"")</f>
        <v/>
      </c>
      <c r="BL808" s="35" t="str">
        <f aca="false">IFERROR(IF(BE808="","",BE808*INDEX('00 - Lists'!$M$2:$M$11,MATCH(L808,'00 - Lists'!$L$2:$L$11,0))/100000),"")</f>
        <v/>
      </c>
      <c r="BM808" s="35" t="str">
        <f aca="false">IFERROR(IF(BF808="","",BF808*INDEX('00 - Lists'!$M$2:$M$11,MATCH(L808,'00 - Lists'!$L$2:$L$11,0))/100000),"")</f>
        <v/>
      </c>
      <c r="BN808" s="35" t="str">
        <f aca="false">IFERROR(IF(BG808="","",BG808*INDEX('00 - Lists'!$M$2:$M$11,MATCH(L808,'00 - Lists'!$L$2:$L$11,0))/100000),"")</f>
        <v/>
      </c>
      <c r="BO808" s="35" t="str">
        <f aca="false">IFERROR(IF(BH808="","",BH808*INDEX('00 - Lists'!$M$2:$M$11,MATCH(L808,'00 - Lists'!$L$2:$L$11,0))/100000),"")</f>
        <v/>
      </c>
      <c r="BP808" s="35" t="str">
        <f aca="false">IFERROR(IF(BI808="","",BI808*INDEX('00 - Lists'!$M$2:$M$11,MATCH(L808,'00 - Lists'!$L$2:$L$11,0))/100000),"")</f>
        <v/>
      </c>
      <c r="BS808" s="36" t="str">
        <f aca="false">IF(O808="","",IF(O808&gt;=20,"Yes","No"))</f>
        <v/>
      </c>
      <c r="BT808" s="36" t="str">
        <f aca="false">IF(O808="","",IF(O808&gt;=30,"Yes","No"))</f>
        <v/>
      </c>
      <c r="BU808" s="36" t="str">
        <f aca="false">IF(O808="","",IF(O808&gt;=75,"Yes","No"))</f>
        <v/>
      </c>
      <c r="BV808" s="36" t="str">
        <f aca="false">IF(O808="","",IF(O808&gt;=100,"Yes","No"))</f>
        <v/>
      </c>
      <c r="BW808" s="36" t="str">
        <f aca="false">IF(O808="","",IF(O808&gt;=150,"Yes","No"))</f>
        <v/>
      </c>
      <c r="BX808" s="36" t="str">
        <f aca="false">IF(O808="","",IF(O808&gt;=200,"Yes","No"))</f>
        <v/>
      </c>
      <c r="BY808" s="36" t="str">
        <f aca="false">IF(Q808="","",IF(Q808&gt;=150000,"Yes","No"))</f>
        <v/>
      </c>
      <c r="BZ808" s="36" t="str">
        <f aca="false">IF(Q808="","",IF(Q808&gt;=200000,"Yes","No"))</f>
        <v/>
      </c>
      <c r="CA808" s="36" t="str">
        <f aca="false">IF(Q808="","",IF(Q808&gt;=250000,"Yes","No"))</f>
        <v/>
      </c>
      <c r="CB808" s="36" t="str">
        <f aca="false">IF(Q808="","",IF(Q808&gt;=300000,"Yes","No"))</f>
        <v/>
      </c>
      <c r="CC808" s="37"/>
      <c r="CD808" s="36" t="str">
        <f aca="true">IF(B808="","",IF(TODAY()-B808&lt;=7,"🟢 0-7d",IF(TODAY()-B808&lt;=30,"🟡 8-30d",IF(TODAY()-B808&lt;=60,"🟠 31-60d","🔴 60d+"))))</f>
        <v/>
      </c>
      <c r="CE808" s="36" t="str">
        <f aca="false">IF(G808="","",IF(G808&lt;&gt;"USA","N/A - Not USA Role",IF(J808="Yes",IF(OR(F808="Intern",F808="New Grad"),"🟡 Possible","🟢 Strong"),IF(J808="No","🔴 Difficult","⚪ Unknown"))))</f>
        <v/>
      </c>
      <c r="CF808" s="37"/>
      <c r="CG808" s="37"/>
      <c r="CH808" s="38"/>
      <c r="CI808" s="38"/>
      <c r="CJ808" s="38"/>
      <c r="CK808" s="38"/>
    </row>
    <row r="809" customFormat="false" ht="15" hidden="false" customHeight="true" outlineLevel="0" collapsed="false">
      <c r="A809" s="26" t="str">
        <f aca="false">IF($C809="","",ROW()-3)</f>
        <v/>
      </c>
      <c r="B809" s="27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9"/>
      <c r="N809" s="29"/>
      <c r="O809" s="30" t="str">
        <f aca="false">IFERROR(IF(M809="","",M809*INDEX('00 - Lists'!$M$2:$M$11,MATCH(L809,'00 - Lists'!$L$2:$L$11,0))/100000),"")</f>
        <v/>
      </c>
      <c r="P809" s="30" t="str">
        <f aca="false">IFERROR(IF(N809="","",N809*INDEX('00 - Lists'!$M$2:$M$11,MATCH(L809,'00 - Lists'!$L$2:$L$11,0))/100000),"")</f>
        <v/>
      </c>
      <c r="Q809" s="31" t="str">
        <f aca="false">IFERROR(IF(M809="","",M809*INDEX('00 - Lists'!$N$2:$N$11,MATCH(L809,'00 - Lists'!$L$2:$L$11,0))),"")</f>
        <v/>
      </c>
      <c r="R809" s="31" t="str">
        <f aca="false">IFERROR(IF(N809="","",N809*INDEX('00 - Lists'!$N$2:$N$11,MATCH(L809,'00 - Lists'!$L$2:$L$11,0))),"")</f>
        <v/>
      </c>
      <c r="S809" s="32" t="str">
        <f aca="false">IF(O809="","",IF(O809&gt;=50,"Yes","No"))</f>
        <v/>
      </c>
      <c r="T809" s="32" t="str">
        <f aca="false">IF(Q809="","",IF(Q809&gt;=100000,"Yes","No"))</f>
        <v/>
      </c>
      <c r="U809" s="28"/>
      <c r="V809" s="28"/>
      <c r="W809" s="28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J809" s="34" t="str">
        <f aca="false">IF(OR($BD809&lt;&gt;"",$BF809&lt;&gt;"",$BH809&lt;&gt;""),"Yes","No")</f>
        <v>No</v>
      </c>
      <c r="BK809" s="35" t="str">
        <f aca="false">IFERROR(IF(BD809="","",BD809*INDEX('00 - Lists'!$M$2:$M$11,MATCH(L809,'00 - Lists'!$L$2:$L$11,0))/100000),"")</f>
        <v/>
      </c>
      <c r="BL809" s="35" t="str">
        <f aca="false">IFERROR(IF(BE809="","",BE809*INDEX('00 - Lists'!$M$2:$M$11,MATCH(L809,'00 - Lists'!$L$2:$L$11,0))/100000),"")</f>
        <v/>
      </c>
      <c r="BM809" s="35" t="str">
        <f aca="false">IFERROR(IF(BF809="","",BF809*INDEX('00 - Lists'!$M$2:$M$11,MATCH(L809,'00 - Lists'!$L$2:$L$11,0))/100000),"")</f>
        <v/>
      </c>
      <c r="BN809" s="35" t="str">
        <f aca="false">IFERROR(IF(BG809="","",BG809*INDEX('00 - Lists'!$M$2:$M$11,MATCH(L809,'00 - Lists'!$L$2:$L$11,0))/100000),"")</f>
        <v/>
      </c>
      <c r="BO809" s="35" t="str">
        <f aca="false">IFERROR(IF(BH809="","",BH809*INDEX('00 - Lists'!$M$2:$M$11,MATCH(L809,'00 - Lists'!$L$2:$L$11,0))/100000),"")</f>
        <v/>
      </c>
      <c r="BP809" s="35" t="str">
        <f aca="false">IFERROR(IF(BI809="","",BI809*INDEX('00 - Lists'!$M$2:$M$11,MATCH(L809,'00 - Lists'!$L$2:$L$11,0))/100000),"")</f>
        <v/>
      </c>
      <c r="BS809" s="36" t="str">
        <f aca="false">IF(O809="","",IF(O809&gt;=20,"Yes","No"))</f>
        <v/>
      </c>
      <c r="BT809" s="36" t="str">
        <f aca="false">IF(O809="","",IF(O809&gt;=30,"Yes","No"))</f>
        <v/>
      </c>
      <c r="BU809" s="36" t="str">
        <f aca="false">IF(O809="","",IF(O809&gt;=75,"Yes","No"))</f>
        <v/>
      </c>
      <c r="BV809" s="36" t="str">
        <f aca="false">IF(O809="","",IF(O809&gt;=100,"Yes","No"))</f>
        <v/>
      </c>
      <c r="BW809" s="36" t="str">
        <f aca="false">IF(O809="","",IF(O809&gt;=150,"Yes","No"))</f>
        <v/>
      </c>
      <c r="BX809" s="36" t="str">
        <f aca="false">IF(O809="","",IF(O809&gt;=200,"Yes","No"))</f>
        <v/>
      </c>
      <c r="BY809" s="36" t="str">
        <f aca="false">IF(Q809="","",IF(Q809&gt;=150000,"Yes","No"))</f>
        <v/>
      </c>
      <c r="BZ809" s="36" t="str">
        <f aca="false">IF(Q809="","",IF(Q809&gt;=200000,"Yes","No"))</f>
        <v/>
      </c>
      <c r="CA809" s="36" t="str">
        <f aca="false">IF(Q809="","",IF(Q809&gt;=250000,"Yes","No"))</f>
        <v/>
      </c>
      <c r="CB809" s="36" t="str">
        <f aca="false">IF(Q809="","",IF(Q809&gt;=300000,"Yes","No"))</f>
        <v/>
      </c>
      <c r="CC809" s="37"/>
      <c r="CD809" s="36" t="str">
        <f aca="true">IF(B809="","",IF(TODAY()-B809&lt;=7,"🟢 0-7d",IF(TODAY()-B809&lt;=30,"🟡 8-30d",IF(TODAY()-B809&lt;=60,"🟠 31-60d","🔴 60d+"))))</f>
        <v/>
      </c>
      <c r="CE809" s="36" t="str">
        <f aca="false">IF(G809="","",IF(G809&lt;&gt;"USA","N/A - Not USA Role",IF(J809="Yes",IF(OR(F809="Intern",F809="New Grad"),"🟡 Possible","🟢 Strong"),IF(J809="No","🔴 Difficult","⚪ Unknown"))))</f>
        <v/>
      </c>
      <c r="CF809" s="37"/>
      <c r="CG809" s="37"/>
      <c r="CH809" s="38"/>
      <c r="CI809" s="38"/>
      <c r="CJ809" s="38"/>
      <c r="CK809" s="38"/>
    </row>
    <row r="810" customFormat="false" ht="15" hidden="false" customHeight="true" outlineLevel="0" collapsed="false">
      <c r="A810" s="26" t="str">
        <f aca="false">IF($C810="","",ROW()-3)</f>
        <v/>
      </c>
      <c r="B810" s="27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9"/>
      <c r="N810" s="29"/>
      <c r="O810" s="30" t="str">
        <f aca="false">IFERROR(IF(M810="","",M810*INDEX('00 - Lists'!$M$2:$M$11,MATCH(L810,'00 - Lists'!$L$2:$L$11,0))/100000),"")</f>
        <v/>
      </c>
      <c r="P810" s="30" t="str">
        <f aca="false">IFERROR(IF(N810="","",N810*INDEX('00 - Lists'!$M$2:$M$11,MATCH(L810,'00 - Lists'!$L$2:$L$11,0))/100000),"")</f>
        <v/>
      </c>
      <c r="Q810" s="31" t="str">
        <f aca="false">IFERROR(IF(M810="","",M810*INDEX('00 - Lists'!$N$2:$N$11,MATCH(L810,'00 - Lists'!$L$2:$L$11,0))),"")</f>
        <v/>
      </c>
      <c r="R810" s="31" t="str">
        <f aca="false">IFERROR(IF(N810="","",N810*INDEX('00 - Lists'!$N$2:$N$11,MATCH(L810,'00 - Lists'!$L$2:$L$11,0))),"")</f>
        <v/>
      </c>
      <c r="S810" s="32" t="str">
        <f aca="false">IF(O810="","",IF(O810&gt;=50,"Yes","No"))</f>
        <v/>
      </c>
      <c r="T810" s="32" t="str">
        <f aca="false">IF(Q810="","",IF(Q810&gt;=100000,"Yes","No"))</f>
        <v/>
      </c>
      <c r="U810" s="28"/>
      <c r="V810" s="28"/>
      <c r="W810" s="28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J810" s="34" t="str">
        <f aca="false">IF(OR($BD810&lt;&gt;"",$BF810&lt;&gt;"",$BH810&lt;&gt;""),"Yes","No")</f>
        <v>No</v>
      </c>
      <c r="BK810" s="35" t="str">
        <f aca="false">IFERROR(IF(BD810="","",BD810*INDEX('00 - Lists'!$M$2:$M$11,MATCH(L810,'00 - Lists'!$L$2:$L$11,0))/100000),"")</f>
        <v/>
      </c>
      <c r="BL810" s="35" t="str">
        <f aca="false">IFERROR(IF(BE810="","",BE810*INDEX('00 - Lists'!$M$2:$M$11,MATCH(L810,'00 - Lists'!$L$2:$L$11,0))/100000),"")</f>
        <v/>
      </c>
      <c r="BM810" s="35" t="str">
        <f aca="false">IFERROR(IF(BF810="","",BF810*INDEX('00 - Lists'!$M$2:$M$11,MATCH(L810,'00 - Lists'!$L$2:$L$11,0))/100000),"")</f>
        <v/>
      </c>
      <c r="BN810" s="35" t="str">
        <f aca="false">IFERROR(IF(BG810="","",BG810*INDEX('00 - Lists'!$M$2:$M$11,MATCH(L810,'00 - Lists'!$L$2:$L$11,0))/100000),"")</f>
        <v/>
      </c>
      <c r="BO810" s="35" t="str">
        <f aca="false">IFERROR(IF(BH810="","",BH810*INDEX('00 - Lists'!$M$2:$M$11,MATCH(L810,'00 - Lists'!$L$2:$L$11,0))/100000),"")</f>
        <v/>
      </c>
      <c r="BP810" s="35" t="str">
        <f aca="false">IFERROR(IF(BI810="","",BI810*INDEX('00 - Lists'!$M$2:$M$11,MATCH(L810,'00 - Lists'!$L$2:$L$11,0))/100000),"")</f>
        <v/>
      </c>
      <c r="BS810" s="36" t="str">
        <f aca="false">IF(O810="","",IF(O810&gt;=20,"Yes","No"))</f>
        <v/>
      </c>
      <c r="BT810" s="36" t="str">
        <f aca="false">IF(O810="","",IF(O810&gt;=30,"Yes","No"))</f>
        <v/>
      </c>
      <c r="BU810" s="36" t="str">
        <f aca="false">IF(O810="","",IF(O810&gt;=75,"Yes","No"))</f>
        <v/>
      </c>
      <c r="BV810" s="36" t="str">
        <f aca="false">IF(O810="","",IF(O810&gt;=100,"Yes","No"))</f>
        <v/>
      </c>
      <c r="BW810" s="36" t="str">
        <f aca="false">IF(O810="","",IF(O810&gt;=150,"Yes","No"))</f>
        <v/>
      </c>
      <c r="BX810" s="36" t="str">
        <f aca="false">IF(O810="","",IF(O810&gt;=200,"Yes","No"))</f>
        <v/>
      </c>
      <c r="BY810" s="36" t="str">
        <f aca="false">IF(Q810="","",IF(Q810&gt;=150000,"Yes","No"))</f>
        <v/>
      </c>
      <c r="BZ810" s="36" t="str">
        <f aca="false">IF(Q810="","",IF(Q810&gt;=200000,"Yes","No"))</f>
        <v/>
      </c>
      <c r="CA810" s="36" t="str">
        <f aca="false">IF(Q810="","",IF(Q810&gt;=250000,"Yes","No"))</f>
        <v/>
      </c>
      <c r="CB810" s="36" t="str">
        <f aca="false">IF(Q810="","",IF(Q810&gt;=300000,"Yes","No"))</f>
        <v/>
      </c>
      <c r="CC810" s="37"/>
      <c r="CD810" s="36" t="str">
        <f aca="true">IF(B810="","",IF(TODAY()-B810&lt;=7,"🟢 0-7d",IF(TODAY()-B810&lt;=30,"🟡 8-30d",IF(TODAY()-B810&lt;=60,"🟠 31-60d","🔴 60d+"))))</f>
        <v/>
      </c>
      <c r="CE810" s="36" t="str">
        <f aca="false">IF(G810="","",IF(G810&lt;&gt;"USA","N/A - Not USA Role",IF(J810="Yes",IF(OR(F810="Intern",F810="New Grad"),"🟡 Possible","🟢 Strong"),IF(J810="No","🔴 Difficult","⚪ Unknown"))))</f>
        <v/>
      </c>
      <c r="CF810" s="37"/>
      <c r="CG810" s="37"/>
      <c r="CH810" s="38"/>
      <c r="CI810" s="38"/>
      <c r="CJ810" s="38"/>
      <c r="CK810" s="38"/>
    </row>
    <row r="811" customFormat="false" ht="15" hidden="false" customHeight="true" outlineLevel="0" collapsed="false">
      <c r="A811" s="26" t="str">
        <f aca="false">IF($C811="","",ROW()-3)</f>
        <v/>
      </c>
      <c r="B811" s="27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9"/>
      <c r="N811" s="29"/>
      <c r="O811" s="30" t="str">
        <f aca="false">IFERROR(IF(M811="","",M811*INDEX('00 - Lists'!$M$2:$M$11,MATCH(L811,'00 - Lists'!$L$2:$L$11,0))/100000),"")</f>
        <v/>
      </c>
      <c r="P811" s="30" t="str">
        <f aca="false">IFERROR(IF(N811="","",N811*INDEX('00 - Lists'!$M$2:$M$11,MATCH(L811,'00 - Lists'!$L$2:$L$11,0))/100000),"")</f>
        <v/>
      </c>
      <c r="Q811" s="31" t="str">
        <f aca="false">IFERROR(IF(M811="","",M811*INDEX('00 - Lists'!$N$2:$N$11,MATCH(L811,'00 - Lists'!$L$2:$L$11,0))),"")</f>
        <v/>
      </c>
      <c r="R811" s="31" t="str">
        <f aca="false">IFERROR(IF(N811="","",N811*INDEX('00 - Lists'!$N$2:$N$11,MATCH(L811,'00 - Lists'!$L$2:$L$11,0))),"")</f>
        <v/>
      </c>
      <c r="S811" s="32" t="str">
        <f aca="false">IF(O811="","",IF(O811&gt;=50,"Yes","No"))</f>
        <v/>
      </c>
      <c r="T811" s="32" t="str">
        <f aca="false">IF(Q811="","",IF(Q811&gt;=100000,"Yes","No"))</f>
        <v/>
      </c>
      <c r="U811" s="28"/>
      <c r="V811" s="28"/>
      <c r="W811" s="28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J811" s="34" t="str">
        <f aca="false">IF(OR($BD811&lt;&gt;"",$BF811&lt;&gt;"",$BH811&lt;&gt;""),"Yes","No")</f>
        <v>No</v>
      </c>
      <c r="BK811" s="35" t="str">
        <f aca="false">IFERROR(IF(BD811="","",BD811*INDEX('00 - Lists'!$M$2:$M$11,MATCH(L811,'00 - Lists'!$L$2:$L$11,0))/100000),"")</f>
        <v/>
      </c>
      <c r="BL811" s="35" t="str">
        <f aca="false">IFERROR(IF(BE811="","",BE811*INDEX('00 - Lists'!$M$2:$M$11,MATCH(L811,'00 - Lists'!$L$2:$L$11,0))/100000),"")</f>
        <v/>
      </c>
      <c r="BM811" s="35" t="str">
        <f aca="false">IFERROR(IF(BF811="","",BF811*INDEX('00 - Lists'!$M$2:$M$11,MATCH(L811,'00 - Lists'!$L$2:$L$11,0))/100000),"")</f>
        <v/>
      </c>
      <c r="BN811" s="35" t="str">
        <f aca="false">IFERROR(IF(BG811="","",BG811*INDEX('00 - Lists'!$M$2:$M$11,MATCH(L811,'00 - Lists'!$L$2:$L$11,0))/100000),"")</f>
        <v/>
      </c>
      <c r="BO811" s="35" t="str">
        <f aca="false">IFERROR(IF(BH811="","",BH811*INDEX('00 - Lists'!$M$2:$M$11,MATCH(L811,'00 - Lists'!$L$2:$L$11,0))/100000),"")</f>
        <v/>
      </c>
      <c r="BP811" s="35" t="str">
        <f aca="false">IFERROR(IF(BI811="","",BI811*INDEX('00 - Lists'!$M$2:$M$11,MATCH(L811,'00 - Lists'!$L$2:$L$11,0))/100000),"")</f>
        <v/>
      </c>
      <c r="BS811" s="36" t="str">
        <f aca="false">IF(O811="","",IF(O811&gt;=20,"Yes","No"))</f>
        <v/>
      </c>
      <c r="BT811" s="36" t="str">
        <f aca="false">IF(O811="","",IF(O811&gt;=30,"Yes","No"))</f>
        <v/>
      </c>
      <c r="BU811" s="36" t="str">
        <f aca="false">IF(O811="","",IF(O811&gt;=75,"Yes","No"))</f>
        <v/>
      </c>
      <c r="BV811" s="36" t="str">
        <f aca="false">IF(O811="","",IF(O811&gt;=100,"Yes","No"))</f>
        <v/>
      </c>
      <c r="BW811" s="36" t="str">
        <f aca="false">IF(O811="","",IF(O811&gt;=150,"Yes","No"))</f>
        <v/>
      </c>
      <c r="BX811" s="36" t="str">
        <f aca="false">IF(O811="","",IF(O811&gt;=200,"Yes","No"))</f>
        <v/>
      </c>
      <c r="BY811" s="36" t="str">
        <f aca="false">IF(Q811="","",IF(Q811&gt;=150000,"Yes","No"))</f>
        <v/>
      </c>
      <c r="BZ811" s="36" t="str">
        <f aca="false">IF(Q811="","",IF(Q811&gt;=200000,"Yes","No"))</f>
        <v/>
      </c>
      <c r="CA811" s="36" t="str">
        <f aca="false">IF(Q811="","",IF(Q811&gt;=250000,"Yes","No"))</f>
        <v/>
      </c>
      <c r="CB811" s="36" t="str">
        <f aca="false">IF(Q811="","",IF(Q811&gt;=300000,"Yes","No"))</f>
        <v/>
      </c>
      <c r="CC811" s="37"/>
      <c r="CD811" s="36" t="str">
        <f aca="true">IF(B811="","",IF(TODAY()-B811&lt;=7,"🟢 0-7d",IF(TODAY()-B811&lt;=30,"🟡 8-30d",IF(TODAY()-B811&lt;=60,"🟠 31-60d","🔴 60d+"))))</f>
        <v/>
      </c>
      <c r="CE811" s="36" t="str">
        <f aca="false">IF(G811="","",IF(G811&lt;&gt;"USA","N/A - Not USA Role",IF(J811="Yes",IF(OR(F811="Intern",F811="New Grad"),"🟡 Possible","🟢 Strong"),IF(J811="No","🔴 Difficult","⚪ Unknown"))))</f>
        <v/>
      </c>
      <c r="CF811" s="37"/>
      <c r="CG811" s="37"/>
      <c r="CH811" s="38"/>
      <c r="CI811" s="38"/>
      <c r="CJ811" s="38"/>
      <c r="CK811" s="38"/>
    </row>
    <row r="812" customFormat="false" ht="15" hidden="false" customHeight="true" outlineLevel="0" collapsed="false">
      <c r="A812" s="26" t="str">
        <f aca="false">IF($C812="","",ROW()-3)</f>
        <v/>
      </c>
      <c r="B812" s="27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9"/>
      <c r="N812" s="29"/>
      <c r="O812" s="30" t="str">
        <f aca="false">IFERROR(IF(M812="","",M812*INDEX('00 - Lists'!$M$2:$M$11,MATCH(L812,'00 - Lists'!$L$2:$L$11,0))/100000),"")</f>
        <v/>
      </c>
      <c r="P812" s="30" t="str">
        <f aca="false">IFERROR(IF(N812="","",N812*INDEX('00 - Lists'!$M$2:$M$11,MATCH(L812,'00 - Lists'!$L$2:$L$11,0))/100000),"")</f>
        <v/>
      </c>
      <c r="Q812" s="31" t="str">
        <f aca="false">IFERROR(IF(M812="","",M812*INDEX('00 - Lists'!$N$2:$N$11,MATCH(L812,'00 - Lists'!$L$2:$L$11,0))),"")</f>
        <v/>
      </c>
      <c r="R812" s="31" t="str">
        <f aca="false">IFERROR(IF(N812="","",N812*INDEX('00 - Lists'!$N$2:$N$11,MATCH(L812,'00 - Lists'!$L$2:$L$11,0))),"")</f>
        <v/>
      </c>
      <c r="S812" s="32" t="str">
        <f aca="false">IF(O812="","",IF(O812&gt;=50,"Yes","No"))</f>
        <v/>
      </c>
      <c r="T812" s="32" t="str">
        <f aca="false">IF(Q812="","",IF(Q812&gt;=100000,"Yes","No"))</f>
        <v/>
      </c>
      <c r="U812" s="28"/>
      <c r="V812" s="28"/>
      <c r="W812" s="28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J812" s="34" t="str">
        <f aca="false">IF(OR($BD812&lt;&gt;"",$BF812&lt;&gt;"",$BH812&lt;&gt;""),"Yes","No")</f>
        <v>No</v>
      </c>
      <c r="BK812" s="35" t="str">
        <f aca="false">IFERROR(IF(BD812="","",BD812*INDEX('00 - Lists'!$M$2:$M$11,MATCH(L812,'00 - Lists'!$L$2:$L$11,0))/100000),"")</f>
        <v/>
      </c>
      <c r="BL812" s="35" t="str">
        <f aca="false">IFERROR(IF(BE812="","",BE812*INDEX('00 - Lists'!$M$2:$M$11,MATCH(L812,'00 - Lists'!$L$2:$L$11,0))/100000),"")</f>
        <v/>
      </c>
      <c r="BM812" s="35" t="str">
        <f aca="false">IFERROR(IF(BF812="","",BF812*INDEX('00 - Lists'!$M$2:$M$11,MATCH(L812,'00 - Lists'!$L$2:$L$11,0))/100000),"")</f>
        <v/>
      </c>
      <c r="BN812" s="35" t="str">
        <f aca="false">IFERROR(IF(BG812="","",BG812*INDEX('00 - Lists'!$M$2:$M$11,MATCH(L812,'00 - Lists'!$L$2:$L$11,0))/100000),"")</f>
        <v/>
      </c>
      <c r="BO812" s="35" t="str">
        <f aca="false">IFERROR(IF(BH812="","",BH812*INDEX('00 - Lists'!$M$2:$M$11,MATCH(L812,'00 - Lists'!$L$2:$L$11,0))/100000),"")</f>
        <v/>
      </c>
      <c r="BP812" s="35" t="str">
        <f aca="false">IFERROR(IF(BI812="","",BI812*INDEX('00 - Lists'!$M$2:$M$11,MATCH(L812,'00 - Lists'!$L$2:$L$11,0))/100000),"")</f>
        <v/>
      </c>
      <c r="BS812" s="36" t="str">
        <f aca="false">IF(O812="","",IF(O812&gt;=20,"Yes","No"))</f>
        <v/>
      </c>
      <c r="BT812" s="36" t="str">
        <f aca="false">IF(O812="","",IF(O812&gt;=30,"Yes","No"))</f>
        <v/>
      </c>
      <c r="BU812" s="36" t="str">
        <f aca="false">IF(O812="","",IF(O812&gt;=75,"Yes","No"))</f>
        <v/>
      </c>
      <c r="BV812" s="36" t="str">
        <f aca="false">IF(O812="","",IF(O812&gt;=100,"Yes","No"))</f>
        <v/>
      </c>
      <c r="BW812" s="36" t="str">
        <f aca="false">IF(O812="","",IF(O812&gt;=150,"Yes","No"))</f>
        <v/>
      </c>
      <c r="BX812" s="36" t="str">
        <f aca="false">IF(O812="","",IF(O812&gt;=200,"Yes","No"))</f>
        <v/>
      </c>
      <c r="BY812" s="36" t="str">
        <f aca="false">IF(Q812="","",IF(Q812&gt;=150000,"Yes","No"))</f>
        <v/>
      </c>
      <c r="BZ812" s="36" t="str">
        <f aca="false">IF(Q812="","",IF(Q812&gt;=200000,"Yes","No"))</f>
        <v/>
      </c>
      <c r="CA812" s="36" t="str">
        <f aca="false">IF(Q812="","",IF(Q812&gt;=250000,"Yes","No"))</f>
        <v/>
      </c>
      <c r="CB812" s="36" t="str">
        <f aca="false">IF(Q812="","",IF(Q812&gt;=300000,"Yes","No"))</f>
        <v/>
      </c>
      <c r="CC812" s="37"/>
      <c r="CD812" s="36" t="str">
        <f aca="true">IF(B812="","",IF(TODAY()-B812&lt;=7,"🟢 0-7d",IF(TODAY()-B812&lt;=30,"🟡 8-30d",IF(TODAY()-B812&lt;=60,"🟠 31-60d","🔴 60d+"))))</f>
        <v/>
      </c>
      <c r="CE812" s="36" t="str">
        <f aca="false">IF(G812="","",IF(G812&lt;&gt;"USA","N/A - Not USA Role",IF(J812="Yes",IF(OR(F812="Intern",F812="New Grad"),"🟡 Possible","🟢 Strong"),IF(J812="No","🔴 Difficult","⚪ Unknown"))))</f>
        <v/>
      </c>
      <c r="CF812" s="37"/>
      <c r="CG812" s="37"/>
      <c r="CH812" s="38"/>
      <c r="CI812" s="38"/>
      <c r="CJ812" s="38"/>
      <c r="CK812" s="38"/>
    </row>
    <row r="813" customFormat="false" ht="15" hidden="false" customHeight="true" outlineLevel="0" collapsed="false">
      <c r="A813" s="26" t="str">
        <f aca="false">IF($C813="","",ROW()-3)</f>
        <v/>
      </c>
      <c r="B813" s="27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9"/>
      <c r="N813" s="29"/>
      <c r="O813" s="30" t="str">
        <f aca="false">IFERROR(IF(M813="","",M813*INDEX('00 - Lists'!$M$2:$M$11,MATCH(L813,'00 - Lists'!$L$2:$L$11,0))/100000),"")</f>
        <v/>
      </c>
      <c r="P813" s="30" t="str">
        <f aca="false">IFERROR(IF(N813="","",N813*INDEX('00 - Lists'!$M$2:$M$11,MATCH(L813,'00 - Lists'!$L$2:$L$11,0))/100000),"")</f>
        <v/>
      </c>
      <c r="Q813" s="31" t="str">
        <f aca="false">IFERROR(IF(M813="","",M813*INDEX('00 - Lists'!$N$2:$N$11,MATCH(L813,'00 - Lists'!$L$2:$L$11,0))),"")</f>
        <v/>
      </c>
      <c r="R813" s="31" t="str">
        <f aca="false">IFERROR(IF(N813="","",N813*INDEX('00 - Lists'!$N$2:$N$11,MATCH(L813,'00 - Lists'!$L$2:$L$11,0))),"")</f>
        <v/>
      </c>
      <c r="S813" s="32" t="str">
        <f aca="false">IF(O813="","",IF(O813&gt;=50,"Yes","No"))</f>
        <v/>
      </c>
      <c r="T813" s="32" t="str">
        <f aca="false">IF(Q813="","",IF(Q813&gt;=100000,"Yes","No"))</f>
        <v/>
      </c>
      <c r="U813" s="28"/>
      <c r="V813" s="28"/>
      <c r="W813" s="28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J813" s="34" t="str">
        <f aca="false">IF(OR($BD813&lt;&gt;"",$BF813&lt;&gt;"",$BH813&lt;&gt;""),"Yes","No")</f>
        <v>No</v>
      </c>
      <c r="BK813" s="35" t="str">
        <f aca="false">IFERROR(IF(BD813="","",BD813*INDEX('00 - Lists'!$M$2:$M$11,MATCH(L813,'00 - Lists'!$L$2:$L$11,0))/100000),"")</f>
        <v/>
      </c>
      <c r="BL813" s="35" t="str">
        <f aca="false">IFERROR(IF(BE813="","",BE813*INDEX('00 - Lists'!$M$2:$M$11,MATCH(L813,'00 - Lists'!$L$2:$L$11,0))/100000),"")</f>
        <v/>
      </c>
      <c r="BM813" s="35" t="str">
        <f aca="false">IFERROR(IF(BF813="","",BF813*INDEX('00 - Lists'!$M$2:$M$11,MATCH(L813,'00 - Lists'!$L$2:$L$11,0))/100000),"")</f>
        <v/>
      </c>
      <c r="BN813" s="35" t="str">
        <f aca="false">IFERROR(IF(BG813="","",BG813*INDEX('00 - Lists'!$M$2:$M$11,MATCH(L813,'00 - Lists'!$L$2:$L$11,0))/100000),"")</f>
        <v/>
      </c>
      <c r="BO813" s="35" t="str">
        <f aca="false">IFERROR(IF(BH813="","",BH813*INDEX('00 - Lists'!$M$2:$M$11,MATCH(L813,'00 - Lists'!$L$2:$L$11,0))/100000),"")</f>
        <v/>
      </c>
      <c r="BP813" s="35" t="str">
        <f aca="false">IFERROR(IF(BI813="","",BI813*INDEX('00 - Lists'!$M$2:$M$11,MATCH(L813,'00 - Lists'!$L$2:$L$11,0))/100000),"")</f>
        <v/>
      </c>
      <c r="BS813" s="36" t="str">
        <f aca="false">IF(O813="","",IF(O813&gt;=20,"Yes","No"))</f>
        <v/>
      </c>
      <c r="BT813" s="36" t="str">
        <f aca="false">IF(O813="","",IF(O813&gt;=30,"Yes","No"))</f>
        <v/>
      </c>
      <c r="BU813" s="36" t="str">
        <f aca="false">IF(O813="","",IF(O813&gt;=75,"Yes","No"))</f>
        <v/>
      </c>
      <c r="BV813" s="36" t="str">
        <f aca="false">IF(O813="","",IF(O813&gt;=100,"Yes","No"))</f>
        <v/>
      </c>
      <c r="BW813" s="36" t="str">
        <f aca="false">IF(O813="","",IF(O813&gt;=150,"Yes","No"))</f>
        <v/>
      </c>
      <c r="BX813" s="36" t="str">
        <f aca="false">IF(O813="","",IF(O813&gt;=200,"Yes","No"))</f>
        <v/>
      </c>
      <c r="BY813" s="36" t="str">
        <f aca="false">IF(Q813="","",IF(Q813&gt;=150000,"Yes","No"))</f>
        <v/>
      </c>
      <c r="BZ813" s="36" t="str">
        <f aca="false">IF(Q813="","",IF(Q813&gt;=200000,"Yes","No"))</f>
        <v/>
      </c>
      <c r="CA813" s="36" t="str">
        <f aca="false">IF(Q813="","",IF(Q813&gt;=250000,"Yes","No"))</f>
        <v/>
      </c>
      <c r="CB813" s="36" t="str">
        <f aca="false">IF(Q813="","",IF(Q813&gt;=300000,"Yes","No"))</f>
        <v/>
      </c>
      <c r="CC813" s="37"/>
      <c r="CD813" s="36" t="str">
        <f aca="true">IF(B813="","",IF(TODAY()-B813&lt;=7,"🟢 0-7d",IF(TODAY()-B813&lt;=30,"🟡 8-30d",IF(TODAY()-B813&lt;=60,"🟠 31-60d","🔴 60d+"))))</f>
        <v/>
      </c>
      <c r="CE813" s="36" t="str">
        <f aca="false">IF(G813="","",IF(G813&lt;&gt;"USA","N/A - Not USA Role",IF(J813="Yes",IF(OR(F813="Intern",F813="New Grad"),"🟡 Possible","🟢 Strong"),IF(J813="No","🔴 Difficult","⚪ Unknown"))))</f>
        <v/>
      </c>
      <c r="CF813" s="37"/>
      <c r="CG813" s="37"/>
      <c r="CH813" s="38"/>
      <c r="CI813" s="38"/>
      <c r="CJ813" s="38"/>
      <c r="CK813" s="38"/>
    </row>
    <row r="814" customFormat="false" ht="15" hidden="false" customHeight="true" outlineLevel="0" collapsed="false">
      <c r="A814" s="26" t="str">
        <f aca="false">IF($C814="","",ROW()-3)</f>
        <v/>
      </c>
      <c r="B814" s="27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9"/>
      <c r="N814" s="29"/>
      <c r="O814" s="30" t="str">
        <f aca="false">IFERROR(IF(M814="","",M814*INDEX('00 - Lists'!$M$2:$M$11,MATCH(L814,'00 - Lists'!$L$2:$L$11,0))/100000),"")</f>
        <v/>
      </c>
      <c r="P814" s="30" t="str">
        <f aca="false">IFERROR(IF(N814="","",N814*INDEX('00 - Lists'!$M$2:$M$11,MATCH(L814,'00 - Lists'!$L$2:$L$11,0))/100000),"")</f>
        <v/>
      </c>
      <c r="Q814" s="31" t="str">
        <f aca="false">IFERROR(IF(M814="","",M814*INDEX('00 - Lists'!$N$2:$N$11,MATCH(L814,'00 - Lists'!$L$2:$L$11,0))),"")</f>
        <v/>
      </c>
      <c r="R814" s="31" t="str">
        <f aca="false">IFERROR(IF(N814="","",N814*INDEX('00 - Lists'!$N$2:$N$11,MATCH(L814,'00 - Lists'!$L$2:$L$11,0))),"")</f>
        <v/>
      </c>
      <c r="S814" s="32" t="str">
        <f aca="false">IF(O814="","",IF(O814&gt;=50,"Yes","No"))</f>
        <v/>
      </c>
      <c r="T814" s="32" t="str">
        <f aca="false">IF(Q814="","",IF(Q814&gt;=100000,"Yes","No"))</f>
        <v/>
      </c>
      <c r="U814" s="28"/>
      <c r="V814" s="28"/>
      <c r="W814" s="28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J814" s="34" t="str">
        <f aca="false">IF(OR($BD814&lt;&gt;"",$BF814&lt;&gt;"",$BH814&lt;&gt;""),"Yes","No")</f>
        <v>No</v>
      </c>
      <c r="BK814" s="35" t="str">
        <f aca="false">IFERROR(IF(BD814="","",BD814*INDEX('00 - Lists'!$M$2:$M$11,MATCH(L814,'00 - Lists'!$L$2:$L$11,0))/100000),"")</f>
        <v/>
      </c>
      <c r="BL814" s="35" t="str">
        <f aca="false">IFERROR(IF(BE814="","",BE814*INDEX('00 - Lists'!$M$2:$M$11,MATCH(L814,'00 - Lists'!$L$2:$L$11,0))/100000),"")</f>
        <v/>
      </c>
      <c r="BM814" s="35" t="str">
        <f aca="false">IFERROR(IF(BF814="","",BF814*INDEX('00 - Lists'!$M$2:$M$11,MATCH(L814,'00 - Lists'!$L$2:$L$11,0))/100000),"")</f>
        <v/>
      </c>
      <c r="BN814" s="35" t="str">
        <f aca="false">IFERROR(IF(BG814="","",BG814*INDEX('00 - Lists'!$M$2:$M$11,MATCH(L814,'00 - Lists'!$L$2:$L$11,0))/100000),"")</f>
        <v/>
      </c>
      <c r="BO814" s="35" t="str">
        <f aca="false">IFERROR(IF(BH814="","",BH814*INDEX('00 - Lists'!$M$2:$M$11,MATCH(L814,'00 - Lists'!$L$2:$L$11,0))/100000),"")</f>
        <v/>
      </c>
      <c r="BP814" s="35" t="str">
        <f aca="false">IFERROR(IF(BI814="","",BI814*INDEX('00 - Lists'!$M$2:$M$11,MATCH(L814,'00 - Lists'!$L$2:$L$11,0))/100000),"")</f>
        <v/>
      </c>
      <c r="BS814" s="36" t="str">
        <f aca="false">IF(O814="","",IF(O814&gt;=20,"Yes","No"))</f>
        <v/>
      </c>
      <c r="BT814" s="36" t="str">
        <f aca="false">IF(O814="","",IF(O814&gt;=30,"Yes","No"))</f>
        <v/>
      </c>
      <c r="BU814" s="36" t="str">
        <f aca="false">IF(O814="","",IF(O814&gt;=75,"Yes","No"))</f>
        <v/>
      </c>
      <c r="BV814" s="36" t="str">
        <f aca="false">IF(O814="","",IF(O814&gt;=100,"Yes","No"))</f>
        <v/>
      </c>
      <c r="BW814" s="36" t="str">
        <f aca="false">IF(O814="","",IF(O814&gt;=150,"Yes","No"))</f>
        <v/>
      </c>
      <c r="BX814" s="36" t="str">
        <f aca="false">IF(O814="","",IF(O814&gt;=200,"Yes","No"))</f>
        <v/>
      </c>
      <c r="BY814" s="36" t="str">
        <f aca="false">IF(Q814="","",IF(Q814&gt;=150000,"Yes","No"))</f>
        <v/>
      </c>
      <c r="BZ814" s="36" t="str">
        <f aca="false">IF(Q814="","",IF(Q814&gt;=200000,"Yes","No"))</f>
        <v/>
      </c>
      <c r="CA814" s="36" t="str">
        <f aca="false">IF(Q814="","",IF(Q814&gt;=250000,"Yes","No"))</f>
        <v/>
      </c>
      <c r="CB814" s="36" t="str">
        <f aca="false">IF(Q814="","",IF(Q814&gt;=300000,"Yes","No"))</f>
        <v/>
      </c>
      <c r="CC814" s="37"/>
      <c r="CD814" s="36" t="str">
        <f aca="true">IF(B814="","",IF(TODAY()-B814&lt;=7,"🟢 0-7d",IF(TODAY()-B814&lt;=30,"🟡 8-30d",IF(TODAY()-B814&lt;=60,"🟠 31-60d","🔴 60d+"))))</f>
        <v/>
      </c>
      <c r="CE814" s="36" t="str">
        <f aca="false">IF(G814="","",IF(G814&lt;&gt;"USA","N/A - Not USA Role",IF(J814="Yes",IF(OR(F814="Intern",F814="New Grad"),"🟡 Possible","🟢 Strong"),IF(J814="No","🔴 Difficult","⚪ Unknown"))))</f>
        <v/>
      </c>
      <c r="CF814" s="37"/>
      <c r="CG814" s="37"/>
      <c r="CH814" s="38"/>
      <c r="CI814" s="38"/>
      <c r="CJ814" s="38"/>
      <c r="CK814" s="38"/>
    </row>
    <row r="815" customFormat="false" ht="15" hidden="false" customHeight="true" outlineLevel="0" collapsed="false">
      <c r="A815" s="26" t="str">
        <f aca="false">IF($C815="","",ROW()-3)</f>
        <v/>
      </c>
      <c r="B815" s="27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9"/>
      <c r="N815" s="29"/>
      <c r="O815" s="30" t="str">
        <f aca="false">IFERROR(IF(M815="","",M815*INDEX('00 - Lists'!$M$2:$M$11,MATCH(L815,'00 - Lists'!$L$2:$L$11,0))/100000),"")</f>
        <v/>
      </c>
      <c r="P815" s="30" t="str">
        <f aca="false">IFERROR(IF(N815="","",N815*INDEX('00 - Lists'!$M$2:$M$11,MATCH(L815,'00 - Lists'!$L$2:$L$11,0))/100000),"")</f>
        <v/>
      </c>
      <c r="Q815" s="31" t="str">
        <f aca="false">IFERROR(IF(M815="","",M815*INDEX('00 - Lists'!$N$2:$N$11,MATCH(L815,'00 - Lists'!$L$2:$L$11,0))),"")</f>
        <v/>
      </c>
      <c r="R815" s="31" t="str">
        <f aca="false">IFERROR(IF(N815="","",N815*INDEX('00 - Lists'!$N$2:$N$11,MATCH(L815,'00 - Lists'!$L$2:$L$11,0))),"")</f>
        <v/>
      </c>
      <c r="S815" s="32" t="str">
        <f aca="false">IF(O815="","",IF(O815&gt;=50,"Yes","No"))</f>
        <v/>
      </c>
      <c r="T815" s="32" t="str">
        <f aca="false">IF(Q815="","",IF(Q815&gt;=100000,"Yes","No"))</f>
        <v/>
      </c>
      <c r="U815" s="28"/>
      <c r="V815" s="28"/>
      <c r="W815" s="28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J815" s="34" t="str">
        <f aca="false">IF(OR($BD815&lt;&gt;"",$BF815&lt;&gt;"",$BH815&lt;&gt;""),"Yes","No")</f>
        <v>No</v>
      </c>
      <c r="BK815" s="35" t="str">
        <f aca="false">IFERROR(IF(BD815="","",BD815*INDEX('00 - Lists'!$M$2:$M$11,MATCH(L815,'00 - Lists'!$L$2:$L$11,0))/100000),"")</f>
        <v/>
      </c>
      <c r="BL815" s="35" t="str">
        <f aca="false">IFERROR(IF(BE815="","",BE815*INDEX('00 - Lists'!$M$2:$M$11,MATCH(L815,'00 - Lists'!$L$2:$L$11,0))/100000),"")</f>
        <v/>
      </c>
      <c r="BM815" s="35" t="str">
        <f aca="false">IFERROR(IF(BF815="","",BF815*INDEX('00 - Lists'!$M$2:$M$11,MATCH(L815,'00 - Lists'!$L$2:$L$11,0))/100000),"")</f>
        <v/>
      </c>
      <c r="BN815" s="35" t="str">
        <f aca="false">IFERROR(IF(BG815="","",BG815*INDEX('00 - Lists'!$M$2:$M$11,MATCH(L815,'00 - Lists'!$L$2:$L$11,0))/100000),"")</f>
        <v/>
      </c>
      <c r="BO815" s="35" t="str">
        <f aca="false">IFERROR(IF(BH815="","",BH815*INDEX('00 - Lists'!$M$2:$M$11,MATCH(L815,'00 - Lists'!$L$2:$L$11,0))/100000),"")</f>
        <v/>
      </c>
      <c r="BP815" s="35" t="str">
        <f aca="false">IFERROR(IF(BI815="","",BI815*INDEX('00 - Lists'!$M$2:$M$11,MATCH(L815,'00 - Lists'!$L$2:$L$11,0))/100000),"")</f>
        <v/>
      </c>
      <c r="BS815" s="36" t="str">
        <f aca="false">IF(O815="","",IF(O815&gt;=20,"Yes","No"))</f>
        <v/>
      </c>
      <c r="BT815" s="36" t="str">
        <f aca="false">IF(O815="","",IF(O815&gt;=30,"Yes","No"))</f>
        <v/>
      </c>
      <c r="BU815" s="36" t="str">
        <f aca="false">IF(O815="","",IF(O815&gt;=75,"Yes","No"))</f>
        <v/>
      </c>
      <c r="BV815" s="36" t="str">
        <f aca="false">IF(O815="","",IF(O815&gt;=100,"Yes","No"))</f>
        <v/>
      </c>
      <c r="BW815" s="36" t="str">
        <f aca="false">IF(O815="","",IF(O815&gt;=150,"Yes","No"))</f>
        <v/>
      </c>
      <c r="BX815" s="36" t="str">
        <f aca="false">IF(O815="","",IF(O815&gt;=200,"Yes","No"))</f>
        <v/>
      </c>
      <c r="BY815" s="36" t="str">
        <f aca="false">IF(Q815="","",IF(Q815&gt;=150000,"Yes","No"))</f>
        <v/>
      </c>
      <c r="BZ815" s="36" t="str">
        <f aca="false">IF(Q815="","",IF(Q815&gt;=200000,"Yes","No"))</f>
        <v/>
      </c>
      <c r="CA815" s="36" t="str">
        <f aca="false">IF(Q815="","",IF(Q815&gt;=250000,"Yes","No"))</f>
        <v/>
      </c>
      <c r="CB815" s="36" t="str">
        <f aca="false">IF(Q815="","",IF(Q815&gt;=300000,"Yes","No"))</f>
        <v/>
      </c>
      <c r="CC815" s="37"/>
      <c r="CD815" s="36" t="str">
        <f aca="true">IF(B815="","",IF(TODAY()-B815&lt;=7,"🟢 0-7d",IF(TODAY()-B815&lt;=30,"🟡 8-30d",IF(TODAY()-B815&lt;=60,"🟠 31-60d","🔴 60d+"))))</f>
        <v/>
      </c>
      <c r="CE815" s="36" t="str">
        <f aca="false">IF(G815="","",IF(G815&lt;&gt;"USA","N/A - Not USA Role",IF(J815="Yes",IF(OR(F815="Intern",F815="New Grad"),"🟡 Possible","🟢 Strong"),IF(J815="No","🔴 Difficult","⚪ Unknown"))))</f>
        <v/>
      </c>
      <c r="CF815" s="37"/>
      <c r="CG815" s="37"/>
      <c r="CH815" s="38"/>
      <c r="CI815" s="38"/>
      <c r="CJ815" s="38"/>
      <c r="CK815" s="38"/>
    </row>
    <row r="816" customFormat="false" ht="15" hidden="false" customHeight="true" outlineLevel="0" collapsed="false">
      <c r="A816" s="26" t="str">
        <f aca="false">IF($C816="","",ROW()-3)</f>
        <v/>
      </c>
      <c r="B816" s="27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9"/>
      <c r="N816" s="29"/>
      <c r="O816" s="30" t="str">
        <f aca="false">IFERROR(IF(M816="","",M816*INDEX('00 - Lists'!$M$2:$M$11,MATCH(L816,'00 - Lists'!$L$2:$L$11,0))/100000),"")</f>
        <v/>
      </c>
      <c r="P816" s="30" t="str">
        <f aca="false">IFERROR(IF(N816="","",N816*INDEX('00 - Lists'!$M$2:$M$11,MATCH(L816,'00 - Lists'!$L$2:$L$11,0))/100000),"")</f>
        <v/>
      </c>
      <c r="Q816" s="31" t="str">
        <f aca="false">IFERROR(IF(M816="","",M816*INDEX('00 - Lists'!$N$2:$N$11,MATCH(L816,'00 - Lists'!$L$2:$L$11,0))),"")</f>
        <v/>
      </c>
      <c r="R816" s="31" t="str">
        <f aca="false">IFERROR(IF(N816="","",N816*INDEX('00 - Lists'!$N$2:$N$11,MATCH(L816,'00 - Lists'!$L$2:$L$11,0))),"")</f>
        <v/>
      </c>
      <c r="S816" s="32" t="str">
        <f aca="false">IF(O816="","",IF(O816&gt;=50,"Yes","No"))</f>
        <v/>
      </c>
      <c r="T816" s="32" t="str">
        <f aca="false">IF(Q816="","",IF(Q816&gt;=100000,"Yes","No"))</f>
        <v/>
      </c>
      <c r="U816" s="28"/>
      <c r="V816" s="28"/>
      <c r="W816" s="28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J816" s="34" t="str">
        <f aca="false">IF(OR($BD816&lt;&gt;"",$BF816&lt;&gt;"",$BH816&lt;&gt;""),"Yes","No")</f>
        <v>No</v>
      </c>
      <c r="BK816" s="35" t="str">
        <f aca="false">IFERROR(IF(BD816="","",BD816*INDEX('00 - Lists'!$M$2:$M$11,MATCH(L816,'00 - Lists'!$L$2:$L$11,0))/100000),"")</f>
        <v/>
      </c>
      <c r="BL816" s="35" t="str">
        <f aca="false">IFERROR(IF(BE816="","",BE816*INDEX('00 - Lists'!$M$2:$M$11,MATCH(L816,'00 - Lists'!$L$2:$L$11,0))/100000),"")</f>
        <v/>
      </c>
      <c r="BM816" s="35" t="str">
        <f aca="false">IFERROR(IF(BF816="","",BF816*INDEX('00 - Lists'!$M$2:$M$11,MATCH(L816,'00 - Lists'!$L$2:$L$11,0))/100000),"")</f>
        <v/>
      </c>
      <c r="BN816" s="35" t="str">
        <f aca="false">IFERROR(IF(BG816="","",BG816*INDEX('00 - Lists'!$M$2:$M$11,MATCH(L816,'00 - Lists'!$L$2:$L$11,0))/100000),"")</f>
        <v/>
      </c>
      <c r="BO816" s="35" t="str">
        <f aca="false">IFERROR(IF(BH816="","",BH816*INDEX('00 - Lists'!$M$2:$M$11,MATCH(L816,'00 - Lists'!$L$2:$L$11,0))/100000),"")</f>
        <v/>
      </c>
      <c r="BP816" s="35" t="str">
        <f aca="false">IFERROR(IF(BI816="","",BI816*INDEX('00 - Lists'!$M$2:$M$11,MATCH(L816,'00 - Lists'!$L$2:$L$11,0))/100000),"")</f>
        <v/>
      </c>
      <c r="BS816" s="36" t="str">
        <f aca="false">IF(O816="","",IF(O816&gt;=20,"Yes","No"))</f>
        <v/>
      </c>
      <c r="BT816" s="36" t="str">
        <f aca="false">IF(O816="","",IF(O816&gt;=30,"Yes","No"))</f>
        <v/>
      </c>
      <c r="BU816" s="36" t="str">
        <f aca="false">IF(O816="","",IF(O816&gt;=75,"Yes","No"))</f>
        <v/>
      </c>
      <c r="BV816" s="36" t="str">
        <f aca="false">IF(O816="","",IF(O816&gt;=100,"Yes","No"))</f>
        <v/>
      </c>
      <c r="BW816" s="36" t="str">
        <f aca="false">IF(O816="","",IF(O816&gt;=150,"Yes","No"))</f>
        <v/>
      </c>
      <c r="BX816" s="36" t="str">
        <f aca="false">IF(O816="","",IF(O816&gt;=200,"Yes","No"))</f>
        <v/>
      </c>
      <c r="BY816" s="36" t="str">
        <f aca="false">IF(Q816="","",IF(Q816&gt;=150000,"Yes","No"))</f>
        <v/>
      </c>
      <c r="BZ816" s="36" t="str">
        <f aca="false">IF(Q816="","",IF(Q816&gt;=200000,"Yes","No"))</f>
        <v/>
      </c>
      <c r="CA816" s="36" t="str">
        <f aca="false">IF(Q816="","",IF(Q816&gt;=250000,"Yes","No"))</f>
        <v/>
      </c>
      <c r="CB816" s="36" t="str">
        <f aca="false">IF(Q816="","",IF(Q816&gt;=300000,"Yes","No"))</f>
        <v/>
      </c>
      <c r="CC816" s="37"/>
      <c r="CD816" s="36" t="str">
        <f aca="true">IF(B816="","",IF(TODAY()-B816&lt;=7,"🟢 0-7d",IF(TODAY()-B816&lt;=30,"🟡 8-30d",IF(TODAY()-B816&lt;=60,"🟠 31-60d","🔴 60d+"))))</f>
        <v/>
      </c>
      <c r="CE816" s="36" t="str">
        <f aca="false">IF(G816="","",IF(G816&lt;&gt;"USA","N/A - Not USA Role",IF(J816="Yes",IF(OR(F816="Intern",F816="New Grad"),"🟡 Possible","🟢 Strong"),IF(J816="No","🔴 Difficult","⚪ Unknown"))))</f>
        <v/>
      </c>
      <c r="CF816" s="37"/>
      <c r="CG816" s="37"/>
      <c r="CH816" s="38"/>
      <c r="CI816" s="38"/>
      <c r="CJ816" s="38"/>
      <c r="CK816" s="38"/>
    </row>
    <row r="817" customFormat="false" ht="15" hidden="false" customHeight="true" outlineLevel="0" collapsed="false">
      <c r="A817" s="26" t="str">
        <f aca="false">IF($C817="","",ROW()-3)</f>
        <v/>
      </c>
      <c r="B817" s="27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9"/>
      <c r="N817" s="29"/>
      <c r="O817" s="30" t="str">
        <f aca="false">IFERROR(IF(M817="","",M817*INDEX('00 - Lists'!$M$2:$M$11,MATCH(L817,'00 - Lists'!$L$2:$L$11,0))/100000),"")</f>
        <v/>
      </c>
      <c r="P817" s="30" t="str">
        <f aca="false">IFERROR(IF(N817="","",N817*INDEX('00 - Lists'!$M$2:$M$11,MATCH(L817,'00 - Lists'!$L$2:$L$11,0))/100000),"")</f>
        <v/>
      </c>
      <c r="Q817" s="31" t="str">
        <f aca="false">IFERROR(IF(M817="","",M817*INDEX('00 - Lists'!$N$2:$N$11,MATCH(L817,'00 - Lists'!$L$2:$L$11,0))),"")</f>
        <v/>
      </c>
      <c r="R817" s="31" t="str">
        <f aca="false">IFERROR(IF(N817="","",N817*INDEX('00 - Lists'!$N$2:$N$11,MATCH(L817,'00 - Lists'!$L$2:$L$11,0))),"")</f>
        <v/>
      </c>
      <c r="S817" s="32" t="str">
        <f aca="false">IF(O817="","",IF(O817&gt;=50,"Yes","No"))</f>
        <v/>
      </c>
      <c r="T817" s="32" t="str">
        <f aca="false">IF(Q817="","",IF(Q817&gt;=100000,"Yes","No"))</f>
        <v/>
      </c>
      <c r="U817" s="28"/>
      <c r="V817" s="28"/>
      <c r="W817" s="28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J817" s="34" t="str">
        <f aca="false">IF(OR($BD817&lt;&gt;"",$BF817&lt;&gt;"",$BH817&lt;&gt;""),"Yes","No")</f>
        <v>No</v>
      </c>
      <c r="BK817" s="35" t="str">
        <f aca="false">IFERROR(IF(BD817="","",BD817*INDEX('00 - Lists'!$M$2:$M$11,MATCH(L817,'00 - Lists'!$L$2:$L$11,0))/100000),"")</f>
        <v/>
      </c>
      <c r="BL817" s="35" t="str">
        <f aca="false">IFERROR(IF(BE817="","",BE817*INDEX('00 - Lists'!$M$2:$M$11,MATCH(L817,'00 - Lists'!$L$2:$L$11,0))/100000),"")</f>
        <v/>
      </c>
      <c r="BM817" s="35" t="str">
        <f aca="false">IFERROR(IF(BF817="","",BF817*INDEX('00 - Lists'!$M$2:$M$11,MATCH(L817,'00 - Lists'!$L$2:$L$11,0))/100000),"")</f>
        <v/>
      </c>
      <c r="BN817" s="35" t="str">
        <f aca="false">IFERROR(IF(BG817="","",BG817*INDEX('00 - Lists'!$M$2:$M$11,MATCH(L817,'00 - Lists'!$L$2:$L$11,0))/100000),"")</f>
        <v/>
      </c>
      <c r="BO817" s="35" t="str">
        <f aca="false">IFERROR(IF(BH817="","",BH817*INDEX('00 - Lists'!$M$2:$M$11,MATCH(L817,'00 - Lists'!$L$2:$L$11,0))/100000),"")</f>
        <v/>
      </c>
      <c r="BP817" s="35" t="str">
        <f aca="false">IFERROR(IF(BI817="","",BI817*INDEX('00 - Lists'!$M$2:$M$11,MATCH(L817,'00 - Lists'!$L$2:$L$11,0))/100000),"")</f>
        <v/>
      </c>
      <c r="BS817" s="36" t="str">
        <f aca="false">IF(O817="","",IF(O817&gt;=20,"Yes","No"))</f>
        <v/>
      </c>
      <c r="BT817" s="36" t="str">
        <f aca="false">IF(O817="","",IF(O817&gt;=30,"Yes","No"))</f>
        <v/>
      </c>
      <c r="BU817" s="36" t="str">
        <f aca="false">IF(O817="","",IF(O817&gt;=75,"Yes","No"))</f>
        <v/>
      </c>
      <c r="BV817" s="36" t="str">
        <f aca="false">IF(O817="","",IF(O817&gt;=100,"Yes","No"))</f>
        <v/>
      </c>
      <c r="BW817" s="36" t="str">
        <f aca="false">IF(O817="","",IF(O817&gt;=150,"Yes","No"))</f>
        <v/>
      </c>
      <c r="BX817" s="36" t="str">
        <f aca="false">IF(O817="","",IF(O817&gt;=200,"Yes","No"))</f>
        <v/>
      </c>
      <c r="BY817" s="36" t="str">
        <f aca="false">IF(Q817="","",IF(Q817&gt;=150000,"Yes","No"))</f>
        <v/>
      </c>
      <c r="BZ817" s="36" t="str">
        <f aca="false">IF(Q817="","",IF(Q817&gt;=200000,"Yes","No"))</f>
        <v/>
      </c>
      <c r="CA817" s="36" t="str">
        <f aca="false">IF(Q817="","",IF(Q817&gt;=250000,"Yes","No"))</f>
        <v/>
      </c>
      <c r="CB817" s="36" t="str">
        <f aca="false">IF(Q817="","",IF(Q817&gt;=300000,"Yes","No"))</f>
        <v/>
      </c>
      <c r="CC817" s="37"/>
      <c r="CD817" s="36" t="str">
        <f aca="true">IF(B817="","",IF(TODAY()-B817&lt;=7,"🟢 0-7d",IF(TODAY()-B817&lt;=30,"🟡 8-30d",IF(TODAY()-B817&lt;=60,"🟠 31-60d","🔴 60d+"))))</f>
        <v/>
      </c>
      <c r="CE817" s="36" t="str">
        <f aca="false">IF(G817="","",IF(G817&lt;&gt;"USA","N/A - Not USA Role",IF(J817="Yes",IF(OR(F817="Intern",F817="New Grad"),"🟡 Possible","🟢 Strong"),IF(J817="No","🔴 Difficult","⚪ Unknown"))))</f>
        <v/>
      </c>
      <c r="CF817" s="37"/>
      <c r="CG817" s="37"/>
      <c r="CH817" s="38"/>
      <c r="CI817" s="38"/>
      <c r="CJ817" s="38"/>
      <c r="CK817" s="38"/>
    </row>
    <row r="818" customFormat="false" ht="15" hidden="false" customHeight="true" outlineLevel="0" collapsed="false">
      <c r="A818" s="26" t="str">
        <f aca="false">IF($C818="","",ROW()-3)</f>
        <v/>
      </c>
      <c r="B818" s="27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9"/>
      <c r="N818" s="29"/>
      <c r="O818" s="30" t="str">
        <f aca="false">IFERROR(IF(M818="","",M818*INDEX('00 - Lists'!$M$2:$M$11,MATCH(L818,'00 - Lists'!$L$2:$L$11,0))/100000),"")</f>
        <v/>
      </c>
      <c r="P818" s="30" t="str">
        <f aca="false">IFERROR(IF(N818="","",N818*INDEX('00 - Lists'!$M$2:$M$11,MATCH(L818,'00 - Lists'!$L$2:$L$11,0))/100000),"")</f>
        <v/>
      </c>
      <c r="Q818" s="31" t="str">
        <f aca="false">IFERROR(IF(M818="","",M818*INDEX('00 - Lists'!$N$2:$N$11,MATCH(L818,'00 - Lists'!$L$2:$L$11,0))),"")</f>
        <v/>
      </c>
      <c r="R818" s="31" t="str">
        <f aca="false">IFERROR(IF(N818="","",N818*INDEX('00 - Lists'!$N$2:$N$11,MATCH(L818,'00 - Lists'!$L$2:$L$11,0))),"")</f>
        <v/>
      </c>
      <c r="S818" s="32" t="str">
        <f aca="false">IF(O818="","",IF(O818&gt;=50,"Yes","No"))</f>
        <v/>
      </c>
      <c r="T818" s="32" t="str">
        <f aca="false">IF(Q818="","",IF(Q818&gt;=100000,"Yes","No"))</f>
        <v/>
      </c>
      <c r="U818" s="28"/>
      <c r="V818" s="28"/>
      <c r="W818" s="28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J818" s="34" t="str">
        <f aca="false">IF(OR($BD818&lt;&gt;"",$BF818&lt;&gt;"",$BH818&lt;&gt;""),"Yes","No")</f>
        <v>No</v>
      </c>
      <c r="BK818" s="35" t="str">
        <f aca="false">IFERROR(IF(BD818="","",BD818*INDEX('00 - Lists'!$M$2:$M$11,MATCH(L818,'00 - Lists'!$L$2:$L$11,0))/100000),"")</f>
        <v/>
      </c>
      <c r="BL818" s="35" t="str">
        <f aca="false">IFERROR(IF(BE818="","",BE818*INDEX('00 - Lists'!$M$2:$M$11,MATCH(L818,'00 - Lists'!$L$2:$L$11,0))/100000),"")</f>
        <v/>
      </c>
      <c r="BM818" s="35" t="str">
        <f aca="false">IFERROR(IF(BF818="","",BF818*INDEX('00 - Lists'!$M$2:$M$11,MATCH(L818,'00 - Lists'!$L$2:$L$11,0))/100000),"")</f>
        <v/>
      </c>
      <c r="BN818" s="35" t="str">
        <f aca="false">IFERROR(IF(BG818="","",BG818*INDEX('00 - Lists'!$M$2:$M$11,MATCH(L818,'00 - Lists'!$L$2:$L$11,0))/100000),"")</f>
        <v/>
      </c>
      <c r="BO818" s="35" t="str">
        <f aca="false">IFERROR(IF(BH818="","",BH818*INDEX('00 - Lists'!$M$2:$M$11,MATCH(L818,'00 - Lists'!$L$2:$L$11,0))/100000),"")</f>
        <v/>
      </c>
      <c r="BP818" s="35" t="str">
        <f aca="false">IFERROR(IF(BI818="","",BI818*INDEX('00 - Lists'!$M$2:$M$11,MATCH(L818,'00 - Lists'!$L$2:$L$11,0))/100000),"")</f>
        <v/>
      </c>
      <c r="BS818" s="36" t="str">
        <f aca="false">IF(O818="","",IF(O818&gt;=20,"Yes","No"))</f>
        <v/>
      </c>
      <c r="BT818" s="36" t="str">
        <f aca="false">IF(O818="","",IF(O818&gt;=30,"Yes","No"))</f>
        <v/>
      </c>
      <c r="BU818" s="36" t="str">
        <f aca="false">IF(O818="","",IF(O818&gt;=75,"Yes","No"))</f>
        <v/>
      </c>
      <c r="BV818" s="36" t="str">
        <f aca="false">IF(O818="","",IF(O818&gt;=100,"Yes","No"))</f>
        <v/>
      </c>
      <c r="BW818" s="36" t="str">
        <f aca="false">IF(O818="","",IF(O818&gt;=150,"Yes","No"))</f>
        <v/>
      </c>
      <c r="BX818" s="36" t="str">
        <f aca="false">IF(O818="","",IF(O818&gt;=200,"Yes","No"))</f>
        <v/>
      </c>
      <c r="BY818" s="36" t="str">
        <f aca="false">IF(Q818="","",IF(Q818&gt;=150000,"Yes","No"))</f>
        <v/>
      </c>
      <c r="BZ818" s="36" t="str">
        <f aca="false">IF(Q818="","",IF(Q818&gt;=200000,"Yes","No"))</f>
        <v/>
      </c>
      <c r="CA818" s="36" t="str">
        <f aca="false">IF(Q818="","",IF(Q818&gt;=250000,"Yes","No"))</f>
        <v/>
      </c>
      <c r="CB818" s="36" t="str">
        <f aca="false">IF(Q818="","",IF(Q818&gt;=300000,"Yes","No"))</f>
        <v/>
      </c>
      <c r="CC818" s="37"/>
      <c r="CD818" s="36" t="str">
        <f aca="true">IF(B818="","",IF(TODAY()-B818&lt;=7,"🟢 0-7d",IF(TODAY()-B818&lt;=30,"🟡 8-30d",IF(TODAY()-B818&lt;=60,"🟠 31-60d","🔴 60d+"))))</f>
        <v/>
      </c>
      <c r="CE818" s="36" t="str">
        <f aca="false">IF(G818="","",IF(G818&lt;&gt;"USA","N/A - Not USA Role",IF(J818="Yes",IF(OR(F818="Intern",F818="New Grad"),"🟡 Possible","🟢 Strong"),IF(J818="No","🔴 Difficult","⚪ Unknown"))))</f>
        <v/>
      </c>
      <c r="CF818" s="37"/>
      <c r="CG818" s="37"/>
      <c r="CH818" s="38"/>
      <c r="CI818" s="38"/>
      <c r="CJ818" s="38"/>
      <c r="CK818" s="38"/>
    </row>
    <row r="819" customFormat="false" ht="15" hidden="false" customHeight="true" outlineLevel="0" collapsed="false">
      <c r="A819" s="26" t="str">
        <f aca="false">IF($C819="","",ROW()-3)</f>
        <v/>
      </c>
      <c r="B819" s="27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9"/>
      <c r="N819" s="29"/>
      <c r="O819" s="30" t="str">
        <f aca="false">IFERROR(IF(M819="","",M819*INDEX('00 - Lists'!$M$2:$M$11,MATCH(L819,'00 - Lists'!$L$2:$L$11,0))/100000),"")</f>
        <v/>
      </c>
      <c r="P819" s="30" t="str">
        <f aca="false">IFERROR(IF(N819="","",N819*INDEX('00 - Lists'!$M$2:$M$11,MATCH(L819,'00 - Lists'!$L$2:$L$11,0))/100000),"")</f>
        <v/>
      </c>
      <c r="Q819" s="31" t="str">
        <f aca="false">IFERROR(IF(M819="","",M819*INDEX('00 - Lists'!$N$2:$N$11,MATCH(L819,'00 - Lists'!$L$2:$L$11,0))),"")</f>
        <v/>
      </c>
      <c r="R819" s="31" t="str">
        <f aca="false">IFERROR(IF(N819="","",N819*INDEX('00 - Lists'!$N$2:$N$11,MATCH(L819,'00 - Lists'!$L$2:$L$11,0))),"")</f>
        <v/>
      </c>
      <c r="S819" s="32" t="str">
        <f aca="false">IF(O819="","",IF(O819&gt;=50,"Yes","No"))</f>
        <v/>
      </c>
      <c r="T819" s="32" t="str">
        <f aca="false">IF(Q819="","",IF(Q819&gt;=100000,"Yes","No"))</f>
        <v/>
      </c>
      <c r="U819" s="28"/>
      <c r="V819" s="28"/>
      <c r="W819" s="28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J819" s="34" t="str">
        <f aca="false">IF(OR($BD819&lt;&gt;"",$BF819&lt;&gt;"",$BH819&lt;&gt;""),"Yes","No")</f>
        <v>No</v>
      </c>
      <c r="BK819" s="35" t="str">
        <f aca="false">IFERROR(IF(BD819="","",BD819*INDEX('00 - Lists'!$M$2:$M$11,MATCH(L819,'00 - Lists'!$L$2:$L$11,0))/100000),"")</f>
        <v/>
      </c>
      <c r="BL819" s="35" t="str">
        <f aca="false">IFERROR(IF(BE819="","",BE819*INDEX('00 - Lists'!$M$2:$M$11,MATCH(L819,'00 - Lists'!$L$2:$L$11,0))/100000),"")</f>
        <v/>
      </c>
      <c r="BM819" s="35" t="str">
        <f aca="false">IFERROR(IF(BF819="","",BF819*INDEX('00 - Lists'!$M$2:$M$11,MATCH(L819,'00 - Lists'!$L$2:$L$11,0))/100000),"")</f>
        <v/>
      </c>
      <c r="BN819" s="35" t="str">
        <f aca="false">IFERROR(IF(BG819="","",BG819*INDEX('00 - Lists'!$M$2:$M$11,MATCH(L819,'00 - Lists'!$L$2:$L$11,0))/100000),"")</f>
        <v/>
      </c>
      <c r="BO819" s="35" t="str">
        <f aca="false">IFERROR(IF(BH819="","",BH819*INDEX('00 - Lists'!$M$2:$M$11,MATCH(L819,'00 - Lists'!$L$2:$L$11,0))/100000),"")</f>
        <v/>
      </c>
      <c r="BP819" s="35" t="str">
        <f aca="false">IFERROR(IF(BI819="","",BI819*INDEX('00 - Lists'!$M$2:$M$11,MATCH(L819,'00 - Lists'!$L$2:$L$11,0))/100000),"")</f>
        <v/>
      </c>
      <c r="BS819" s="36" t="str">
        <f aca="false">IF(O819="","",IF(O819&gt;=20,"Yes","No"))</f>
        <v/>
      </c>
      <c r="BT819" s="36" t="str">
        <f aca="false">IF(O819="","",IF(O819&gt;=30,"Yes","No"))</f>
        <v/>
      </c>
      <c r="BU819" s="36" t="str">
        <f aca="false">IF(O819="","",IF(O819&gt;=75,"Yes","No"))</f>
        <v/>
      </c>
      <c r="BV819" s="36" t="str">
        <f aca="false">IF(O819="","",IF(O819&gt;=100,"Yes","No"))</f>
        <v/>
      </c>
      <c r="BW819" s="36" t="str">
        <f aca="false">IF(O819="","",IF(O819&gt;=150,"Yes","No"))</f>
        <v/>
      </c>
      <c r="BX819" s="36" t="str">
        <f aca="false">IF(O819="","",IF(O819&gt;=200,"Yes","No"))</f>
        <v/>
      </c>
      <c r="BY819" s="36" t="str">
        <f aca="false">IF(Q819="","",IF(Q819&gt;=150000,"Yes","No"))</f>
        <v/>
      </c>
      <c r="BZ819" s="36" t="str">
        <f aca="false">IF(Q819="","",IF(Q819&gt;=200000,"Yes","No"))</f>
        <v/>
      </c>
      <c r="CA819" s="36" t="str">
        <f aca="false">IF(Q819="","",IF(Q819&gt;=250000,"Yes","No"))</f>
        <v/>
      </c>
      <c r="CB819" s="36" t="str">
        <f aca="false">IF(Q819="","",IF(Q819&gt;=300000,"Yes","No"))</f>
        <v/>
      </c>
      <c r="CC819" s="37"/>
      <c r="CD819" s="36" t="str">
        <f aca="true">IF(B819="","",IF(TODAY()-B819&lt;=7,"🟢 0-7d",IF(TODAY()-B819&lt;=30,"🟡 8-30d",IF(TODAY()-B819&lt;=60,"🟠 31-60d","🔴 60d+"))))</f>
        <v/>
      </c>
      <c r="CE819" s="36" t="str">
        <f aca="false">IF(G819="","",IF(G819&lt;&gt;"USA","N/A - Not USA Role",IF(J819="Yes",IF(OR(F819="Intern",F819="New Grad"),"🟡 Possible","🟢 Strong"),IF(J819="No","🔴 Difficult","⚪ Unknown"))))</f>
        <v/>
      </c>
      <c r="CF819" s="37"/>
      <c r="CG819" s="37"/>
      <c r="CH819" s="38"/>
      <c r="CI819" s="38"/>
      <c r="CJ819" s="38"/>
      <c r="CK819" s="38"/>
    </row>
    <row r="820" customFormat="false" ht="15" hidden="false" customHeight="true" outlineLevel="0" collapsed="false">
      <c r="A820" s="26" t="str">
        <f aca="false">IF($C820="","",ROW()-3)</f>
        <v/>
      </c>
      <c r="B820" s="27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9"/>
      <c r="N820" s="29"/>
      <c r="O820" s="30" t="str">
        <f aca="false">IFERROR(IF(M820="","",M820*INDEX('00 - Lists'!$M$2:$M$11,MATCH(L820,'00 - Lists'!$L$2:$L$11,0))/100000),"")</f>
        <v/>
      </c>
      <c r="P820" s="30" t="str">
        <f aca="false">IFERROR(IF(N820="","",N820*INDEX('00 - Lists'!$M$2:$M$11,MATCH(L820,'00 - Lists'!$L$2:$L$11,0))/100000),"")</f>
        <v/>
      </c>
      <c r="Q820" s="31" t="str">
        <f aca="false">IFERROR(IF(M820="","",M820*INDEX('00 - Lists'!$N$2:$N$11,MATCH(L820,'00 - Lists'!$L$2:$L$11,0))),"")</f>
        <v/>
      </c>
      <c r="R820" s="31" t="str">
        <f aca="false">IFERROR(IF(N820="","",N820*INDEX('00 - Lists'!$N$2:$N$11,MATCH(L820,'00 - Lists'!$L$2:$L$11,0))),"")</f>
        <v/>
      </c>
      <c r="S820" s="32" t="str">
        <f aca="false">IF(O820="","",IF(O820&gt;=50,"Yes","No"))</f>
        <v/>
      </c>
      <c r="T820" s="32" t="str">
        <f aca="false">IF(Q820="","",IF(Q820&gt;=100000,"Yes","No"))</f>
        <v/>
      </c>
      <c r="U820" s="28"/>
      <c r="V820" s="28"/>
      <c r="W820" s="28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J820" s="34" t="str">
        <f aca="false">IF(OR($BD820&lt;&gt;"",$BF820&lt;&gt;"",$BH820&lt;&gt;""),"Yes","No")</f>
        <v>No</v>
      </c>
      <c r="BK820" s="35" t="str">
        <f aca="false">IFERROR(IF(BD820="","",BD820*INDEX('00 - Lists'!$M$2:$M$11,MATCH(L820,'00 - Lists'!$L$2:$L$11,0))/100000),"")</f>
        <v/>
      </c>
      <c r="BL820" s="35" t="str">
        <f aca="false">IFERROR(IF(BE820="","",BE820*INDEX('00 - Lists'!$M$2:$M$11,MATCH(L820,'00 - Lists'!$L$2:$L$11,0))/100000),"")</f>
        <v/>
      </c>
      <c r="BM820" s="35" t="str">
        <f aca="false">IFERROR(IF(BF820="","",BF820*INDEX('00 - Lists'!$M$2:$M$11,MATCH(L820,'00 - Lists'!$L$2:$L$11,0))/100000),"")</f>
        <v/>
      </c>
      <c r="BN820" s="35" t="str">
        <f aca="false">IFERROR(IF(BG820="","",BG820*INDEX('00 - Lists'!$M$2:$M$11,MATCH(L820,'00 - Lists'!$L$2:$L$11,0))/100000),"")</f>
        <v/>
      </c>
      <c r="BO820" s="35" t="str">
        <f aca="false">IFERROR(IF(BH820="","",BH820*INDEX('00 - Lists'!$M$2:$M$11,MATCH(L820,'00 - Lists'!$L$2:$L$11,0))/100000),"")</f>
        <v/>
      </c>
      <c r="BP820" s="35" t="str">
        <f aca="false">IFERROR(IF(BI820="","",BI820*INDEX('00 - Lists'!$M$2:$M$11,MATCH(L820,'00 - Lists'!$L$2:$L$11,0))/100000),"")</f>
        <v/>
      </c>
      <c r="BS820" s="36" t="str">
        <f aca="false">IF(O820="","",IF(O820&gt;=20,"Yes","No"))</f>
        <v/>
      </c>
      <c r="BT820" s="36" t="str">
        <f aca="false">IF(O820="","",IF(O820&gt;=30,"Yes","No"))</f>
        <v/>
      </c>
      <c r="BU820" s="36" t="str">
        <f aca="false">IF(O820="","",IF(O820&gt;=75,"Yes","No"))</f>
        <v/>
      </c>
      <c r="BV820" s="36" t="str">
        <f aca="false">IF(O820="","",IF(O820&gt;=100,"Yes","No"))</f>
        <v/>
      </c>
      <c r="BW820" s="36" t="str">
        <f aca="false">IF(O820="","",IF(O820&gt;=150,"Yes","No"))</f>
        <v/>
      </c>
      <c r="BX820" s="36" t="str">
        <f aca="false">IF(O820="","",IF(O820&gt;=200,"Yes","No"))</f>
        <v/>
      </c>
      <c r="BY820" s="36" t="str">
        <f aca="false">IF(Q820="","",IF(Q820&gt;=150000,"Yes","No"))</f>
        <v/>
      </c>
      <c r="BZ820" s="36" t="str">
        <f aca="false">IF(Q820="","",IF(Q820&gt;=200000,"Yes","No"))</f>
        <v/>
      </c>
      <c r="CA820" s="36" t="str">
        <f aca="false">IF(Q820="","",IF(Q820&gt;=250000,"Yes","No"))</f>
        <v/>
      </c>
      <c r="CB820" s="36" t="str">
        <f aca="false">IF(Q820="","",IF(Q820&gt;=300000,"Yes","No"))</f>
        <v/>
      </c>
      <c r="CC820" s="37"/>
      <c r="CD820" s="36" t="str">
        <f aca="true">IF(B820="","",IF(TODAY()-B820&lt;=7,"🟢 0-7d",IF(TODAY()-B820&lt;=30,"🟡 8-30d",IF(TODAY()-B820&lt;=60,"🟠 31-60d","🔴 60d+"))))</f>
        <v/>
      </c>
      <c r="CE820" s="36" t="str">
        <f aca="false">IF(G820="","",IF(G820&lt;&gt;"USA","N/A - Not USA Role",IF(J820="Yes",IF(OR(F820="Intern",F820="New Grad"),"🟡 Possible","🟢 Strong"),IF(J820="No","🔴 Difficult","⚪ Unknown"))))</f>
        <v/>
      </c>
      <c r="CF820" s="37"/>
      <c r="CG820" s="37"/>
      <c r="CH820" s="38"/>
      <c r="CI820" s="38"/>
      <c r="CJ820" s="38"/>
      <c r="CK820" s="38"/>
    </row>
    <row r="821" customFormat="false" ht="15" hidden="false" customHeight="true" outlineLevel="0" collapsed="false">
      <c r="A821" s="26" t="str">
        <f aca="false">IF($C821="","",ROW()-3)</f>
        <v/>
      </c>
      <c r="B821" s="27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9"/>
      <c r="N821" s="29"/>
      <c r="O821" s="30" t="str">
        <f aca="false">IFERROR(IF(M821="","",M821*INDEX('00 - Lists'!$M$2:$M$11,MATCH(L821,'00 - Lists'!$L$2:$L$11,0))/100000),"")</f>
        <v/>
      </c>
      <c r="P821" s="30" t="str">
        <f aca="false">IFERROR(IF(N821="","",N821*INDEX('00 - Lists'!$M$2:$M$11,MATCH(L821,'00 - Lists'!$L$2:$L$11,0))/100000),"")</f>
        <v/>
      </c>
      <c r="Q821" s="31" t="str">
        <f aca="false">IFERROR(IF(M821="","",M821*INDEX('00 - Lists'!$N$2:$N$11,MATCH(L821,'00 - Lists'!$L$2:$L$11,0))),"")</f>
        <v/>
      </c>
      <c r="R821" s="31" t="str">
        <f aca="false">IFERROR(IF(N821="","",N821*INDEX('00 - Lists'!$N$2:$N$11,MATCH(L821,'00 - Lists'!$L$2:$L$11,0))),"")</f>
        <v/>
      </c>
      <c r="S821" s="32" t="str">
        <f aca="false">IF(O821="","",IF(O821&gt;=50,"Yes","No"))</f>
        <v/>
      </c>
      <c r="T821" s="32" t="str">
        <f aca="false">IF(Q821="","",IF(Q821&gt;=100000,"Yes","No"))</f>
        <v/>
      </c>
      <c r="U821" s="28"/>
      <c r="V821" s="28"/>
      <c r="W821" s="28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J821" s="34" t="str">
        <f aca="false">IF(OR($BD821&lt;&gt;"",$BF821&lt;&gt;"",$BH821&lt;&gt;""),"Yes","No")</f>
        <v>No</v>
      </c>
      <c r="BK821" s="35" t="str">
        <f aca="false">IFERROR(IF(BD821="","",BD821*INDEX('00 - Lists'!$M$2:$M$11,MATCH(L821,'00 - Lists'!$L$2:$L$11,0))/100000),"")</f>
        <v/>
      </c>
      <c r="BL821" s="35" t="str">
        <f aca="false">IFERROR(IF(BE821="","",BE821*INDEX('00 - Lists'!$M$2:$M$11,MATCH(L821,'00 - Lists'!$L$2:$L$11,0))/100000),"")</f>
        <v/>
      </c>
      <c r="BM821" s="35" t="str">
        <f aca="false">IFERROR(IF(BF821="","",BF821*INDEX('00 - Lists'!$M$2:$M$11,MATCH(L821,'00 - Lists'!$L$2:$L$11,0))/100000),"")</f>
        <v/>
      </c>
      <c r="BN821" s="35" t="str">
        <f aca="false">IFERROR(IF(BG821="","",BG821*INDEX('00 - Lists'!$M$2:$M$11,MATCH(L821,'00 - Lists'!$L$2:$L$11,0))/100000),"")</f>
        <v/>
      </c>
      <c r="BO821" s="35" t="str">
        <f aca="false">IFERROR(IF(BH821="","",BH821*INDEX('00 - Lists'!$M$2:$M$11,MATCH(L821,'00 - Lists'!$L$2:$L$11,0))/100000),"")</f>
        <v/>
      </c>
      <c r="BP821" s="35" t="str">
        <f aca="false">IFERROR(IF(BI821="","",BI821*INDEX('00 - Lists'!$M$2:$M$11,MATCH(L821,'00 - Lists'!$L$2:$L$11,0))/100000),"")</f>
        <v/>
      </c>
      <c r="BS821" s="36" t="str">
        <f aca="false">IF(O821="","",IF(O821&gt;=20,"Yes","No"))</f>
        <v/>
      </c>
      <c r="BT821" s="36" t="str">
        <f aca="false">IF(O821="","",IF(O821&gt;=30,"Yes","No"))</f>
        <v/>
      </c>
      <c r="BU821" s="36" t="str">
        <f aca="false">IF(O821="","",IF(O821&gt;=75,"Yes","No"))</f>
        <v/>
      </c>
      <c r="BV821" s="36" t="str">
        <f aca="false">IF(O821="","",IF(O821&gt;=100,"Yes","No"))</f>
        <v/>
      </c>
      <c r="BW821" s="36" t="str">
        <f aca="false">IF(O821="","",IF(O821&gt;=150,"Yes","No"))</f>
        <v/>
      </c>
      <c r="BX821" s="36" t="str">
        <f aca="false">IF(O821="","",IF(O821&gt;=200,"Yes","No"))</f>
        <v/>
      </c>
      <c r="BY821" s="36" t="str">
        <f aca="false">IF(Q821="","",IF(Q821&gt;=150000,"Yes","No"))</f>
        <v/>
      </c>
      <c r="BZ821" s="36" t="str">
        <f aca="false">IF(Q821="","",IF(Q821&gt;=200000,"Yes","No"))</f>
        <v/>
      </c>
      <c r="CA821" s="36" t="str">
        <f aca="false">IF(Q821="","",IF(Q821&gt;=250000,"Yes","No"))</f>
        <v/>
      </c>
      <c r="CB821" s="36" t="str">
        <f aca="false">IF(Q821="","",IF(Q821&gt;=300000,"Yes","No"))</f>
        <v/>
      </c>
      <c r="CC821" s="37"/>
      <c r="CD821" s="36" t="str">
        <f aca="true">IF(B821="","",IF(TODAY()-B821&lt;=7,"🟢 0-7d",IF(TODAY()-B821&lt;=30,"🟡 8-30d",IF(TODAY()-B821&lt;=60,"🟠 31-60d","🔴 60d+"))))</f>
        <v/>
      </c>
      <c r="CE821" s="36" t="str">
        <f aca="false">IF(G821="","",IF(G821&lt;&gt;"USA","N/A - Not USA Role",IF(J821="Yes",IF(OR(F821="Intern",F821="New Grad"),"🟡 Possible","🟢 Strong"),IF(J821="No","🔴 Difficult","⚪ Unknown"))))</f>
        <v/>
      </c>
      <c r="CF821" s="37"/>
      <c r="CG821" s="37"/>
      <c r="CH821" s="38"/>
      <c r="CI821" s="38"/>
      <c r="CJ821" s="38"/>
      <c r="CK821" s="38"/>
    </row>
    <row r="822" customFormat="false" ht="15" hidden="false" customHeight="true" outlineLevel="0" collapsed="false">
      <c r="A822" s="26" t="str">
        <f aca="false">IF($C822="","",ROW()-3)</f>
        <v/>
      </c>
      <c r="B822" s="27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9"/>
      <c r="N822" s="29"/>
      <c r="O822" s="30" t="str">
        <f aca="false">IFERROR(IF(M822="","",M822*INDEX('00 - Lists'!$M$2:$M$11,MATCH(L822,'00 - Lists'!$L$2:$L$11,0))/100000),"")</f>
        <v/>
      </c>
      <c r="P822" s="30" t="str">
        <f aca="false">IFERROR(IF(N822="","",N822*INDEX('00 - Lists'!$M$2:$M$11,MATCH(L822,'00 - Lists'!$L$2:$L$11,0))/100000),"")</f>
        <v/>
      </c>
      <c r="Q822" s="31" t="str">
        <f aca="false">IFERROR(IF(M822="","",M822*INDEX('00 - Lists'!$N$2:$N$11,MATCH(L822,'00 - Lists'!$L$2:$L$11,0))),"")</f>
        <v/>
      </c>
      <c r="R822" s="31" t="str">
        <f aca="false">IFERROR(IF(N822="","",N822*INDEX('00 - Lists'!$N$2:$N$11,MATCH(L822,'00 - Lists'!$L$2:$L$11,0))),"")</f>
        <v/>
      </c>
      <c r="S822" s="32" t="str">
        <f aca="false">IF(O822="","",IF(O822&gt;=50,"Yes","No"))</f>
        <v/>
      </c>
      <c r="T822" s="32" t="str">
        <f aca="false">IF(Q822="","",IF(Q822&gt;=100000,"Yes","No"))</f>
        <v/>
      </c>
      <c r="U822" s="28"/>
      <c r="V822" s="28"/>
      <c r="W822" s="28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J822" s="34" t="str">
        <f aca="false">IF(OR($BD822&lt;&gt;"",$BF822&lt;&gt;"",$BH822&lt;&gt;""),"Yes","No")</f>
        <v>No</v>
      </c>
      <c r="BK822" s="35" t="str">
        <f aca="false">IFERROR(IF(BD822="","",BD822*INDEX('00 - Lists'!$M$2:$M$11,MATCH(L822,'00 - Lists'!$L$2:$L$11,0))/100000),"")</f>
        <v/>
      </c>
      <c r="BL822" s="35" t="str">
        <f aca="false">IFERROR(IF(BE822="","",BE822*INDEX('00 - Lists'!$M$2:$M$11,MATCH(L822,'00 - Lists'!$L$2:$L$11,0))/100000),"")</f>
        <v/>
      </c>
      <c r="BM822" s="35" t="str">
        <f aca="false">IFERROR(IF(BF822="","",BF822*INDEX('00 - Lists'!$M$2:$M$11,MATCH(L822,'00 - Lists'!$L$2:$L$11,0))/100000),"")</f>
        <v/>
      </c>
      <c r="BN822" s="35" t="str">
        <f aca="false">IFERROR(IF(BG822="","",BG822*INDEX('00 - Lists'!$M$2:$M$11,MATCH(L822,'00 - Lists'!$L$2:$L$11,0))/100000),"")</f>
        <v/>
      </c>
      <c r="BO822" s="35" t="str">
        <f aca="false">IFERROR(IF(BH822="","",BH822*INDEX('00 - Lists'!$M$2:$M$11,MATCH(L822,'00 - Lists'!$L$2:$L$11,0))/100000),"")</f>
        <v/>
      </c>
      <c r="BP822" s="35" t="str">
        <f aca="false">IFERROR(IF(BI822="","",BI822*INDEX('00 - Lists'!$M$2:$M$11,MATCH(L822,'00 - Lists'!$L$2:$L$11,0))/100000),"")</f>
        <v/>
      </c>
      <c r="BS822" s="36" t="str">
        <f aca="false">IF(O822="","",IF(O822&gt;=20,"Yes","No"))</f>
        <v/>
      </c>
      <c r="BT822" s="36" t="str">
        <f aca="false">IF(O822="","",IF(O822&gt;=30,"Yes","No"))</f>
        <v/>
      </c>
      <c r="BU822" s="36" t="str">
        <f aca="false">IF(O822="","",IF(O822&gt;=75,"Yes","No"))</f>
        <v/>
      </c>
      <c r="BV822" s="36" t="str">
        <f aca="false">IF(O822="","",IF(O822&gt;=100,"Yes","No"))</f>
        <v/>
      </c>
      <c r="BW822" s="36" t="str">
        <f aca="false">IF(O822="","",IF(O822&gt;=150,"Yes","No"))</f>
        <v/>
      </c>
      <c r="BX822" s="36" t="str">
        <f aca="false">IF(O822="","",IF(O822&gt;=200,"Yes","No"))</f>
        <v/>
      </c>
      <c r="BY822" s="36" t="str">
        <f aca="false">IF(Q822="","",IF(Q822&gt;=150000,"Yes","No"))</f>
        <v/>
      </c>
      <c r="BZ822" s="36" t="str">
        <f aca="false">IF(Q822="","",IF(Q822&gt;=200000,"Yes","No"))</f>
        <v/>
      </c>
      <c r="CA822" s="36" t="str">
        <f aca="false">IF(Q822="","",IF(Q822&gt;=250000,"Yes","No"))</f>
        <v/>
      </c>
      <c r="CB822" s="36" t="str">
        <f aca="false">IF(Q822="","",IF(Q822&gt;=300000,"Yes","No"))</f>
        <v/>
      </c>
      <c r="CC822" s="37"/>
      <c r="CD822" s="36" t="str">
        <f aca="true">IF(B822="","",IF(TODAY()-B822&lt;=7,"🟢 0-7d",IF(TODAY()-B822&lt;=30,"🟡 8-30d",IF(TODAY()-B822&lt;=60,"🟠 31-60d","🔴 60d+"))))</f>
        <v/>
      </c>
      <c r="CE822" s="36" t="str">
        <f aca="false">IF(G822="","",IF(G822&lt;&gt;"USA","N/A - Not USA Role",IF(J822="Yes",IF(OR(F822="Intern",F822="New Grad"),"🟡 Possible","🟢 Strong"),IF(J822="No","🔴 Difficult","⚪ Unknown"))))</f>
        <v/>
      </c>
      <c r="CF822" s="37"/>
      <c r="CG822" s="37"/>
      <c r="CH822" s="38"/>
      <c r="CI822" s="38"/>
      <c r="CJ822" s="38"/>
      <c r="CK822" s="38"/>
    </row>
    <row r="823" customFormat="false" ht="15" hidden="false" customHeight="true" outlineLevel="0" collapsed="false">
      <c r="A823" s="26" t="str">
        <f aca="false">IF($C823="","",ROW()-3)</f>
        <v/>
      </c>
      <c r="B823" s="27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9"/>
      <c r="N823" s="29"/>
      <c r="O823" s="30" t="str">
        <f aca="false">IFERROR(IF(M823="","",M823*INDEX('00 - Lists'!$M$2:$M$11,MATCH(L823,'00 - Lists'!$L$2:$L$11,0))/100000),"")</f>
        <v/>
      </c>
      <c r="P823" s="30" t="str">
        <f aca="false">IFERROR(IF(N823="","",N823*INDEX('00 - Lists'!$M$2:$M$11,MATCH(L823,'00 - Lists'!$L$2:$L$11,0))/100000),"")</f>
        <v/>
      </c>
      <c r="Q823" s="31" t="str">
        <f aca="false">IFERROR(IF(M823="","",M823*INDEX('00 - Lists'!$N$2:$N$11,MATCH(L823,'00 - Lists'!$L$2:$L$11,0))),"")</f>
        <v/>
      </c>
      <c r="R823" s="31" t="str">
        <f aca="false">IFERROR(IF(N823="","",N823*INDEX('00 - Lists'!$N$2:$N$11,MATCH(L823,'00 - Lists'!$L$2:$L$11,0))),"")</f>
        <v/>
      </c>
      <c r="S823" s="32" t="str">
        <f aca="false">IF(O823="","",IF(O823&gt;=50,"Yes","No"))</f>
        <v/>
      </c>
      <c r="T823" s="32" t="str">
        <f aca="false">IF(Q823="","",IF(Q823&gt;=100000,"Yes","No"))</f>
        <v/>
      </c>
      <c r="U823" s="28"/>
      <c r="V823" s="28"/>
      <c r="W823" s="28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J823" s="34" t="str">
        <f aca="false">IF(OR($BD823&lt;&gt;"",$BF823&lt;&gt;"",$BH823&lt;&gt;""),"Yes","No")</f>
        <v>No</v>
      </c>
      <c r="BK823" s="35" t="str">
        <f aca="false">IFERROR(IF(BD823="","",BD823*INDEX('00 - Lists'!$M$2:$M$11,MATCH(L823,'00 - Lists'!$L$2:$L$11,0))/100000),"")</f>
        <v/>
      </c>
      <c r="BL823" s="35" t="str">
        <f aca="false">IFERROR(IF(BE823="","",BE823*INDEX('00 - Lists'!$M$2:$M$11,MATCH(L823,'00 - Lists'!$L$2:$L$11,0))/100000),"")</f>
        <v/>
      </c>
      <c r="BM823" s="35" t="str">
        <f aca="false">IFERROR(IF(BF823="","",BF823*INDEX('00 - Lists'!$M$2:$M$11,MATCH(L823,'00 - Lists'!$L$2:$L$11,0))/100000),"")</f>
        <v/>
      </c>
      <c r="BN823" s="35" t="str">
        <f aca="false">IFERROR(IF(BG823="","",BG823*INDEX('00 - Lists'!$M$2:$M$11,MATCH(L823,'00 - Lists'!$L$2:$L$11,0))/100000),"")</f>
        <v/>
      </c>
      <c r="BO823" s="35" t="str">
        <f aca="false">IFERROR(IF(BH823="","",BH823*INDEX('00 - Lists'!$M$2:$M$11,MATCH(L823,'00 - Lists'!$L$2:$L$11,0))/100000),"")</f>
        <v/>
      </c>
      <c r="BP823" s="35" t="str">
        <f aca="false">IFERROR(IF(BI823="","",BI823*INDEX('00 - Lists'!$M$2:$M$11,MATCH(L823,'00 - Lists'!$L$2:$L$11,0))/100000),"")</f>
        <v/>
      </c>
      <c r="BS823" s="36" t="str">
        <f aca="false">IF(O823="","",IF(O823&gt;=20,"Yes","No"))</f>
        <v/>
      </c>
      <c r="BT823" s="36" t="str">
        <f aca="false">IF(O823="","",IF(O823&gt;=30,"Yes","No"))</f>
        <v/>
      </c>
      <c r="BU823" s="36" t="str">
        <f aca="false">IF(O823="","",IF(O823&gt;=75,"Yes","No"))</f>
        <v/>
      </c>
      <c r="BV823" s="36" t="str">
        <f aca="false">IF(O823="","",IF(O823&gt;=100,"Yes","No"))</f>
        <v/>
      </c>
      <c r="BW823" s="36" t="str">
        <f aca="false">IF(O823="","",IF(O823&gt;=150,"Yes","No"))</f>
        <v/>
      </c>
      <c r="BX823" s="36" t="str">
        <f aca="false">IF(O823="","",IF(O823&gt;=200,"Yes","No"))</f>
        <v/>
      </c>
      <c r="BY823" s="36" t="str">
        <f aca="false">IF(Q823="","",IF(Q823&gt;=150000,"Yes","No"))</f>
        <v/>
      </c>
      <c r="BZ823" s="36" t="str">
        <f aca="false">IF(Q823="","",IF(Q823&gt;=200000,"Yes","No"))</f>
        <v/>
      </c>
      <c r="CA823" s="36" t="str">
        <f aca="false">IF(Q823="","",IF(Q823&gt;=250000,"Yes","No"))</f>
        <v/>
      </c>
      <c r="CB823" s="36" t="str">
        <f aca="false">IF(Q823="","",IF(Q823&gt;=300000,"Yes","No"))</f>
        <v/>
      </c>
      <c r="CC823" s="37"/>
      <c r="CD823" s="36" t="str">
        <f aca="true">IF(B823="","",IF(TODAY()-B823&lt;=7,"🟢 0-7d",IF(TODAY()-B823&lt;=30,"🟡 8-30d",IF(TODAY()-B823&lt;=60,"🟠 31-60d","🔴 60d+"))))</f>
        <v/>
      </c>
      <c r="CE823" s="36" t="str">
        <f aca="false">IF(G823="","",IF(G823&lt;&gt;"USA","N/A - Not USA Role",IF(J823="Yes",IF(OR(F823="Intern",F823="New Grad"),"🟡 Possible","🟢 Strong"),IF(J823="No","🔴 Difficult","⚪ Unknown"))))</f>
        <v/>
      </c>
      <c r="CF823" s="37"/>
      <c r="CG823" s="37"/>
      <c r="CH823" s="38"/>
      <c r="CI823" s="38"/>
      <c r="CJ823" s="38"/>
      <c r="CK823" s="38"/>
    </row>
    <row r="824" customFormat="false" ht="15" hidden="false" customHeight="true" outlineLevel="0" collapsed="false">
      <c r="A824" s="26" t="str">
        <f aca="false">IF($C824="","",ROW()-3)</f>
        <v/>
      </c>
      <c r="B824" s="27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9"/>
      <c r="N824" s="29"/>
      <c r="O824" s="30" t="str">
        <f aca="false">IFERROR(IF(M824="","",M824*INDEX('00 - Lists'!$M$2:$M$11,MATCH(L824,'00 - Lists'!$L$2:$L$11,0))/100000),"")</f>
        <v/>
      </c>
      <c r="P824" s="30" t="str">
        <f aca="false">IFERROR(IF(N824="","",N824*INDEX('00 - Lists'!$M$2:$M$11,MATCH(L824,'00 - Lists'!$L$2:$L$11,0))/100000),"")</f>
        <v/>
      </c>
      <c r="Q824" s="31" t="str">
        <f aca="false">IFERROR(IF(M824="","",M824*INDEX('00 - Lists'!$N$2:$N$11,MATCH(L824,'00 - Lists'!$L$2:$L$11,0))),"")</f>
        <v/>
      </c>
      <c r="R824" s="31" t="str">
        <f aca="false">IFERROR(IF(N824="","",N824*INDEX('00 - Lists'!$N$2:$N$11,MATCH(L824,'00 - Lists'!$L$2:$L$11,0))),"")</f>
        <v/>
      </c>
      <c r="S824" s="32" t="str">
        <f aca="false">IF(O824="","",IF(O824&gt;=50,"Yes","No"))</f>
        <v/>
      </c>
      <c r="T824" s="32" t="str">
        <f aca="false">IF(Q824="","",IF(Q824&gt;=100000,"Yes","No"))</f>
        <v/>
      </c>
      <c r="U824" s="28"/>
      <c r="V824" s="28"/>
      <c r="W824" s="28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J824" s="34" t="str">
        <f aca="false">IF(OR($BD824&lt;&gt;"",$BF824&lt;&gt;"",$BH824&lt;&gt;""),"Yes","No")</f>
        <v>No</v>
      </c>
      <c r="BK824" s="35" t="str">
        <f aca="false">IFERROR(IF(BD824="","",BD824*INDEX('00 - Lists'!$M$2:$M$11,MATCH(L824,'00 - Lists'!$L$2:$L$11,0))/100000),"")</f>
        <v/>
      </c>
      <c r="BL824" s="35" t="str">
        <f aca="false">IFERROR(IF(BE824="","",BE824*INDEX('00 - Lists'!$M$2:$M$11,MATCH(L824,'00 - Lists'!$L$2:$L$11,0))/100000),"")</f>
        <v/>
      </c>
      <c r="BM824" s="35" t="str">
        <f aca="false">IFERROR(IF(BF824="","",BF824*INDEX('00 - Lists'!$M$2:$M$11,MATCH(L824,'00 - Lists'!$L$2:$L$11,0))/100000),"")</f>
        <v/>
      </c>
      <c r="BN824" s="35" t="str">
        <f aca="false">IFERROR(IF(BG824="","",BG824*INDEX('00 - Lists'!$M$2:$M$11,MATCH(L824,'00 - Lists'!$L$2:$L$11,0))/100000),"")</f>
        <v/>
      </c>
      <c r="BO824" s="35" t="str">
        <f aca="false">IFERROR(IF(BH824="","",BH824*INDEX('00 - Lists'!$M$2:$M$11,MATCH(L824,'00 - Lists'!$L$2:$L$11,0))/100000),"")</f>
        <v/>
      </c>
      <c r="BP824" s="35" t="str">
        <f aca="false">IFERROR(IF(BI824="","",BI824*INDEX('00 - Lists'!$M$2:$M$11,MATCH(L824,'00 - Lists'!$L$2:$L$11,0))/100000),"")</f>
        <v/>
      </c>
      <c r="BS824" s="36" t="str">
        <f aca="false">IF(O824="","",IF(O824&gt;=20,"Yes","No"))</f>
        <v/>
      </c>
      <c r="BT824" s="36" t="str">
        <f aca="false">IF(O824="","",IF(O824&gt;=30,"Yes","No"))</f>
        <v/>
      </c>
      <c r="BU824" s="36" t="str">
        <f aca="false">IF(O824="","",IF(O824&gt;=75,"Yes","No"))</f>
        <v/>
      </c>
      <c r="BV824" s="36" t="str">
        <f aca="false">IF(O824="","",IF(O824&gt;=100,"Yes","No"))</f>
        <v/>
      </c>
      <c r="BW824" s="36" t="str">
        <f aca="false">IF(O824="","",IF(O824&gt;=150,"Yes","No"))</f>
        <v/>
      </c>
      <c r="BX824" s="36" t="str">
        <f aca="false">IF(O824="","",IF(O824&gt;=200,"Yes","No"))</f>
        <v/>
      </c>
      <c r="BY824" s="36" t="str">
        <f aca="false">IF(Q824="","",IF(Q824&gt;=150000,"Yes","No"))</f>
        <v/>
      </c>
      <c r="BZ824" s="36" t="str">
        <f aca="false">IF(Q824="","",IF(Q824&gt;=200000,"Yes","No"))</f>
        <v/>
      </c>
      <c r="CA824" s="36" t="str">
        <f aca="false">IF(Q824="","",IF(Q824&gt;=250000,"Yes","No"))</f>
        <v/>
      </c>
      <c r="CB824" s="36" t="str">
        <f aca="false">IF(Q824="","",IF(Q824&gt;=300000,"Yes","No"))</f>
        <v/>
      </c>
      <c r="CC824" s="37"/>
      <c r="CD824" s="36" t="str">
        <f aca="true">IF(B824="","",IF(TODAY()-B824&lt;=7,"🟢 0-7d",IF(TODAY()-B824&lt;=30,"🟡 8-30d",IF(TODAY()-B824&lt;=60,"🟠 31-60d","🔴 60d+"))))</f>
        <v/>
      </c>
      <c r="CE824" s="36" t="str">
        <f aca="false">IF(G824="","",IF(G824&lt;&gt;"USA","N/A - Not USA Role",IF(J824="Yes",IF(OR(F824="Intern",F824="New Grad"),"🟡 Possible","🟢 Strong"),IF(J824="No","🔴 Difficult","⚪ Unknown"))))</f>
        <v/>
      </c>
      <c r="CF824" s="37"/>
      <c r="CG824" s="37"/>
      <c r="CH824" s="38"/>
      <c r="CI824" s="38"/>
      <c r="CJ824" s="38"/>
      <c r="CK824" s="38"/>
    </row>
    <row r="825" customFormat="false" ht="15" hidden="false" customHeight="true" outlineLevel="0" collapsed="false">
      <c r="A825" s="26" t="str">
        <f aca="false">IF($C825="","",ROW()-3)</f>
        <v/>
      </c>
      <c r="B825" s="27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9"/>
      <c r="N825" s="29"/>
      <c r="O825" s="30" t="str">
        <f aca="false">IFERROR(IF(M825="","",M825*INDEX('00 - Lists'!$M$2:$M$11,MATCH(L825,'00 - Lists'!$L$2:$L$11,0))/100000),"")</f>
        <v/>
      </c>
      <c r="P825" s="30" t="str">
        <f aca="false">IFERROR(IF(N825="","",N825*INDEX('00 - Lists'!$M$2:$M$11,MATCH(L825,'00 - Lists'!$L$2:$L$11,0))/100000),"")</f>
        <v/>
      </c>
      <c r="Q825" s="31" t="str">
        <f aca="false">IFERROR(IF(M825="","",M825*INDEX('00 - Lists'!$N$2:$N$11,MATCH(L825,'00 - Lists'!$L$2:$L$11,0))),"")</f>
        <v/>
      </c>
      <c r="R825" s="31" t="str">
        <f aca="false">IFERROR(IF(N825="","",N825*INDEX('00 - Lists'!$N$2:$N$11,MATCH(L825,'00 - Lists'!$L$2:$L$11,0))),"")</f>
        <v/>
      </c>
      <c r="S825" s="32" t="str">
        <f aca="false">IF(O825="","",IF(O825&gt;=50,"Yes","No"))</f>
        <v/>
      </c>
      <c r="T825" s="32" t="str">
        <f aca="false">IF(Q825="","",IF(Q825&gt;=100000,"Yes","No"))</f>
        <v/>
      </c>
      <c r="U825" s="28"/>
      <c r="V825" s="28"/>
      <c r="W825" s="28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J825" s="34" t="str">
        <f aca="false">IF(OR($BD825&lt;&gt;"",$BF825&lt;&gt;"",$BH825&lt;&gt;""),"Yes","No")</f>
        <v>No</v>
      </c>
      <c r="BK825" s="35" t="str">
        <f aca="false">IFERROR(IF(BD825="","",BD825*INDEX('00 - Lists'!$M$2:$M$11,MATCH(L825,'00 - Lists'!$L$2:$L$11,0))/100000),"")</f>
        <v/>
      </c>
      <c r="BL825" s="35" t="str">
        <f aca="false">IFERROR(IF(BE825="","",BE825*INDEX('00 - Lists'!$M$2:$M$11,MATCH(L825,'00 - Lists'!$L$2:$L$11,0))/100000),"")</f>
        <v/>
      </c>
      <c r="BM825" s="35" t="str">
        <f aca="false">IFERROR(IF(BF825="","",BF825*INDEX('00 - Lists'!$M$2:$M$11,MATCH(L825,'00 - Lists'!$L$2:$L$11,0))/100000),"")</f>
        <v/>
      </c>
      <c r="BN825" s="35" t="str">
        <f aca="false">IFERROR(IF(BG825="","",BG825*INDEX('00 - Lists'!$M$2:$M$11,MATCH(L825,'00 - Lists'!$L$2:$L$11,0))/100000),"")</f>
        <v/>
      </c>
      <c r="BO825" s="35" t="str">
        <f aca="false">IFERROR(IF(BH825="","",BH825*INDEX('00 - Lists'!$M$2:$M$11,MATCH(L825,'00 - Lists'!$L$2:$L$11,0))/100000),"")</f>
        <v/>
      </c>
      <c r="BP825" s="35" t="str">
        <f aca="false">IFERROR(IF(BI825="","",BI825*INDEX('00 - Lists'!$M$2:$M$11,MATCH(L825,'00 - Lists'!$L$2:$L$11,0))/100000),"")</f>
        <v/>
      </c>
      <c r="BS825" s="36" t="str">
        <f aca="false">IF(O825="","",IF(O825&gt;=20,"Yes","No"))</f>
        <v/>
      </c>
      <c r="BT825" s="36" t="str">
        <f aca="false">IF(O825="","",IF(O825&gt;=30,"Yes","No"))</f>
        <v/>
      </c>
      <c r="BU825" s="36" t="str">
        <f aca="false">IF(O825="","",IF(O825&gt;=75,"Yes","No"))</f>
        <v/>
      </c>
      <c r="BV825" s="36" t="str">
        <f aca="false">IF(O825="","",IF(O825&gt;=100,"Yes","No"))</f>
        <v/>
      </c>
      <c r="BW825" s="36" t="str">
        <f aca="false">IF(O825="","",IF(O825&gt;=150,"Yes","No"))</f>
        <v/>
      </c>
      <c r="BX825" s="36" t="str">
        <f aca="false">IF(O825="","",IF(O825&gt;=200,"Yes","No"))</f>
        <v/>
      </c>
      <c r="BY825" s="36" t="str">
        <f aca="false">IF(Q825="","",IF(Q825&gt;=150000,"Yes","No"))</f>
        <v/>
      </c>
      <c r="BZ825" s="36" t="str">
        <f aca="false">IF(Q825="","",IF(Q825&gt;=200000,"Yes","No"))</f>
        <v/>
      </c>
      <c r="CA825" s="36" t="str">
        <f aca="false">IF(Q825="","",IF(Q825&gt;=250000,"Yes","No"))</f>
        <v/>
      </c>
      <c r="CB825" s="36" t="str">
        <f aca="false">IF(Q825="","",IF(Q825&gt;=300000,"Yes","No"))</f>
        <v/>
      </c>
      <c r="CC825" s="37"/>
      <c r="CD825" s="36" t="str">
        <f aca="true">IF(B825="","",IF(TODAY()-B825&lt;=7,"🟢 0-7d",IF(TODAY()-B825&lt;=30,"🟡 8-30d",IF(TODAY()-B825&lt;=60,"🟠 31-60d","🔴 60d+"))))</f>
        <v/>
      </c>
      <c r="CE825" s="36" t="str">
        <f aca="false">IF(G825="","",IF(G825&lt;&gt;"USA","N/A - Not USA Role",IF(J825="Yes",IF(OR(F825="Intern",F825="New Grad"),"🟡 Possible","🟢 Strong"),IF(J825="No","🔴 Difficult","⚪ Unknown"))))</f>
        <v/>
      </c>
      <c r="CF825" s="37"/>
      <c r="CG825" s="37"/>
      <c r="CH825" s="38"/>
      <c r="CI825" s="38"/>
      <c r="CJ825" s="38"/>
      <c r="CK825" s="38"/>
    </row>
    <row r="826" customFormat="false" ht="15" hidden="false" customHeight="true" outlineLevel="0" collapsed="false">
      <c r="A826" s="26" t="str">
        <f aca="false">IF($C826="","",ROW()-3)</f>
        <v/>
      </c>
      <c r="B826" s="27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9"/>
      <c r="N826" s="29"/>
      <c r="O826" s="30" t="str">
        <f aca="false">IFERROR(IF(M826="","",M826*INDEX('00 - Lists'!$M$2:$M$11,MATCH(L826,'00 - Lists'!$L$2:$L$11,0))/100000),"")</f>
        <v/>
      </c>
      <c r="P826" s="30" t="str">
        <f aca="false">IFERROR(IF(N826="","",N826*INDEX('00 - Lists'!$M$2:$M$11,MATCH(L826,'00 - Lists'!$L$2:$L$11,0))/100000),"")</f>
        <v/>
      </c>
      <c r="Q826" s="31" t="str">
        <f aca="false">IFERROR(IF(M826="","",M826*INDEX('00 - Lists'!$N$2:$N$11,MATCH(L826,'00 - Lists'!$L$2:$L$11,0))),"")</f>
        <v/>
      </c>
      <c r="R826" s="31" t="str">
        <f aca="false">IFERROR(IF(N826="","",N826*INDEX('00 - Lists'!$N$2:$N$11,MATCH(L826,'00 - Lists'!$L$2:$L$11,0))),"")</f>
        <v/>
      </c>
      <c r="S826" s="32" t="str">
        <f aca="false">IF(O826="","",IF(O826&gt;=50,"Yes","No"))</f>
        <v/>
      </c>
      <c r="T826" s="32" t="str">
        <f aca="false">IF(Q826="","",IF(Q826&gt;=100000,"Yes","No"))</f>
        <v/>
      </c>
      <c r="U826" s="28"/>
      <c r="V826" s="28"/>
      <c r="W826" s="28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J826" s="34" t="str">
        <f aca="false">IF(OR($BD826&lt;&gt;"",$BF826&lt;&gt;"",$BH826&lt;&gt;""),"Yes","No")</f>
        <v>No</v>
      </c>
      <c r="BK826" s="35" t="str">
        <f aca="false">IFERROR(IF(BD826="","",BD826*INDEX('00 - Lists'!$M$2:$M$11,MATCH(L826,'00 - Lists'!$L$2:$L$11,0))/100000),"")</f>
        <v/>
      </c>
      <c r="BL826" s="35" t="str">
        <f aca="false">IFERROR(IF(BE826="","",BE826*INDEX('00 - Lists'!$M$2:$M$11,MATCH(L826,'00 - Lists'!$L$2:$L$11,0))/100000),"")</f>
        <v/>
      </c>
      <c r="BM826" s="35" t="str">
        <f aca="false">IFERROR(IF(BF826="","",BF826*INDEX('00 - Lists'!$M$2:$M$11,MATCH(L826,'00 - Lists'!$L$2:$L$11,0))/100000),"")</f>
        <v/>
      </c>
      <c r="BN826" s="35" t="str">
        <f aca="false">IFERROR(IF(BG826="","",BG826*INDEX('00 - Lists'!$M$2:$M$11,MATCH(L826,'00 - Lists'!$L$2:$L$11,0))/100000),"")</f>
        <v/>
      </c>
      <c r="BO826" s="35" t="str">
        <f aca="false">IFERROR(IF(BH826="","",BH826*INDEX('00 - Lists'!$M$2:$M$11,MATCH(L826,'00 - Lists'!$L$2:$L$11,0))/100000),"")</f>
        <v/>
      </c>
      <c r="BP826" s="35" t="str">
        <f aca="false">IFERROR(IF(BI826="","",BI826*INDEX('00 - Lists'!$M$2:$M$11,MATCH(L826,'00 - Lists'!$L$2:$L$11,0))/100000),"")</f>
        <v/>
      </c>
      <c r="BS826" s="36" t="str">
        <f aca="false">IF(O826="","",IF(O826&gt;=20,"Yes","No"))</f>
        <v/>
      </c>
      <c r="BT826" s="36" t="str">
        <f aca="false">IF(O826="","",IF(O826&gt;=30,"Yes","No"))</f>
        <v/>
      </c>
      <c r="BU826" s="36" t="str">
        <f aca="false">IF(O826="","",IF(O826&gt;=75,"Yes","No"))</f>
        <v/>
      </c>
      <c r="BV826" s="36" t="str">
        <f aca="false">IF(O826="","",IF(O826&gt;=100,"Yes","No"))</f>
        <v/>
      </c>
      <c r="BW826" s="36" t="str">
        <f aca="false">IF(O826="","",IF(O826&gt;=150,"Yes","No"))</f>
        <v/>
      </c>
      <c r="BX826" s="36" t="str">
        <f aca="false">IF(O826="","",IF(O826&gt;=200,"Yes","No"))</f>
        <v/>
      </c>
      <c r="BY826" s="36" t="str">
        <f aca="false">IF(Q826="","",IF(Q826&gt;=150000,"Yes","No"))</f>
        <v/>
      </c>
      <c r="BZ826" s="36" t="str">
        <f aca="false">IF(Q826="","",IF(Q826&gt;=200000,"Yes","No"))</f>
        <v/>
      </c>
      <c r="CA826" s="36" t="str">
        <f aca="false">IF(Q826="","",IF(Q826&gt;=250000,"Yes","No"))</f>
        <v/>
      </c>
      <c r="CB826" s="36" t="str">
        <f aca="false">IF(Q826="","",IF(Q826&gt;=300000,"Yes","No"))</f>
        <v/>
      </c>
      <c r="CC826" s="37"/>
      <c r="CD826" s="36" t="str">
        <f aca="true">IF(B826="","",IF(TODAY()-B826&lt;=7,"🟢 0-7d",IF(TODAY()-B826&lt;=30,"🟡 8-30d",IF(TODAY()-B826&lt;=60,"🟠 31-60d","🔴 60d+"))))</f>
        <v/>
      </c>
      <c r="CE826" s="36" t="str">
        <f aca="false">IF(G826="","",IF(G826&lt;&gt;"USA","N/A - Not USA Role",IF(J826="Yes",IF(OR(F826="Intern",F826="New Grad"),"🟡 Possible","🟢 Strong"),IF(J826="No","🔴 Difficult","⚪ Unknown"))))</f>
        <v/>
      </c>
      <c r="CF826" s="37"/>
      <c r="CG826" s="37"/>
      <c r="CH826" s="38"/>
      <c r="CI826" s="38"/>
      <c r="CJ826" s="38"/>
      <c r="CK826" s="38"/>
    </row>
    <row r="827" customFormat="false" ht="15" hidden="false" customHeight="true" outlineLevel="0" collapsed="false">
      <c r="A827" s="26" t="str">
        <f aca="false">IF($C827="","",ROW()-3)</f>
        <v/>
      </c>
      <c r="B827" s="27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9"/>
      <c r="N827" s="29"/>
      <c r="O827" s="30" t="str">
        <f aca="false">IFERROR(IF(M827="","",M827*INDEX('00 - Lists'!$M$2:$M$11,MATCH(L827,'00 - Lists'!$L$2:$L$11,0))/100000),"")</f>
        <v/>
      </c>
      <c r="P827" s="30" t="str">
        <f aca="false">IFERROR(IF(N827="","",N827*INDEX('00 - Lists'!$M$2:$M$11,MATCH(L827,'00 - Lists'!$L$2:$L$11,0))/100000),"")</f>
        <v/>
      </c>
      <c r="Q827" s="31" t="str">
        <f aca="false">IFERROR(IF(M827="","",M827*INDEX('00 - Lists'!$N$2:$N$11,MATCH(L827,'00 - Lists'!$L$2:$L$11,0))),"")</f>
        <v/>
      </c>
      <c r="R827" s="31" t="str">
        <f aca="false">IFERROR(IF(N827="","",N827*INDEX('00 - Lists'!$N$2:$N$11,MATCH(L827,'00 - Lists'!$L$2:$L$11,0))),"")</f>
        <v/>
      </c>
      <c r="S827" s="32" t="str">
        <f aca="false">IF(O827="","",IF(O827&gt;=50,"Yes","No"))</f>
        <v/>
      </c>
      <c r="T827" s="32" t="str">
        <f aca="false">IF(Q827="","",IF(Q827&gt;=100000,"Yes","No"))</f>
        <v/>
      </c>
      <c r="U827" s="28"/>
      <c r="V827" s="28"/>
      <c r="W827" s="28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J827" s="34" t="str">
        <f aca="false">IF(OR($BD827&lt;&gt;"",$BF827&lt;&gt;"",$BH827&lt;&gt;""),"Yes","No")</f>
        <v>No</v>
      </c>
      <c r="BK827" s="35" t="str">
        <f aca="false">IFERROR(IF(BD827="","",BD827*INDEX('00 - Lists'!$M$2:$M$11,MATCH(L827,'00 - Lists'!$L$2:$L$11,0))/100000),"")</f>
        <v/>
      </c>
      <c r="BL827" s="35" t="str">
        <f aca="false">IFERROR(IF(BE827="","",BE827*INDEX('00 - Lists'!$M$2:$M$11,MATCH(L827,'00 - Lists'!$L$2:$L$11,0))/100000),"")</f>
        <v/>
      </c>
      <c r="BM827" s="35" t="str">
        <f aca="false">IFERROR(IF(BF827="","",BF827*INDEX('00 - Lists'!$M$2:$M$11,MATCH(L827,'00 - Lists'!$L$2:$L$11,0))/100000),"")</f>
        <v/>
      </c>
      <c r="BN827" s="35" t="str">
        <f aca="false">IFERROR(IF(BG827="","",BG827*INDEX('00 - Lists'!$M$2:$M$11,MATCH(L827,'00 - Lists'!$L$2:$L$11,0))/100000),"")</f>
        <v/>
      </c>
      <c r="BO827" s="35" t="str">
        <f aca="false">IFERROR(IF(BH827="","",BH827*INDEX('00 - Lists'!$M$2:$M$11,MATCH(L827,'00 - Lists'!$L$2:$L$11,0))/100000),"")</f>
        <v/>
      </c>
      <c r="BP827" s="35" t="str">
        <f aca="false">IFERROR(IF(BI827="","",BI827*INDEX('00 - Lists'!$M$2:$M$11,MATCH(L827,'00 - Lists'!$L$2:$L$11,0))/100000),"")</f>
        <v/>
      </c>
      <c r="BS827" s="36" t="str">
        <f aca="false">IF(O827="","",IF(O827&gt;=20,"Yes","No"))</f>
        <v/>
      </c>
      <c r="BT827" s="36" t="str">
        <f aca="false">IF(O827="","",IF(O827&gt;=30,"Yes","No"))</f>
        <v/>
      </c>
      <c r="BU827" s="36" t="str">
        <f aca="false">IF(O827="","",IF(O827&gt;=75,"Yes","No"))</f>
        <v/>
      </c>
      <c r="BV827" s="36" t="str">
        <f aca="false">IF(O827="","",IF(O827&gt;=100,"Yes","No"))</f>
        <v/>
      </c>
      <c r="BW827" s="36" t="str">
        <f aca="false">IF(O827="","",IF(O827&gt;=150,"Yes","No"))</f>
        <v/>
      </c>
      <c r="BX827" s="36" t="str">
        <f aca="false">IF(O827="","",IF(O827&gt;=200,"Yes","No"))</f>
        <v/>
      </c>
      <c r="BY827" s="36" t="str">
        <f aca="false">IF(Q827="","",IF(Q827&gt;=150000,"Yes","No"))</f>
        <v/>
      </c>
      <c r="BZ827" s="36" t="str">
        <f aca="false">IF(Q827="","",IF(Q827&gt;=200000,"Yes","No"))</f>
        <v/>
      </c>
      <c r="CA827" s="36" t="str">
        <f aca="false">IF(Q827="","",IF(Q827&gt;=250000,"Yes","No"))</f>
        <v/>
      </c>
      <c r="CB827" s="36" t="str">
        <f aca="false">IF(Q827="","",IF(Q827&gt;=300000,"Yes","No"))</f>
        <v/>
      </c>
      <c r="CC827" s="37"/>
      <c r="CD827" s="36" t="str">
        <f aca="true">IF(B827="","",IF(TODAY()-B827&lt;=7,"🟢 0-7d",IF(TODAY()-B827&lt;=30,"🟡 8-30d",IF(TODAY()-B827&lt;=60,"🟠 31-60d","🔴 60d+"))))</f>
        <v/>
      </c>
      <c r="CE827" s="36" t="str">
        <f aca="false">IF(G827="","",IF(G827&lt;&gt;"USA","N/A - Not USA Role",IF(J827="Yes",IF(OR(F827="Intern",F827="New Grad"),"🟡 Possible","🟢 Strong"),IF(J827="No","🔴 Difficult","⚪ Unknown"))))</f>
        <v/>
      </c>
      <c r="CF827" s="37"/>
      <c r="CG827" s="37"/>
      <c r="CH827" s="38"/>
      <c r="CI827" s="38"/>
      <c r="CJ827" s="38"/>
      <c r="CK827" s="38"/>
    </row>
    <row r="828" customFormat="false" ht="15" hidden="false" customHeight="true" outlineLevel="0" collapsed="false">
      <c r="A828" s="26" t="str">
        <f aca="false">IF($C828="","",ROW()-3)</f>
        <v/>
      </c>
      <c r="B828" s="27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9"/>
      <c r="N828" s="29"/>
      <c r="O828" s="30" t="str">
        <f aca="false">IFERROR(IF(M828="","",M828*INDEX('00 - Lists'!$M$2:$M$11,MATCH(L828,'00 - Lists'!$L$2:$L$11,0))/100000),"")</f>
        <v/>
      </c>
      <c r="P828" s="30" t="str">
        <f aca="false">IFERROR(IF(N828="","",N828*INDEX('00 - Lists'!$M$2:$M$11,MATCH(L828,'00 - Lists'!$L$2:$L$11,0))/100000),"")</f>
        <v/>
      </c>
      <c r="Q828" s="31" t="str">
        <f aca="false">IFERROR(IF(M828="","",M828*INDEX('00 - Lists'!$N$2:$N$11,MATCH(L828,'00 - Lists'!$L$2:$L$11,0))),"")</f>
        <v/>
      </c>
      <c r="R828" s="31" t="str">
        <f aca="false">IFERROR(IF(N828="","",N828*INDEX('00 - Lists'!$N$2:$N$11,MATCH(L828,'00 - Lists'!$L$2:$L$11,0))),"")</f>
        <v/>
      </c>
      <c r="S828" s="32" t="str">
        <f aca="false">IF(O828="","",IF(O828&gt;=50,"Yes","No"))</f>
        <v/>
      </c>
      <c r="T828" s="32" t="str">
        <f aca="false">IF(Q828="","",IF(Q828&gt;=100000,"Yes","No"))</f>
        <v/>
      </c>
      <c r="U828" s="28"/>
      <c r="V828" s="28"/>
      <c r="W828" s="28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J828" s="34" t="str">
        <f aca="false">IF(OR($BD828&lt;&gt;"",$BF828&lt;&gt;"",$BH828&lt;&gt;""),"Yes","No")</f>
        <v>No</v>
      </c>
      <c r="BK828" s="35" t="str">
        <f aca="false">IFERROR(IF(BD828="","",BD828*INDEX('00 - Lists'!$M$2:$M$11,MATCH(L828,'00 - Lists'!$L$2:$L$11,0))/100000),"")</f>
        <v/>
      </c>
      <c r="BL828" s="35" t="str">
        <f aca="false">IFERROR(IF(BE828="","",BE828*INDEX('00 - Lists'!$M$2:$M$11,MATCH(L828,'00 - Lists'!$L$2:$L$11,0))/100000),"")</f>
        <v/>
      </c>
      <c r="BM828" s="35" t="str">
        <f aca="false">IFERROR(IF(BF828="","",BF828*INDEX('00 - Lists'!$M$2:$M$11,MATCH(L828,'00 - Lists'!$L$2:$L$11,0))/100000),"")</f>
        <v/>
      </c>
      <c r="BN828" s="35" t="str">
        <f aca="false">IFERROR(IF(BG828="","",BG828*INDEX('00 - Lists'!$M$2:$M$11,MATCH(L828,'00 - Lists'!$L$2:$L$11,0))/100000),"")</f>
        <v/>
      </c>
      <c r="BO828" s="35" t="str">
        <f aca="false">IFERROR(IF(BH828="","",BH828*INDEX('00 - Lists'!$M$2:$M$11,MATCH(L828,'00 - Lists'!$L$2:$L$11,0))/100000),"")</f>
        <v/>
      </c>
      <c r="BP828" s="35" t="str">
        <f aca="false">IFERROR(IF(BI828="","",BI828*INDEX('00 - Lists'!$M$2:$M$11,MATCH(L828,'00 - Lists'!$L$2:$L$11,0))/100000),"")</f>
        <v/>
      </c>
      <c r="BS828" s="36" t="str">
        <f aca="false">IF(O828="","",IF(O828&gt;=20,"Yes","No"))</f>
        <v/>
      </c>
      <c r="BT828" s="36" t="str">
        <f aca="false">IF(O828="","",IF(O828&gt;=30,"Yes","No"))</f>
        <v/>
      </c>
      <c r="BU828" s="36" t="str">
        <f aca="false">IF(O828="","",IF(O828&gt;=75,"Yes","No"))</f>
        <v/>
      </c>
      <c r="BV828" s="36" t="str">
        <f aca="false">IF(O828="","",IF(O828&gt;=100,"Yes","No"))</f>
        <v/>
      </c>
      <c r="BW828" s="36" t="str">
        <f aca="false">IF(O828="","",IF(O828&gt;=150,"Yes","No"))</f>
        <v/>
      </c>
      <c r="BX828" s="36" t="str">
        <f aca="false">IF(O828="","",IF(O828&gt;=200,"Yes","No"))</f>
        <v/>
      </c>
      <c r="BY828" s="36" t="str">
        <f aca="false">IF(Q828="","",IF(Q828&gt;=150000,"Yes","No"))</f>
        <v/>
      </c>
      <c r="BZ828" s="36" t="str">
        <f aca="false">IF(Q828="","",IF(Q828&gt;=200000,"Yes","No"))</f>
        <v/>
      </c>
      <c r="CA828" s="36" t="str">
        <f aca="false">IF(Q828="","",IF(Q828&gt;=250000,"Yes","No"))</f>
        <v/>
      </c>
      <c r="CB828" s="36" t="str">
        <f aca="false">IF(Q828="","",IF(Q828&gt;=300000,"Yes","No"))</f>
        <v/>
      </c>
      <c r="CC828" s="37"/>
      <c r="CD828" s="36" t="str">
        <f aca="true">IF(B828="","",IF(TODAY()-B828&lt;=7,"🟢 0-7d",IF(TODAY()-B828&lt;=30,"🟡 8-30d",IF(TODAY()-B828&lt;=60,"🟠 31-60d","🔴 60d+"))))</f>
        <v/>
      </c>
      <c r="CE828" s="36" t="str">
        <f aca="false">IF(G828="","",IF(G828&lt;&gt;"USA","N/A - Not USA Role",IF(J828="Yes",IF(OR(F828="Intern",F828="New Grad"),"🟡 Possible","🟢 Strong"),IF(J828="No","🔴 Difficult","⚪ Unknown"))))</f>
        <v/>
      </c>
      <c r="CF828" s="37"/>
      <c r="CG828" s="37"/>
      <c r="CH828" s="38"/>
      <c r="CI828" s="38"/>
      <c r="CJ828" s="38"/>
      <c r="CK828" s="38"/>
    </row>
    <row r="829" customFormat="false" ht="15" hidden="false" customHeight="true" outlineLevel="0" collapsed="false">
      <c r="A829" s="26" t="str">
        <f aca="false">IF($C829="","",ROW()-3)</f>
        <v/>
      </c>
      <c r="B829" s="27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9"/>
      <c r="N829" s="29"/>
      <c r="O829" s="30" t="str">
        <f aca="false">IFERROR(IF(M829="","",M829*INDEX('00 - Lists'!$M$2:$M$11,MATCH(L829,'00 - Lists'!$L$2:$L$11,0))/100000),"")</f>
        <v/>
      </c>
      <c r="P829" s="30" t="str">
        <f aca="false">IFERROR(IF(N829="","",N829*INDEX('00 - Lists'!$M$2:$M$11,MATCH(L829,'00 - Lists'!$L$2:$L$11,0))/100000),"")</f>
        <v/>
      </c>
      <c r="Q829" s="31" t="str">
        <f aca="false">IFERROR(IF(M829="","",M829*INDEX('00 - Lists'!$N$2:$N$11,MATCH(L829,'00 - Lists'!$L$2:$L$11,0))),"")</f>
        <v/>
      </c>
      <c r="R829" s="31" t="str">
        <f aca="false">IFERROR(IF(N829="","",N829*INDEX('00 - Lists'!$N$2:$N$11,MATCH(L829,'00 - Lists'!$L$2:$L$11,0))),"")</f>
        <v/>
      </c>
      <c r="S829" s="32" t="str">
        <f aca="false">IF(O829="","",IF(O829&gt;=50,"Yes","No"))</f>
        <v/>
      </c>
      <c r="T829" s="32" t="str">
        <f aca="false">IF(Q829="","",IF(Q829&gt;=100000,"Yes","No"))</f>
        <v/>
      </c>
      <c r="U829" s="28"/>
      <c r="V829" s="28"/>
      <c r="W829" s="28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J829" s="34" t="str">
        <f aca="false">IF(OR($BD829&lt;&gt;"",$BF829&lt;&gt;"",$BH829&lt;&gt;""),"Yes","No")</f>
        <v>No</v>
      </c>
      <c r="BK829" s="35" t="str">
        <f aca="false">IFERROR(IF(BD829="","",BD829*INDEX('00 - Lists'!$M$2:$M$11,MATCH(L829,'00 - Lists'!$L$2:$L$11,0))/100000),"")</f>
        <v/>
      </c>
      <c r="BL829" s="35" t="str">
        <f aca="false">IFERROR(IF(BE829="","",BE829*INDEX('00 - Lists'!$M$2:$M$11,MATCH(L829,'00 - Lists'!$L$2:$L$11,0))/100000),"")</f>
        <v/>
      </c>
      <c r="BM829" s="35" t="str">
        <f aca="false">IFERROR(IF(BF829="","",BF829*INDEX('00 - Lists'!$M$2:$M$11,MATCH(L829,'00 - Lists'!$L$2:$L$11,0))/100000),"")</f>
        <v/>
      </c>
      <c r="BN829" s="35" t="str">
        <f aca="false">IFERROR(IF(BG829="","",BG829*INDEX('00 - Lists'!$M$2:$M$11,MATCH(L829,'00 - Lists'!$L$2:$L$11,0))/100000),"")</f>
        <v/>
      </c>
      <c r="BO829" s="35" t="str">
        <f aca="false">IFERROR(IF(BH829="","",BH829*INDEX('00 - Lists'!$M$2:$M$11,MATCH(L829,'00 - Lists'!$L$2:$L$11,0))/100000),"")</f>
        <v/>
      </c>
      <c r="BP829" s="35" t="str">
        <f aca="false">IFERROR(IF(BI829="","",BI829*INDEX('00 - Lists'!$M$2:$M$11,MATCH(L829,'00 - Lists'!$L$2:$L$11,0))/100000),"")</f>
        <v/>
      </c>
      <c r="BS829" s="36" t="str">
        <f aca="false">IF(O829="","",IF(O829&gt;=20,"Yes","No"))</f>
        <v/>
      </c>
      <c r="BT829" s="36" t="str">
        <f aca="false">IF(O829="","",IF(O829&gt;=30,"Yes","No"))</f>
        <v/>
      </c>
      <c r="BU829" s="36" t="str">
        <f aca="false">IF(O829="","",IF(O829&gt;=75,"Yes","No"))</f>
        <v/>
      </c>
      <c r="BV829" s="36" t="str">
        <f aca="false">IF(O829="","",IF(O829&gt;=100,"Yes","No"))</f>
        <v/>
      </c>
      <c r="BW829" s="36" t="str">
        <f aca="false">IF(O829="","",IF(O829&gt;=150,"Yes","No"))</f>
        <v/>
      </c>
      <c r="BX829" s="36" t="str">
        <f aca="false">IF(O829="","",IF(O829&gt;=200,"Yes","No"))</f>
        <v/>
      </c>
      <c r="BY829" s="36" t="str">
        <f aca="false">IF(Q829="","",IF(Q829&gt;=150000,"Yes","No"))</f>
        <v/>
      </c>
      <c r="BZ829" s="36" t="str">
        <f aca="false">IF(Q829="","",IF(Q829&gt;=200000,"Yes","No"))</f>
        <v/>
      </c>
      <c r="CA829" s="36" t="str">
        <f aca="false">IF(Q829="","",IF(Q829&gt;=250000,"Yes","No"))</f>
        <v/>
      </c>
      <c r="CB829" s="36" t="str">
        <f aca="false">IF(Q829="","",IF(Q829&gt;=300000,"Yes","No"))</f>
        <v/>
      </c>
      <c r="CC829" s="37"/>
      <c r="CD829" s="36" t="str">
        <f aca="true">IF(B829="","",IF(TODAY()-B829&lt;=7,"🟢 0-7d",IF(TODAY()-B829&lt;=30,"🟡 8-30d",IF(TODAY()-B829&lt;=60,"🟠 31-60d","🔴 60d+"))))</f>
        <v/>
      </c>
      <c r="CE829" s="36" t="str">
        <f aca="false">IF(G829="","",IF(G829&lt;&gt;"USA","N/A - Not USA Role",IF(J829="Yes",IF(OR(F829="Intern",F829="New Grad"),"🟡 Possible","🟢 Strong"),IF(J829="No","🔴 Difficult","⚪ Unknown"))))</f>
        <v/>
      </c>
      <c r="CF829" s="37"/>
      <c r="CG829" s="37"/>
      <c r="CH829" s="38"/>
      <c r="CI829" s="38"/>
      <c r="CJ829" s="38"/>
      <c r="CK829" s="38"/>
    </row>
    <row r="830" customFormat="false" ht="15" hidden="false" customHeight="true" outlineLevel="0" collapsed="false">
      <c r="A830" s="26" t="str">
        <f aca="false">IF($C830="","",ROW()-3)</f>
        <v/>
      </c>
      <c r="B830" s="27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9"/>
      <c r="N830" s="29"/>
      <c r="O830" s="30" t="str">
        <f aca="false">IFERROR(IF(M830="","",M830*INDEX('00 - Lists'!$M$2:$M$11,MATCH(L830,'00 - Lists'!$L$2:$L$11,0))/100000),"")</f>
        <v/>
      </c>
      <c r="P830" s="30" t="str">
        <f aca="false">IFERROR(IF(N830="","",N830*INDEX('00 - Lists'!$M$2:$M$11,MATCH(L830,'00 - Lists'!$L$2:$L$11,0))/100000),"")</f>
        <v/>
      </c>
      <c r="Q830" s="31" t="str">
        <f aca="false">IFERROR(IF(M830="","",M830*INDEX('00 - Lists'!$N$2:$N$11,MATCH(L830,'00 - Lists'!$L$2:$L$11,0))),"")</f>
        <v/>
      </c>
      <c r="R830" s="31" t="str">
        <f aca="false">IFERROR(IF(N830="","",N830*INDEX('00 - Lists'!$N$2:$N$11,MATCH(L830,'00 - Lists'!$L$2:$L$11,0))),"")</f>
        <v/>
      </c>
      <c r="S830" s="32" t="str">
        <f aca="false">IF(O830="","",IF(O830&gt;=50,"Yes","No"))</f>
        <v/>
      </c>
      <c r="T830" s="32" t="str">
        <f aca="false">IF(Q830="","",IF(Q830&gt;=100000,"Yes","No"))</f>
        <v/>
      </c>
      <c r="U830" s="28"/>
      <c r="V830" s="28"/>
      <c r="W830" s="28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J830" s="34" t="str">
        <f aca="false">IF(OR($BD830&lt;&gt;"",$BF830&lt;&gt;"",$BH830&lt;&gt;""),"Yes","No")</f>
        <v>No</v>
      </c>
      <c r="BK830" s="35" t="str">
        <f aca="false">IFERROR(IF(BD830="","",BD830*INDEX('00 - Lists'!$M$2:$M$11,MATCH(L830,'00 - Lists'!$L$2:$L$11,0))/100000),"")</f>
        <v/>
      </c>
      <c r="BL830" s="35" t="str">
        <f aca="false">IFERROR(IF(BE830="","",BE830*INDEX('00 - Lists'!$M$2:$M$11,MATCH(L830,'00 - Lists'!$L$2:$L$11,0))/100000),"")</f>
        <v/>
      </c>
      <c r="BM830" s="35" t="str">
        <f aca="false">IFERROR(IF(BF830="","",BF830*INDEX('00 - Lists'!$M$2:$M$11,MATCH(L830,'00 - Lists'!$L$2:$L$11,0))/100000),"")</f>
        <v/>
      </c>
      <c r="BN830" s="35" t="str">
        <f aca="false">IFERROR(IF(BG830="","",BG830*INDEX('00 - Lists'!$M$2:$M$11,MATCH(L830,'00 - Lists'!$L$2:$L$11,0))/100000),"")</f>
        <v/>
      </c>
      <c r="BO830" s="35" t="str">
        <f aca="false">IFERROR(IF(BH830="","",BH830*INDEX('00 - Lists'!$M$2:$M$11,MATCH(L830,'00 - Lists'!$L$2:$L$11,0))/100000),"")</f>
        <v/>
      </c>
      <c r="BP830" s="35" t="str">
        <f aca="false">IFERROR(IF(BI830="","",BI830*INDEX('00 - Lists'!$M$2:$M$11,MATCH(L830,'00 - Lists'!$L$2:$L$11,0))/100000),"")</f>
        <v/>
      </c>
      <c r="BS830" s="36" t="str">
        <f aca="false">IF(O830="","",IF(O830&gt;=20,"Yes","No"))</f>
        <v/>
      </c>
      <c r="BT830" s="36" t="str">
        <f aca="false">IF(O830="","",IF(O830&gt;=30,"Yes","No"))</f>
        <v/>
      </c>
      <c r="BU830" s="36" t="str">
        <f aca="false">IF(O830="","",IF(O830&gt;=75,"Yes","No"))</f>
        <v/>
      </c>
      <c r="BV830" s="36" t="str">
        <f aca="false">IF(O830="","",IF(O830&gt;=100,"Yes","No"))</f>
        <v/>
      </c>
      <c r="BW830" s="36" t="str">
        <f aca="false">IF(O830="","",IF(O830&gt;=150,"Yes","No"))</f>
        <v/>
      </c>
      <c r="BX830" s="36" t="str">
        <f aca="false">IF(O830="","",IF(O830&gt;=200,"Yes","No"))</f>
        <v/>
      </c>
      <c r="BY830" s="36" t="str">
        <f aca="false">IF(Q830="","",IF(Q830&gt;=150000,"Yes","No"))</f>
        <v/>
      </c>
      <c r="BZ830" s="36" t="str">
        <f aca="false">IF(Q830="","",IF(Q830&gt;=200000,"Yes","No"))</f>
        <v/>
      </c>
      <c r="CA830" s="36" t="str">
        <f aca="false">IF(Q830="","",IF(Q830&gt;=250000,"Yes","No"))</f>
        <v/>
      </c>
      <c r="CB830" s="36" t="str">
        <f aca="false">IF(Q830="","",IF(Q830&gt;=300000,"Yes","No"))</f>
        <v/>
      </c>
      <c r="CC830" s="37"/>
      <c r="CD830" s="36" t="str">
        <f aca="true">IF(B830="","",IF(TODAY()-B830&lt;=7,"🟢 0-7d",IF(TODAY()-B830&lt;=30,"🟡 8-30d",IF(TODAY()-B830&lt;=60,"🟠 31-60d","🔴 60d+"))))</f>
        <v/>
      </c>
      <c r="CE830" s="36" t="str">
        <f aca="false">IF(G830="","",IF(G830&lt;&gt;"USA","N/A - Not USA Role",IF(J830="Yes",IF(OR(F830="Intern",F830="New Grad"),"🟡 Possible","🟢 Strong"),IF(J830="No","🔴 Difficult","⚪ Unknown"))))</f>
        <v/>
      </c>
      <c r="CF830" s="37"/>
      <c r="CG830" s="37"/>
      <c r="CH830" s="38"/>
      <c r="CI830" s="38"/>
      <c r="CJ830" s="38"/>
      <c r="CK830" s="38"/>
    </row>
    <row r="831" customFormat="false" ht="15" hidden="false" customHeight="true" outlineLevel="0" collapsed="false">
      <c r="A831" s="26" t="str">
        <f aca="false">IF($C831="","",ROW()-3)</f>
        <v/>
      </c>
      <c r="B831" s="27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9"/>
      <c r="N831" s="29"/>
      <c r="O831" s="30" t="str">
        <f aca="false">IFERROR(IF(M831="","",M831*INDEX('00 - Lists'!$M$2:$M$11,MATCH(L831,'00 - Lists'!$L$2:$L$11,0))/100000),"")</f>
        <v/>
      </c>
      <c r="P831" s="30" t="str">
        <f aca="false">IFERROR(IF(N831="","",N831*INDEX('00 - Lists'!$M$2:$M$11,MATCH(L831,'00 - Lists'!$L$2:$L$11,0))/100000),"")</f>
        <v/>
      </c>
      <c r="Q831" s="31" t="str">
        <f aca="false">IFERROR(IF(M831="","",M831*INDEX('00 - Lists'!$N$2:$N$11,MATCH(L831,'00 - Lists'!$L$2:$L$11,0))),"")</f>
        <v/>
      </c>
      <c r="R831" s="31" t="str">
        <f aca="false">IFERROR(IF(N831="","",N831*INDEX('00 - Lists'!$N$2:$N$11,MATCH(L831,'00 - Lists'!$L$2:$L$11,0))),"")</f>
        <v/>
      </c>
      <c r="S831" s="32" t="str">
        <f aca="false">IF(O831="","",IF(O831&gt;=50,"Yes","No"))</f>
        <v/>
      </c>
      <c r="T831" s="32" t="str">
        <f aca="false">IF(Q831="","",IF(Q831&gt;=100000,"Yes","No"))</f>
        <v/>
      </c>
      <c r="U831" s="28"/>
      <c r="V831" s="28"/>
      <c r="W831" s="28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J831" s="34" t="str">
        <f aca="false">IF(OR($BD831&lt;&gt;"",$BF831&lt;&gt;"",$BH831&lt;&gt;""),"Yes","No")</f>
        <v>No</v>
      </c>
      <c r="BK831" s="35" t="str">
        <f aca="false">IFERROR(IF(BD831="","",BD831*INDEX('00 - Lists'!$M$2:$M$11,MATCH(L831,'00 - Lists'!$L$2:$L$11,0))/100000),"")</f>
        <v/>
      </c>
      <c r="BL831" s="35" t="str">
        <f aca="false">IFERROR(IF(BE831="","",BE831*INDEX('00 - Lists'!$M$2:$M$11,MATCH(L831,'00 - Lists'!$L$2:$L$11,0))/100000),"")</f>
        <v/>
      </c>
      <c r="BM831" s="35" t="str">
        <f aca="false">IFERROR(IF(BF831="","",BF831*INDEX('00 - Lists'!$M$2:$M$11,MATCH(L831,'00 - Lists'!$L$2:$L$11,0))/100000),"")</f>
        <v/>
      </c>
      <c r="BN831" s="35" t="str">
        <f aca="false">IFERROR(IF(BG831="","",BG831*INDEX('00 - Lists'!$M$2:$M$11,MATCH(L831,'00 - Lists'!$L$2:$L$11,0))/100000),"")</f>
        <v/>
      </c>
      <c r="BO831" s="35" t="str">
        <f aca="false">IFERROR(IF(BH831="","",BH831*INDEX('00 - Lists'!$M$2:$M$11,MATCH(L831,'00 - Lists'!$L$2:$L$11,0))/100000),"")</f>
        <v/>
      </c>
      <c r="BP831" s="35" t="str">
        <f aca="false">IFERROR(IF(BI831="","",BI831*INDEX('00 - Lists'!$M$2:$M$11,MATCH(L831,'00 - Lists'!$L$2:$L$11,0))/100000),"")</f>
        <v/>
      </c>
      <c r="BS831" s="36" t="str">
        <f aca="false">IF(O831="","",IF(O831&gt;=20,"Yes","No"))</f>
        <v/>
      </c>
      <c r="BT831" s="36" t="str">
        <f aca="false">IF(O831="","",IF(O831&gt;=30,"Yes","No"))</f>
        <v/>
      </c>
      <c r="BU831" s="36" t="str">
        <f aca="false">IF(O831="","",IF(O831&gt;=75,"Yes","No"))</f>
        <v/>
      </c>
      <c r="BV831" s="36" t="str">
        <f aca="false">IF(O831="","",IF(O831&gt;=100,"Yes","No"))</f>
        <v/>
      </c>
      <c r="BW831" s="36" t="str">
        <f aca="false">IF(O831="","",IF(O831&gt;=150,"Yes","No"))</f>
        <v/>
      </c>
      <c r="BX831" s="36" t="str">
        <f aca="false">IF(O831="","",IF(O831&gt;=200,"Yes","No"))</f>
        <v/>
      </c>
      <c r="BY831" s="36" t="str">
        <f aca="false">IF(Q831="","",IF(Q831&gt;=150000,"Yes","No"))</f>
        <v/>
      </c>
      <c r="BZ831" s="36" t="str">
        <f aca="false">IF(Q831="","",IF(Q831&gt;=200000,"Yes","No"))</f>
        <v/>
      </c>
      <c r="CA831" s="36" t="str">
        <f aca="false">IF(Q831="","",IF(Q831&gt;=250000,"Yes","No"))</f>
        <v/>
      </c>
      <c r="CB831" s="36" t="str">
        <f aca="false">IF(Q831="","",IF(Q831&gt;=300000,"Yes","No"))</f>
        <v/>
      </c>
      <c r="CC831" s="37"/>
      <c r="CD831" s="36" t="str">
        <f aca="true">IF(B831="","",IF(TODAY()-B831&lt;=7,"🟢 0-7d",IF(TODAY()-B831&lt;=30,"🟡 8-30d",IF(TODAY()-B831&lt;=60,"🟠 31-60d","🔴 60d+"))))</f>
        <v/>
      </c>
      <c r="CE831" s="36" t="str">
        <f aca="false">IF(G831="","",IF(G831&lt;&gt;"USA","N/A - Not USA Role",IF(J831="Yes",IF(OR(F831="Intern",F831="New Grad"),"🟡 Possible","🟢 Strong"),IF(J831="No","🔴 Difficult","⚪ Unknown"))))</f>
        <v/>
      </c>
      <c r="CF831" s="37"/>
      <c r="CG831" s="37"/>
      <c r="CH831" s="38"/>
      <c r="CI831" s="38"/>
      <c r="CJ831" s="38"/>
      <c r="CK831" s="38"/>
    </row>
    <row r="832" customFormat="false" ht="15" hidden="false" customHeight="true" outlineLevel="0" collapsed="false">
      <c r="A832" s="26" t="str">
        <f aca="false">IF($C832="","",ROW()-3)</f>
        <v/>
      </c>
      <c r="B832" s="27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9"/>
      <c r="N832" s="29"/>
      <c r="O832" s="30" t="str">
        <f aca="false">IFERROR(IF(M832="","",M832*INDEX('00 - Lists'!$M$2:$M$11,MATCH(L832,'00 - Lists'!$L$2:$L$11,0))/100000),"")</f>
        <v/>
      </c>
      <c r="P832" s="30" t="str">
        <f aca="false">IFERROR(IF(N832="","",N832*INDEX('00 - Lists'!$M$2:$M$11,MATCH(L832,'00 - Lists'!$L$2:$L$11,0))/100000),"")</f>
        <v/>
      </c>
      <c r="Q832" s="31" t="str">
        <f aca="false">IFERROR(IF(M832="","",M832*INDEX('00 - Lists'!$N$2:$N$11,MATCH(L832,'00 - Lists'!$L$2:$L$11,0))),"")</f>
        <v/>
      </c>
      <c r="R832" s="31" t="str">
        <f aca="false">IFERROR(IF(N832="","",N832*INDEX('00 - Lists'!$N$2:$N$11,MATCH(L832,'00 - Lists'!$L$2:$L$11,0))),"")</f>
        <v/>
      </c>
      <c r="S832" s="32" t="str">
        <f aca="false">IF(O832="","",IF(O832&gt;=50,"Yes","No"))</f>
        <v/>
      </c>
      <c r="T832" s="32" t="str">
        <f aca="false">IF(Q832="","",IF(Q832&gt;=100000,"Yes","No"))</f>
        <v/>
      </c>
      <c r="U832" s="28"/>
      <c r="V832" s="28"/>
      <c r="W832" s="28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J832" s="34" t="str">
        <f aca="false">IF(OR($BD832&lt;&gt;"",$BF832&lt;&gt;"",$BH832&lt;&gt;""),"Yes","No")</f>
        <v>No</v>
      </c>
      <c r="BK832" s="35" t="str">
        <f aca="false">IFERROR(IF(BD832="","",BD832*INDEX('00 - Lists'!$M$2:$M$11,MATCH(L832,'00 - Lists'!$L$2:$L$11,0))/100000),"")</f>
        <v/>
      </c>
      <c r="BL832" s="35" t="str">
        <f aca="false">IFERROR(IF(BE832="","",BE832*INDEX('00 - Lists'!$M$2:$M$11,MATCH(L832,'00 - Lists'!$L$2:$L$11,0))/100000),"")</f>
        <v/>
      </c>
      <c r="BM832" s="35" t="str">
        <f aca="false">IFERROR(IF(BF832="","",BF832*INDEX('00 - Lists'!$M$2:$M$11,MATCH(L832,'00 - Lists'!$L$2:$L$11,0))/100000),"")</f>
        <v/>
      </c>
      <c r="BN832" s="35" t="str">
        <f aca="false">IFERROR(IF(BG832="","",BG832*INDEX('00 - Lists'!$M$2:$M$11,MATCH(L832,'00 - Lists'!$L$2:$L$11,0))/100000),"")</f>
        <v/>
      </c>
      <c r="BO832" s="35" t="str">
        <f aca="false">IFERROR(IF(BH832="","",BH832*INDEX('00 - Lists'!$M$2:$M$11,MATCH(L832,'00 - Lists'!$L$2:$L$11,0))/100000),"")</f>
        <v/>
      </c>
      <c r="BP832" s="35" t="str">
        <f aca="false">IFERROR(IF(BI832="","",BI832*INDEX('00 - Lists'!$M$2:$M$11,MATCH(L832,'00 - Lists'!$L$2:$L$11,0))/100000),"")</f>
        <v/>
      </c>
      <c r="BS832" s="36" t="str">
        <f aca="false">IF(O832="","",IF(O832&gt;=20,"Yes","No"))</f>
        <v/>
      </c>
      <c r="BT832" s="36" t="str">
        <f aca="false">IF(O832="","",IF(O832&gt;=30,"Yes","No"))</f>
        <v/>
      </c>
      <c r="BU832" s="36" t="str">
        <f aca="false">IF(O832="","",IF(O832&gt;=75,"Yes","No"))</f>
        <v/>
      </c>
      <c r="BV832" s="36" t="str">
        <f aca="false">IF(O832="","",IF(O832&gt;=100,"Yes","No"))</f>
        <v/>
      </c>
      <c r="BW832" s="36" t="str">
        <f aca="false">IF(O832="","",IF(O832&gt;=150,"Yes","No"))</f>
        <v/>
      </c>
      <c r="BX832" s="36" t="str">
        <f aca="false">IF(O832="","",IF(O832&gt;=200,"Yes","No"))</f>
        <v/>
      </c>
      <c r="BY832" s="36" t="str">
        <f aca="false">IF(Q832="","",IF(Q832&gt;=150000,"Yes","No"))</f>
        <v/>
      </c>
      <c r="BZ832" s="36" t="str">
        <f aca="false">IF(Q832="","",IF(Q832&gt;=200000,"Yes","No"))</f>
        <v/>
      </c>
      <c r="CA832" s="36" t="str">
        <f aca="false">IF(Q832="","",IF(Q832&gt;=250000,"Yes","No"))</f>
        <v/>
      </c>
      <c r="CB832" s="36" t="str">
        <f aca="false">IF(Q832="","",IF(Q832&gt;=300000,"Yes","No"))</f>
        <v/>
      </c>
      <c r="CC832" s="37"/>
      <c r="CD832" s="36" t="str">
        <f aca="true">IF(B832="","",IF(TODAY()-B832&lt;=7,"🟢 0-7d",IF(TODAY()-B832&lt;=30,"🟡 8-30d",IF(TODAY()-B832&lt;=60,"🟠 31-60d","🔴 60d+"))))</f>
        <v/>
      </c>
      <c r="CE832" s="36" t="str">
        <f aca="false">IF(G832="","",IF(G832&lt;&gt;"USA","N/A - Not USA Role",IF(J832="Yes",IF(OR(F832="Intern",F832="New Grad"),"🟡 Possible","🟢 Strong"),IF(J832="No","🔴 Difficult","⚪ Unknown"))))</f>
        <v/>
      </c>
      <c r="CF832" s="37"/>
      <c r="CG832" s="37"/>
      <c r="CH832" s="38"/>
      <c r="CI832" s="38"/>
      <c r="CJ832" s="38"/>
      <c r="CK832" s="38"/>
    </row>
    <row r="833" customFormat="false" ht="15" hidden="false" customHeight="true" outlineLevel="0" collapsed="false">
      <c r="A833" s="26" t="str">
        <f aca="false">IF($C833="","",ROW()-3)</f>
        <v/>
      </c>
      <c r="B833" s="27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9"/>
      <c r="N833" s="29"/>
      <c r="O833" s="30" t="str">
        <f aca="false">IFERROR(IF(M833="","",M833*INDEX('00 - Lists'!$M$2:$M$11,MATCH(L833,'00 - Lists'!$L$2:$L$11,0))/100000),"")</f>
        <v/>
      </c>
      <c r="P833" s="30" t="str">
        <f aca="false">IFERROR(IF(N833="","",N833*INDEX('00 - Lists'!$M$2:$M$11,MATCH(L833,'00 - Lists'!$L$2:$L$11,0))/100000),"")</f>
        <v/>
      </c>
      <c r="Q833" s="31" t="str">
        <f aca="false">IFERROR(IF(M833="","",M833*INDEX('00 - Lists'!$N$2:$N$11,MATCH(L833,'00 - Lists'!$L$2:$L$11,0))),"")</f>
        <v/>
      </c>
      <c r="R833" s="31" t="str">
        <f aca="false">IFERROR(IF(N833="","",N833*INDEX('00 - Lists'!$N$2:$N$11,MATCH(L833,'00 - Lists'!$L$2:$L$11,0))),"")</f>
        <v/>
      </c>
      <c r="S833" s="32" t="str">
        <f aca="false">IF(O833="","",IF(O833&gt;=50,"Yes","No"))</f>
        <v/>
      </c>
      <c r="T833" s="32" t="str">
        <f aca="false">IF(Q833="","",IF(Q833&gt;=100000,"Yes","No"))</f>
        <v/>
      </c>
      <c r="U833" s="28"/>
      <c r="V833" s="28"/>
      <c r="W833" s="28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J833" s="34" t="str">
        <f aca="false">IF(OR($BD833&lt;&gt;"",$BF833&lt;&gt;"",$BH833&lt;&gt;""),"Yes","No")</f>
        <v>No</v>
      </c>
      <c r="BK833" s="35" t="str">
        <f aca="false">IFERROR(IF(BD833="","",BD833*INDEX('00 - Lists'!$M$2:$M$11,MATCH(L833,'00 - Lists'!$L$2:$L$11,0))/100000),"")</f>
        <v/>
      </c>
      <c r="BL833" s="35" t="str">
        <f aca="false">IFERROR(IF(BE833="","",BE833*INDEX('00 - Lists'!$M$2:$M$11,MATCH(L833,'00 - Lists'!$L$2:$L$11,0))/100000),"")</f>
        <v/>
      </c>
      <c r="BM833" s="35" t="str">
        <f aca="false">IFERROR(IF(BF833="","",BF833*INDEX('00 - Lists'!$M$2:$M$11,MATCH(L833,'00 - Lists'!$L$2:$L$11,0))/100000),"")</f>
        <v/>
      </c>
      <c r="BN833" s="35" t="str">
        <f aca="false">IFERROR(IF(BG833="","",BG833*INDEX('00 - Lists'!$M$2:$M$11,MATCH(L833,'00 - Lists'!$L$2:$L$11,0))/100000),"")</f>
        <v/>
      </c>
      <c r="BO833" s="35" t="str">
        <f aca="false">IFERROR(IF(BH833="","",BH833*INDEX('00 - Lists'!$M$2:$M$11,MATCH(L833,'00 - Lists'!$L$2:$L$11,0))/100000),"")</f>
        <v/>
      </c>
      <c r="BP833" s="35" t="str">
        <f aca="false">IFERROR(IF(BI833="","",BI833*INDEX('00 - Lists'!$M$2:$M$11,MATCH(L833,'00 - Lists'!$L$2:$L$11,0))/100000),"")</f>
        <v/>
      </c>
      <c r="BS833" s="36" t="str">
        <f aca="false">IF(O833="","",IF(O833&gt;=20,"Yes","No"))</f>
        <v/>
      </c>
      <c r="BT833" s="36" t="str">
        <f aca="false">IF(O833="","",IF(O833&gt;=30,"Yes","No"))</f>
        <v/>
      </c>
      <c r="BU833" s="36" t="str">
        <f aca="false">IF(O833="","",IF(O833&gt;=75,"Yes","No"))</f>
        <v/>
      </c>
      <c r="BV833" s="36" t="str">
        <f aca="false">IF(O833="","",IF(O833&gt;=100,"Yes","No"))</f>
        <v/>
      </c>
      <c r="BW833" s="36" t="str">
        <f aca="false">IF(O833="","",IF(O833&gt;=150,"Yes","No"))</f>
        <v/>
      </c>
      <c r="BX833" s="36" t="str">
        <f aca="false">IF(O833="","",IF(O833&gt;=200,"Yes","No"))</f>
        <v/>
      </c>
      <c r="BY833" s="36" t="str">
        <f aca="false">IF(Q833="","",IF(Q833&gt;=150000,"Yes","No"))</f>
        <v/>
      </c>
      <c r="BZ833" s="36" t="str">
        <f aca="false">IF(Q833="","",IF(Q833&gt;=200000,"Yes","No"))</f>
        <v/>
      </c>
      <c r="CA833" s="36" t="str">
        <f aca="false">IF(Q833="","",IF(Q833&gt;=250000,"Yes","No"))</f>
        <v/>
      </c>
      <c r="CB833" s="36" t="str">
        <f aca="false">IF(Q833="","",IF(Q833&gt;=300000,"Yes","No"))</f>
        <v/>
      </c>
      <c r="CC833" s="37"/>
      <c r="CD833" s="36" t="str">
        <f aca="true">IF(B833="","",IF(TODAY()-B833&lt;=7,"🟢 0-7d",IF(TODAY()-B833&lt;=30,"🟡 8-30d",IF(TODAY()-B833&lt;=60,"🟠 31-60d","🔴 60d+"))))</f>
        <v/>
      </c>
      <c r="CE833" s="36" t="str">
        <f aca="false">IF(G833="","",IF(G833&lt;&gt;"USA","N/A - Not USA Role",IF(J833="Yes",IF(OR(F833="Intern",F833="New Grad"),"🟡 Possible","🟢 Strong"),IF(J833="No","🔴 Difficult","⚪ Unknown"))))</f>
        <v/>
      </c>
      <c r="CF833" s="37"/>
      <c r="CG833" s="37"/>
      <c r="CH833" s="38"/>
      <c r="CI833" s="38"/>
      <c r="CJ833" s="38"/>
      <c r="CK833" s="38"/>
    </row>
    <row r="834" customFormat="false" ht="15" hidden="false" customHeight="true" outlineLevel="0" collapsed="false">
      <c r="A834" s="26" t="str">
        <f aca="false">IF($C834="","",ROW()-3)</f>
        <v/>
      </c>
      <c r="B834" s="27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9"/>
      <c r="N834" s="29"/>
      <c r="O834" s="30" t="str">
        <f aca="false">IFERROR(IF(M834="","",M834*INDEX('00 - Lists'!$M$2:$M$11,MATCH(L834,'00 - Lists'!$L$2:$L$11,0))/100000),"")</f>
        <v/>
      </c>
      <c r="P834" s="30" t="str">
        <f aca="false">IFERROR(IF(N834="","",N834*INDEX('00 - Lists'!$M$2:$M$11,MATCH(L834,'00 - Lists'!$L$2:$L$11,0))/100000),"")</f>
        <v/>
      </c>
      <c r="Q834" s="31" t="str">
        <f aca="false">IFERROR(IF(M834="","",M834*INDEX('00 - Lists'!$N$2:$N$11,MATCH(L834,'00 - Lists'!$L$2:$L$11,0))),"")</f>
        <v/>
      </c>
      <c r="R834" s="31" t="str">
        <f aca="false">IFERROR(IF(N834="","",N834*INDEX('00 - Lists'!$N$2:$N$11,MATCH(L834,'00 - Lists'!$L$2:$L$11,0))),"")</f>
        <v/>
      </c>
      <c r="S834" s="32" t="str">
        <f aca="false">IF(O834="","",IF(O834&gt;=50,"Yes","No"))</f>
        <v/>
      </c>
      <c r="T834" s="32" t="str">
        <f aca="false">IF(Q834="","",IF(Q834&gt;=100000,"Yes","No"))</f>
        <v/>
      </c>
      <c r="U834" s="28"/>
      <c r="V834" s="28"/>
      <c r="W834" s="28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J834" s="34" t="str">
        <f aca="false">IF(OR($BD834&lt;&gt;"",$BF834&lt;&gt;"",$BH834&lt;&gt;""),"Yes","No")</f>
        <v>No</v>
      </c>
      <c r="BK834" s="35" t="str">
        <f aca="false">IFERROR(IF(BD834="","",BD834*INDEX('00 - Lists'!$M$2:$M$11,MATCH(L834,'00 - Lists'!$L$2:$L$11,0))/100000),"")</f>
        <v/>
      </c>
      <c r="BL834" s="35" t="str">
        <f aca="false">IFERROR(IF(BE834="","",BE834*INDEX('00 - Lists'!$M$2:$M$11,MATCH(L834,'00 - Lists'!$L$2:$L$11,0))/100000),"")</f>
        <v/>
      </c>
      <c r="BM834" s="35" t="str">
        <f aca="false">IFERROR(IF(BF834="","",BF834*INDEX('00 - Lists'!$M$2:$M$11,MATCH(L834,'00 - Lists'!$L$2:$L$11,0))/100000),"")</f>
        <v/>
      </c>
      <c r="BN834" s="35" t="str">
        <f aca="false">IFERROR(IF(BG834="","",BG834*INDEX('00 - Lists'!$M$2:$M$11,MATCH(L834,'00 - Lists'!$L$2:$L$11,0))/100000),"")</f>
        <v/>
      </c>
      <c r="BO834" s="35" t="str">
        <f aca="false">IFERROR(IF(BH834="","",BH834*INDEX('00 - Lists'!$M$2:$M$11,MATCH(L834,'00 - Lists'!$L$2:$L$11,0))/100000),"")</f>
        <v/>
      </c>
      <c r="BP834" s="35" t="str">
        <f aca="false">IFERROR(IF(BI834="","",BI834*INDEX('00 - Lists'!$M$2:$M$11,MATCH(L834,'00 - Lists'!$L$2:$L$11,0))/100000),"")</f>
        <v/>
      </c>
      <c r="BS834" s="36" t="str">
        <f aca="false">IF(O834="","",IF(O834&gt;=20,"Yes","No"))</f>
        <v/>
      </c>
      <c r="BT834" s="36" t="str">
        <f aca="false">IF(O834="","",IF(O834&gt;=30,"Yes","No"))</f>
        <v/>
      </c>
      <c r="BU834" s="36" t="str">
        <f aca="false">IF(O834="","",IF(O834&gt;=75,"Yes","No"))</f>
        <v/>
      </c>
      <c r="BV834" s="36" t="str">
        <f aca="false">IF(O834="","",IF(O834&gt;=100,"Yes","No"))</f>
        <v/>
      </c>
      <c r="BW834" s="36" t="str">
        <f aca="false">IF(O834="","",IF(O834&gt;=150,"Yes","No"))</f>
        <v/>
      </c>
      <c r="BX834" s="36" t="str">
        <f aca="false">IF(O834="","",IF(O834&gt;=200,"Yes","No"))</f>
        <v/>
      </c>
      <c r="BY834" s="36" t="str">
        <f aca="false">IF(Q834="","",IF(Q834&gt;=150000,"Yes","No"))</f>
        <v/>
      </c>
      <c r="BZ834" s="36" t="str">
        <f aca="false">IF(Q834="","",IF(Q834&gt;=200000,"Yes","No"))</f>
        <v/>
      </c>
      <c r="CA834" s="36" t="str">
        <f aca="false">IF(Q834="","",IF(Q834&gt;=250000,"Yes","No"))</f>
        <v/>
      </c>
      <c r="CB834" s="36" t="str">
        <f aca="false">IF(Q834="","",IF(Q834&gt;=300000,"Yes","No"))</f>
        <v/>
      </c>
      <c r="CC834" s="37"/>
      <c r="CD834" s="36" t="str">
        <f aca="true">IF(B834="","",IF(TODAY()-B834&lt;=7,"🟢 0-7d",IF(TODAY()-B834&lt;=30,"🟡 8-30d",IF(TODAY()-B834&lt;=60,"🟠 31-60d","🔴 60d+"))))</f>
        <v/>
      </c>
      <c r="CE834" s="36" t="str">
        <f aca="false">IF(G834="","",IF(G834&lt;&gt;"USA","N/A - Not USA Role",IF(J834="Yes",IF(OR(F834="Intern",F834="New Grad"),"🟡 Possible","🟢 Strong"),IF(J834="No","🔴 Difficult","⚪ Unknown"))))</f>
        <v/>
      </c>
      <c r="CF834" s="37"/>
      <c r="CG834" s="37"/>
      <c r="CH834" s="38"/>
      <c r="CI834" s="38"/>
      <c r="CJ834" s="38"/>
      <c r="CK834" s="38"/>
    </row>
    <row r="835" customFormat="false" ht="15" hidden="false" customHeight="true" outlineLevel="0" collapsed="false">
      <c r="A835" s="26" t="str">
        <f aca="false">IF($C835="","",ROW()-3)</f>
        <v/>
      </c>
      <c r="B835" s="27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9"/>
      <c r="N835" s="29"/>
      <c r="O835" s="30" t="str">
        <f aca="false">IFERROR(IF(M835="","",M835*INDEX('00 - Lists'!$M$2:$M$11,MATCH(L835,'00 - Lists'!$L$2:$L$11,0))/100000),"")</f>
        <v/>
      </c>
      <c r="P835" s="30" t="str">
        <f aca="false">IFERROR(IF(N835="","",N835*INDEX('00 - Lists'!$M$2:$M$11,MATCH(L835,'00 - Lists'!$L$2:$L$11,0))/100000),"")</f>
        <v/>
      </c>
      <c r="Q835" s="31" t="str">
        <f aca="false">IFERROR(IF(M835="","",M835*INDEX('00 - Lists'!$N$2:$N$11,MATCH(L835,'00 - Lists'!$L$2:$L$11,0))),"")</f>
        <v/>
      </c>
      <c r="R835" s="31" t="str">
        <f aca="false">IFERROR(IF(N835="","",N835*INDEX('00 - Lists'!$N$2:$N$11,MATCH(L835,'00 - Lists'!$L$2:$L$11,0))),"")</f>
        <v/>
      </c>
      <c r="S835" s="32" t="str">
        <f aca="false">IF(O835="","",IF(O835&gt;=50,"Yes","No"))</f>
        <v/>
      </c>
      <c r="T835" s="32" t="str">
        <f aca="false">IF(Q835="","",IF(Q835&gt;=100000,"Yes","No"))</f>
        <v/>
      </c>
      <c r="U835" s="28"/>
      <c r="V835" s="28"/>
      <c r="W835" s="28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J835" s="34" t="str">
        <f aca="false">IF(OR($BD835&lt;&gt;"",$BF835&lt;&gt;"",$BH835&lt;&gt;""),"Yes","No")</f>
        <v>No</v>
      </c>
      <c r="BK835" s="35" t="str">
        <f aca="false">IFERROR(IF(BD835="","",BD835*INDEX('00 - Lists'!$M$2:$M$11,MATCH(L835,'00 - Lists'!$L$2:$L$11,0))/100000),"")</f>
        <v/>
      </c>
      <c r="BL835" s="35" t="str">
        <f aca="false">IFERROR(IF(BE835="","",BE835*INDEX('00 - Lists'!$M$2:$M$11,MATCH(L835,'00 - Lists'!$L$2:$L$11,0))/100000),"")</f>
        <v/>
      </c>
      <c r="BM835" s="35" t="str">
        <f aca="false">IFERROR(IF(BF835="","",BF835*INDEX('00 - Lists'!$M$2:$M$11,MATCH(L835,'00 - Lists'!$L$2:$L$11,0))/100000),"")</f>
        <v/>
      </c>
      <c r="BN835" s="35" t="str">
        <f aca="false">IFERROR(IF(BG835="","",BG835*INDEX('00 - Lists'!$M$2:$M$11,MATCH(L835,'00 - Lists'!$L$2:$L$11,0))/100000),"")</f>
        <v/>
      </c>
      <c r="BO835" s="35" t="str">
        <f aca="false">IFERROR(IF(BH835="","",BH835*INDEX('00 - Lists'!$M$2:$M$11,MATCH(L835,'00 - Lists'!$L$2:$L$11,0))/100000),"")</f>
        <v/>
      </c>
      <c r="BP835" s="35" t="str">
        <f aca="false">IFERROR(IF(BI835="","",BI835*INDEX('00 - Lists'!$M$2:$M$11,MATCH(L835,'00 - Lists'!$L$2:$L$11,0))/100000),"")</f>
        <v/>
      </c>
      <c r="BS835" s="36" t="str">
        <f aca="false">IF(O835="","",IF(O835&gt;=20,"Yes","No"))</f>
        <v/>
      </c>
      <c r="BT835" s="36" t="str">
        <f aca="false">IF(O835="","",IF(O835&gt;=30,"Yes","No"))</f>
        <v/>
      </c>
      <c r="BU835" s="36" t="str">
        <f aca="false">IF(O835="","",IF(O835&gt;=75,"Yes","No"))</f>
        <v/>
      </c>
      <c r="BV835" s="36" t="str">
        <f aca="false">IF(O835="","",IF(O835&gt;=100,"Yes","No"))</f>
        <v/>
      </c>
      <c r="BW835" s="36" t="str">
        <f aca="false">IF(O835="","",IF(O835&gt;=150,"Yes","No"))</f>
        <v/>
      </c>
      <c r="BX835" s="36" t="str">
        <f aca="false">IF(O835="","",IF(O835&gt;=200,"Yes","No"))</f>
        <v/>
      </c>
      <c r="BY835" s="36" t="str">
        <f aca="false">IF(Q835="","",IF(Q835&gt;=150000,"Yes","No"))</f>
        <v/>
      </c>
      <c r="BZ835" s="36" t="str">
        <f aca="false">IF(Q835="","",IF(Q835&gt;=200000,"Yes","No"))</f>
        <v/>
      </c>
      <c r="CA835" s="36" t="str">
        <f aca="false">IF(Q835="","",IF(Q835&gt;=250000,"Yes","No"))</f>
        <v/>
      </c>
      <c r="CB835" s="36" t="str">
        <f aca="false">IF(Q835="","",IF(Q835&gt;=300000,"Yes","No"))</f>
        <v/>
      </c>
      <c r="CC835" s="37"/>
      <c r="CD835" s="36" t="str">
        <f aca="true">IF(B835="","",IF(TODAY()-B835&lt;=7,"🟢 0-7d",IF(TODAY()-B835&lt;=30,"🟡 8-30d",IF(TODAY()-B835&lt;=60,"🟠 31-60d","🔴 60d+"))))</f>
        <v/>
      </c>
      <c r="CE835" s="36" t="str">
        <f aca="false">IF(G835="","",IF(G835&lt;&gt;"USA","N/A - Not USA Role",IF(J835="Yes",IF(OR(F835="Intern",F835="New Grad"),"🟡 Possible","🟢 Strong"),IF(J835="No","🔴 Difficult","⚪ Unknown"))))</f>
        <v/>
      </c>
      <c r="CF835" s="37"/>
      <c r="CG835" s="37"/>
      <c r="CH835" s="38"/>
      <c r="CI835" s="38"/>
      <c r="CJ835" s="38"/>
      <c r="CK835" s="38"/>
    </row>
    <row r="836" customFormat="false" ht="15" hidden="false" customHeight="true" outlineLevel="0" collapsed="false">
      <c r="A836" s="26" t="str">
        <f aca="false">IF($C836="","",ROW()-3)</f>
        <v/>
      </c>
      <c r="B836" s="27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9"/>
      <c r="N836" s="29"/>
      <c r="O836" s="30" t="str">
        <f aca="false">IFERROR(IF(M836="","",M836*INDEX('00 - Lists'!$M$2:$M$11,MATCH(L836,'00 - Lists'!$L$2:$L$11,0))/100000),"")</f>
        <v/>
      </c>
      <c r="P836" s="30" t="str">
        <f aca="false">IFERROR(IF(N836="","",N836*INDEX('00 - Lists'!$M$2:$M$11,MATCH(L836,'00 - Lists'!$L$2:$L$11,0))/100000),"")</f>
        <v/>
      </c>
      <c r="Q836" s="31" t="str">
        <f aca="false">IFERROR(IF(M836="","",M836*INDEX('00 - Lists'!$N$2:$N$11,MATCH(L836,'00 - Lists'!$L$2:$L$11,0))),"")</f>
        <v/>
      </c>
      <c r="R836" s="31" t="str">
        <f aca="false">IFERROR(IF(N836="","",N836*INDEX('00 - Lists'!$N$2:$N$11,MATCH(L836,'00 - Lists'!$L$2:$L$11,0))),"")</f>
        <v/>
      </c>
      <c r="S836" s="32" t="str">
        <f aca="false">IF(O836="","",IF(O836&gt;=50,"Yes","No"))</f>
        <v/>
      </c>
      <c r="T836" s="32" t="str">
        <f aca="false">IF(Q836="","",IF(Q836&gt;=100000,"Yes","No"))</f>
        <v/>
      </c>
      <c r="U836" s="28"/>
      <c r="V836" s="28"/>
      <c r="W836" s="28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J836" s="34" t="str">
        <f aca="false">IF(OR($BD836&lt;&gt;"",$BF836&lt;&gt;"",$BH836&lt;&gt;""),"Yes","No")</f>
        <v>No</v>
      </c>
      <c r="BK836" s="35" t="str">
        <f aca="false">IFERROR(IF(BD836="","",BD836*INDEX('00 - Lists'!$M$2:$M$11,MATCH(L836,'00 - Lists'!$L$2:$L$11,0))/100000),"")</f>
        <v/>
      </c>
      <c r="BL836" s="35" t="str">
        <f aca="false">IFERROR(IF(BE836="","",BE836*INDEX('00 - Lists'!$M$2:$M$11,MATCH(L836,'00 - Lists'!$L$2:$L$11,0))/100000),"")</f>
        <v/>
      </c>
      <c r="BM836" s="35" t="str">
        <f aca="false">IFERROR(IF(BF836="","",BF836*INDEX('00 - Lists'!$M$2:$M$11,MATCH(L836,'00 - Lists'!$L$2:$L$11,0))/100000),"")</f>
        <v/>
      </c>
      <c r="BN836" s="35" t="str">
        <f aca="false">IFERROR(IF(BG836="","",BG836*INDEX('00 - Lists'!$M$2:$M$11,MATCH(L836,'00 - Lists'!$L$2:$L$11,0))/100000),"")</f>
        <v/>
      </c>
      <c r="BO836" s="35" t="str">
        <f aca="false">IFERROR(IF(BH836="","",BH836*INDEX('00 - Lists'!$M$2:$M$11,MATCH(L836,'00 - Lists'!$L$2:$L$11,0))/100000),"")</f>
        <v/>
      </c>
      <c r="BP836" s="35" t="str">
        <f aca="false">IFERROR(IF(BI836="","",BI836*INDEX('00 - Lists'!$M$2:$M$11,MATCH(L836,'00 - Lists'!$L$2:$L$11,0))/100000),"")</f>
        <v/>
      </c>
      <c r="BS836" s="36" t="str">
        <f aca="false">IF(O836="","",IF(O836&gt;=20,"Yes","No"))</f>
        <v/>
      </c>
      <c r="BT836" s="36" t="str">
        <f aca="false">IF(O836="","",IF(O836&gt;=30,"Yes","No"))</f>
        <v/>
      </c>
      <c r="BU836" s="36" t="str">
        <f aca="false">IF(O836="","",IF(O836&gt;=75,"Yes","No"))</f>
        <v/>
      </c>
      <c r="BV836" s="36" t="str">
        <f aca="false">IF(O836="","",IF(O836&gt;=100,"Yes","No"))</f>
        <v/>
      </c>
      <c r="BW836" s="36" t="str">
        <f aca="false">IF(O836="","",IF(O836&gt;=150,"Yes","No"))</f>
        <v/>
      </c>
      <c r="BX836" s="36" t="str">
        <f aca="false">IF(O836="","",IF(O836&gt;=200,"Yes","No"))</f>
        <v/>
      </c>
      <c r="BY836" s="36" t="str">
        <f aca="false">IF(Q836="","",IF(Q836&gt;=150000,"Yes","No"))</f>
        <v/>
      </c>
      <c r="BZ836" s="36" t="str">
        <f aca="false">IF(Q836="","",IF(Q836&gt;=200000,"Yes","No"))</f>
        <v/>
      </c>
      <c r="CA836" s="36" t="str">
        <f aca="false">IF(Q836="","",IF(Q836&gt;=250000,"Yes","No"))</f>
        <v/>
      </c>
      <c r="CB836" s="36" t="str">
        <f aca="false">IF(Q836="","",IF(Q836&gt;=300000,"Yes","No"))</f>
        <v/>
      </c>
      <c r="CC836" s="37"/>
      <c r="CD836" s="36" t="str">
        <f aca="true">IF(B836="","",IF(TODAY()-B836&lt;=7,"🟢 0-7d",IF(TODAY()-B836&lt;=30,"🟡 8-30d",IF(TODAY()-B836&lt;=60,"🟠 31-60d","🔴 60d+"))))</f>
        <v/>
      </c>
      <c r="CE836" s="36" t="str">
        <f aca="false">IF(G836="","",IF(G836&lt;&gt;"USA","N/A - Not USA Role",IF(J836="Yes",IF(OR(F836="Intern",F836="New Grad"),"🟡 Possible","🟢 Strong"),IF(J836="No","🔴 Difficult","⚪ Unknown"))))</f>
        <v/>
      </c>
      <c r="CF836" s="37"/>
      <c r="CG836" s="37"/>
      <c r="CH836" s="38"/>
      <c r="CI836" s="38"/>
      <c r="CJ836" s="38"/>
      <c r="CK836" s="38"/>
    </row>
    <row r="837" customFormat="false" ht="15" hidden="false" customHeight="true" outlineLevel="0" collapsed="false">
      <c r="A837" s="26" t="str">
        <f aca="false">IF($C837="","",ROW()-3)</f>
        <v/>
      </c>
      <c r="B837" s="27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9"/>
      <c r="N837" s="29"/>
      <c r="O837" s="30" t="str">
        <f aca="false">IFERROR(IF(M837="","",M837*INDEX('00 - Lists'!$M$2:$M$11,MATCH(L837,'00 - Lists'!$L$2:$L$11,0))/100000),"")</f>
        <v/>
      </c>
      <c r="P837" s="30" t="str">
        <f aca="false">IFERROR(IF(N837="","",N837*INDEX('00 - Lists'!$M$2:$M$11,MATCH(L837,'00 - Lists'!$L$2:$L$11,0))/100000),"")</f>
        <v/>
      </c>
      <c r="Q837" s="31" t="str">
        <f aca="false">IFERROR(IF(M837="","",M837*INDEX('00 - Lists'!$N$2:$N$11,MATCH(L837,'00 - Lists'!$L$2:$L$11,0))),"")</f>
        <v/>
      </c>
      <c r="R837" s="31" t="str">
        <f aca="false">IFERROR(IF(N837="","",N837*INDEX('00 - Lists'!$N$2:$N$11,MATCH(L837,'00 - Lists'!$L$2:$L$11,0))),"")</f>
        <v/>
      </c>
      <c r="S837" s="32" t="str">
        <f aca="false">IF(O837="","",IF(O837&gt;=50,"Yes","No"))</f>
        <v/>
      </c>
      <c r="T837" s="32" t="str">
        <f aca="false">IF(Q837="","",IF(Q837&gt;=100000,"Yes","No"))</f>
        <v/>
      </c>
      <c r="U837" s="28"/>
      <c r="V837" s="28"/>
      <c r="W837" s="28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J837" s="34" t="str">
        <f aca="false">IF(OR($BD837&lt;&gt;"",$BF837&lt;&gt;"",$BH837&lt;&gt;""),"Yes","No")</f>
        <v>No</v>
      </c>
      <c r="BK837" s="35" t="str">
        <f aca="false">IFERROR(IF(BD837="","",BD837*INDEX('00 - Lists'!$M$2:$M$11,MATCH(L837,'00 - Lists'!$L$2:$L$11,0))/100000),"")</f>
        <v/>
      </c>
      <c r="BL837" s="35" t="str">
        <f aca="false">IFERROR(IF(BE837="","",BE837*INDEX('00 - Lists'!$M$2:$M$11,MATCH(L837,'00 - Lists'!$L$2:$L$11,0))/100000),"")</f>
        <v/>
      </c>
      <c r="BM837" s="35" t="str">
        <f aca="false">IFERROR(IF(BF837="","",BF837*INDEX('00 - Lists'!$M$2:$M$11,MATCH(L837,'00 - Lists'!$L$2:$L$11,0))/100000),"")</f>
        <v/>
      </c>
      <c r="BN837" s="35" t="str">
        <f aca="false">IFERROR(IF(BG837="","",BG837*INDEX('00 - Lists'!$M$2:$M$11,MATCH(L837,'00 - Lists'!$L$2:$L$11,0))/100000),"")</f>
        <v/>
      </c>
      <c r="BO837" s="35" t="str">
        <f aca="false">IFERROR(IF(BH837="","",BH837*INDEX('00 - Lists'!$M$2:$M$11,MATCH(L837,'00 - Lists'!$L$2:$L$11,0))/100000),"")</f>
        <v/>
      </c>
      <c r="BP837" s="35" t="str">
        <f aca="false">IFERROR(IF(BI837="","",BI837*INDEX('00 - Lists'!$M$2:$M$11,MATCH(L837,'00 - Lists'!$L$2:$L$11,0))/100000),"")</f>
        <v/>
      </c>
      <c r="BS837" s="36" t="str">
        <f aca="false">IF(O837="","",IF(O837&gt;=20,"Yes","No"))</f>
        <v/>
      </c>
      <c r="BT837" s="36" t="str">
        <f aca="false">IF(O837="","",IF(O837&gt;=30,"Yes","No"))</f>
        <v/>
      </c>
      <c r="BU837" s="36" t="str">
        <f aca="false">IF(O837="","",IF(O837&gt;=75,"Yes","No"))</f>
        <v/>
      </c>
      <c r="BV837" s="36" t="str">
        <f aca="false">IF(O837="","",IF(O837&gt;=100,"Yes","No"))</f>
        <v/>
      </c>
      <c r="BW837" s="36" t="str">
        <f aca="false">IF(O837="","",IF(O837&gt;=150,"Yes","No"))</f>
        <v/>
      </c>
      <c r="BX837" s="36" t="str">
        <f aca="false">IF(O837="","",IF(O837&gt;=200,"Yes","No"))</f>
        <v/>
      </c>
      <c r="BY837" s="36" t="str">
        <f aca="false">IF(Q837="","",IF(Q837&gt;=150000,"Yes","No"))</f>
        <v/>
      </c>
      <c r="BZ837" s="36" t="str">
        <f aca="false">IF(Q837="","",IF(Q837&gt;=200000,"Yes","No"))</f>
        <v/>
      </c>
      <c r="CA837" s="36" t="str">
        <f aca="false">IF(Q837="","",IF(Q837&gt;=250000,"Yes","No"))</f>
        <v/>
      </c>
      <c r="CB837" s="36" t="str">
        <f aca="false">IF(Q837="","",IF(Q837&gt;=300000,"Yes","No"))</f>
        <v/>
      </c>
      <c r="CC837" s="37"/>
      <c r="CD837" s="36" t="str">
        <f aca="true">IF(B837="","",IF(TODAY()-B837&lt;=7,"🟢 0-7d",IF(TODAY()-B837&lt;=30,"🟡 8-30d",IF(TODAY()-B837&lt;=60,"🟠 31-60d","🔴 60d+"))))</f>
        <v/>
      </c>
      <c r="CE837" s="36" t="str">
        <f aca="false">IF(G837="","",IF(G837&lt;&gt;"USA","N/A - Not USA Role",IF(J837="Yes",IF(OR(F837="Intern",F837="New Grad"),"🟡 Possible","🟢 Strong"),IF(J837="No","🔴 Difficult","⚪ Unknown"))))</f>
        <v/>
      </c>
      <c r="CF837" s="37"/>
      <c r="CG837" s="37"/>
      <c r="CH837" s="38"/>
      <c r="CI837" s="38"/>
      <c r="CJ837" s="38"/>
      <c r="CK837" s="38"/>
    </row>
    <row r="838" customFormat="false" ht="15" hidden="false" customHeight="true" outlineLevel="0" collapsed="false">
      <c r="A838" s="26" t="str">
        <f aca="false">IF($C838="","",ROW()-3)</f>
        <v/>
      </c>
      <c r="B838" s="27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9"/>
      <c r="N838" s="29"/>
      <c r="O838" s="30" t="str">
        <f aca="false">IFERROR(IF(M838="","",M838*INDEX('00 - Lists'!$M$2:$M$11,MATCH(L838,'00 - Lists'!$L$2:$L$11,0))/100000),"")</f>
        <v/>
      </c>
      <c r="P838" s="30" t="str">
        <f aca="false">IFERROR(IF(N838="","",N838*INDEX('00 - Lists'!$M$2:$M$11,MATCH(L838,'00 - Lists'!$L$2:$L$11,0))/100000),"")</f>
        <v/>
      </c>
      <c r="Q838" s="31" t="str">
        <f aca="false">IFERROR(IF(M838="","",M838*INDEX('00 - Lists'!$N$2:$N$11,MATCH(L838,'00 - Lists'!$L$2:$L$11,0))),"")</f>
        <v/>
      </c>
      <c r="R838" s="31" t="str">
        <f aca="false">IFERROR(IF(N838="","",N838*INDEX('00 - Lists'!$N$2:$N$11,MATCH(L838,'00 - Lists'!$L$2:$L$11,0))),"")</f>
        <v/>
      </c>
      <c r="S838" s="32" t="str">
        <f aca="false">IF(O838="","",IF(O838&gt;=50,"Yes","No"))</f>
        <v/>
      </c>
      <c r="T838" s="32" t="str">
        <f aca="false">IF(Q838="","",IF(Q838&gt;=100000,"Yes","No"))</f>
        <v/>
      </c>
      <c r="U838" s="28"/>
      <c r="V838" s="28"/>
      <c r="W838" s="28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J838" s="34" t="str">
        <f aca="false">IF(OR($BD838&lt;&gt;"",$BF838&lt;&gt;"",$BH838&lt;&gt;""),"Yes","No")</f>
        <v>No</v>
      </c>
      <c r="BK838" s="35" t="str">
        <f aca="false">IFERROR(IF(BD838="","",BD838*INDEX('00 - Lists'!$M$2:$M$11,MATCH(L838,'00 - Lists'!$L$2:$L$11,0))/100000),"")</f>
        <v/>
      </c>
      <c r="BL838" s="35" t="str">
        <f aca="false">IFERROR(IF(BE838="","",BE838*INDEX('00 - Lists'!$M$2:$M$11,MATCH(L838,'00 - Lists'!$L$2:$L$11,0))/100000),"")</f>
        <v/>
      </c>
      <c r="BM838" s="35" t="str">
        <f aca="false">IFERROR(IF(BF838="","",BF838*INDEX('00 - Lists'!$M$2:$M$11,MATCH(L838,'00 - Lists'!$L$2:$L$11,0))/100000),"")</f>
        <v/>
      </c>
      <c r="BN838" s="35" t="str">
        <f aca="false">IFERROR(IF(BG838="","",BG838*INDEX('00 - Lists'!$M$2:$M$11,MATCH(L838,'00 - Lists'!$L$2:$L$11,0))/100000),"")</f>
        <v/>
      </c>
      <c r="BO838" s="35" t="str">
        <f aca="false">IFERROR(IF(BH838="","",BH838*INDEX('00 - Lists'!$M$2:$M$11,MATCH(L838,'00 - Lists'!$L$2:$L$11,0))/100000),"")</f>
        <v/>
      </c>
      <c r="BP838" s="35" t="str">
        <f aca="false">IFERROR(IF(BI838="","",BI838*INDEX('00 - Lists'!$M$2:$M$11,MATCH(L838,'00 - Lists'!$L$2:$L$11,0))/100000),"")</f>
        <v/>
      </c>
      <c r="BS838" s="36" t="str">
        <f aca="false">IF(O838="","",IF(O838&gt;=20,"Yes","No"))</f>
        <v/>
      </c>
      <c r="BT838" s="36" t="str">
        <f aca="false">IF(O838="","",IF(O838&gt;=30,"Yes","No"))</f>
        <v/>
      </c>
      <c r="BU838" s="36" t="str">
        <f aca="false">IF(O838="","",IF(O838&gt;=75,"Yes","No"))</f>
        <v/>
      </c>
      <c r="BV838" s="36" t="str">
        <f aca="false">IF(O838="","",IF(O838&gt;=100,"Yes","No"))</f>
        <v/>
      </c>
      <c r="BW838" s="36" t="str">
        <f aca="false">IF(O838="","",IF(O838&gt;=150,"Yes","No"))</f>
        <v/>
      </c>
      <c r="BX838" s="36" t="str">
        <f aca="false">IF(O838="","",IF(O838&gt;=200,"Yes","No"))</f>
        <v/>
      </c>
      <c r="BY838" s="36" t="str">
        <f aca="false">IF(Q838="","",IF(Q838&gt;=150000,"Yes","No"))</f>
        <v/>
      </c>
      <c r="BZ838" s="36" t="str">
        <f aca="false">IF(Q838="","",IF(Q838&gt;=200000,"Yes","No"))</f>
        <v/>
      </c>
      <c r="CA838" s="36" t="str">
        <f aca="false">IF(Q838="","",IF(Q838&gt;=250000,"Yes","No"))</f>
        <v/>
      </c>
      <c r="CB838" s="36" t="str">
        <f aca="false">IF(Q838="","",IF(Q838&gt;=300000,"Yes","No"))</f>
        <v/>
      </c>
      <c r="CC838" s="37"/>
      <c r="CD838" s="36" t="str">
        <f aca="true">IF(B838="","",IF(TODAY()-B838&lt;=7,"🟢 0-7d",IF(TODAY()-B838&lt;=30,"🟡 8-30d",IF(TODAY()-B838&lt;=60,"🟠 31-60d","🔴 60d+"))))</f>
        <v/>
      </c>
      <c r="CE838" s="36" t="str">
        <f aca="false">IF(G838="","",IF(G838&lt;&gt;"USA","N/A - Not USA Role",IF(J838="Yes",IF(OR(F838="Intern",F838="New Grad"),"🟡 Possible","🟢 Strong"),IF(J838="No","🔴 Difficult","⚪ Unknown"))))</f>
        <v/>
      </c>
      <c r="CF838" s="37"/>
      <c r="CG838" s="37"/>
      <c r="CH838" s="38"/>
      <c r="CI838" s="38"/>
      <c r="CJ838" s="38"/>
      <c r="CK838" s="38"/>
    </row>
    <row r="839" customFormat="false" ht="15" hidden="false" customHeight="true" outlineLevel="0" collapsed="false">
      <c r="A839" s="26" t="str">
        <f aca="false">IF($C839="","",ROW()-3)</f>
        <v/>
      </c>
      <c r="B839" s="27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9"/>
      <c r="N839" s="29"/>
      <c r="O839" s="30" t="str">
        <f aca="false">IFERROR(IF(M839="","",M839*INDEX('00 - Lists'!$M$2:$M$11,MATCH(L839,'00 - Lists'!$L$2:$L$11,0))/100000),"")</f>
        <v/>
      </c>
      <c r="P839" s="30" t="str">
        <f aca="false">IFERROR(IF(N839="","",N839*INDEX('00 - Lists'!$M$2:$M$11,MATCH(L839,'00 - Lists'!$L$2:$L$11,0))/100000),"")</f>
        <v/>
      </c>
      <c r="Q839" s="31" t="str">
        <f aca="false">IFERROR(IF(M839="","",M839*INDEX('00 - Lists'!$N$2:$N$11,MATCH(L839,'00 - Lists'!$L$2:$L$11,0))),"")</f>
        <v/>
      </c>
      <c r="R839" s="31" t="str">
        <f aca="false">IFERROR(IF(N839="","",N839*INDEX('00 - Lists'!$N$2:$N$11,MATCH(L839,'00 - Lists'!$L$2:$L$11,0))),"")</f>
        <v/>
      </c>
      <c r="S839" s="32" t="str">
        <f aca="false">IF(O839="","",IF(O839&gt;=50,"Yes","No"))</f>
        <v/>
      </c>
      <c r="T839" s="32" t="str">
        <f aca="false">IF(Q839="","",IF(Q839&gt;=100000,"Yes","No"))</f>
        <v/>
      </c>
      <c r="U839" s="28"/>
      <c r="V839" s="28"/>
      <c r="W839" s="28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J839" s="34" t="str">
        <f aca="false">IF(OR($BD839&lt;&gt;"",$BF839&lt;&gt;"",$BH839&lt;&gt;""),"Yes","No")</f>
        <v>No</v>
      </c>
      <c r="BK839" s="35" t="str">
        <f aca="false">IFERROR(IF(BD839="","",BD839*INDEX('00 - Lists'!$M$2:$M$11,MATCH(L839,'00 - Lists'!$L$2:$L$11,0))/100000),"")</f>
        <v/>
      </c>
      <c r="BL839" s="35" t="str">
        <f aca="false">IFERROR(IF(BE839="","",BE839*INDEX('00 - Lists'!$M$2:$M$11,MATCH(L839,'00 - Lists'!$L$2:$L$11,0))/100000),"")</f>
        <v/>
      </c>
      <c r="BM839" s="35" t="str">
        <f aca="false">IFERROR(IF(BF839="","",BF839*INDEX('00 - Lists'!$M$2:$M$11,MATCH(L839,'00 - Lists'!$L$2:$L$11,0))/100000),"")</f>
        <v/>
      </c>
      <c r="BN839" s="35" t="str">
        <f aca="false">IFERROR(IF(BG839="","",BG839*INDEX('00 - Lists'!$M$2:$M$11,MATCH(L839,'00 - Lists'!$L$2:$L$11,0))/100000),"")</f>
        <v/>
      </c>
      <c r="BO839" s="35" t="str">
        <f aca="false">IFERROR(IF(BH839="","",BH839*INDEX('00 - Lists'!$M$2:$M$11,MATCH(L839,'00 - Lists'!$L$2:$L$11,0))/100000),"")</f>
        <v/>
      </c>
      <c r="BP839" s="35" t="str">
        <f aca="false">IFERROR(IF(BI839="","",BI839*INDEX('00 - Lists'!$M$2:$M$11,MATCH(L839,'00 - Lists'!$L$2:$L$11,0))/100000),"")</f>
        <v/>
      </c>
      <c r="BS839" s="36" t="str">
        <f aca="false">IF(O839="","",IF(O839&gt;=20,"Yes","No"))</f>
        <v/>
      </c>
      <c r="BT839" s="36" t="str">
        <f aca="false">IF(O839="","",IF(O839&gt;=30,"Yes","No"))</f>
        <v/>
      </c>
      <c r="BU839" s="36" t="str">
        <f aca="false">IF(O839="","",IF(O839&gt;=75,"Yes","No"))</f>
        <v/>
      </c>
      <c r="BV839" s="36" t="str">
        <f aca="false">IF(O839="","",IF(O839&gt;=100,"Yes","No"))</f>
        <v/>
      </c>
      <c r="BW839" s="36" t="str">
        <f aca="false">IF(O839="","",IF(O839&gt;=150,"Yes","No"))</f>
        <v/>
      </c>
      <c r="BX839" s="36" t="str">
        <f aca="false">IF(O839="","",IF(O839&gt;=200,"Yes","No"))</f>
        <v/>
      </c>
      <c r="BY839" s="36" t="str">
        <f aca="false">IF(Q839="","",IF(Q839&gt;=150000,"Yes","No"))</f>
        <v/>
      </c>
      <c r="BZ839" s="36" t="str">
        <f aca="false">IF(Q839="","",IF(Q839&gt;=200000,"Yes","No"))</f>
        <v/>
      </c>
      <c r="CA839" s="36" t="str">
        <f aca="false">IF(Q839="","",IF(Q839&gt;=250000,"Yes","No"))</f>
        <v/>
      </c>
      <c r="CB839" s="36" t="str">
        <f aca="false">IF(Q839="","",IF(Q839&gt;=300000,"Yes","No"))</f>
        <v/>
      </c>
      <c r="CC839" s="37"/>
      <c r="CD839" s="36" t="str">
        <f aca="true">IF(B839="","",IF(TODAY()-B839&lt;=7,"🟢 0-7d",IF(TODAY()-B839&lt;=30,"🟡 8-30d",IF(TODAY()-B839&lt;=60,"🟠 31-60d","🔴 60d+"))))</f>
        <v/>
      </c>
      <c r="CE839" s="36" t="str">
        <f aca="false">IF(G839="","",IF(G839&lt;&gt;"USA","N/A - Not USA Role",IF(J839="Yes",IF(OR(F839="Intern",F839="New Grad"),"🟡 Possible","🟢 Strong"),IF(J839="No","🔴 Difficult","⚪ Unknown"))))</f>
        <v/>
      </c>
      <c r="CF839" s="37"/>
      <c r="CG839" s="37"/>
      <c r="CH839" s="38"/>
      <c r="CI839" s="38"/>
      <c r="CJ839" s="38"/>
      <c r="CK839" s="38"/>
    </row>
    <row r="840" customFormat="false" ht="15" hidden="false" customHeight="true" outlineLevel="0" collapsed="false">
      <c r="A840" s="26" t="str">
        <f aca="false">IF($C840="","",ROW()-3)</f>
        <v/>
      </c>
      <c r="B840" s="27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9"/>
      <c r="N840" s="29"/>
      <c r="O840" s="30" t="str">
        <f aca="false">IFERROR(IF(M840="","",M840*INDEX('00 - Lists'!$M$2:$M$11,MATCH(L840,'00 - Lists'!$L$2:$L$11,0))/100000),"")</f>
        <v/>
      </c>
      <c r="P840" s="30" t="str">
        <f aca="false">IFERROR(IF(N840="","",N840*INDEX('00 - Lists'!$M$2:$M$11,MATCH(L840,'00 - Lists'!$L$2:$L$11,0))/100000),"")</f>
        <v/>
      </c>
      <c r="Q840" s="31" t="str">
        <f aca="false">IFERROR(IF(M840="","",M840*INDEX('00 - Lists'!$N$2:$N$11,MATCH(L840,'00 - Lists'!$L$2:$L$11,0))),"")</f>
        <v/>
      </c>
      <c r="R840" s="31" t="str">
        <f aca="false">IFERROR(IF(N840="","",N840*INDEX('00 - Lists'!$N$2:$N$11,MATCH(L840,'00 - Lists'!$L$2:$L$11,0))),"")</f>
        <v/>
      </c>
      <c r="S840" s="32" t="str">
        <f aca="false">IF(O840="","",IF(O840&gt;=50,"Yes","No"))</f>
        <v/>
      </c>
      <c r="T840" s="32" t="str">
        <f aca="false">IF(Q840="","",IF(Q840&gt;=100000,"Yes","No"))</f>
        <v/>
      </c>
      <c r="U840" s="28"/>
      <c r="V840" s="28"/>
      <c r="W840" s="28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J840" s="34" t="str">
        <f aca="false">IF(OR($BD840&lt;&gt;"",$BF840&lt;&gt;"",$BH840&lt;&gt;""),"Yes","No")</f>
        <v>No</v>
      </c>
      <c r="BK840" s="35" t="str">
        <f aca="false">IFERROR(IF(BD840="","",BD840*INDEX('00 - Lists'!$M$2:$M$11,MATCH(L840,'00 - Lists'!$L$2:$L$11,0))/100000),"")</f>
        <v/>
      </c>
      <c r="BL840" s="35" t="str">
        <f aca="false">IFERROR(IF(BE840="","",BE840*INDEX('00 - Lists'!$M$2:$M$11,MATCH(L840,'00 - Lists'!$L$2:$L$11,0))/100000),"")</f>
        <v/>
      </c>
      <c r="BM840" s="35" t="str">
        <f aca="false">IFERROR(IF(BF840="","",BF840*INDEX('00 - Lists'!$M$2:$M$11,MATCH(L840,'00 - Lists'!$L$2:$L$11,0))/100000),"")</f>
        <v/>
      </c>
      <c r="BN840" s="35" t="str">
        <f aca="false">IFERROR(IF(BG840="","",BG840*INDEX('00 - Lists'!$M$2:$M$11,MATCH(L840,'00 - Lists'!$L$2:$L$11,0))/100000),"")</f>
        <v/>
      </c>
      <c r="BO840" s="35" t="str">
        <f aca="false">IFERROR(IF(BH840="","",BH840*INDEX('00 - Lists'!$M$2:$M$11,MATCH(L840,'00 - Lists'!$L$2:$L$11,0))/100000),"")</f>
        <v/>
      </c>
      <c r="BP840" s="35" t="str">
        <f aca="false">IFERROR(IF(BI840="","",BI840*INDEX('00 - Lists'!$M$2:$M$11,MATCH(L840,'00 - Lists'!$L$2:$L$11,0))/100000),"")</f>
        <v/>
      </c>
      <c r="BS840" s="36" t="str">
        <f aca="false">IF(O840="","",IF(O840&gt;=20,"Yes","No"))</f>
        <v/>
      </c>
      <c r="BT840" s="36" t="str">
        <f aca="false">IF(O840="","",IF(O840&gt;=30,"Yes","No"))</f>
        <v/>
      </c>
      <c r="BU840" s="36" t="str">
        <f aca="false">IF(O840="","",IF(O840&gt;=75,"Yes","No"))</f>
        <v/>
      </c>
      <c r="BV840" s="36" t="str">
        <f aca="false">IF(O840="","",IF(O840&gt;=100,"Yes","No"))</f>
        <v/>
      </c>
      <c r="BW840" s="36" t="str">
        <f aca="false">IF(O840="","",IF(O840&gt;=150,"Yes","No"))</f>
        <v/>
      </c>
      <c r="BX840" s="36" t="str">
        <f aca="false">IF(O840="","",IF(O840&gt;=200,"Yes","No"))</f>
        <v/>
      </c>
      <c r="BY840" s="36" t="str">
        <f aca="false">IF(Q840="","",IF(Q840&gt;=150000,"Yes","No"))</f>
        <v/>
      </c>
      <c r="BZ840" s="36" t="str">
        <f aca="false">IF(Q840="","",IF(Q840&gt;=200000,"Yes","No"))</f>
        <v/>
      </c>
      <c r="CA840" s="36" t="str">
        <f aca="false">IF(Q840="","",IF(Q840&gt;=250000,"Yes","No"))</f>
        <v/>
      </c>
      <c r="CB840" s="36" t="str">
        <f aca="false">IF(Q840="","",IF(Q840&gt;=300000,"Yes","No"))</f>
        <v/>
      </c>
      <c r="CC840" s="37"/>
      <c r="CD840" s="36" t="str">
        <f aca="true">IF(B840="","",IF(TODAY()-B840&lt;=7,"🟢 0-7d",IF(TODAY()-B840&lt;=30,"🟡 8-30d",IF(TODAY()-B840&lt;=60,"🟠 31-60d","🔴 60d+"))))</f>
        <v/>
      </c>
      <c r="CE840" s="36" t="str">
        <f aca="false">IF(G840="","",IF(G840&lt;&gt;"USA","N/A - Not USA Role",IF(J840="Yes",IF(OR(F840="Intern",F840="New Grad"),"🟡 Possible","🟢 Strong"),IF(J840="No","🔴 Difficult","⚪ Unknown"))))</f>
        <v/>
      </c>
      <c r="CF840" s="37"/>
      <c r="CG840" s="37"/>
      <c r="CH840" s="38"/>
      <c r="CI840" s="38"/>
      <c r="CJ840" s="38"/>
      <c r="CK840" s="38"/>
    </row>
    <row r="841" customFormat="false" ht="15" hidden="false" customHeight="true" outlineLevel="0" collapsed="false">
      <c r="A841" s="26" t="str">
        <f aca="false">IF($C841="","",ROW()-3)</f>
        <v/>
      </c>
      <c r="B841" s="27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9"/>
      <c r="N841" s="29"/>
      <c r="O841" s="30" t="str">
        <f aca="false">IFERROR(IF(M841="","",M841*INDEX('00 - Lists'!$M$2:$M$11,MATCH(L841,'00 - Lists'!$L$2:$L$11,0))/100000),"")</f>
        <v/>
      </c>
      <c r="P841" s="30" t="str">
        <f aca="false">IFERROR(IF(N841="","",N841*INDEX('00 - Lists'!$M$2:$M$11,MATCH(L841,'00 - Lists'!$L$2:$L$11,0))/100000),"")</f>
        <v/>
      </c>
      <c r="Q841" s="31" t="str">
        <f aca="false">IFERROR(IF(M841="","",M841*INDEX('00 - Lists'!$N$2:$N$11,MATCH(L841,'00 - Lists'!$L$2:$L$11,0))),"")</f>
        <v/>
      </c>
      <c r="R841" s="31" t="str">
        <f aca="false">IFERROR(IF(N841="","",N841*INDEX('00 - Lists'!$N$2:$N$11,MATCH(L841,'00 - Lists'!$L$2:$L$11,0))),"")</f>
        <v/>
      </c>
      <c r="S841" s="32" t="str">
        <f aca="false">IF(O841="","",IF(O841&gt;=50,"Yes","No"))</f>
        <v/>
      </c>
      <c r="T841" s="32" t="str">
        <f aca="false">IF(Q841="","",IF(Q841&gt;=100000,"Yes","No"))</f>
        <v/>
      </c>
      <c r="U841" s="28"/>
      <c r="V841" s="28"/>
      <c r="W841" s="28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J841" s="34" t="str">
        <f aca="false">IF(OR($BD841&lt;&gt;"",$BF841&lt;&gt;"",$BH841&lt;&gt;""),"Yes","No")</f>
        <v>No</v>
      </c>
      <c r="BK841" s="35" t="str">
        <f aca="false">IFERROR(IF(BD841="","",BD841*INDEX('00 - Lists'!$M$2:$M$11,MATCH(L841,'00 - Lists'!$L$2:$L$11,0))/100000),"")</f>
        <v/>
      </c>
      <c r="BL841" s="35" t="str">
        <f aca="false">IFERROR(IF(BE841="","",BE841*INDEX('00 - Lists'!$M$2:$M$11,MATCH(L841,'00 - Lists'!$L$2:$L$11,0))/100000),"")</f>
        <v/>
      </c>
      <c r="BM841" s="35" t="str">
        <f aca="false">IFERROR(IF(BF841="","",BF841*INDEX('00 - Lists'!$M$2:$M$11,MATCH(L841,'00 - Lists'!$L$2:$L$11,0))/100000),"")</f>
        <v/>
      </c>
      <c r="BN841" s="35" t="str">
        <f aca="false">IFERROR(IF(BG841="","",BG841*INDEX('00 - Lists'!$M$2:$M$11,MATCH(L841,'00 - Lists'!$L$2:$L$11,0))/100000),"")</f>
        <v/>
      </c>
      <c r="BO841" s="35" t="str">
        <f aca="false">IFERROR(IF(BH841="","",BH841*INDEX('00 - Lists'!$M$2:$M$11,MATCH(L841,'00 - Lists'!$L$2:$L$11,0))/100000),"")</f>
        <v/>
      </c>
      <c r="BP841" s="35" t="str">
        <f aca="false">IFERROR(IF(BI841="","",BI841*INDEX('00 - Lists'!$M$2:$M$11,MATCH(L841,'00 - Lists'!$L$2:$L$11,0))/100000),"")</f>
        <v/>
      </c>
      <c r="BS841" s="36" t="str">
        <f aca="false">IF(O841="","",IF(O841&gt;=20,"Yes","No"))</f>
        <v/>
      </c>
      <c r="BT841" s="36" t="str">
        <f aca="false">IF(O841="","",IF(O841&gt;=30,"Yes","No"))</f>
        <v/>
      </c>
      <c r="BU841" s="36" t="str">
        <f aca="false">IF(O841="","",IF(O841&gt;=75,"Yes","No"))</f>
        <v/>
      </c>
      <c r="BV841" s="36" t="str">
        <f aca="false">IF(O841="","",IF(O841&gt;=100,"Yes","No"))</f>
        <v/>
      </c>
      <c r="BW841" s="36" t="str">
        <f aca="false">IF(O841="","",IF(O841&gt;=150,"Yes","No"))</f>
        <v/>
      </c>
      <c r="BX841" s="36" t="str">
        <f aca="false">IF(O841="","",IF(O841&gt;=200,"Yes","No"))</f>
        <v/>
      </c>
      <c r="BY841" s="36" t="str">
        <f aca="false">IF(Q841="","",IF(Q841&gt;=150000,"Yes","No"))</f>
        <v/>
      </c>
      <c r="BZ841" s="36" t="str">
        <f aca="false">IF(Q841="","",IF(Q841&gt;=200000,"Yes","No"))</f>
        <v/>
      </c>
      <c r="CA841" s="36" t="str">
        <f aca="false">IF(Q841="","",IF(Q841&gt;=250000,"Yes","No"))</f>
        <v/>
      </c>
      <c r="CB841" s="36" t="str">
        <f aca="false">IF(Q841="","",IF(Q841&gt;=300000,"Yes","No"))</f>
        <v/>
      </c>
      <c r="CC841" s="37"/>
      <c r="CD841" s="36" t="str">
        <f aca="true">IF(B841="","",IF(TODAY()-B841&lt;=7,"🟢 0-7d",IF(TODAY()-B841&lt;=30,"🟡 8-30d",IF(TODAY()-B841&lt;=60,"🟠 31-60d","🔴 60d+"))))</f>
        <v/>
      </c>
      <c r="CE841" s="36" t="str">
        <f aca="false">IF(G841="","",IF(G841&lt;&gt;"USA","N/A - Not USA Role",IF(J841="Yes",IF(OR(F841="Intern",F841="New Grad"),"🟡 Possible","🟢 Strong"),IF(J841="No","🔴 Difficult","⚪ Unknown"))))</f>
        <v/>
      </c>
      <c r="CF841" s="37"/>
      <c r="CG841" s="37"/>
      <c r="CH841" s="38"/>
      <c r="CI841" s="38"/>
      <c r="CJ841" s="38"/>
      <c r="CK841" s="38"/>
    </row>
    <row r="842" customFormat="false" ht="15" hidden="false" customHeight="true" outlineLevel="0" collapsed="false">
      <c r="A842" s="26" t="str">
        <f aca="false">IF($C842="","",ROW()-3)</f>
        <v/>
      </c>
      <c r="B842" s="27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9"/>
      <c r="N842" s="29"/>
      <c r="O842" s="30" t="str">
        <f aca="false">IFERROR(IF(M842="","",M842*INDEX('00 - Lists'!$M$2:$M$11,MATCH(L842,'00 - Lists'!$L$2:$L$11,0))/100000),"")</f>
        <v/>
      </c>
      <c r="P842" s="30" t="str">
        <f aca="false">IFERROR(IF(N842="","",N842*INDEX('00 - Lists'!$M$2:$M$11,MATCH(L842,'00 - Lists'!$L$2:$L$11,0))/100000),"")</f>
        <v/>
      </c>
      <c r="Q842" s="31" t="str">
        <f aca="false">IFERROR(IF(M842="","",M842*INDEX('00 - Lists'!$N$2:$N$11,MATCH(L842,'00 - Lists'!$L$2:$L$11,0))),"")</f>
        <v/>
      </c>
      <c r="R842" s="31" t="str">
        <f aca="false">IFERROR(IF(N842="","",N842*INDEX('00 - Lists'!$N$2:$N$11,MATCH(L842,'00 - Lists'!$L$2:$L$11,0))),"")</f>
        <v/>
      </c>
      <c r="S842" s="32" t="str">
        <f aca="false">IF(O842="","",IF(O842&gt;=50,"Yes","No"))</f>
        <v/>
      </c>
      <c r="T842" s="32" t="str">
        <f aca="false">IF(Q842="","",IF(Q842&gt;=100000,"Yes","No"))</f>
        <v/>
      </c>
      <c r="U842" s="28"/>
      <c r="V842" s="28"/>
      <c r="W842" s="28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J842" s="34" t="str">
        <f aca="false">IF(OR($BD842&lt;&gt;"",$BF842&lt;&gt;"",$BH842&lt;&gt;""),"Yes","No")</f>
        <v>No</v>
      </c>
      <c r="BK842" s="35" t="str">
        <f aca="false">IFERROR(IF(BD842="","",BD842*INDEX('00 - Lists'!$M$2:$M$11,MATCH(L842,'00 - Lists'!$L$2:$L$11,0))/100000),"")</f>
        <v/>
      </c>
      <c r="BL842" s="35" t="str">
        <f aca="false">IFERROR(IF(BE842="","",BE842*INDEX('00 - Lists'!$M$2:$M$11,MATCH(L842,'00 - Lists'!$L$2:$L$11,0))/100000),"")</f>
        <v/>
      </c>
      <c r="BM842" s="35" t="str">
        <f aca="false">IFERROR(IF(BF842="","",BF842*INDEX('00 - Lists'!$M$2:$M$11,MATCH(L842,'00 - Lists'!$L$2:$L$11,0))/100000),"")</f>
        <v/>
      </c>
      <c r="BN842" s="35" t="str">
        <f aca="false">IFERROR(IF(BG842="","",BG842*INDEX('00 - Lists'!$M$2:$M$11,MATCH(L842,'00 - Lists'!$L$2:$L$11,0))/100000),"")</f>
        <v/>
      </c>
      <c r="BO842" s="35" t="str">
        <f aca="false">IFERROR(IF(BH842="","",BH842*INDEX('00 - Lists'!$M$2:$M$11,MATCH(L842,'00 - Lists'!$L$2:$L$11,0))/100000),"")</f>
        <v/>
      </c>
      <c r="BP842" s="35" t="str">
        <f aca="false">IFERROR(IF(BI842="","",BI842*INDEX('00 - Lists'!$M$2:$M$11,MATCH(L842,'00 - Lists'!$L$2:$L$11,0))/100000),"")</f>
        <v/>
      </c>
      <c r="BS842" s="36" t="str">
        <f aca="false">IF(O842="","",IF(O842&gt;=20,"Yes","No"))</f>
        <v/>
      </c>
      <c r="BT842" s="36" t="str">
        <f aca="false">IF(O842="","",IF(O842&gt;=30,"Yes","No"))</f>
        <v/>
      </c>
      <c r="BU842" s="36" t="str">
        <f aca="false">IF(O842="","",IF(O842&gt;=75,"Yes","No"))</f>
        <v/>
      </c>
      <c r="BV842" s="36" t="str">
        <f aca="false">IF(O842="","",IF(O842&gt;=100,"Yes","No"))</f>
        <v/>
      </c>
      <c r="BW842" s="36" t="str">
        <f aca="false">IF(O842="","",IF(O842&gt;=150,"Yes","No"))</f>
        <v/>
      </c>
      <c r="BX842" s="36" t="str">
        <f aca="false">IF(O842="","",IF(O842&gt;=200,"Yes","No"))</f>
        <v/>
      </c>
      <c r="BY842" s="36" t="str">
        <f aca="false">IF(Q842="","",IF(Q842&gt;=150000,"Yes","No"))</f>
        <v/>
      </c>
      <c r="BZ842" s="36" t="str">
        <f aca="false">IF(Q842="","",IF(Q842&gt;=200000,"Yes","No"))</f>
        <v/>
      </c>
      <c r="CA842" s="36" t="str">
        <f aca="false">IF(Q842="","",IF(Q842&gt;=250000,"Yes","No"))</f>
        <v/>
      </c>
      <c r="CB842" s="36" t="str">
        <f aca="false">IF(Q842="","",IF(Q842&gt;=300000,"Yes","No"))</f>
        <v/>
      </c>
      <c r="CC842" s="37"/>
      <c r="CD842" s="36" t="str">
        <f aca="true">IF(B842="","",IF(TODAY()-B842&lt;=7,"🟢 0-7d",IF(TODAY()-B842&lt;=30,"🟡 8-30d",IF(TODAY()-B842&lt;=60,"🟠 31-60d","🔴 60d+"))))</f>
        <v/>
      </c>
      <c r="CE842" s="36" t="str">
        <f aca="false">IF(G842="","",IF(G842&lt;&gt;"USA","N/A - Not USA Role",IF(J842="Yes",IF(OR(F842="Intern",F842="New Grad"),"🟡 Possible","🟢 Strong"),IF(J842="No","🔴 Difficult","⚪ Unknown"))))</f>
        <v/>
      </c>
      <c r="CF842" s="37"/>
      <c r="CG842" s="37"/>
      <c r="CH842" s="38"/>
      <c r="CI842" s="38"/>
      <c r="CJ842" s="38"/>
      <c r="CK842" s="38"/>
    </row>
    <row r="843" customFormat="false" ht="15" hidden="false" customHeight="true" outlineLevel="0" collapsed="false">
      <c r="A843" s="26" t="str">
        <f aca="false">IF($C843="","",ROW()-3)</f>
        <v/>
      </c>
      <c r="B843" s="27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9"/>
      <c r="N843" s="29"/>
      <c r="O843" s="30" t="str">
        <f aca="false">IFERROR(IF(M843="","",M843*INDEX('00 - Lists'!$M$2:$M$11,MATCH(L843,'00 - Lists'!$L$2:$L$11,0))/100000),"")</f>
        <v/>
      </c>
      <c r="P843" s="30" t="str">
        <f aca="false">IFERROR(IF(N843="","",N843*INDEX('00 - Lists'!$M$2:$M$11,MATCH(L843,'00 - Lists'!$L$2:$L$11,0))/100000),"")</f>
        <v/>
      </c>
      <c r="Q843" s="31" t="str">
        <f aca="false">IFERROR(IF(M843="","",M843*INDEX('00 - Lists'!$N$2:$N$11,MATCH(L843,'00 - Lists'!$L$2:$L$11,0))),"")</f>
        <v/>
      </c>
      <c r="R843" s="31" t="str">
        <f aca="false">IFERROR(IF(N843="","",N843*INDEX('00 - Lists'!$N$2:$N$11,MATCH(L843,'00 - Lists'!$L$2:$L$11,0))),"")</f>
        <v/>
      </c>
      <c r="S843" s="32" t="str">
        <f aca="false">IF(O843="","",IF(O843&gt;=50,"Yes","No"))</f>
        <v/>
      </c>
      <c r="T843" s="32" t="str">
        <f aca="false">IF(Q843="","",IF(Q843&gt;=100000,"Yes","No"))</f>
        <v/>
      </c>
      <c r="U843" s="28"/>
      <c r="V843" s="28"/>
      <c r="W843" s="28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J843" s="34" t="str">
        <f aca="false">IF(OR($BD843&lt;&gt;"",$BF843&lt;&gt;"",$BH843&lt;&gt;""),"Yes","No")</f>
        <v>No</v>
      </c>
      <c r="BK843" s="35" t="str">
        <f aca="false">IFERROR(IF(BD843="","",BD843*INDEX('00 - Lists'!$M$2:$M$11,MATCH(L843,'00 - Lists'!$L$2:$L$11,0))/100000),"")</f>
        <v/>
      </c>
      <c r="BL843" s="35" t="str">
        <f aca="false">IFERROR(IF(BE843="","",BE843*INDEX('00 - Lists'!$M$2:$M$11,MATCH(L843,'00 - Lists'!$L$2:$L$11,0))/100000),"")</f>
        <v/>
      </c>
      <c r="BM843" s="35" t="str">
        <f aca="false">IFERROR(IF(BF843="","",BF843*INDEX('00 - Lists'!$M$2:$M$11,MATCH(L843,'00 - Lists'!$L$2:$L$11,0))/100000),"")</f>
        <v/>
      </c>
      <c r="BN843" s="35" t="str">
        <f aca="false">IFERROR(IF(BG843="","",BG843*INDEX('00 - Lists'!$M$2:$M$11,MATCH(L843,'00 - Lists'!$L$2:$L$11,0))/100000),"")</f>
        <v/>
      </c>
      <c r="BO843" s="35" t="str">
        <f aca="false">IFERROR(IF(BH843="","",BH843*INDEX('00 - Lists'!$M$2:$M$11,MATCH(L843,'00 - Lists'!$L$2:$L$11,0))/100000),"")</f>
        <v/>
      </c>
      <c r="BP843" s="35" t="str">
        <f aca="false">IFERROR(IF(BI843="","",BI843*INDEX('00 - Lists'!$M$2:$M$11,MATCH(L843,'00 - Lists'!$L$2:$L$11,0))/100000),"")</f>
        <v/>
      </c>
      <c r="BS843" s="36" t="str">
        <f aca="false">IF(O843="","",IF(O843&gt;=20,"Yes","No"))</f>
        <v/>
      </c>
      <c r="BT843" s="36" t="str">
        <f aca="false">IF(O843="","",IF(O843&gt;=30,"Yes","No"))</f>
        <v/>
      </c>
      <c r="BU843" s="36" t="str">
        <f aca="false">IF(O843="","",IF(O843&gt;=75,"Yes","No"))</f>
        <v/>
      </c>
      <c r="BV843" s="36" t="str">
        <f aca="false">IF(O843="","",IF(O843&gt;=100,"Yes","No"))</f>
        <v/>
      </c>
      <c r="BW843" s="36" t="str">
        <f aca="false">IF(O843="","",IF(O843&gt;=150,"Yes","No"))</f>
        <v/>
      </c>
      <c r="BX843" s="36" t="str">
        <f aca="false">IF(O843="","",IF(O843&gt;=200,"Yes","No"))</f>
        <v/>
      </c>
      <c r="BY843" s="36" t="str">
        <f aca="false">IF(Q843="","",IF(Q843&gt;=150000,"Yes","No"))</f>
        <v/>
      </c>
      <c r="BZ843" s="36" t="str">
        <f aca="false">IF(Q843="","",IF(Q843&gt;=200000,"Yes","No"))</f>
        <v/>
      </c>
      <c r="CA843" s="36" t="str">
        <f aca="false">IF(Q843="","",IF(Q843&gt;=250000,"Yes","No"))</f>
        <v/>
      </c>
      <c r="CB843" s="36" t="str">
        <f aca="false">IF(Q843="","",IF(Q843&gt;=300000,"Yes","No"))</f>
        <v/>
      </c>
      <c r="CC843" s="37"/>
      <c r="CD843" s="36" t="str">
        <f aca="true">IF(B843="","",IF(TODAY()-B843&lt;=7,"🟢 0-7d",IF(TODAY()-B843&lt;=30,"🟡 8-30d",IF(TODAY()-B843&lt;=60,"🟠 31-60d","🔴 60d+"))))</f>
        <v/>
      </c>
      <c r="CE843" s="36" t="str">
        <f aca="false">IF(G843="","",IF(G843&lt;&gt;"USA","N/A - Not USA Role",IF(J843="Yes",IF(OR(F843="Intern",F843="New Grad"),"🟡 Possible","🟢 Strong"),IF(J843="No","🔴 Difficult","⚪ Unknown"))))</f>
        <v/>
      </c>
      <c r="CF843" s="37"/>
      <c r="CG843" s="37"/>
      <c r="CH843" s="38"/>
      <c r="CI843" s="38"/>
      <c r="CJ843" s="38"/>
      <c r="CK843" s="38"/>
    </row>
    <row r="844" customFormat="false" ht="15" hidden="false" customHeight="true" outlineLevel="0" collapsed="false">
      <c r="A844" s="26" t="str">
        <f aca="false">IF($C844="","",ROW()-3)</f>
        <v/>
      </c>
      <c r="B844" s="27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9"/>
      <c r="N844" s="29"/>
      <c r="O844" s="30" t="str">
        <f aca="false">IFERROR(IF(M844="","",M844*INDEX('00 - Lists'!$M$2:$M$11,MATCH(L844,'00 - Lists'!$L$2:$L$11,0))/100000),"")</f>
        <v/>
      </c>
      <c r="P844" s="30" t="str">
        <f aca="false">IFERROR(IF(N844="","",N844*INDEX('00 - Lists'!$M$2:$M$11,MATCH(L844,'00 - Lists'!$L$2:$L$11,0))/100000),"")</f>
        <v/>
      </c>
      <c r="Q844" s="31" t="str">
        <f aca="false">IFERROR(IF(M844="","",M844*INDEX('00 - Lists'!$N$2:$N$11,MATCH(L844,'00 - Lists'!$L$2:$L$11,0))),"")</f>
        <v/>
      </c>
      <c r="R844" s="31" t="str">
        <f aca="false">IFERROR(IF(N844="","",N844*INDEX('00 - Lists'!$N$2:$N$11,MATCH(L844,'00 - Lists'!$L$2:$L$11,0))),"")</f>
        <v/>
      </c>
      <c r="S844" s="32" t="str">
        <f aca="false">IF(O844="","",IF(O844&gt;=50,"Yes","No"))</f>
        <v/>
      </c>
      <c r="T844" s="32" t="str">
        <f aca="false">IF(Q844="","",IF(Q844&gt;=100000,"Yes","No"))</f>
        <v/>
      </c>
      <c r="U844" s="28"/>
      <c r="V844" s="28"/>
      <c r="W844" s="28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J844" s="34" t="str">
        <f aca="false">IF(OR($BD844&lt;&gt;"",$BF844&lt;&gt;"",$BH844&lt;&gt;""),"Yes","No")</f>
        <v>No</v>
      </c>
      <c r="BK844" s="35" t="str">
        <f aca="false">IFERROR(IF(BD844="","",BD844*INDEX('00 - Lists'!$M$2:$M$11,MATCH(L844,'00 - Lists'!$L$2:$L$11,0))/100000),"")</f>
        <v/>
      </c>
      <c r="BL844" s="35" t="str">
        <f aca="false">IFERROR(IF(BE844="","",BE844*INDEX('00 - Lists'!$M$2:$M$11,MATCH(L844,'00 - Lists'!$L$2:$L$11,0))/100000),"")</f>
        <v/>
      </c>
      <c r="BM844" s="35" t="str">
        <f aca="false">IFERROR(IF(BF844="","",BF844*INDEX('00 - Lists'!$M$2:$M$11,MATCH(L844,'00 - Lists'!$L$2:$L$11,0))/100000),"")</f>
        <v/>
      </c>
      <c r="BN844" s="35" t="str">
        <f aca="false">IFERROR(IF(BG844="","",BG844*INDEX('00 - Lists'!$M$2:$M$11,MATCH(L844,'00 - Lists'!$L$2:$L$11,0))/100000),"")</f>
        <v/>
      </c>
      <c r="BO844" s="35" t="str">
        <f aca="false">IFERROR(IF(BH844="","",BH844*INDEX('00 - Lists'!$M$2:$M$11,MATCH(L844,'00 - Lists'!$L$2:$L$11,0))/100000),"")</f>
        <v/>
      </c>
      <c r="BP844" s="35" t="str">
        <f aca="false">IFERROR(IF(BI844="","",BI844*INDEX('00 - Lists'!$M$2:$M$11,MATCH(L844,'00 - Lists'!$L$2:$L$11,0))/100000),"")</f>
        <v/>
      </c>
      <c r="BS844" s="36" t="str">
        <f aca="false">IF(O844="","",IF(O844&gt;=20,"Yes","No"))</f>
        <v/>
      </c>
      <c r="BT844" s="36" t="str">
        <f aca="false">IF(O844="","",IF(O844&gt;=30,"Yes","No"))</f>
        <v/>
      </c>
      <c r="BU844" s="36" t="str">
        <f aca="false">IF(O844="","",IF(O844&gt;=75,"Yes","No"))</f>
        <v/>
      </c>
      <c r="BV844" s="36" t="str">
        <f aca="false">IF(O844="","",IF(O844&gt;=100,"Yes","No"))</f>
        <v/>
      </c>
      <c r="BW844" s="36" t="str">
        <f aca="false">IF(O844="","",IF(O844&gt;=150,"Yes","No"))</f>
        <v/>
      </c>
      <c r="BX844" s="36" t="str">
        <f aca="false">IF(O844="","",IF(O844&gt;=200,"Yes","No"))</f>
        <v/>
      </c>
      <c r="BY844" s="36" t="str">
        <f aca="false">IF(Q844="","",IF(Q844&gt;=150000,"Yes","No"))</f>
        <v/>
      </c>
      <c r="BZ844" s="36" t="str">
        <f aca="false">IF(Q844="","",IF(Q844&gt;=200000,"Yes","No"))</f>
        <v/>
      </c>
      <c r="CA844" s="36" t="str">
        <f aca="false">IF(Q844="","",IF(Q844&gt;=250000,"Yes","No"))</f>
        <v/>
      </c>
      <c r="CB844" s="36" t="str">
        <f aca="false">IF(Q844="","",IF(Q844&gt;=300000,"Yes","No"))</f>
        <v/>
      </c>
      <c r="CC844" s="37"/>
      <c r="CD844" s="36" t="str">
        <f aca="true">IF(B844="","",IF(TODAY()-B844&lt;=7,"🟢 0-7d",IF(TODAY()-B844&lt;=30,"🟡 8-30d",IF(TODAY()-B844&lt;=60,"🟠 31-60d","🔴 60d+"))))</f>
        <v/>
      </c>
      <c r="CE844" s="36" t="str">
        <f aca="false">IF(G844="","",IF(G844&lt;&gt;"USA","N/A - Not USA Role",IF(J844="Yes",IF(OR(F844="Intern",F844="New Grad"),"🟡 Possible","🟢 Strong"),IF(J844="No","🔴 Difficult","⚪ Unknown"))))</f>
        <v/>
      </c>
      <c r="CF844" s="37"/>
      <c r="CG844" s="37"/>
      <c r="CH844" s="38"/>
      <c r="CI844" s="38"/>
      <c r="CJ844" s="38"/>
      <c r="CK844" s="38"/>
    </row>
    <row r="845" customFormat="false" ht="15" hidden="false" customHeight="true" outlineLevel="0" collapsed="false">
      <c r="A845" s="26" t="str">
        <f aca="false">IF($C845="","",ROW()-3)</f>
        <v/>
      </c>
      <c r="B845" s="27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9"/>
      <c r="N845" s="29"/>
      <c r="O845" s="30" t="str">
        <f aca="false">IFERROR(IF(M845="","",M845*INDEX('00 - Lists'!$M$2:$M$11,MATCH(L845,'00 - Lists'!$L$2:$L$11,0))/100000),"")</f>
        <v/>
      </c>
      <c r="P845" s="30" t="str">
        <f aca="false">IFERROR(IF(N845="","",N845*INDEX('00 - Lists'!$M$2:$M$11,MATCH(L845,'00 - Lists'!$L$2:$L$11,0))/100000),"")</f>
        <v/>
      </c>
      <c r="Q845" s="31" t="str">
        <f aca="false">IFERROR(IF(M845="","",M845*INDEX('00 - Lists'!$N$2:$N$11,MATCH(L845,'00 - Lists'!$L$2:$L$11,0))),"")</f>
        <v/>
      </c>
      <c r="R845" s="31" t="str">
        <f aca="false">IFERROR(IF(N845="","",N845*INDEX('00 - Lists'!$N$2:$N$11,MATCH(L845,'00 - Lists'!$L$2:$L$11,0))),"")</f>
        <v/>
      </c>
      <c r="S845" s="32" t="str">
        <f aca="false">IF(O845="","",IF(O845&gt;=50,"Yes","No"))</f>
        <v/>
      </c>
      <c r="T845" s="32" t="str">
        <f aca="false">IF(Q845="","",IF(Q845&gt;=100000,"Yes","No"))</f>
        <v/>
      </c>
      <c r="U845" s="28"/>
      <c r="V845" s="28"/>
      <c r="W845" s="28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J845" s="34" t="str">
        <f aca="false">IF(OR($BD845&lt;&gt;"",$BF845&lt;&gt;"",$BH845&lt;&gt;""),"Yes","No")</f>
        <v>No</v>
      </c>
      <c r="BK845" s="35" t="str">
        <f aca="false">IFERROR(IF(BD845="","",BD845*INDEX('00 - Lists'!$M$2:$M$11,MATCH(L845,'00 - Lists'!$L$2:$L$11,0))/100000),"")</f>
        <v/>
      </c>
      <c r="BL845" s="35" t="str">
        <f aca="false">IFERROR(IF(BE845="","",BE845*INDEX('00 - Lists'!$M$2:$M$11,MATCH(L845,'00 - Lists'!$L$2:$L$11,0))/100000),"")</f>
        <v/>
      </c>
      <c r="BM845" s="35" t="str">
        <f aca="false">IFERROR(IF(BF845="","",BF845*INDEX('00 - Lists'!$M$2:$M$11,MATCH(L845,'00 - Lists'!$L$2:$L$11,0))/100000),"")</f>
        <v/>
      </c>
      <c r="BN845" s="35" t="str">
        <f aca="false">IFERROR(IF(BG845="","",BG845*INDEX('00 - Lists'!$M$2:$M$11,MATCH(L845,'00 - Lists'!$L$2:$L$11,0))/100000),"")</f>
        <v/>
      </c>
      <c r="BO845" s="35" t="str">
        <f aca="false">IFERROR(IF(BH845="","",BH845*INDEX('00 - Lists'!$M$2:$M$11,MATCH(L845,'00 - Lists'!$L$2:$L$11,0))/100000),"")</f>
        <v/>
      </c>
      <c r="BP845" s="35" t="str">
        <f aca="false">IFERROR(IF(BI845="","",BI845*INDEX('00 - Lists'!$M$2:$M$11,MATCH(L845,'00 - Lists'!$L$2:$L$11,0))/100000),"")</f>
        <v/>
      </c>
      <c r="BS845" s="36" t="str">
        <f aca="false">IF(O845="","",IF(O845&gt;=20,"Yes","No"))</f>
        <v/>
      </c>
      <c r="BT845" s="36" t="str">
        <f aca="false">IF(O845="","",IF(O845&gt;=30,"Yes","No"))</f>
        <v/>
      </c>
      <c r="BU845" s="36" t="str">
        <f aca="false">IF(O845="","",IF(O845&gt;=75,"Yes","No"))</f>
        <v/>
      </c>
      <c r="BV845" s="36" t="str">
        <f aca="false">IF(O845="","",IF(O845&gt;=100,"Yes","No"))</f>
        <v/>
      </c>
      <c r="BW845" s="36" t="str">
        <f aca="false">IF(O845="","",IF(O845&gt;=150,"Yes","No"))</f>
        <v/>
      </c>
      <c r="BX845" s="36" t="str">
        <f aca="false">IF(O845="","",IF(O845&gt;=200,"Yes","No"))</f>
        <v/>
      </c>
      <c r="BY845" s="36" t="str">
        <f aca="false">IF(Q845="","",IF(Q845&gt;=150000,"Yes","No"))</f>
        <v/>
      </c>
      <c r="BZ845" s="36" t="str">
        <f aca="false">IF(Q845="","",IF(Q845&gt;=200000,"Yes","No"))</f>
        <v/>
      </c>
      <c r="CA845" s="36" t="str">
        <f aca="false">IF(Q845="","",IF(Q845&gt;=250000,"Yes","No"))</f>
        <v/>
      </c>
      <c r="CB845" s="36" t="str">
        <f aca="false">IF(Q845="","",IF(Q845&gt;=300000,"Yes","No"))</f>
        <v/>
      </c>
      <c r="CC845" s="37"/>
      <c r="CD845" s="36" t="str">
        <f aca="true">IF(B845="","",IF(TODAY()-B845&lt;=7,"🟢 0-7d",IF(TODAY()-B845&lt;=30,"🟡 8-30d",IF(TODAY()-B845&lt;=60,"🟠 31-60d","🔴 60d+"))))</f>
        <v/>
      </c>
      <c r="CE845" s="36" t="str">
        <f aca="false">IF(G845="","",IF(G845&lt;&gt;"USA","N/A - Not USA Role",IF(J845="Yes",IF(OR(F845="Intern",F845="New Grad"),"🟡 Possible","🟢 Strong"),IF(J845="No","🔴 Difficult","⚪ Unknown"))))</f>
        <v/>
      </c>
      <c r="CF845" s="37"/>
      <c r="CG845" s="37"/>
      <c r="CH845" s="38"/>
      <c r="CI845" s="38"/>
      <c r="CJ845" s="38"/>
      <c r="CK845" s="38"/>
    </row>
    <row r="846" customFormat="false" ht="15" hidden="false" customHeight="true" outlineLevel="0" collapsed="false">
      <c r="A846" s="26" t="str">
        <f aca="false">IF($C846="","",ROW()-3)</f>
        <v/>
      </c>
      <c r="B846" s="27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9"/>
      <c r="N846" s="29"/>
      <c r="O846" s="30" t="str">
        <f aca="false">IFERROR(IF(M846="","",M846*INDEX('00 - Lists'!$M$2:$M$11,MATCH(L846,'00 - Lists'!$L$2:$L$11,0))/100000),"")</f>
        <v/>
      </c>
      <c r="P846" s="30" t="str">
        <f aca="false">IFERROR(IF(N846="","",N846*INDEX('00 - Lists'!$M$2:$M$11,MATCH(L846,'00 - Lists'!$L$2:$L$11,0))/100000),"")</f>
        <v/>
      </c>
      <c r="Q846" s="31" t="str">
        <f aca="false">IFERROR(IF(M846="","",M846*INDEX('00 - Lists'!$N$2:$N$11,MATCH(L846,'00 - Lists'!$L$2:$L$11,0))),"")</f>
        <v/>
      </c>
      <c r="R846" s="31" t="str">
        <f aca="false">IFERROR(IF(N846="","",N846*INDEX('00 - Lists'!$N$2:$N$11,MATCH(L846,'00 - Lists'!$L$2:$L$11,0))),"")</f>
        <v/>
      </c>
      <c r="S846" s="32" t="str">
        <f aca="false">IF(O846="","",IF(O846&gt;=50,"Yes","No"))</f>
        <v/>
      </c>
      <c r="T846" s="32" t="str">
        <f aca="false">IF(Q846="","",IF(Q846&gt;=100000,"Yes","No"))</f>
        <v/>
      </c>
      <c r="U846" s="28"/>
      <c r="V846" s="28"/>
      <c r="W846" s="28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J846" s="34" t="str">
        <f aca="false">IF(OR($BD846&lt;&gt;"",$BF846&lt;&gt;"",$BH846&lt;&gt;""),"Yes","No")</f>
        <v>No</v>
      </c>
      <c r="BK846" s="35" t="str">
        <f aca="false">IFERROR(IF(BD846="","",BD846*INDEX('00 - Lists'!$M$2:$M$11,MATCH(L846,'00 - Lists'!$L$2:$L$11,0))/100000),"")</f>
        <v/>
      </c>
      <c r="BL846" s="35" t="str">
        <f aca="false">IFERROR(IF(BE846="","",BE846*INDEX('00 - Lists'!$M$2:$M$11,MATCH(L846,'00 - Lists'!$L$2:$L$11,0))/100000),"")</f>
        <v/>
      </c>
      <c r="BM846" s="35" t="str">
        <f aca="false">IFERROR(IF(BF846="","",BF846*INDEX('00 - Lists'!$M$2:$M$11,MATCH(L846,'00 - Lists'!$L$2:$L$11,0))/100000),"")</f>
        <v/>
      </c>
      <c r="BN846" s="35" t="str">
        <f aca="false">IFERROR(IF(BG846="","",BG846*INDEX('00 - Lists'!$M$2:$M$11,MATCH(L846,'00 - Lists'!$L$2:$L$11,0))/100000),"")</f>
        <v/>
      </c>
      <c r="BO846" s="35" t="str">
        <f aca="false">IFERROR(IF(BH846="","",BH846*INDEX('00 - Lists'!$M$2:$M$11,MATCH(L846,'00 - Lists'!$L$2:$L$11,0))/100000),"")</f>
        <v/>
      </c>
      <c r="BP846" s="35" t="str">
        <f aca="false">IFERROR(IF(BI846="","",BI846*INDEX('00 - Lists'!$M$2:$M$11,MATCH(L846,'00 - Lists'!$L$2:$L$11,0))/100000),"")</f>
        <v/>
      </c>
      <c r="BS846" s="36" t="str">
        <f aca="false">IF(O846="","",IF(O846&gt;=20,"Yes","No"))</f>
        <v/>
      </c>
      <c r="BT846" s="36" t="str">
        <f aca="false">IF(O846="","",IF(O846&gt;=30,"Yes","No"))</f>
        <v/>
      </c>
      <c r="BU846" s="36" t="str">
        <f aca="false">IF(O846="","",IF(O846&gt;=75,"Yes","No"))</f>
        <v/>
      </c>
      <c r="BV846" s="36" t="str">
        <f aca="false">IF(O846="","",IF(O846&gt;=100,"Yes","No"))</f>
        <v/>
      </c>
      <c r="BW846" s="36" t="str">
        <f aca="false">IF(O846="","",IF(O846&gt;=150,"Yes","No"))</f>
        <v/>
      </c>
      <c r="BX846" s="36" t="str">
        <f aca="false">IF(O846="","",IF(O846&gt;=200,"Yes","No"))</f>
        <v/>
      </c>
      <c r="BY846" s="36" t="str">
        <f aca="false">IF(Q846="","",IF(Q846&gt;=150000,"Yes","No"))</f>
        <v/>
      </c>
      <c r="BZ846" s="36" t="str">
        <f aca="false">IF(Q846="","",IF(Q846&gt;=200000,"Yes","No"))</f>
        <v/>
      </c>
      <c r="CA846" s="36" t="str">
        <f aca="false">IF(Q846="","",IF(Q846&gt;=250000,"Yes","No"))</f>
        <v/>
      </c>
      <c r="CB846" s="36" t="str">
        <f aca="false">IF(Q846="","",IF(Q846&gt;=300000,"Yes","No"))</f>
        <v/>
      </c>
      <c r="CC846" s="37"/>
      <c r="CD846" s="36" t="str">
        <f aca="true">IF(B846="","",IF(TODAY()-B846&lt;=7,"🟢 0-7d",IF(TODAY()-B846&lt;=30,"🟡 8-30d",IF(TODAY()-B846&lt;=60,"🟠 31-60d","🔴 60d+"))))</f>
        <v/>
      </c>
      <c r="CE846" s="36" t="str">
        <f aca="false">IF(G846="","",IF(G846&lt;&gt;"USA","N/A - Not USA Role",IF(J846="Yes",IF(OR(F846="Intern",F846="New Grad"),"🟡 Possible","🟢 Strong"),IF(J846="No","🔴 Difficult","⚪ Unknown"))))</f>
        <v/>
      </c>
      <c r="CF846" s="37"/>
      <c r="CG846" s="37"/>
      <c r="CH846" s="38"/>
      <c r="CI846" s="38"/>
      <c r="CJ846" s="38"/>
      <c r="CK846" s="38"/>
    </row>
    <row r="847" customFormat="false" ht="15" hidden="false" customHeight="true" outlineLevel="0" collapsed="false">
      <c r="A847" s="26" t="str">
        <f aca="false">IF($C847="","",ROW()-3)</f>
        <v/>
      </c>
      <c r="B847" s="27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9"/>
      <c r="N847" s="29"/>
      <c r="O847" s="30" t="str">
        <f aca="false">IFERROR(IF(M847="","",M847*INDEX('00 - Lists'!$M$2:$M$11,MATCH(L847,'00 - Lists'!$L$2:$L$11,0))/100000),"")</f>
        <v/>
      </c>
      <c r="P847" s="30" t="str">
        <f aca="false">IFERROR(IF(N847="","",N847*INDEX('00 - Lists'!$M$2:$M$11,MATCH(L847,'00 - Lists'!$L$2:$L$11,0))/100000),"")</f>
        <v/>
      </c>
      <c r="Q847" s="31" t="str">
        <f aca="false">IFERROR(IF(M847="","",M847*INDEX('00 - Lists'!$N$2:$N$11,MATCH(L847,'00 - Lists'!$L$2:$L$11,0))),"")</f>
        <v/>
      </c>
      <c r="R847" s="31" t="str">
        <f aca="false">IFERROR(IF(N847="","",N847*INDEX('00 - Lists'!$N$2:$N$11,MATCH(L847,'00 - Lists'!$L$2:$L$11,0))),"")</f>
        <v/>
      </c>
      <c r="S847" s="32" t="str">
        <f aca="false">IF(O847="","",IF(O847&gt;=50,"Yes","No"))</f>
        <v/>
      </c>
      <c r="T847" s="32" t="str">
        <f aca="false">IF(Q847="","",IF(Q847&gt;=100000,"Yes","No"))</f>
        <v/>
      </c>
      <c r="U847" s="28"/>
      <c r="V847" s="28"/>
      <c r="W847" s="28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J847" s="34" t="str">
        <f aca="false">IF(OR($BD847&lt;&gt;"",$BF847&lt;&gt;"",$BH847&lt;&gt;""),"Yes","No")</f>
        <v>No</v>
      </c>
      <c r="BK847" s="35" t="str">
        <f aca="false">IFERROR(IF(BD847="","",BD847*INDEX('00 - Lists'!$M$2:$M$11,MATCH(L847,'00 - Lists'!$L$2:$L$11,0))/100000),"")</f>
        <v/>
      </c>
      <c r="BL847" s="35" t="str">
        <f aca="false">IFERROR(IF(BE847="","",BE847*INDEX('00 - Lists'!$M$2:$M$11,MATCH(L847,'00 - Lists'!$L$2:$L$11,0))/100000),"")</f>
        <v/>
      </c>
      <c r="BM847" s="35" t="str">
        <f aca="false">IFERROR(IF(BF847="","",BF847*INDEX('00 - Lists'!$M$2:$M$11,MATCH(L847,'00 - Lists'!$L$2:$L$11,0))/100000),"")</f>
        <v/>
      </c>
      <c r="BN847" s="35" t="str">
        <f aca="false">IFERROR(IF(BG847="","",BG847*INDEX('00 - Lists'!$M$2:$M$11,MATCH(L847,'00 - Lists'!$L$2:$L$11,0))/100000),"")</f>
        <v/>
      </c>
      <c r="BO847" s="35" t="str">
        <f aca="false">IFERROR(IF(BH847="","",BH847*INDEX('00 - Lists'!$M$2:$M$11,MATCH(L847,'00 - Lists'!$L$2:$L$11,0))/100000),"")</f>
        <v/>
      </c>
      <c r="BP847" s="35" t="str">
        <f aca="false">IFERROR(IF(BI847="","",BI847*INDEX('00 - Lists'!$M$2:$M$11,MATCH(L847,'00 - Lists'!$L$2:$L$11,0))/100000),"")</f>
        <v/>
      </c>
      <c r="BS847" s="36" t="str">
        <f aca="false">IF(O847="","",IF(O847&gt;=20,"Yes","No"))</f>
        <v/>
      </c>
      <c r="BT847" s="36" t="str">
        <f aca="false">IF(O847="","",IF(O847&gt;=30,"Yes","No"))</f>
        <v/>
      </c>
      <c r="BU847" s="36" t="str">
        <f aca="false">IF(O847="","",IF(O847&gt;=75,"Yes","No"))</f>
        <v/>
      </c>
      <c r="BV847" s="36" t="str">
        <f aca="false">IF(O847="","",IF(O847&gt;=100,"Yes","No"))</f>
        <v/>
      </c>
      <c r="BW847" s="36" t="str">
        <f aca="false">IF(O847="","",IF(O847&gt;=150,"Yes","No"))</f>
        <v/>
      </c>
      <c r="BX847" s="36" t="str">
        <f aca="false">IF(O847="","",IF(O847&gt;=200,"Yes","No"))</f>
        <v/>
      </c>
      <c r="BY847" s="36" t="str">
        <f aca="false">IF(Q847="","",IF(Q847&gt;=150000,"Yes","No"))</f>
        <v/>
      </c>
      <c r="BZ847" s="36" t="str">
        <f aca="false">IF(Q847="","",IF(Q847&gt;=200000,"Yes","No"))</f>
        <v/>
      </c>
      <c r="CA847" s="36" t="str">
        <f aca="false">IF(Q847="","",IF(Q847&gt;=250000,"Yes","No"))</f>
        <v/>
      </c>
      <c r="CB847" s="36" t="str">
        <f aca="false">IF(Q847="","",IF(Q847&gt;=300000,"Yes","No"))</f>
        <v/>
      </c>
      <c r="CC847" s="37"/>
      <c r="CD847" s="36" t="str">
        <f aca="true">IF(B847="","",IF(TODAY()-B847&lt;=7,"🟢 0-7d",IF(TODAY()-B847&lt;=30,"🟡 8-30d",IF(TODAY()-B847&lt;=60,"🟠 31-60d","🔴 60d+"))))</f>
        <v/>
      </c>
      <c r="CE847" s="36" t="str">
        <f aca="false">IF(G847="","",IF(G847&lt;&gt;"USA","N/A - Not USA Role",IF(J847="Yes",IF(OR(F847="Intern",F847="New Grad"),"🟡 Possible","🟢 Strong"),IF(J847="No","🔴 Difficult","⚪ Unknown"))))</f>
        <v/>
      </c>
      <c r="CF847" s="37"/>
      <c r="CG847" s="37"/>
      <c r="CH847" s="38"/>
      <c r="CI847" s="38"/>
      <c r="CJ847" s="38"/>
      <c r="CK847" s="38"/>
    </row>
    <row r="848" customFormat="false" ht="15" hidden="false" customHeight="true" outlineLevel="0" collapsed="false">
      <c r="A848" s="26" t="str">
        <f aca="false">IF($C848="","",ROW()-3)</f>
        <v/>
      </c>
      <c r="B848" s="27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9"/>
      <c r="N848" s="29"/>
      <c r="O848" s="30" t="str">
        <f aca="false">IFERROR(IF(M848="","",M848*INDEX('00 - Lists'!$M$2:$M$11,MATCH(L848,'00 - Lists'!$L$2:$L$11,0))/100000),"")</f>
        <v/>
      </c>
      <c r="P848" s="30" t="str">
        <f aca="false">IFERROR(IF(N848="","",N848*INDEX('00 - Lists'!$M$2:$M$11,MATCH(L848,'00 - Lists'!$L$2:$L$11,0))/100000),"")</f>
        <v/>
      </c>
      <c r="Q848" s="31" t="str">
        <f aca="false">IFERROR(IF(M848="","",M848*INDEX('00 - Lists'!$N$2:$N$11,MATCH(L848,'00 - Lists'!$L$2:$L$11,0))),"")</f>
        <v/>
      </c>
      <c r="R848" s="31" t="str">
        <f aca="false">IFERROR(IF(N848="","",N848*INDEX('00 - Lists'!$N$2:$N$11,MATCH(L848,'00 - Lists'!$L$2:$L$11,0))),"")</f>
        <v/>
      </c>
      <c r="S848" s="32" t="str">
        <f aca="false">IF(O848="","",IF(O848&gt;=50,"Yes","No"))</f>
        <v/>
      </c>
      <c r="T848" s="32" t="str">
        <f aca="false">IF(Q848="","",IF(Q848&gt;=100000,"Yes","No"))</f>
        <v/>
      </c>
      <c r="U848" s="28"/>
      <c r="V848" s="28"/>
      <c r="W848" s="28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J848" s="34" t="str">
        <f aca="false">IF(OR($BD848&lt;&gt;"",$BF848&lt;&gt;"",$BH848&lt;&gt;""),"Yes","No")</f>
        <v>No</v>
      </c>
      <c r="BK848" s="35" t="str">
        <f aca="false">IFERROR(IF(BD848="","",BD848*INDEX('00 - Lists'!$M$2:$M$11,MATCH(L848,'00 - Lists'!$L$2:$L$11,0))/100000),"")</f>
        <v/>
      </c>
      <c r="BL848" s="35" t="str">
        <f aca="false">IFERROR(IF(BE848="","",BE848*INDEX('00 - Lists'!$M$2:$M$11,MATCH(L848,'00 - Lists'!$L$2:$L$11,0))/100000),"")</f>
        <v/>
      </c>
      <c r="BM848" s="35" t="str">
        <f aca="false">IFERROR(IF(BF848="","",BF848*INDEX('00 - Lists'!$M$2:$M$11,MATCH(L848,'00 - Lists'!$L$2:$L$11,0))/100000),"")</f>
        <v/>
      </c>
      <c r="BN848" s="35" t="str">
        <f aca="false">IFERROR(IF(BG848="","",BG848*INDEX('00 - Lists'!$M$2:$M$11,MATCH(L848,'00 - Lists'!$L$2:$L$11,0))/100000),"")</f>
        <v/>
      </c>
      <c r="BO848" s="35" t="str">
        <f aca="false">IFERROR(IF(BH848="","",BH848*INDEX('00 - Lists'!$M$2:$M$11,MATCH(L848,'00 - Lists'!$L$2:$L$11,0))/100000),"")</f>
        <v/>
      </c>
      <c r="BP848" s="35" t="str">
        <f aca="false">IFERROR(IF(BI848="","",BI848*INDEX('00 - Lists'!$M$2:$M$11,MATCH(L848,'00 - Lists'!$L$2:$L$11,0))/100000),"")</f>
        <v/>
      </c>
      <c r="BS848" s="36" t="str">
        <f aca="false">IF(O848="","",IF(O848&gt;=20,"Yes","No"))</f>
        <v/>
      </c>
      <c r="BT848" s="36" t="str">
        <f aca="false">IF(O848="","",IF(O848&gt;=30,"Yes","No"))</f>
        <v/>
      </c>
      <c r="BU848" s="36" t="str">
        <f aca="false">IF(O848="","",IF(O848&gt;=75,"Yes","No"))</f>
        <v/>
      </c>
      <c r="BV848" s="36" t="str">
        <f aca="false">IF(O848="","",IF(O848&gt;=100,"Yes","No"))</f>
        <v/>
      </c>
      <c r="BW848" s="36" t="str">
        <f aca="false">IF(O848="","",IF(O848&gt;=150,"Yes","No"))</f>
        <v/>
      </c>
      <c r="BX848" s="36" t="str">
        <f aca="false">IF(O848="","",IF(O848&gt;=200,"Yes","No"))</f>
        <v/>
      </c>
      <c r="BY848" s="36" t="str">
        <f aca="false">IF(Q848="","",IF(Q848&gt;=150000,"Yes","No"))</f>
        <v/>
      </c>
      <c r="BZ848" s="36" t="str">
        <f aca="false">IF(Q848="","",IF(Q848&gt;=200000,"Yes","No"))</f>
        <v/>
      </c>
      <c r="CA848" s="36" t="str">
        <f aca="false">IF(Q848="","",IF(Q848&gt;=250000,"Yes","No"))</f>
        <v/>
      </c>
      <c r="CB848" s="36" t="str">
        <f aca="false">IF(Q848="","",IF(Q848&gt;=300000,"Yes","No"))</f>
        <v/>
      </c>
      <c r="CC848" s="37"/>
      <c r="CD848" s="36" t="str">
        <f aca="true">IF(B848="","",IF(TODAY()-B848&lt;=7,"🟢 0-7d",IF(TODAY()-B848&lt;=30,"🟡 8-30d",IF(TODAY()-B848&lt;=60,"🟠 31-60d","🔴 60d+"))))</f>
        <v/>
      </c>
      <c r="CE848" s="36" t="str">
        <f aca="false">IF(G848="","",IF(G848&lt;&gt;"USA","N/A - Not USA Role",IF(J848="Yes",IF(OR(F848="Intern",F848="New Grad"),"🟡 Possible","🟢 Strong"),IF(J848="No","🔴 Difficult","⚪ Unknown"))))</f>
        <v/>
      </c>
      <c r="CF848" s="37"/>
      <c r="CG848" s="37"/>
      <c r="CH848" s="38"/>
      <c r="CI848" s="38"/>
      <c r="CJ848" s="38"/>
      <c r="CK848" s="38"/>
    </row>
    <row r="849" customFormat="false" ht="15" hidden="false" customHeight="true" outlineLevel="0" collapsed="false">
      <c r="A849" s="26" t="str">
        <f aca="false">IF($C849="","",ROW()-3)</f>
        <v/>
      </c>
      <c r="B849" s="27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9"/>
      <c r="N849" s="29"/>
      <c r="O849" s="30" t="str">
        <f aca="false">IFERROR(IF(M849="","",M849*INDEX('00 - Lists'!$M$2:$M$11,MATCH(L849,'00 - Lists'!$L$2:$L$11,0))/100000),"")</f>
        <v/>
      </c>
      <c r="P849" s="30" t="str">
        <f aca="false">IFERROR(IF(N849="","",N849*INDEX('00 - Lists'!$M$2:$M$11,MATCH(L849,'00 - Lists'!$L$2:$L$11,0))/100000),"")</f>
        <v/>
      </c>
      <c r="Q849" s="31" t="str">
        <f aca="false">IFERROR(IF(M849="","",M849*INDEX('00 - Lists'!$N$2:$N$11,MATCH(L849,'00 - Lists'!$L$2:$L$11,0))),"")</f>
        <v/>
      </c>
      <c r="R849" s="31" t="str">
        <f aca="false">IFERROR(IF(N849="","",N849*INDEX('00 - Lists'!$N$2:$N$11,MATCH(L849,'00 - Lists'!$L$2:$L$11,0))),"")</f>
        <v/>
      </c>
      <c r="S849" s="32" t="str">
        <f aca="false">IF(O849="","",IF(O849&gt;=50,"Yes","No"))</f>
        <v/>
      </c>
      <c r="T849" s="32" t="str">
        <f aca="false">IF(Q849="","",IF(Q849&gt;=100000,"Yes","No"))</f>
        <v/>
      </c>
      <c r="U849" s="28"/>
      <c r="V849" s="28"/>
      <c r="W849" s="28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J849" s="34" t="str">
        <f aca="false">IF(OR($BD849&lt;&gt;"",$BF849&lt;&gt;"",$BH849&lt;&gt;""),"Yes","No")</f>
        <v>No</v>
      </c>
      <c r="BK849" s="35" t="str">
        <f aca="false">IFERROR(IF(BD849="","",BD849*INDEX('00 - Lists'!$M$2:$M$11,MATCH(L849,'00 - Lists'!$L$2:$L$11,0))/100000),"")</f>
        <v/>
      </c>
      <c r="BL849" s="35" t="str">
        <f aca="false">IFERROR(IF(BE849="","",BE849*INDEX('00 - Lists'!$M$2:$M$11,MATCH(L849,'00 - Lists'!$L$2:$L$11,0))/100000),"")</f>
        <v/>
      </c>
      <c r="BM849" s="35" t="str">
        <f aca="false">IFERROR(IF(BF849="","",BF849*INDEX('00 - Lists'!$M$2:$M$11,MATCH(L849,'00 - Lists'!$L$2:$L$11,0))/100000),"")</f>
        <v/>
      </c>
      <c r="BN849" s="35" t="str">
        <f aca="false">IFERROR(IF(BG849="","",BG849*INDEX('00 - Lists'!$M$2:$M$11,MATCH(L849,'00 - Lists'!$L$2:$L$11,0))/100000),"")</f>
        <v/>
      </c>
      <c r="BO849" s="35" t="str">
        <f aca="false">IFERROR(IF(BH849="","",BH849*INDEX('00 - Lists'!$M$2:$M$11,MATCH(L849,'00 - Lists'!$L$2:$L$11,0))/100000),"")</f>
        <v/>
      </c>
      <c r="BP849" s="35" t="str">
        <f aca="false">IFERROR(IF(BI849="","",BI849*INDEX('00 - Lists'!$M$2:$M$11,MATCH(L849,'00 - Lists'!$L$2:$L$11,0))/100000),"")</f>
        <v/>
      </c>
      <c r="BS849" s="36" t="str">
        <f aca="false">IF(O849="","",IF(O849&gt;=20,"Yes","No"))</f>
        <v/>
      </c>
      <c r="BT849" s="36" t="str">
        <f aca="false">IF(O849="","",IF(O849&gt;=30,"Yes","No"))</f>
        <v/>
      </c>
      <c r="BU849" s="36" t="str">
        <f aca="false">IF(O849="","",IF(O849&gt;=75,"Yes","No"))</f>
        <v/>
      </c>
      <c r="BV849" s="36" t="str">
        <f aca="false">IF(O849="","",IF(O849&gt;=100,"Yes","No"))</f>
        <v/>
      </c>
      <c r="BW849" s="36" t="str">
        <f aca="false">IF(O849="","",IF(O849&gt;=150,"Yes","No"))</f>
        <v/>
      </c>
      <c r="BX849" s="36" t="str">
        <f aca="false">IF(O849="","",IF(O849&gt;=200,"Yes","No"))</f>
        <v/>
      </c>
      <c r="BY849" s="36" t="str">
        <f aca="false">IF(Q849="","",IF(Q849&gt;=150000,"Yes","No"))</f>
        <v/>
      </c>
      <c r="BZ849" s="36" t="str">
        <f aca="false">IF(Q849="","",IF(Q849&gt;=200000,"Yes","No"))</f>
        <v/>
      </c>
      <c r="CA849" s="36" t="str">
        <f aca="false">IF(Q849="","",IF(Q849&gt;=250000,"Yes","No"))</f>
        <v/>
      </c>
      <c r="CB849" s="36" t="str">
        <f aca="false">IF(Q849="","",IF(Q849&gt;=300000,"Yes","No"))</f>
        <v/>
      </c>
      <c r="CC849" s="37"/>
      <c r="CD849" s="36" t="str">
        <f aca="true">IF(B849="","",IF(TODAY()-B849&lt;=7,"🟢 0-7d",IF(TODAY()-B849&lt;=30,"🟡 8-30d",IF(TODAY()-B849&lt;=60,"🟠 31-60d","🔴 60d+"))))</f>
        <v/>
      </c>
      <c r="CE849" s="36" t="str">
        <f aca="false">IF(G849="","",IF(G849&lt;&gt;"USA","N/A - Not USA Role",IF(J849="Yes",IF(OR(F849="Intern",F849="New Grad"),"🟡 Possible","🟢 Strong"),IF(J849="No","🔴 Difficult","⚪ Unknown"))))</f>
        <v/>
      </c>
      <c r="CF849" s="37"/>
      <c r="CG849" s="37"/>
      <c r="CH849" s="38"/>
      <c r="CI849" s="38"/>
      <c r="CJ849" s="38"/>
      <c r="CK849" s="38"/>
    </row>
    <row r="850" customFormat="false" ht="15" hidden="false" customHeight="true" outlineLevel="0" collapsed="false">
      <c r="A850" s="26" t="str">
        <f aca="false">IF($C850="","",ROW()-3)</f>
        <v/>
      </c>
      <c r="B850" s="27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9"/>
      <c r="N850" s="29"/>
      <c r="O850" s="30" t="str">
        <f aca="false">IFERROR(IF(M850="","",M850*INDEX('00 - Lists'!$M$2:$M$11,MATCH(L850,'00 - Lists'!$L$2:$L$11,0))/100000),"")</f>
        <v/>
      </c>
      <c r="P850" s="30" t="str">
        <f aca="false">IFERROR(IF(N850="","",N850*INDEX('00 - Lists'!$M$2:$M$11,MATCH(L850,'00 - Lists'!$L$2:$L$11,0))/100000),"")</f>
        <v/>
      </c>
      <c r="Q850" s="31" t="str">
        <f aca="false">IFERROR(IF(M850="","",M850*INDEX('00 - Lists'!$N$2:$N$11,MATCH(L850,'00 - Lists'!$L$2:$L$11,0))),"")</f>
        <v/>
      </c>
      <c r="R850" s="31" t="str">
        <f aca="false">IFERROR(IF(N850="","",N850*INDEX('00 - Lists'!$N$2:$N$11,MATCH(L850,'00 - Lists'!$L$2:$L$11,0))),"")</f>
        <v/>
      </c>
      <c r="S850" s="32" t="str">
        <f aca="false">IF(O850="","",IF(O850&gt;=50,"Yes","No"))</f>
        <v/>
      </c>
      <c r="T850" s="32" t="str">
        <f aca="false">IF(Q850="","",IF(Q850&gt;=100000,"Yes","No"))</f>
        <v/>
      </c>
      <c r="U850" s="28"/>
      <c r="V850" s="28"/>
      <c r="W850" s="28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J850" s="34" t="str">
        <f aca="false">IF(OR($BD850&lt;&gt;"",$BF850&lt;&gt;"",$BH850&lt;&gt;""),"Yes","No")</f>
        <v>No</v>
      </c>
      <c r="BK850" s="35" t="str">
        <f aca="false">IFERROR(IF(BD850="","",BD850*INDEX('00 - Lists'!$M$2:$M$11,MATCH(L850,'00 - Lists'!$L$2:$L$11,0))/100000),"")</f>
        <v/>
      </c>
      <c r="BL850" s="35" t="str">
        <f aca="false">IFERROR(IF(BE850="","",BE850*INDEX('00 - Lists'!$M$2:$M$11,MATCH(L850,'00 - Lists'!$L$2:$L$11,0))/100000),"")</f>
        <v/>
      </c>
      <c r="BM850" s="35" t="str">
        <f aca="false">IFERROR(IF(BF850="","",BF850*INDEX('00 - Lists'!$M$2:$M$11,MATCH(L850,'00 - Lists'!$L$2:$L$11,0))/100000),"")</f>
        <v/>
      </c>
      <c r="BN850" s="35" t="str">
        <f aca="false">IFERROR(IF(BG850="","",BG850*INDEX('00 - Lists'!$M$2:$M$11,MATCH(L850,'00 - Lists'!$L$2:$L$11,0))/100000),"")</f>
        <v/>
      </c>
      <c r="BO850" s="35" t="str">
        <f aca="false">IFERROR(IF(BH850="","",BH850*INDEX('00 - Lists'!$M$2:$M$11,MATCH(L850,'00 - Lists'!$L$2:$L$11,0))/100000),"")</f>
        <v/>
      </c>
      <c r="BP850" s="35" t="str">
        <f aca="false">IFERROR(IF(BI850="","",BI850*INDEX('00 - Lists'!$M$2:$M$11,MATCH(L850,'00 - Lists'!$L$2:$L$11,0))/100000),"")</f>
        <v/>
      </c>
      <c r="BS850" s="36" t="str">
        <f aca="false">IF(O850="","",IF(O850&gt;=20,"Yes","No"))</f>
        <v/>
      </c>
      <c r="BT850" s="36" t="str">
        <f aca="false">IF(O850="","",IF(O850&gt;=30,"Yes","No"))</f>
        <v/>
      </c>
      <c r="BU850" s="36" t="str">
        <f aca="false">IF(O850="","",IF(O850&gt;=75,"Yes","No"))</f>
        <v/>
      </c>
      <c r="BV850" s="36" t="str">
        <f aca="false">IF(O850="","",IF(O850&gt;=100,"Yes","No"))</f>
        <v/>
      </c>
      <c r="BW850" s="36" t="str">
        <f aca="false">IF(O850="","",IF(O850&gt;=150,"Yes","No"))</f>
        <v/>
      </c>
      <c r="BX850" s="36" t="str">
        <f aca="false">IF(O850="","",IF(O850&gt;=200,"Yes","No"))</f>
        <v/>
      </c>
      <c r="BY850" s="36" t="str">
        <f aca="false">IF(Q850="","",IF(Q850&gt;=150000,"Yes","No"))</f>
        <v/>
      </c>
      <c r="BZ850" s="36" t="str">
        <f aca="false">IF(Q850="","",IF(Q850&gt;=200000,"Yes","No"))</f>
        <v/>
      </c>
      <c r="CA850" s="36" t="str">
        <f aca="false">IF(Q850="","",IF(Q850&gt;=250000,"Yes","No"))</f>
        <v/>
      </c>
      <c r="CB850" s="36" t="str">
        <f aca="false">IF(Q850="","",IF(Q850&gt;=300000,"Yes","No"))</f>
        <v/>
      </c>
      <c r="CC850" s="37"/>
      <c r="CD850" s="36" t="str">
        <f aca="true">IF(B850="","",IF(TODAY()-B850&lt;=7,"🟢 0-7d",IF(TODAY()-B850&lt;=30,"🟡 8-30d",IF(TODAY()-B850&lt;=60,"🟠 31-60d","🔴 60d+"))))</f>
        <v/>
      </c>
      <c r="CE850" s="36" t="str">
        <f aca="false">IF(G850="","",IF(G850&lt;&gt;"USA","N/A - Not USA Role",IF(J850="Yes",IF(OR(F850="Intern",F850="New Grad"),"🟡 Possible","🟢 Strong"),IF(J850="No","🔴 Difficult","⚪ Unknown"))))</f>
        <v/>
      </c>
      <c r="CF850" s="37"/>
      <c r="CG850" s="37"/>
      <c r="CH850" s="38"/>
      <c r="CI850" s="38"/>
      <c r="CJ850" s="38"/>
      <c r="CK850" s="38"/>
    </row>
    <row r="851" customFormat="false" ht="15" hidden="false" customHeight="true" outlineLevel="0" collapsed="false">
      <c r="A851" s="26" t="str">
        <f aca="false">IF($C851="","",ROW()-3)</f>
        <v/>
      </c>
      <c r="B851" s="27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9"/>
      <c r="N851" s="29"/>
      <c r="O851" s="30" t="str">
        <f aca="false">IFERROR(IF(M851="","",M851*INDEX('00 - Lists'!$M$2:$M$11,MATCH(L851,'00 - Lists'!$L$2:$L$11,0))/100000),"")</f>
        <v/>
      </c>
      <c r="P851" s="30" t="str">
        <f aca="false">IFERROR(IF(N851="","",N851*INDEX('00 - Lists'!$M$2:$M$11,MATCH(L851,'00 - Lists'!$L$2:$L$11,0))/100000),"")</f>
        <v/>
      </c>
      <c r="Q851" s="31" t="str">
        <f aca="false">IFERROR(IF(M851="","",M851*INDEX('00 - Lists'!$N$2:$N$11,MATCH(L851,'00 - Lists'!$L$2:$L$11,0))),"")</f>
        <v/>
      </c>
      <c r="R851" s="31" t="str">
        <f aca="false">IFERROR(IF(N851="","",N851*INDEX('00 - Lists'!$N$2:$N$11,MATCH(L851,'00 - Lists'!$L$2:$L$11,0))),"")</f>
        <v/>
      </c>
      <c r="S851" s="32" t="str">
        <f aca="false">IF(O851="","",IF(O851&gt;=50,"Yes","No"))</f>
        <v/>
      </c>
      <c r="T851" s="32" t="str">
        <f aca="false">IF(Q851="","",IF(Q851&gt;=100000,"Yes","No"))</f>
        <v/>
      </c>
      <c r="U851" s="28"/>
      <c r="V851" s="28"/>
      <c r="W851" s="28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J851" s="34" t="str">
        <f aca="false">IF(OR($BD851&lt;&gt;"",$BF851&lt;&gt;"",$BH851&lt;&gt;""),"Yes","No")</f>
        <v>No</v>
      </c>
      <c r="BK851" s="35" t="str">
        <f aca="false">IFERROR(IF(BD851="","",BD851*INDEX('00 - Lists'!$M$2:$M$11,MATCH(L851,'00 - Lists'!$L$2:$L$11,0))/100000),"")</f>
        <v/>
      </c>
      <c r="BL851" s="35" t="str">
        <f aca="false">IFERROR(IF(BE851="","",BE851*INDEX('00 - Lists'!$M$2:$M$11,MATCH(L851,'00 - Lists'!$L$2:$L$11,0))/100000),"")</f>
        <v/>
      </c>
      <c r="BM851" s="35" t="str">
        <f aca="false">IFERROR(IF(BF851="","",BF851*INDEX('00 - Lists'!$M$2:$M$11,MATCH(L851,'00 - Lists'!$L$2:$L$11,0))/100000),"")</f>
        <v/>
      </c>
      <c r="BN851" s="35" t="str">
        <f aca="false">IFERROR(IF(BG851="","",BG851*INDEX('00 - Lists'!$M$2:$M$11,MATCH(L851,'00 - Lists'!$L$2:$L$11,0))/100000),"")</f>
        <v/>
      </c>
      <c r="BO851" s="35" t="str">
        <f aca="false">IFERROR(IF(BH851="","",BH851*INDEX('00 - Lists'!$M$2:$M$11,MATCH(L851,'00 - Lists'!$L$2:$L$11,0))/100000),"")</f>
        <v/>
      </c>
      <c r="BP851" s="35" t="str">
        <f aca="false">IFERROR(IF(BI851="","",BI851*INDEX('00 - Lists'!$M$2:$M$11,MATCH(L851,'00 - Lists'!$L$2:$L$11,0))/100000),"")</f>
        <v/>
      </c>
      <c r="BS851" s="36" t="str">
        <f aca="false">IF(O851="","",IF(O851&gt;=20,"Yes","No"))</f>
        <v/>
      </c>
      <c r="BT851" s="36" t="str">
        <f aca="false">IF(O851="","",IF(O851&gt;=30,"Yes","No"))</f>
        <v/>
      </c>
      <c r="BU851" s="36" t="str">
        <f aca="false">IF(O851="","",IF(O851&gt;=75,"Yes","No"))</f>
        <v/>
      </c>
      <c r="BV851" s="36" t="str">
        <f aca="false">IF(O851="","",IF(O851&gt;=100,"Yes","No"))</f>
        <v/>
      </c>
      <c r="BW851" s="36" t="str">
        <f aca="false">IF(O851="","",IF(O851&gt;=150,"Yes","No"))</f>
        <v/>
      </c>
      <c r="BX851" s="36" t="str">
        <f aca="false">IF(O851="","",IF(O851&gt;=200,"Yes","No"))</f>
        <v/>
      </c>
      <c r="BY851" s="36" t="str">
        <f aca="false">IF(Q851="","",IF(Q851&gt;=150000,"Yes","No"))</f>
        <v/>
      </c>
      <c r="BZ851" s="36" t="str">
        <f aca="false">IF(Q851="","",IF(Q851&gt;=200000,"Yes","No"))</f>
        <v/>
      </c>
      <c r="CA851" s="36" t="str">
        <f aca="false">IF(Q851="","",IF(Q851&gt;=250000,"Yes","No"))</f>
        <v/>
      </c>
      <c r="CB851" s="36" t="str">
        <f aca="false">IF(Q851="","",IF(Q851&gt;=300000,"Yes","No"))</f>
        <v/>
      </c>
      <c r="CC851" s="37"/>
      <c r="CD851" s="36" t="str">
        <f aca="true">IF(B851="","",IF(TODAY()-B851&lt;=7,"🟢 0-7d",IF(TODAY()-B851&lt;=30,"🟡 8-30d",IF(TODAY()-B851&lt;=60,"🟠 31-60d","🔴 60d+"))))</f>
        <v/>
      </c>
      <c r="CE851" s="36" t="str">
        <f aca="false">IF(G851="","",IF(G851&lt;&gt;"USA","N/A - Not USA Role",IF(J851="Yes",IF(OR(F851="Intern",F851="New Grad"),"🟡 Possible","🟢 Strong"),IF(J851="No","🔴 Difficult","⚪ Unknown"))))</f>
        <v/>
      </c>
      <c r="CF851" s="37"/>
      <c r="CG851" s="37"/>
      <c r="CH851" s="38"/>
      <c r="CI851" s="38"/>
      <c r="CJ851" s="38"/>
      <c r="CK851" s="38"/>
    </row>
    <row r="852" customFormat="false" ht="15" hidden="false" customHeight="true" outlineLevel="0" collapsed="false">
      <c r="A852" s="26" t="str">
        <f aca="false">IF($C852="","",ROW()-3)</f>
        <v/>
      </c>
      <c r="B852" s="27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9"/>
      <c r="N852" s="29"/>
      <c r="O852" s="30" t="str">
        <f aca="false">IFERROR(IF(M852="","",M852*INDEX('00 - Lists'!$M$2:$M$11,MATCH(L852,'00 - Lists'!$L$2:$L$11,0))/100000),"")</f>
        <v/>
      </c>
      <c r="P852" s="30" t="str">
        <f aca="false">IFERROR(IF(N852="","",N852*INDEX('00 - Lists'!$M$2:$M$11,MATCH(L852,'00 - Lists'!$L$2:$L$11,0))/100000),"")</f>
        <v/>
      </c>
      <c r="Q852" s="31" t="str">
        <f aca="false">IFERROR(IF(M852="","",M852*INDEX('00 - Lists'!$N$2:$N$11,MATCH(L852,'00 - Lists'!$L$2:$L$11,0))),"")</f>
        <v/>
      </c>
      <c r="R852" s="31" t="str">
        <f aca="false">IFERROR(IF(N852="","",N852*INDEX('00 - Lists'!$N$2:$N$11,MATCH(L852,'00 - Lists'!$L$2:$L$11,0))),"")</f>
        <v/>
      </c>
      <c r="S852" s="32" t="str">
        <f aca="false">IF(O852="","",IF(O852&gt;=50,"Yes","No"))</f>
        <v/>
      </c>
      <c r="T852" s="32" t="str">
        <f aca="false">IF(Q852="","",IF(Q852&gt;=100000,"Yes","No"))</f>
        <v/>
      </c>
      <c r="U852" s="28"/>
      <c r="V852" s="28"/>
      <c r="W852" s="28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J852" s="34" t="str">
        <f aca="false">IF(OR($BD852&lt;&gt;"",$BF852&lt;&gt;"",$BH852&lt;&gt;""),"Yes","No")</f>
        <v>No</v>
      </c>
      <c r="BK852" s="35" t="str">
        <f aca="false">IFERROR(IF(BD852="","",BD852*INDEX('00 - Lists'!$M$2:$M$11,MATCH(L852,'00 - Lists'!$L$2:$L$11,0))/100000),"")</f>
        <v/>
      </c>
      <c r="BL852" s="35" t="str">
        <f aca="false">IFERROR(IF(BE852="","",BE852*INDEX('00 - Lists'!$M$2:$M$11,MATCH(L852,'00 - Lists'!$L$2:$L$11,0))/100000),"")</f>
        <v/>
      </c>
      <c r="BM852" s="35" t="str">
        <f aca="false">IFERROR(IF(BF852="","",BF852*INDEX('00 - Lists'!$M$2:$M$11,MATCH(L852,'00 - Lists'!$L$2:$L$11,0))/100000),"")</f>
        <v/>
      </c>
      <c r="BN852" s="35" t="str">
        <f aca="false">IFERROR(IF(BG852="","",BG852*INDEX('00 - Lists'!$M$2:$M$11,MATCH(L852,'00 - Lists'!$L$2:$L$11,0))/100000),"")</f>
        <v/>
      </c>
      <c r="BO852" s="35" t="str">
        <f aca="false">IFERROR(IF(BH852="","",BH852*INDEX('00 - Lists'!$M$2:$M$11,MATCH(L852,'00 - Lists'!$L$2:$L$11,0))/100000),"")</f>
        <v/>
      </c>
      <c r="BP852" s="35" t="str">
        <f aca="false">IFERROR(IF(BI852="","",BI852*INDEX('00 - Lists'!$M$2:$M$11,MATCH(L852,'00 - Lists'!$L$2:$L$11,0))/100000),"")</f>
        <v/>
      </c>
      <c r="BS852" s="36" t="str">
        <f aca="false">IF(O852="","",IF(O852&gt;=20,"Yes","No"))</f>
        <v/>
      </c>
      <c r="BT852" s="36" t="str">
        <f aca="false">IF(O852="","",IF(O852&gt;=30,"Yes","No"))</f>
        <v/>
      </c>
      <c r="BU852" s="36" t="str">
        <f aca="false">IF(O852="","",IF(O852&gt;=75,"Yes","No"))</f>
        <v/>
      </c>
      <c r="BV852" s="36" t="str">
        <f aca="false">IF(O852="","",IF(O852&gt;=100,"Yes","No"))</f>
        <v/>
      </c>
      <c r="BW852" s="36" t="str">
        <f aca="false">IF(O852="","",IF(O852&gt;=150,"Yes","No"))</f>
        <v/>
      </c>
      <c r="BX852" s="36" t="str">
        <f aca="false">IF(O852="","",IF(O852&gt;=200,"Yes","No"))</f>
        <v/>
      </c>
      <c r="BY852" s="36" t="str">
        <f aca="false">IF(Q852="","",IF(Q852&gt;=150000,"Yes","No"))</f>
        <v/>
      </c>
      <c r="BZ852" s="36" t="str">
        <f aca="false">IF(Q852="","",IF(Q852&gt;=200000,"Yes","No"))</f>
        <v/>
      </c>
      <c r="CA852" s="36" t="str">
        <f aca="false">IF(Q852="","",IF(Q852&gt;=250000,"Yes","No"))</f>
        <v/>
      </c>
      <c r="CB852" s="36" t="str">
        <f aca="false">IF(Q852="","",IF(Q852&gt;=300000,"Yes","No"))</f>
        <v/>
      </c>
      <c r="CC852" s="37"/>
      <c r="CD852" s="36" t="str">
        <f aca="true">IF(B852="","",IF(TODAY()-B852&lt;=7,"🟢 0-7d",IF(TODAY()-B852&lt;=30,"🟡 8-30d",IF(TODAY()-B852&lt;=60,"🟠 31-60d","🔴 60d+"))))</f>
        <v/>
      </c>
      <c r="CE852" s="36" t="str">
        <f aca="false">IF(G852="","",IF(G852&lt;&gt;"USA","N/A - Not USA Role",IF(J852="Yes",IF(OR(F852="Intern",F852="New Grad"),"🟡 Possible","🟢 Strong"),IF(J852="No","🔴 Difficult","⚪ Unknown"))))</f>
        <v/>
      </c>
      <c r="CF852" s="37"/>
      <c r="CG852" s="37"/>
      <c r="CH852" s="38"/>
      <c r="CI852" s="38"/>
      <c r="CJ852" s="38"/>
      <c r="CK852" s="38"/>
    </row>
    <row r="853" customFormat="false" ht="15" hidden="false" customHeight="true" outlineLevel="0" collapsed="false">
      <c r="A853" s="26" t="str">
        <f aca="false">IF($C853="","",ROW()-3)</f>
        <v/>
      </c>
      <c r="B853" s="27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9"/>
      <c r="N853" s="29"/>
      <c r="O853" s="30" t="str">
        <f aca="false">IFERROR(IF(M853="","",M853*INDEX('00 - Lists'!$M$2:$M$11,MATCH(L853,'00 - Lists'!$L$2:$L$11,0))/100000),"")</f>
        <v/>
      </c>
      <c r="P853" s="30" t="str">
        <f aca="false">IFERROR(IF(N853="","",N853*INDEX('00 - Lists'!$M$2:$M$11,MATCH(L853,'00 - Lists'!$L$2:$L$11,0))/100000),"")</f>
        <v/>
      </c>
      <c r="Q853" s="31" t="str">
        <f aca="false">IFERROR(IF(M853="","",M853*INDEX('00 - Lists'!$N$2:$N$11,MATCH(L853,'00 - Lists'!$L$2:$L$11,0))),"")</f>
        <v/>
      </c>
      <c r="R853" s="31" t="str">
        <f aca="false">IFERROR(IF(N853="","",N853*INDEX('00 - Lists'!$N$2:$N$11,MATCH(L853,'00 - Lists'!$L$2:$L$11,0))),"")</f>
        <v/>
      </c>
      <c r="S853" s="32" t="str">
        <f aca="false">IF(O853="","",IF(O853&gt;=50,"Yes","No"))</f>
        <v/>
      </c>
      <c r="T853" s="32" t="str">
        <f aca="false">IF(Q853="","",IF(Q853&gt;=100000,"Yes","No"))</f>
        <v/>
      </c>
      <c r="U853" s="28"/>
      <c r="V853" s="28"/>
      <c r="W853" s="28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J853" s="34" t="str">
        <f aca="false">IF(OR($BD853&lt;&gt;"",$BF853&lt;&gt;"",$BH853&lt;&gt;""),"Yes","No")</f>
        <v>No</v>
      </c>
      <c r="BK853" s="35" t="str">
        <f aca="false">IFERROR(IF(BD853="","",BD853*INDEX('00 - Lists'!$M$2:$M$11,MATCH(L853,'00 - Lists'!$L$2:$L$11,0))/100000),"")</f>
        <v/>
      </c>
      <c r="BL853" s="35" t="str">
        <f aca="false">IFERROR(IF(BE853="","",BE853*INDEX('00 - Lists'!$M$2:$M$11,MATCH(L853,'00 - Lists'!$L$2:$L$11,0))/100000),"")</f>
        <v/>
      </c>
      <c r="BM853" s="35" t="str">
        <f aca="false">IFERROR(IF(BF853="","",BF853*INDEX('00 - Lists'!$M$2:$M$11,MATCH(L853,'00 - Lists'!$L$2:$L$11,0))/100000),"")</f>
        <v/>
      </c>
      <c r="BN853" s="35" t="str">
        <f aca="false">IFERROR(IF(BG853="","",BG853*INDEX('00 - Lists'!$M$2:$M$11,MATCH(L853,'00 - Lists'!$L$2:$L$11,0))/100000),"")</f>
        <v/>
      </c>
      <c r="BO853" s="35" t="str">
        <f aca="false">IFERROR(IF(BH853="","",BH853*INDEX('00 - Lists'!$M$2:$M$11,MATCH(L853,'00 - Lists'!$L$2:$L$11,0))/100000),"")</f>
        <v/>
      </c>
      <c r="BP853" s="35" t="str">
        <f aca="false">IFERROR(IF(BI853="","",BI853*INDEX('00 - Lists'!$M$2:$M$11,MATCH(L853,'00 - Lists'!$L$2:$L$11,0))/100000),"")</f>
        <v/>
      </c>
      <c r="BS853" s="36" t="str">
        <f aca="false">IF(O853="","",IF(O853&gt;=20,"Yes","No"))</f>
        <v/>
      </c>
      <c r="BT853" s="36" t="str">
        <f aca="false">IF(O853="","",IF(O853&gt;=30,"Yes","No"))</f>
        <v/>
      </c>
      <c r="BU853" s="36" t="str">
        <f aca="false">IF(O853="","",IF(O853&gt;=75,"Yes","No"))</f>
        <v/>
      </c>
      <c r="BV853" s="36" t="str">
        <f aca="false">IF(O853="","",IF(O853&gt;=100,"Yes","No"))</f>
        <v/>
      </c>
      <c r="BW853" s="36" t="str">
        <f aca="false">IF(O853="","",IF(O853&gt;=150,"Yes","No"))</f>
        <v/>
      </c>
      <c r="BX853" s="36" t="str">
        <f aca="false">IF(O853="","",IF(O853&gt;=200,"Yes","No"))</f>
        <v/>
      </c>
      <c r="BY853" s="36" t="str">
        <f aca="false">IF(Q853="","",IF(Q853&gt;=150000,"Yes","No"))</f>
        <v/>
      </c>
      <c r="BZ853" s="36" t="str">
        <f aca="false">IF(Q853="","",IF(Q853&gt;=200000,"Yes","No"))</f>
        <v/>
      </c>
      <c r="CA853" s="36" t="str">
        <f aca="false">IF(Q853="","",IF(Q853&gt;=250000,"Yes","No"))</f>
        <v/>
      </c>
      <c r="CB853" s="36" t="str">
        <f aca="false">IF(Q853="","",IF(Q853&gt;=300000,"Yes","No"))</f>
        <v/>
      </c>
      <c r="CC853" s="37"/>
      <c r="CD853" s="36" t="str">
        <f aca="true">IF(B853="","",IF(TODAY()-B853&lt;=7,"🟢 0-7d",IF(TODAY()-B853&lt;=30,"🟡 8-30d",IF(TODAY()-B853&lt;=60,"🟠 31-60d","🔴 60d+"))))</f>
        <v/>
      </c>
      <c r="CE853" s="36" t="str">
        <f aca="false">IF(G853="","",IF(G853&lt;&gt;"USA","N/A - Not USA Role",IF(J853="Yes",IF(OR(F853="Intern",F853="New Grad"),"🟡 Possible","🟢 Strong"),IF(J853="No","🔴 Difficult","⚪ Unknown"))))</f>
        <v/>
      </c>
      <c r="CF853" s="37"/>
      <c r="CG853" s="37"/>
      <c r="CH853" s="38"/>
      <c r="CI853" s="38"/>
      <c r="CJ853" s="38"/>
      <c r="CK853" s="38"/>
    </row>
    <row r="854" customFormat="false" ht="15" hidden="false" customHeight="true" outlineLevel="0" collapsed="false">
      <c r="A854" s="26" t="str">
        <f aca="false">IF($C854="","",ROW()-3)</f>
        <v/>
      </c>
      <c r="B854" s="27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9"/>
      <c r="N854" s="29"/>
      <c r="O854" s="30" t="str">
        <f aca="false">IFERROR(IF(M854="","",M854*INDEX('00 - Lists'!$M$2:$M$11,MATCH(L854,'00 - Lists'!$L$2:$L$11,0))/100000),"")</f>
        <v/>
      </c>
      <c r="P854" s="30" t="str">
        <f aca="false">IFERROR(IF(N854="","",N854*INDEX('00 - Lists'!$M$2:$M$11,MATCH(L854,'00 - Lists'!$L$2:$L$11,0))/100000),"")</f>
        <v/>
      </c>
      <c r="Q854" s="31" t="str">
        <f aca="false">IFERROR(IF(M854="","",M854*INDEX('00 - Lists'!$N$2:$N$11,MATCH(L854,'00 - Lists'!$L$2:$L$11,0))),"")</f>
        <v/>
      </c>
      <c r="R854" s="31" t="str">
        <f aca="false">IFERROR(IF(N854="","",N854*INDEX('00 - Lists'!$N$2:$N$11,MATCH(L854,'00 - Lists'!$L$2:$L$11,0))),"")</f>
        <v/>
      </c>
      <c r="S854" s="32" t="str">
        <f aca="false">IF(O854="","",IF(O854&gt;=50,"Yes","No"))</f>
        <v/>
      </c>
      <c r="T854" s="32" t="str">
        <f aca="false">IF(Q854="","",IF(Q854&gt;=100000,"Yes","No"))</f>
        <v/>
      </c>
      <c r="U854" s="28"/>
      <c r="V854" s="28"/>
      <c r="W854" s="28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J854" s="34" t="str">
        <f aca="false">IF(OR($BD854&lt;&gt;"",$BF854&lt;&gt;"",$BH854&lt;&gt;""),"Yes","No")</f>
        <v>No</v>
      </c>
      <c r="BK854" s="35" t="str">
        <f aca="false">IFERROR(IF(BD854="","",BD854*INDEX('00 - Lists'!$M$2:$M$11,MATCH(L854,'00 - Lists'!$L$2:$L$11,0))/100000),"")</f>
        <v/>
      </c>
      <c r="BL854" s="35" t="str">
        <f aca="false">IFERROR(IF(BE854="","",BE854*INDEX('00 - Lists'!$M$2:$M$11,MATCH(L854,'00 - Lists'!$L$2:$L$11,0))/100000),"")</f>
        <v/>
      </c>
      <c r="BM854" s="35" t="str">
        <f aca="false">IFERROR(IF(BF854="","",BF854*INDEX('00 - Lists'!$M$2:$M$11,MATCH(L854,'00 - Lists'!$L$2:$L$11,0))/100000),"")</f>
        <v/>
      </c>
      <c r="BN854" s="35" t="str">
        <f aca="false">IFERROR(IF(BG854="","",BG854*INDEX('00 - Lists'!$M$2:$M$11,MATCH(L854,'00 - Lists'!$L$2:$L$11,0))/100000),"")</f>
        <v/>
      </c>
      <c r="BO854" s="35" t="str">
        <f aca="false">IFERROR(IF(BH854="","",BH854*INDEX('00 - Lists'!$M$2:$M$11,MATCH(L854,'00 - Lists'!$L$2:$L$11,0))/100000),"")</f>
        <v/>
      </c>
      <c r="BP854" s="35" t="str">
        <f aca="false">IFERROR(IF(BI854="","",BI854*INDEX('00 - Lists'!$M$2:$M$11,MATCH(L854,'00 - Lists'!$L$2:$L$11,0))/100000),"")</f>
        <v/>
      </c>
      <c r="BS854" s="36" t="str">
        <f aca="false">IF(O854="","",IF(O854&gt;=20,"Yes","No"))</f>
        <v/>
      </c>
      <c r="BT854" s="36" t="str">
        <f aca="false">IF(O854="","",IF(O854&gt;=30,"Yes","No"))</f>
        <v/>
      </c>
      <c r="BU854" s="36" t="str">
        <f aca="false">IF(O854="","",IF(O854&gt;=75,"Yes","No"))</f>
        <v/>
      </c>
      <c r="BV854" s="36" t="str">
        <f aca="false">IF(O854="","",IF(O854&gt;=100,"Yes","No"))</f>
        <v/>
      </c>
      <c r="BW854" s="36" t="str">
        <f aca="false">IF(O854="","",IF(O854&gt;=150,"Yes","No"))</f>
        <v/>
      </c>
      <c r="BX854" s="36" t="str">
        <f aca="false">IF(O854="","",IF(O854&gt;=200,"Yes","No"))</f>
        <v/>
      </c>
      <c r="BY854" s="36" t="str">
        <f aca="false">IF(Q854="","",IF(Q854&gt;=150000,"Yes","No"))</f>
        <v/>
      </c>
      <c r="BZ854" s="36" t="str">
        <f aca="false">IF(Q854="","",IF(Q854&gt;=200000,"Yes","No"))</f>
        <v/>
      </c>
      <c r="CA854" s="36" t="str">
        <f aca="false">IF(Q854="","",IF(Q854&gt;=250000,"Yes","No"))</f>
        <v/>
      </c>
      <c r="CB854" s="36" t="str">
        <f aca="false">IF(Q854="","",IF(Q854&gt;=300000,"Yes","No"))</f>
        <v/>
      </c>
      <c r="CC854" s="37"/>
      <c r="CD854" s="36" t="str">
        <f aca="true">IF(B854="","",IF(TODAY()-B854&lt;=7,"🟢 0-7d",IF(TODAY()-B854&lt;=30,"🟡 8-30d",IF(TODAY()-B854&lt;=60,"🟠 31-60d","🔴 60d+"))))</f>
        <v/>
      </c>
      <c r="CE854" s="36" t="str">
        <f aca="false">IF(G854="","",IF(G854&lt;&gt;"USA","N/A - Not USA Role",IF(J854="Yes",IF(OR(F854="Intern",F854="New Grad"),"🟡 Possible","🟢 Strong"),IF(J854="No","🔴 Difficult","⚪ Unknown"))))</f>
        <v/>
      </c>
      <c r="CF854" s="37"/>
      <c r="CG854" s="37"/>
      <c r="CH854" s="38"/>
      <c r="CI854" s="38"/>
      <c r="CJ854" s="38"/>
      <c r="CK854" s="38"/>
    </row>
    <row r="855" customFormat="false" ht="15" hidden="false" customHeight="true" outlineLevel="0" collapsed="false">
      <c r="A855" s="26" t="str">
        <f aca="false">IF($C855="","",ROW()-3)</f>
        <v/>
      </c>
      <c r="B855" s="27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9"/>
      <c r="N855" s="29"/>
      <c r="O855" s="30" t="str">
        <f aca="false">IFERROR(IF(M855="","",M855*INDEX('00 - Lists'!$M$2:$M$11,MATCH(L855,'00 - Lists'!$L$2:$L$11,0))/100000),"")</f>
        <v/>
      </c>
      <c r="P855" s="30" t="str">
        <f aca="false">IFERROR(IF(N855="","",N855*INDEX('00 - Lists'!$M$2:$M$11,MATCH(L855,'00 - Lists'!$L$2:$L$11,0))/100000),"")</f>
        <v/>
      </c>
      <c r="Q855" s="31" t="str">
        <f aca="false">IFERROR(IF(M855="","",M855*INDEX('00 - Lists'!$N$2:$N$11,MATCH(L855,'00 - Lists'!$L$2:$L$11,0))),"")</f>
        <v/>
      </c>
      <c r="R855" s="31" t="str">
        <f aca="false">IFERROR(IF(N855="","",N855*INDEX('00 - Lists'!$N$2:$N$11,MATCH(L855,'00 - Lists'!$L$2:$L$11,0))),"")</f>
        <v/>
      </c>
      <c r="S855" s="32" t="str">
        <f aca="false">IF(O855="","",IF(O855&gt;=50,"Yes","No"))</f>
        <v/>
      </c>
      <c r="T855" s="32" t="str">
        <f aca="false">IF(Q855="","",IF(Q855&gt;=100000,"Yes","No"))</f>
        <v/>
      </c>
      <c r="U855" s="28"/>
      <c r="V855" s="28"/>
      <c r="W855" s="28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J855" s="34" t="str">
        <f aca="false">IF(OR($BD855&lt;&gt;"",$BF855&lt;&gt;"",$BH855&lt;&gt;""),"Yes","No")</f>
        <v>No</v>
      </c>
      <c r="BK855" s="35" t="str">
        <f aca="false">IFERROR(IF(BD855="","",BD855*INDEX('00 - Lists'!$M$2:$M$11,MATCH(L855,'00 - Lists'!$L$2:$L$11,0))/100000),"")</f>
        <v/>
      </c>
      <c r="BL855" s="35" t="str">
        <f aca="false">IFERROR(IF(BE855="","",BE855*INDEX('00 - Lists'!$M$2:$M$11,MATCH(L855,'00 - Lists'!$L$2:$L$11,0))/100000),"")</f>
        <v/>
      </c>
      <c r="BM855" s="35" t="str">
        <f aca="false">IFERROR(IF(BF855="","",BF855*INDEX('00 - Lists'!$M$2:$M$11,MATCH(L855,'00 - Lists'!$L$2:$L$11,0))/100000),"")</f>
        <v/>
      </c>
      <c r="BN855" s="35" t="str">
        <f aca="false">IFERROR(IF(BG855="","",BG855*INDEX('00 - Lists'!$M$2:$M$11,MATCH(L855,'00 - Lists'!$L$2:$L$11,0))/100000),"")</f>
        <v/>
      </c>
      <c r="BO855" s="35" t="str">
        <f aca="false">IFERROR(IF(BH855="","",BH855*INDEX('00 - Lists'!$M$2:$M$11,MATCH(L855,'00 - Lists'!$L$2:$L$11,0))/100000),"")</f>
        <v/>
      </c>
      <c r="BP855" s="35" t="str">
        <f aca="false">IFERROR(IF(BI855="","",BI855*INDEX('00 - Lists'!$M$2:$M$11,MATCH(L855,'00 - Lists'!$L$2:$L$11,0))/100000),"")</f>
        <v/>
      </c>
      <c r="BS855" s="36" t="str">
        <f aca="false">IF(O855="","",IF(O855&gt;=20,"Yes","No"))</f>
        <v/>
      </c>
      <c r="BT855" s="36" t="str">
        <f aca="false">IF(O855="","",IF(O855&gt;=30,"Yes","No"))</f>
        <v/>
      </c>
      <c r="BU855" s="36" t="str">
        <f aca="false">IF(O855="","",IF(O855&gt;=75,"Yes","No"))</f>
        <v/>
      </c>
      <c r="BV855" s="36" t="str">
        <f aca="false">IF(O855="","",IF(O855&gt;=100,"Yes","No"))</f>
        <v/>
      </c>
      <c r="BW855" s="36" t="str">
        <f aca="false">IF(O855="","",IF(O855&gt;=150,"Yes","No"))</f>
        <v/>
      </c>
      <c r="BX855" s="36" t="str">
        <f aca="false">IF(O855="","",IF(O855&gt;=200,"Yes","No"))</f>
        <v/>
      </c>
      <c r="BY855" s="36" t="str">
        <f aca="false">IF(Q855="","",IF(Q855&gt;=150000,"Yes","No"))</f>
        <v/>
      </c>
      <c r="BZ855" s="36" t="str">
        <f aca="false">IF(Q855="","",IF(Q855&gt;=200000,"Yes","No"))</f>
        <v/>
      </c>
      <c r="CA855" s="36" t="str">
        <f aca="false">IF(Q855="","",IF(Q855&gt;=250000,"Yes","No"))</f>
        <v/>
      </c>
      <c r="CB855" s="36" t="str">
        <f aca="false">IF(Q855="","",IF(Q855&gt;=300000,"Yes","No"))</f>
        <v/>
      </c>
      <c r="CC855" s="37"/>
      <c r="CD855" s="36" t="str">
        <f aca="true">IF(B855="","",IF(TODAY()-B855&lt;=7,"🟢 0-7d",IF(TODAY()-B855&lt;=30,"🟡 8-30d",IF(TODAY()-B855&lt;=60,"🟠 31-60d","🔴 60d+"))))</f>
        <v/>
      </c>
      <c r="CE855" s="36" t="str">
        <f aca="false">IF(G855="","",IF(G855&lt;&gt;"USA","N/A - Not USA Role",IF(J855="Yes",IF(OR(F855="Intern",F855="New Grad"),"🟡 Possible","🟢 Strong"),IF(J855="No","🔴 Difficult","⚪ Unknown"))))</f>
        <v/>
      </c>
      <c r="CF855" s="37"/>
      <c r="CG855" s="37"/>
      <c r="CH855" s="38"/>
      <c r="CI855" s="38"/>
      <c r="CJ855" s="38"/>
      <c r="CK855" s="38"/>
    </row>
    <row r="856" customFormat="false" ht="15" hidden="false" customHeight="true" outlineLevel="0" collapsed="false">
      <c r="A856" s="26" t="str">
        <f aca="false">IF($C856="","",ROW()-3)</f>
        <v/>
      </c>
      <c r="B856" s="27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9"/>
      <c r="N856" s="29"/>
      <c r="O856" s="30" t="str">
        <f aca="false">IFERROR(IF(M856="","",M856*INDEX('00 - Lists'!$M$2:$M$11,MATCH(L856,'00 - Lists'!$L$2:$L$11,0))/100000),"")</f>
        <v/>
      </c>
      <c r="P856" s="30" t="str">
        <f aca="false">IFERROR(IF(N856="","",N856*INDEX('00 - Lists'!$M$2:$M$11,MATCH(L856,'00 - Lists'!$L$2:$L$11,0))/100000),"")</f>
        <v/>
      </c>
      <c r="Q856" s="31" t="str">
        <f aca="false">IFERROR(IF(M856="","",M856*INDEX('00 - Lists'!$N$2:$N$11,MATCH(L856,'00 - Lists'!$L$2:$L$11,0))),"")</f>
        <v/>
      </c>
      <c r="R856" s="31" t="str">
        <f aca="false">IFERROR(IF(N856="","",N856*INDEX('00 - Lists'!$N$2:$N$11,MATCH(L856,'00 - Lists'!$L$2:$L$11,0))),"")</f>
        <v/>
      </c>
      <c r="S856" s="32" t="str">
        <f aca="false">IF(O856="","",IF(O856&gt;=50,"Yes","No"))</f>
        <v/>
      </c>
      <c r="T856" s="32" t="str">
        <f aca="false">IF(Q856="","",IF(Q856&gt;=100000,"Yes","No"))</f>
        <v/>
      </c>
      <c r="U856" s="28"/>
      <c r="V856" s="28"/>
      <c r="W856" s="28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J856" s="34" t="str">
        <f aca="false">IF(OR($BD856&lt;&gt;"",$BF856&lt;&gt;"",$BH856&lt;&gt;""),"Yes","No")</f>
        <v>No</v>
      </c>
      <c r="BK856" s="35" t="str">
        <f aca="false">IFERROR(IF(BD856="","",BD856*INDEX('00 - Lists'!$M$2:$M$11,MATCH(L856,'00 - Lists'!$L$2:$L$11,0))/100000),"")</f>
        <v/>
      </c>
      <c r="BL856" s="35" t="str">
        <f aca="false">IFERROR(IF(BE856="","",BE856*INDEX('00 - Lists'!$M$2:$M$11,MATCH(L856,'00 - Lists'!$L$2:$L$11,0))/100000),"")</f>
        <v/>
      </c>
      <c r="BM856" s="35" t="str">
        <f aca="false">IFERROR(IF(BF856="","",BF856*INDEX('00 - Lists'!$M$2:$M$11,MATCH(L856,'00 - Lists'!$L$2:$L$11,0))/100000),"")</f>
        <v/>
      </c>
      <c r="BN856" s="35" t="str">
        <f aca="false">IFERROR(IF(BG856="","",BG856*INDEX('00 - Lists'!$M$2:$M$11,MATCH(L856,'00 - Lists'!$L$2:$L$11,0))/100000),"")</f>
        <v/>
      </c>
      <c r="BO856" s="35" t="str">
        <f aca="false">IFERROR(IF(BH856="","",BH856*INDEX('00 - Lists'!$M$2:$M$11,MATCH(L856,'00 - Lists'!$L$2:$L$11,0))/100000),"")</f>
        <v/>
      </c>
      <c r="BP856" s="35" t="str">
        <f aca="false">IFERROR(IF(BI856="","",BI856*INDEX('00 - Lists'!$M$2:$M$11,MATCH(L856,'00 - Lists'!$L$2:$L$11,0))/100000),"")</f>
        <v/>
      </c>
      <c r="BS856" s="36" t="str">
        <f aca="false">IF(O856="","",IF(O856&gt;=20,"Yes","No"))</f>
        <v/>
      </c>
      <c r="BT856" s="36" t="str">
        <f aca="false">IF(O856="","",IF(O856&gt;=30,"Yes","No"))</f>
        <v/>
      </c>
      <c r="BU856" s="36" t="str">
        <f aca="false">IF(O856="","",IF(O856&gt;=75,"Yes","No"))</f>
        <v/>
      </c>
      <c r="BV856" s="36" t="str">
        <f aca="false">IF(O856="","",IF(O856&gt;=100,"Yes","No"))</f>
        <v/>
      </c>
      <c r="BW856" s="36" t="str">
        <f aca="false">IF(O856="","",IF(O856&gt;=150,"Yes","No"))</f>
        <v/>
      </c>
      <c r="BX856" s="36" t="str">
        <f aca="false">IF(O856="","",IF(O856&gt;=200,"Yes","No"))</f>
        <v/>
      </c>
      <c r="BY856" s="36" t="str">
        <f aca="false">IF(Q856="","",IF(Q856&gt;=150000,"Yes","No"))</f>
        <v/>
      </c>
      <c r="BZ856" s="36" t="str">
        <f aca="false">IF(Q856="","",IF(Q856&gt;=200000,"Yes","No"))</f>
        <v/>
      </c>
      <c r="CA856" s="36" t="str">
        <f aca="false">IF(Q856="","",IF(Q856&gt;=250000,"Yes","No"))</f>
        <v/>
      </c>
      <c r="CB856" s="36" t="str">
        <f aca="false">IF(Q856="","",IF(Q856&gt;=300000,"Yes","No"))</f>
        <v/>
      </c>
      <c r="CC856" s="37"/>
      <c r="CD856" s="36" t="str">
        <f aca="true">IF(B856="","",IF(TODAY()-B856&lt;=7,"🟢 0-7d",IF(TODAY()-B856&lt;=30,"🟡 8-30d",IF(TODAY()-B856&lt;=60,"🟠 31-60d","🔴 60d+"))))</f>
        <v/>
      </c>
      <c r="CE856" s="36" t="str">
        <f aca="false">IF(G856="","",IF(G856&lt;&gt;"USA","N/A - Not USA Role",IF(J856="Yes",IF(OR(F856="Intern",F856="New Grad"),"🟡 Possible","🟢 Strong"),IF(J856="No","🔴 Difficult","⚪ Unknown"))))</f>
        <v/>
      </c>
      <c r="CF856" s="37"/>
      <c r="CG856" s="37"/>
      <c r="CH856" s="38"/>
      <c r="CI856" s="38"/>
      <c r="CJ856" s="38"/>
      <c r="CK856" s="38"/>
    </row>
    <row r="857" customFormat="false" ht="15" hidden="false" customHeight="true" outlineLevel="0" collapsed="false">
      <c r="A857" s="26" t="str">
        <f aca="false">IF($C857="","",ROW()-3)</f>
        <v/>
      </c>
      <c r="B857" s="27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9"/>
      <c r="N857" s="29"/>
      <c r="O857" s="30" t="str">
        <f aca="false">IFERROR(IF(M857="","",M857*INDEX('00 - Lists'!$M$2:$M$11,MATCH(L857,'00 - Lists'!$L$2:$L$11,0))/100000),"")</f>
        <v/>
      </c>
      <c r="P857" s="30" t="str">
        <f aca="false">IFERROR(IF(N857="","",N857*INDEX('00 - Lists'!$M$2:$M$11,MATCH(L857,'00 - Lists'!$L$2:$L$11,0))/100000),"")</f>
        <v/>
      </c>
      <c r="Q857" s="31" t="str">
        <f aca="false">IFERROR(IF(M857="","",M857*INDEX('00 - Lists'!$N$2:$N$11,MATCH(L857,'00 - Lists'!$L$2:$L$11,0))),"")</f>
        <v/>
      </c>
      <c r="R857" s="31" t="str">
        <f aca="false">IFERROR(IF(N857="","",N857*INDEX('00 - Lists'!$N$2:$N$11,MATCH(L857,'00 - Lists'!$L$2:$L$11,0))),"")</f>
        <v/>
      </c>
      <c r="S857" s="32" t="str">
        <f aca="false">IF(O857="","",IF(O857&gt;=50,"Yes","No"))</f>
        <v/>
      </c>
      <c r="T857" s="32" t="str">
        <f aca="false">IF(Q857="","",IF(Q857&gt;=100000,"Yes","No"))</f>
        <v/>
      </c>
      <c r="U857" s="28"/>
      <c r="V857" s="28"/>
      <c r="W857" s="28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J857" s="34" t="str">
        <f aca="false">IF(OR($BD857&lt;&gt;"",$BF857&lt;&gt;"",$BH857&lt;&gt;""),"Yes","No")</f>
        <v>No</v>
      </c>
      <c r="BK857" s="35" t="str">
        <f aca="false">IFERROR(IF(BD857="","",BD857*INDEX('00 - Lists'!$M$2:$M$11,MATCH(L857,'00 - Lists'!$L$2:$L$11,0))/100000),"")</f>
        <v/>
      </c>
      <c r="BL857" s="35" t="str">
        <f aca="false">IFERROR(IF(BE857="","",BE857*INDEX('00 - Lists'!$M$2:$M$11,MATCH(L857,'00 - Lists'!$L$2:$L$11,0))/100000),"")</f>
        <v/>
      </c>
      <c r="BM857" s="35" t="str">
        <f aca="false">IFERROR(IF(BF857="","",BF857*INDEX('00 - Lists'!$M$2:$M$11,MATCH(L857,'00 - Lists'!$L$2:$L$11,0))/100000),"")</f>
        <v/>
      </c>
      <c r="BN857" s="35" t="str">
        <f aca="false">IFERROR(IF(BG857="","",BG857*INDEX('00 - Lists'!$M$2:$M$11,MATCH(L857,'00 - Lists'!$L$2:$L$11,0))/100000),"")</f>
        <v/>
      </c>
      <c r="BO857" s="35" t="str">
        <f aca="false">IFERROR(IF(BH857="","",BH857*INDEX('00 - Lists'!$M$2:$M$11,MATCH(L857,'00 - Lists'!$L$2:$L$11,0))/100000),"")</f>
        <v/>
      </c>
      <c r="BP857" s="35" t="str">
        <f aca="false">IFERROR(IF(BI857="","",BI857*INDEX('00 - Lists'!$M$2:$M$11,MATCH(L857,'00 - Lists'!$L$2:$L$11,0))/100000),"")</f>
        <v/>
      </c>
      <c r="BS857" s="36" t="str">
        <f aca="false">IF(O857="","",IF(O857&gt;=20,"Yes","No"))</f>
        <v/>
      </c>
      <c r="BT857" s="36" t="str">
        <f aca="false">IF(O857="","",IF(O857&gt;=30,"Yes","No"))</f>
        <v/>
      </c>
      <c r="BU857" s="36" t="str">
        <f aca="false">IF(O857="","",IF(O857&gt;=75,"Yes","No"))</f>
        <v/>
      </c>
      <c r="BV857" s="36" t="str">
        <f aca="false">IF(O857="","",IF(O857&gt;=100,"Yes","No"))</f>
        <v/>
      </c>
      <c r="BW857" s="36" t="str">
        <f aca="false">IF(O857="","",IF(O857&gt;=150,"Yes","No"))</f>
        <v/>
      </c>
      <c r="BX857" s="36" t="str">
        <f aca="false">IF(O857="","",IF(O857&gt;=200,"Yes","No"))</f>
        <v/>
      </c>
      <c r="BY857" s="36" t="str">
        <f aca="false">IF(Q857="","",IF(Q857&gt;=150000,"Yes","No"))</f>
        <v/>
      </c>
      <c r="BZ857" s="36" t="str">
        <f aca="false">IF(Q857="","",IF(Q857&gt;=200000,"Yes","No"))</f>
        <v/>
      </c>
      <c r="CA857" s="36" t="str">
        <f aca="false">IF(Q857="","",IF(Q857&gt;=250000,"Yes","No"))</f>
        <v/>
      </c>
      <c r="CB857" s="36" t="str">
        <f aca="false">IF(Q857="","",IF(Q857&gt;=300000,"Yes","No"))</f>
        <v/>
      </c>
      <c r="CC857" s="37"/>
      <c r="CD857" s="36" t="str">
        <f aca="true">IF(B857="","",IF(TODAY()-B857&lt;=7,"🟢 0-7d",IF(TODAY()-B857&lt;=30,"🟡 8-30d",IF(TODAY()-B857&lt;=60,"🟠 31-60d","🔴 60d+"))))</f>
        <v/>
      </c>
      <c r="CE857" s="36" t="str">
        <f aca="false">IF(G857="","",IF(G857&lt;&gt;"USA","N/A - Not USA Role",IF(J857="Yes",IF(OR(F857="Intern",F857="New Grad"),"🟡 Possible","🟢 Strong"),IF(J857="No","🔴 Difficult","⚪ Unknown"))))</f>
        <v/>
      </c>
      <c r="CF857" s="37"/>
      <c r="CG857" s="37"/>
      <c r="CH857" s="38"/>
      <c r="CI857" s="38"/>
      <c r="CJ857" s="38"/>
      <c r="CK857" s="38"/>
    </row>
    <row r="858" customFormat="false" ht="15" hidden="false" customHeight="true" outlineLevel="0" collapsed="false">
      <c r="A858" s="26" t="str">
        <f aca="false">IF($C858="","",ROW()-3)</f>
        <v/>
      </c>
      <c r="B858" s="27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9"/>
      <c r="N858" s="29"/>
      <c r="O858" s="30" t="str">
        <f aca="false">IFERROR(IF(M858="","",M858*INDEX('00 - Lists'!$M$2:$M$11,MATCH(L858,'00 - Lists'!$L$2:$L$11,0))/100000),"")</f>
        <v/>
      </c>
      <c r="P858" s="30" t="str">
        <f aca="false">IFERROR(IF(N858="","",N858*INDEX('00 - Lists'!$M$2:$M$11,MATCH(L858,'00 - Lists'!$L$2:$L$11,0))/100000),"")</f>
        <v/>
      </c>
      <c r="Q858" s="31" t="str">
        <f aca="false">IFERROR(IF(M858="","",M858*INDEX('00 - Lists'!$N$2:$N$11,MATCH(L858,'00 - Lists'!$L$2:$L$11,0))),"")</f>
        <v/>
      </c>
      <c r="R858" s="31" t="str">
        <f aca="false">IFERROR(IF(N858="","",N858*INDEX('00 - Lists'!$N$2:$N$11,MATCH(L858,'00 - Lists'!$L$2:$L$11,0))),"")</f>
        <v/>
      </c>
      <c r="S858" s="32" t="str">
        <f aca="false">IF(O858="","",IF(O858&gt;=50,"Yes","No"))</f>
        <v/>
      </c>
      <c r="T858" s="32" t="str">
        <f aca="false">IF(Q858="","",IF(Q858&gt;=100000,"Yes","No"))</f>
        <v/>
      </c>
      <c r="U858" s="28"/>
      <c r="V858" s="28"/>
      <c r="W858" s="28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J858" s="34" t="str">
        <f aca="false">IF(OR($BD858&lt;&gt;"",$BF858&lt;&gt;"",$BH858&lt;&gt;""),"Yes","No")</f>
        <v>No</v>
      </c>
      <c r="BK858" s="35" t="str">
        <f aca="false">IFERROR(IF(BD858="","",BD858*INDEX('00 - Lists'!$M$2:$M$11,MATCH(L858,'00 - Lists'!$L$2:$L$11,0))/100000),"")</f>
        <v/>
      </c>
      <c r="BL858" s="35" t="str">
        <f aca="false">IFERROR(IF(BE858="","",BE858*INDEX('00 - Lists'!$M$2:$M$11,MATCH(L858,'00 - Lists'!$L$2:$L$11,0))/100000),"")</f>
        <v/>
      </c>
      <c r="BM858" s="35" t="str">
        <f aca="false">IFERROR(IF(BF858="","",BF858*INDEX('00 - Lists'!$M$2:$M$11,MATCH(L858,'00 - Lists'!$L$2:$L$11,0))/100000),"")</f>
        <v/>
      </c>
      <c r="BN858" s="35" t="str">
        <f aca="false">IFERROR(IF(BG858="","",BG858*INDEX('00 - Lists'!$M$2:$M$11,MATCH(L858,'00 - Lists'!$L$2:$L$11,0))/100000),"")</f>
        <v/>
      </c>
      <c r="BO858" s="35" t="str">
        <f aca="false">IFERROR(IF(BH858="","",BH858*INDEX('00 - Lists'!$M$2:$M$11,MATCH(L858,'00 - Lists'!$L$2:$L$11,0))/100000),"")</f>
        <v/>
      </c>
      <c r="BP858" s="35" t="str">
        <f aca="false">IFERROR(IF(BI858="","",BI858*INDEX('00 - Lists'!$M$2:$M$11,MATCH(L858,'00 - Lists'!$L$2:$L$11,0))/100000),"")</f>
        <v/>
      </c>
      <c r="BS858" s="36" t="str">
        <f aca="false">IF(O858="","",IF(O858&gt;=20,"Yes","No"))</f>
        <v/>
      </c>
      <c r="BT858" s="36" t="str">
        <f aca="false">IF(O858="","",IF(O858&gt;=30,"Yes","No"))</f>
        <v/>
      </c>
      <c r="BU858" s="36" t="str">
        <f aca="false">IF(O858="","",IF(O858&gt;=75,"Yes","No"))</f>
        <v/>
      </c>
      <c r="BV858" s="36" t="str">
        <f aca="false">IF(O858="","",IF(O858&gt;=100,"Yes","No"))</f>
        <v/>
      </c>
      <c r="BW858" s="36" t="str">
        <f aca="false">IF(O858="","",IF(O858&gt;=150,"Yes","No"))</f>
        <v/>
      </c>
      <c r="BX858" s="36" t="str">
        <f aca="false">IF(O858="","",IF(O858&gt;=200,"Yes","No"))</f>
        <v/>
      </c>
      <c r="BY858" s="36" t="str">
        <f aca="false">IF(Q858="","",IF(Q858&gt;=150000,"Yes","No"))</f>
        <v/>
      </c>
      <c r="BZ858" s="36" t="str">
        <f aca="false">IF(Q858="","",IF(Q858&gt;=200000,"Yes","No"))</f>
        <v/>
      </c>
      <c r="CA858" s="36" t="str">
        <f aca="false">IF(Q858="","",IF(Q858&gt;=250000,"Yes","No"))</f>
        <v/>
      </c>
      <c r="CB858" s="36" t="str">
        <f aca="false">IF(Q858="","",IF(Q858&gt;=300000,"Yes","No"))</f>
        <v/>
      </c>
      <c r="CC858" s="37"/>
      <c r="CD858" s="36" t="str">
        <f aca="true">IF(B858="","",IF(TODAY()-B858&lt;=7,"🟢 0-7d",IF(TODAY()-B858&lt;=30,"🟡 8-30d",IF(TODAY()-B858&lt;=60,"🟠 31-60d","🔴 60d+"))))</f>
        <v/>
      </c>
      <c r="CE858" s="36" t="str">
        <f aca="false">IF(G858="","",IF(G858&lt;&gt;"USA","N/A - Not USA Role",IF(J858="Yes",IF(OR(F858="Intern",F858="New Grad"),"🟡 Possible","🟢 Strong"),IF(J858="No","🔴 Difficult","⚪ Unknown"))))</f>
        <v/>
      </c>
      <c r="CF858" s="37"/>
      <c r="CG858" s="37"/>
      <c r="CH858" s="38"/>
      <c r="CI858" s="38"/>
      <c r="CJ858" s="38"/>
      <c r="CK858" s="38"/>
    </row>
    <row r="859" customFormat="false" ht="15" hidden="false" customHeight="true" outlineLevel="0" collapsed="false">
      <c r="A859" s="26" t="str">
        <f aca="false">IF($C859="","",ROW()-3)</f>
        <v/>
      </c>
      <c r="B859" s="27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9"/>
      <c r="N859" s="29"/>
      <c r="O859" s="30" t="str">
        <f aca="false">IFERROR(IF(M859="","",M859*INDEX('00 - Lists'!$M$2:$M$11,MATCH(L859,'00 - Lists'!$L$2:$L$11,0))/100000),"")</f>
        <v/>
      </c>
      <c r="P859" s="30" t="str">
        <f aca="false">IFERROR(IF(N859="","",N859*INDEX('00 - Lists'!$M$2:$M$11,MATCH(L859,'00 - Lists'!$L$2:$L$11,0))/100000),"")</f>
        <v/>
      </c>
      <c r="Q859" s="31" t="str">
        <f aca="false">IFERROR(IF(M859="","",M859*INDEX('00 - Lists'!$N$2:$N$11,MATCH(L859,'00 - Lists'!$L$2:$L$11,0))),"")</f>
        <v/>
      </c>
      <c r="R859" s="31" t="str">
        <f aca="false">IFERROR(IF(N859="","",N859*INDEX('00 - Lists'!$N$2:$N$11,MATCH(L859,'00 - Lists'!$L$2:$L$11,0))),"")</f>
        <v/>
      </c>
      <c r="S859" s="32" t="str">
        <f aca="false">IF(O859="","",IF(O859&gt;=50,"Yes","No"))</f>
        <v/>
      </c>
      <c r="T859" s="32" t="str">
        <f aca="false">IF(Q859="","",IF(Q859&gt;=100000,"Yes","No"))</f>
        <v/>
      </c>
      <c r="U859" s="28"/>
      <c r="V859" s="28"/>
      <c r="W859" s="28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J859" s="34" t="str">
        <f aca="false">IF(OR($BD859&lt;&gt;"",$BF859&lt;&gt;"",$BH859&lt;&gt;""),"Yes","No")</f>
        <v>No</v>
      </c>
      <c r="BK859" s="35" t="str">
        <f aca="false">IFERROR(IF(BD859="","",BD859*INDEX('00 - Lists'!$M$2:$M$11,MATCH(L859,'00 - Lists'!$L$2:$L$11,0))/100000),"")</f>
        <v/>
      </c>
      <c r="BL859" s="35" t="str">
        <f aca="false">IFERROR(IF(BE859="","",BE859*INDEX('00 - Lists'!$M$2:$M$11,MATCH(L859,'00 - Lists'!$L$2:$L$11,0))/100000),"")</f>
        <v/>
      </c>
      <c r="BM859" s="35" t="str">
        <f aca="false">IFERROR(IF(BF859="","",BF859*INDEX('00 - Lists'!$M$2:$M$11,MATCH(L859,'00 - Lists'!$L$2:$L$11,0))/100000),"")</f>
        <v/>
      </c>
      <c r="BN859" s="35" t="str">
        <f aca="false">IFERROR(IF(BG859="","",BG859*INDEX('00 - Lists'!$M$2:$M$11,MATCH(L859,'00 - Lists'!$L$2:$L$11,0))/100000),"")</f>
        <v/>
      </c>
      <c r="BO859" s="35" t="str">
        <f aca="false">IFERROR(IF(BH859="","",BH859*INDEX('00 - Lists'!$M$2:$M$11,MATCH(L859,'00 - Lists'!$L$2:$L$11,0))/100000),"")</f>
        <v/>
      </c>
      <c r="BP859" s="35" t="str">
        <f aca="false">IFERROR(IF(BI859="","",BI859*INDEX('00 - Lists'!$M$2:$M$11,MATCH(L859,'00 - Lists'!$L$2:$L$11,0))/100000),"")</f>
        <v/>
      </c>
      <c r="BS859" s="36" t="str">
        <f aca="false">IF(O859="","",IF(O859&gt;=20,"Yes","No"))</f>
        <v/>
      </c>
      <c r="BT859" s="36" t="str">
        <f aca="false">IF(O859="","",IF(O859&gt;=30,"Yes","No"))</f>
        <v/>
      </c>
      <c r="BU859" s="36" t="str">
        <f aca="false">IF(O859="","",IF(O859&gt;=75,"Yes","No"))</f>
        <v/>
      </c>
      <c r="BV859" s="36" t="str">
        <f aca="false">IF(O859="","",IF(O859&gt;=100,"Yes","No"))</f>
        <v/>
      </c>
      <c r="BW859" s="36" t="str">
        <f aca="false">IF(O859="","",IF(O859&gt;=150,"Yes","No"))</f>
        <v/>
      </c>
      <c r="BX859" s="36" t="str">
        <f aca="false">IF(O859="","",IF(O859&gt;=200,"Yes","No"))</f>
        <v/>
      </c>
      <c r="BY859" s="36" t="str">
        <f aca="false">IF(Q859="","",IF(Q859&gt;=150000,"Yes","No"))</f>
        <v/>
      </c>
      <c r="BZ859" s="36" t="str">
        <f aca="false">IF(Q859="","",IF(Q859&gt;=200000,"Yes","No"))</f>
        <v/>
      </c>
      <c r="CA859" s="36" t="str">
        <f aca="false">IF(Q859="","",IF(Q859&gt;=250000,"Yes","No"))</f>
        <v/>
      </c>
      <c r="CB859" s="36" t="str">
        <f aca="false">IF(Q859="","",IF(Q859&gt;=300000,"Yes","No"))</f>
        <v/>
      </c>
      <c r="CC859" s="37"/>
      <c r="CD859" s="36" t="str">
        <f aca="true">IF(B859="","",IF(TODAY()-B859&lt;=7,"🟢 0-7d",IF(TODAY()-B859&lt;=30,"🟡 8-30d",IF(TODAY()-B859&lt;=60,"🟠 31-60d","🔴 60d+"))))</f>
        <v/>
      </c>
      <c r="CE859" s="36" t="str">
        <f aca="false">IF(G859="","",IF(G859&lt;&gt;"USA","N/A - Not USA Role",IF(J859="Yes",IF(OR(F859="Intern",F859="New Grad"),"🟡 Possible","🟢 Strong"),IF(J859="No","🔴 Difficult","⚪ Unknown"))))</f>
        <v/>
      </c>
      <c r="CF859" s="37"/>
      <c r="CG859" s="37"/>
      <c r="CH859" s="38"/>
      <c r="CI859" s="38"/>
      <c r="CJ859" s="38"/>
      <c r="CK859" s="38"/>
    </row>
    <row r="860" customFormat="false" ht="15" hidden="false" customHeight="true" outlineLevel="0" collapsed="false">
      <c r="A860" s="26" t="str">
        <f aca="false">IF($C860="","",ROW()-3)</f>
        <v/>
      </c>
      <c r="B860" s="27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9"/>
      <c r="N860" s="29"/>
      <c r="O860" s="30" t="str">
        <f aca="false">IFERROR(IF(M860="","",M860*INDEX('00 - Lists'!$M$2:$M$11,MATCH(L860,'00 - Lists'!$L$2:$L$11,0))/100000),"")</f>
        <v/>
      </c>
      <c r="P860" s="30" t="str">
        <f aca="false">IFERROR(IF(N860="","",N860*INDEX('00 - Lists'!$M$2:$M$11,MATCH(L860,'00 - Lists'!$L$2:$L$11,0))/100000),"")</f>
        <v/>
      </c>
      <c r="Q860" s="31" t="str">
        <f aca="false">IFERROR(IF(M860="","",M860*INDEX('00 - Lists'!$N$2:$N$11,MATCH(L860,'00 - Lists'!$L$2:$L$11,0))),"")</f>
        <v/>
      </c>
      <c r="R860" s="31" t="str">
        <f aca="false">IFERROR(IF(N860="","",N860*INDEX('00 - Lists'!$N$2:$N$11,MATCH(L860,'00 - Lists'!$L$2:$L$11,0))),"")</f>
        <v/>
      </c>
      <c r="S860" s="32" t="str">
        <f aca="false">IF(O860="","",IF(O860&gt;=50,"Yes","No"))</f>
        <v/>
      </c>
      <c r="T860" s="32" t="str">
        <f aca="false">IF(Q860="","",IF(Q860&gt;=100000,"Yes","No"))</f>
        <v/>
      </c>
      <c r="U860" s="28"/>
      <c r="V860" s="28"/>
      <c r="W860" s="28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J860" s="34" t="str">
        <f aca="false">IF(OR($BD860&lt;&gt;"",$BF860&lt;&gt;"",$BH860&lt;&gt;""),"Yes","No")</f>
        <v>No</v>
      </c>
      <c r="BK860" s="35" t="str">
        <f aca="false">IFERROR(IF(BD860="","",BD860*INDEX('00 - Lists'!$M$2:$M$11,MATCH(L860,'00 - Lists'!$L$2:$L$11,0))/100000),"")</f>
        <v/>
      </c>
      <c r="BL860" s="35" t="str">
        <f aca="false">IFERROR(IF(BE860="","",BE860*INDEX('00 - Lists'!$M$2:$M$11,MATCH(L860,'00 - Lists'!$L$2:$L$11,0))/100000),"")</f>
        <v/>
      </c>
      <c r="BM860" s="35" t="str">
        <f aca="false">IFERROR(IF(BF860="","",BF860*INDEX('00 - Lists'!$M$2:$M$11,MATCH(L860,'00 - Lists'!$L$2:$L$11,0))/100000),"")</f>
        <v/>
      </c>
      <c r="BN860" s="35" t="str">
        <f aca="false">IFERROR(IF(BG860="","",BG860*INDEX('00 - Lists'!$M$2:$M$11,MATCH(L860,'00 - Lists'!$L$2:$L$11,0))/100000),"")</f>
        <v/>
      </c>
      <c r="BO860" s="35" t="str">
        <f aca="false">IFERROR(IF(BH860="","",BH860*INDEX('00 - Lists'!$M$2:$M$11,MATCH(L860,'00 - Lists'!$L$2:$L$11,0))/100000),"")</f>
        <v/>
      </c>
      <c r="BP860" s="35" t="str">
        <f aca="false">IFERROR(IF(BI860="","",BI860*INDEX('00 - Lists'!$M$2:$M$11,MATCH(L860,'00 - Lists'!$L$2:$L$11,0))/100000),"")</f>
        <v/>
      </c>
      <c r="BS860" s="36" t="str">
        <f aca="false">IF(O860="","",IF(O860&gt;=20,"Yes","No"))</f>
        <v/>
      </c>
      <c r="BT860" s="36" t="str">
        <f aca="false">IF(O860="","",IF(O860&gt;=30,"Yes","No"))</f>
        <v/>
      </c>
      <c r="BU860" s="36" t="str">
        <f aca="false">IF(O860="","",IF(O860&gt;=75,"Yes","No"))</f>
        <v/>
      </c>
      <c r="BV860" s="36" t="str">
        <f aca="false">IF(O860="","",IF(O860&gt;=100,"Yes","No"))</f>
        <v/>
      </c>
      <c r="BW860" s="36" t="str">
        <f aca="false">IF(O860="","",IF(O860&gt;=150,"Yes","No"))</f>
        <v/>
      </c>
      <c r="BX860" s="36" t="str">
        <f aca="false">IF(O860="","",IF(O860&gt;=200,"Yes","No"))</f>
        <v/>
      </c>
      <c r="BY860" s="36" t="str">
        <f aca="false">IF(Q860="","",IF(Q860&gt;=150000,"Yes","No"))</f>
        <v/>
      </c>
      <c r="BZ860" s="36" t="str">
        <f aca="false">IF(Q860="","",IF(Q860&gt;=200000,"Yes","No"))</f>
        <v/>
      </c>
      <c r="CA860" s="36" t="str">
        <f aca="false">IF(Q860="","",IF(Q860&gt;=250000,"Yes","No"))</f>
        <v/>
      </c>
      <c r="CB860" s="36" t="str">
        <f aca="false">IF(Q860="","",IF(Q860&gt;=300000,"Yes","No"))</f>
        <v/>
      </c>
      <c r="CC860" s="37"/>
      <c r="CD860" s="36" t="str">
        <f aca="true">IF(B860="","",IF(TODAY()-B860&lt;=7,"🟢 0-7d",IF(TODAY()-B860&lt;=30,"🟡 8-30d",IF(TODAY()-B860&lt;=60,"🟠 31-60d","🔴 60d+"))))</f>
        <v/>
      </c>
      <c r="CE860" s="36" t="str">
        <f aca="false">IF(G860="","",IF(G860&lt;&gt;"USA","N/A - Not USA Role",IF(J860="Yes",IF(OR(F860="Intern",F860="New Grad"),"🟡 Possible","🟢 Strong"),IF(J860="No","🔴 Difficult","⚪ Unknown"))))</f>
        <v/>
      </c>
      <c r="CF860" s="37"/>
      <c r="CG860" s="37"/>
      <c r="CH860" s="38"/>
      <c r="CI860" s="38"/>
      <c r="CJ860" s="38"/>
      <c r="CK860" s="38"/>
    </row>
    <row r="861" customFormat="false" ht="15" hidden="false" customHeight="true" outlineLevel="0" collapsed="false">
      <c r="A861" s="26" t="str">
        <f aca="false">IF($C861="","",ROW()-3)</f>
        <v/>
      </c>
      <c r="B861" s="27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9"/>
      <c r="N861" s="29"/>
      <c r="O861" s="30" t="str">
        <f aca="false">IFERROR(IF(M861="","",M861*INDEX('00 - Lists'!$M$2:$M$11,MATCH(L861,'00 - Lists'!$L$2:$L$11,0))/100000),"")</f>
        <v/>
      </c>
      <c r="P861" s="30" t="str">
        <f aca="false">IFERROR(IF(N861="","",N861*INDEX('00 - Lists'!$M$2:$M$11,MATCH(L861,'00 - Lists'!$L$2:$L$11,0))/100000),"")</f>
        <v/>
      </c>
      <c r="Q861" s="31" t="str">
        <f aca="false">IFERROR(IF(M861="","",M861*INDEX('00 - Lists'!$N$2:$N$11,MATCH(L861,'00 - Lists'!$L$2:$L$11,0))),"")</f>
        <v/>
      </c>
      <c r="R861" s="31" t="str">
        <f aca="false">IFERROR(IF(N861="","",N861*INDEX('00 - Lists'!$N$2:$N$11,MATCH(L861,'00 - Lists'!$L$2:$L$11,0))),"")</f>
        <v/>
      </c>
      <c r="S861" s="32" t="str">
        <f aca="false">IF(O861="","",IF(O861&gt;=50,"Yes","No"))</f>
        <v/>
      </c>
      <c r="T861" s="32" t="str">
        <f aca="false">IF(Q861="","",IF(Q861&gt;=100000,"Yes","No"))</f>
        <v/>
      </c>
      <c r="U861" s="28"/>
      <c r="V861" s="28"/>
      <c r="W861" s="28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J861" s="34" t="str">
        <f aca="false">IF(OR($BD861&lt;&gt;"",$BF861&lt;&gt;"",$BH861&lt;&gt;""),"Yes","No")</f>
        <v>No</v>
      </c>
      <c r="BK861" s="35" t="str">
        <f aca="false">IFERROR(IF(BD861="","",BD861*INDEX('00 - Lists'!$M$2:$M$11,MATCH(L861,'00 - Lists'!$L$2:$L$11,0))/100000),"")</f>
        <v/>
      </c>
      <c r="BL861" s="35" t="str">
        <f aca="false">IFERROR(IF(BE861="","",BE861*INDEX('00 - Lists'!$M$2:$M$11,MATCH(L861,'00 - Lists'!$L$2:$L$11,0))/100000),"")</f>
        <v/>
      </c>
      <c r="BM861" s="35" t="str">
        <f aca="false">IFERROR(IF(BF861="","",BF861*INDEX('00 - Lists'!$M$2:$M$11,MATCH(L861,'00 - Lists'!$L$2:$L$11,0))/100000),"")</f>
        <v/>
      </c>
      <c r="BN861" s="35" t="str">
        <f aca="false">IFERROR(IF(BG861="","",BG861*INDEX('00 - Lists'!$M$2:$M$11,MATCH(L861,'00 - Lists'!$L$2:$L$11,0))/100000),"")</f>
        <v/>
      </c>
      <c r="BO861" s="35" t="str">
        <f aca="false">IFERROR(IF(BH861="","",BH861*INDEX('00 - Lists'!$M$2:$M$11,MATCH(L861,'00 - Lists'!$L$2:$L$11,0))/100000),"")</f>
        <v/>
      </c>
      <c r="BP861" s="35" t="str">
        <f aca="false">IFERROR(IF(BI861="","",BI861*INDEX('00 - Lists'!$M$2:$M$11,MATCH(L861,'00 - Lists'!$L$2:$L$11,0))/100000),"")</f>
        <v/>
      </c>
      <c r="BS861" s="36" t="str">
        <f aca="false">IF(O861="","",IF(O861&gt;=20,"Yes","No"))</f>
        <v/>
      </c>
      <c r="BT861" s="36" t="str">
        <f aca="false">IF(O861="","",IF(O861&gt;=30,"Yes","No"))</f>
        <v/>
      </c>
      <c r="BU861" s="36" t="str">
        <f aca="false">IF(O861="","",IF(O861&gt;=75,"Yes","No"))</f>
        <v/>
      </c>
      <c r="BV861" s="36" t="str">
        <f aca="false">IF(O861="","",IF(O861&gt;=100,"Yes","No"))</f>
        <v/>
      </c>
      <c r="BW861" s="36" t="str">
        <f aca="false">IF(O861="","",IF(O861&gt;=150,"Yes","No"))</f>
        <v/>
      </c>
      <c r="BX861" s="36" t="str">
        <f aca="false">IF(O861="","",IF(O861&gt;=200,"Yes","No"))</f>
        <v/>
      </c>
      <c r="BY861" s="36" t="str">
        <f aca="false">IF(Q861="","",IF(Q861&gt;=150000,"Yes","No"))</f>
        <v/>
      </c>
      <c r="BZ861" s="36" t="str">
        <f aca="false">IF(Q861="","",IF(Q861&gt;=200000,"Yes","No"))</f>
        <v/>
      </c>
      <c r="CA861" s="36" t="str">
        <f aca="false">IF(Q861="","",IF(Q861&gt;=250000,"Yes","No"))</f>
        <v/>
      </c>
      <c r="CB861" s="36" t="str">
        <f aca="false">IF(Q861="","",IF(Q861&gt;=300000,"Yes","No"))</f>
        <v/>
      </c>
      <c r="CC861" s="37"/>
      <c r="CD861" s="36" t="str">
        <f aca="true">IF(B861="","",IF(TODAY()-B861&lt;=7,"🟢 0-7d",IF(TODAY()-B861&lt;=30,"🟡 8-30d",IF(TODAY()-B861&lt;=60,"🟠 31-60d","🔴 60d+"))))</f>
        <v/>
      </c>
      <c r="CE861" s="36" t="str">
        <f aca="false">IF(G861="","",IF(G861&lt;&gt;"USA","N/A - Not USA Role",IF(J861="Yes",IF(OR(F861="Intern",F861="New Grad"),"🟡 Possible","🟢 Strong"),IF(J861="No","🔴 Difficult","⚪ Unknown"))))</f>
        <v/>
      </c>
      <c r="CF861" s="37"/>
      <c r="CG861" s="37"/>
      <c r="CH861" s="38"/>
      <c r="CI861" s="38"/>
      <c r="CJ861" s="38"/>
      <c r="CK861" s="38"/>
    </row>
    <row r="862" customFormat="false" ht="15" hidden="false" customHeight="true" outlineLevel="0" collapsed="false">
      <c r="A862" s="26" t="str">
        <f aca="false">IF($C862="","",ROW()-3)</f>
        <v/>
      </c>
      <c r="B862" s="27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9"/>
      <c r="N862" s="29"/>
      <c r="O862" s="30" t="str">
        <f aca="false">IFERROR(IF(M862="","",M862*INDEX('00 - Lists'!$M$2:$M$11,MATCH(L862,'00 - Lists'!$L$2:$L$11,0))/100000),"")</f>
        <v/>
      </c>
      <c r="P862" s="30" t="str">
        <f aca="false">IFERROR(IF(N862="","",N862*INDEX('00 - Lists'!$M$2:$M$11,MATCH(L862,'00 - Lists'!$L$2:$L$11,0))/100000),"")</f>
        <v/>
      </c>
      <c r="Q862" s="31" t="str">
        <f aca="false">IFERROR(IF(M862="","",M862*INDEX('00 - Lists'!$N$2:$N$11,MATCH(L862,'00 - Lists'!$L$2:$L$11,0))),"")</f>
        <v/>
      </c>
      <c r="R862" s="31" t="str">
        <f aca="false">IFERROR(IF(N862="","",N862*INDEX('00 - Lists'!$N$2:$N$11,MATCH(L862,'00 - Lists'!$L$2:$L$11,0))),"")</f>
        <v/>
      </c>
      <c r="S862" s="32" t="str">
        <f aca="false">IF(O862="","",IF(O862&gt;=50,"Yes","No"))</f>
        <v/>
      </c>
      <c r="T862" s="32" t="str">
        <f aca="false">IF(Q862="","",IF(Q862&gt;=100000,"Yes","No"))</f>
        <v/>
      </c>
      <c r="U862" s="28"/>
      <c r="V862" s="28"/>
      <c r="W862" s="28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J862" s="34" t="str">
        <f aca="false">IF(OR($BD862&lt;&gt;"",$BF862&lt;&gt;"",$BH862&lt;&gt;""),"Yes","No")</f>
        <v>No</v>
      </c>
      <c r="BK862" s="35" t="str">
        <f aca="false">IFERROR(IF(BD862="","",BD862*INDEX('00 - Lists'!$M$2:$M$11,MATCH(L862,'00 - Lists'!$L$2:$L$11,0))/100000),"")</f>
        <v/>
      </c>
      <c r="BL862" s="35" t="str">
        <f aca="false">IFERROR(IF(BE862="","",BE862*INDEX('00 - Lists'!$M$2:$M$11,MATCH(L862,'00 - Lists'!$L$2:$L$11,0))/100000),"")</f>
        <v/>
      </c>
      <c r="BM862" s="35" t="str">
        <f aca="false">IFERROR(IF(BF862="","",BF862*INDEX('00 - Lists'!$M$2:$M$11,MATCH(L862,'00 - Lists'!$L$2:$L$11,0))/100000),"")</f>
        <v/>
      </c>
      <c r="BN862" s="35" t="str">
        <f aca="false">IFERROR(IF(BG862="","",BG862*INDEX('00 - Lists'!$M$2:$M$11,MATCH(L862,'00 - Lists'!$L$2:$L$11,0))/100000),"")</f>
        <v/>
      </c>
      <c r="BO862" s="35" t="str">
        <f aca="false">IFERROR(IF(BH862="","",BH862*INDEX('00 - Lists'!$M$2:$M$11,MATCH(L862,'00 - Lists'!$L$2:$L$11,0))/100000),"")</f>
        <v/>
      </c>
      <c r="BP862" s="35" t="str">
        <f aca="false">IFERROR(IF(BI862="","",BI862*INDEX('00 - Lists'!$M$2:$M$11,MATCH(L862,'00 - Lists'!$L$2:$L$11,0))/100000),"")</f>
        <v/>
      </c>
      <c r="BS862" s="36" t="str">
        <f aca="false">IF(O862="","",IF(O862&gt;=20,"Yes","No"))</f>
        <v/>
      </c>
      <c r="BT862" s="36" t="str">
        <f aca="false">IF(O862="","",IF(O862&gt;=30,"Yes","No"))</f>
        <v/>
      </c>
      <c r="BU862" s="36" t="str">
        <f aca="false">IF(O862="","",IF(O862&gt;=75,"Yes","No"))</f>
        <v/>
      </c>
      <c r="BV862" s="36" t="str">
        <f aca="false">IF(O862="","",IF(O862&gt;=100,"Yes","No"))</f>
        <v/>
      </c>
      <c r="BW862" s="36" t="str">
        <f aca="false">IF(O862="","",IF(O862&gt;=150,"Yes","No"))</f>
        <v/>
      </c>
      <c r="BX862" s="36" t="str">
        <f aca="false">IF(O862="","",IF(O862&gt;=200,"Yes","No"))</f>
        <v/>
      </c>
      <c r="BY862" s="36" t="str">
        <f aca="false">IF(Q862="","",IF(Q862&gt;=150000,"Yes","No"))</f>
        <v/>
      </c>
      <c r="BZ862" s="36" t="str">
        <f aca="false">IF(Q862="","",IF(Q862&gt;=200000,"Yes","No"))</f>
        <v/>
      </c>
      <c r="CA862" s="36" t="str">
        <f aca="false">IF(Q862="","",IF(Q862&gt;=250000,"Yes","No"))</f>
        <v/>
      </c>
      <c r="CB862" s="36" t="str">
        <f aca="false">IF(Q862="","",IF(Q862&gt;=300000,"Yes","No"))</f>
        <v/>
      </c>
      <c r="CC862" s="37"/>
      <c r="CD862" s="36" t="str">
        <f aca="true">IF(B862="","",IF(TODAY()-B862&lt;=7,"🟢 0-7d",IF(TODAY()-B862&lt;=30,"🟡 8-30d",IF(TODAY()-B862&lt;=60,"🟠 31-60d","🔴 60d+"))))</f>
        <v/>
      </c>
      <c r="CE862" s="36" t="str">
        <f aca="false">IF(G862="","",IF(G862&lt;&gt;"USA","N/A - Not USA Role",IF(J862="Yes",IF(OR(F862="Intern",F862="New Grad"),"🟡 Possible","🟢 Strong"),IF(J862="No","🔴 Difficult","⚪ Unknown"))))</f>
        <v/>
      </c>
      <c r="CF862" s="37"/>
      <c r="CG862" s="37"/>
      <c r="CH862" s="38"/>
      <c r="CI862" s="38"/>
      <c r="CJ862" s="38"/>
      <c r="CK862" s="38"/>
    </row>
    <row r="863" customFormat="false" ht="15" hidden="false" customHeight="true" outlineLevel="0" collapsed="false">
      <c r="A863" s="26" t="str">
        <f aca="false">IF($C863="","",ROW()-3)</f>
        <v/>
      </c>
      <c r="B863" s="27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9"/>
      <c r="N863" s="29"/>
      <c r="O863" s="30" t="str">
        <f aca="false">IFERROR(IF(M863="","",M863*INDEX('00 - Lists'!$M$2:$M$11,MATCH(L863,'00 - Lists'!$L$2:$L$11,0))/100000),"")</f>
        <v/>
      </c>
      <c r="P863" s="30" t="str">
        <f aca="false">IFERROR(IF(N863="","",N863*INDEX('00 - Lists'!$M$2:$M$11,MATCH(L863,'00 - Lists'!$L$2:$L$11,0))/100000),"")</f>
        <v/>
      </c>
      <c r="Q863" s="31" t="str">
        <f aca="false">IFERROR(IF(M863="","",M863*INDEX('00 - Lists'!$N$2:$N$11,MATCH(L863,'00 - Lists'!$L$2:$L$11,0))),"")</f>
        <v/>
      </c>
      <c r="R863" s="31" t="str">
        <f aca="false">IFERROR(IF(N863="","",N863*INDEX('00 - Lists'!$N$2:$N$11,MATCH(L863,'00 - Lists'!$L$2:$L$11,0))),"")</f>
        <v/>
      </c>
      <c r="S863" s="32" t="str">
        <f aca="false">IF(O863="","",IF(O863&gt;=50,"Yes","No"))</f>
        <v/>
      </c>
      <c r="T863" s="32" t="str">
        <f aca="false">IF(Q863="","",IF(Q863&gt;=100000,"Yes","No"))</f>
        <v/>
      </c>
      <c r="U863" s="28"/>
      <c r="V863" s="28"/>
      <c r="W863" s="28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J863" s="34" t="str">
        <f aca="false">IF(OR($BD863&lt;&gt;"",$BF863&lt;&gt;"",$BH863&lt;&gt;""),"Yes","No")</f>
        <v>No</v>
      </c>
      <c r="BK863" s="35" t="str">
        <f aca="false">IFERROR(IF(BD863="","",BD863*INDEX('00 - Lists'!$M$2:$M$11,MATCH(L863,'00 - Lists'!$L$2:$L$11,0))/100000),"")</f>
        <v/>
      </c>
      <c r="BL863" s="35" t="str">
        <f aca="false">IFERROR(IF(BE863="","",BE863*INDEX('00 - Lists'!$M$2:$M$11,MATCH(L863,'00 - Lists'!$L$2:$L$11,0))/100000),"")</f>
        <v/>
      </c>
      <c r="BM863" s="35" t="str">
        <f aca="false">IFERROR(IF(BF863="","",BF863*INDEX('00 - Lists'!$M$2:$M$11,MATCH(L863,'00 - Lists'!$L$2:$L$11,0))/100000),"")</f>
        <v/>
      </c>
      <c r="BN863" s="35" t="str">
        <f aca="false">IFERROR(IF(BG863="","",BG863*INDEX('00 - Lists'!$M$2:$M$11,MATCH(L863,'00 - Lists'!$L$2:$L$11,0))/100000),"")</f>
        <v/>
      </c>
      <c r="BO863" s="35" t="str">
        <f aca="false">IFERROR(IF(BH863="","",BH863*INDEX('00 - Lists'!$M$2:$M$11,MATCH(L863,'00 - Lists'!$L$2:$L$11,0))/100000),"")</f>
        <v/>
      </c>
      <c r="BP863" s="35" t="str">
        <f aca="false">IFERROR(IF(BI863="","",BI863*INDEX('00 - Lists'!$M$2:$M$11,MATCH(L863,'00 - Lists'!$L$2:$L$11,0))/100000),"")</f>
        <v/>
      </c>
      <c r="BS863" s="36" t="str">
        <f aca="false">IF(O863="","",IF(O863&gt;=20,"Yes","No"))</f>
        <v/>
      </c>
      <c r="BT863" s="36" t="str">
        <f aca="false">IF(O863="","",IF(O863&gt;=30,"Yes","No"))</f>
        <v/>
      </c>
      <c r="BU863" s="36" t="str">
        <f aca="false">IF(O863="","",IF(O863&gt;=75,"Yes","No"))</f>
        <v/>
      </c>
      <c r="BV863" s="36" t="str">
        <f aca="false">IF(O863="","",IF(O863&gt;=100,"Yes","No"))</f>
        <v/>
      </c>
      <c r="BW863" s="36" t="str">
        <f aca="false">IF(O863="","",IF(O863&gt;=150,"Yes","No"))</f>
        <v/>
      </c>
      <c r="BX863" s="36" t="str">
        <f aca="false">IF(O863="","",IF(O863&gt;=200,"Yes","No"))</f>
        <v/>
      </c>
      <c r="BY863" s="36" t="str">
        <f aca="false">IF(Q863="","",IF(Q863&gt;=150000,"Yes","No"))</f>
        <v/>
      </c>
      <c r="BZ863" s="36" t="str">
        <f aca="false">IF(Q863="","",IF(Q863&gt;=200000,"Yes","No"))</f>
        <v/>
      </c>
      <c r="CA863" s="36" t="str">
        <f aca="false">IF(Q863="","",IF(Q863&gt;=250000,"Yes","No"))</f>
        <v/>
      </c>
      <c r="CB863" s="36" t="str">
        <f aca="false">IF(Q863="","",IF(Q863&gt;=300000,"Yes","No"))</f>
        <v/>
      </c>
      <c r="CC863" s="37"/>
      <c r="CD863" s="36" t="str">
        <f aca="true">IF(B863="","",IF(TODAY()-B863&lt;=7,"🟢 0-7d",IF(TODAY()-B863&lt;=30,"🟡 8-30d",IF(TODAY()-B863&lt;=60,"🟠 31-60d","🔴 60d+"))))</f>
        <v/>
      </c>
      <c r="CE863" s="36" t="str">
        <f aca="false">IF(G863="","",IF(G863&lt;&gt;"USA","N/A - Not USA Role",IF(J863="Yes",IF(OR(F863="Intern",F863="New Grad"),"🟡 Possible","🟢 Strong"),IF(J863="No","🔴 Difficult","⚪ Unknown"))))</f>
        <v/>
      </c>
      <c r="CF863" s="37"/>
      <c r="CG863" s="37"/>
      <c r="CH863" s="38"/>
      <c r="CI863" s="38"/>
      <c r="CJ863" s="38"/>
      <c r="CK863" s="38"/>
    </row>
    <row r="864" customFormat="false" ht="15" hidden="false" customHeight="true" outlineLevel="0" collapsed="false">
      <c r="A864" s="26" t="str">
        <f aca="false">IF($C864="","",ROW()-3)</f>
        <v/>
      </c>
      <c r="B864" s="27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9"/>
      <c r="N864" s="29"/>
      <c r="O864" s="30" t="str">
        <f aca="false">IFERROR(IF(M864="","",M864*INDEX('00 - Lists'!$M$2:$M$11,MATCH(L864,'00 - Lists'!$L$2:$L$11,0))/100000),"")</f>
        <v/>
      </c>
      <c r="P864" s="30" t="str">
        <f aca="false">IFERROR(IF(N864="","",N864*INDEX('00 - Lists'!$M$2:$M$11,MATCH(L864,'00 - Lists'!$L$2:$L$11,0))/100000),"")</f>
        <v/>
      </c>
      <c r="Q864" s="31" t="str">
        <f aca="false">IFERROR(IF(M864="","",M864*INDEX('00 - Lists'!$N$2:$N$11,MATCH(L864,'00 - Lists'!$L$2:$L$11,0))),"")</f>
        <v/>
      </c>
      <c r="R864" s="31" t="str">
        <f aca="false">IFERROR(IF(N864="","",N864*INDEX('00 - Lists'!$N$2:$N$11,MATCH(L864,'00 - Lists'!$L$2:$L$11,0))),"")</f>
        <v/>
      </c>
      <c r="S864" s="32" t="str">
        <f aca="false">IF(O864="","",IF(O864&gt;=50,"Yes","No"))</f>
        <v/>
      </c>
      <c r="T864" s="32" t="str">
        <f aca="false">IF(Q864="","",IF(Q864&gt;=100000,"Yes","No"))</f>
        <v/>
      </c>
      <c r="U864" s="28"/>
      <c r="V864" s="28"/>
      <c r="W864" s="28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J864" s="34" t="str">
        <f aca="false">IF(OR($BD864&lt;&gt;"",$BF864&lt;&gt;"",$BH864&lt;&gt;""),"Yes","No")</f>
        <v>No</v>
      </c>
      <c r="BK864" s="35" t="str">
        <f aca="false">IFERROR(IF(BD864="","",BD864*INDEX('00 - Lists'!$M$2:$M$11,MATCH(L864,'00 - Lists'!$L$2:$L$11,0))/100000),"")</f>
        <v/>
      </c>
      <c r="BL864" s="35" t="str">
        <f aca="false">IFERROR(IF(BE864="","",BE864*INDEX('00 - Lists'!$M$2:$M$11,MATCH(L864,'00 - Lists'!$L$2:$L$11,0))/100000),"")</f>
        <v/>
      </c>
      <c r="BM864" s="35" t="str">
        <f aca="false">IFERROR(IF(BF864="","",BF864*INDEX('00 - Lists'!$M$2:$M$11,MATCH(L864,'00 - Lists'!$L$2:$L$11,0))/100000),"")</f>
        <v/>
      </c>
      <c r="BN864" s="35" t="str">
        <f aca="false">IFERROR(IF(BG864="","",BG864*INDEX('00 - Lists'!$M$2:$M$11,MATCH(L864,'00 - Lists'!$L$2:$L$11,0))/100000),"")</f>
        <v/>
      </c>
      <c r="BO864" s="35" t="str">
        <f aca="false">IFERROR(IF(BH864="","",BH864*INDEX('00 - Lists'!$M$2:$M$11,MATCH(L864,'00 - Lists'!$L$2:$L$11,0))/100000),"")</f>
        <v/>
      </c>
      <c r="BP864" s="35" t="str">
        <f aca="false">IFERROR(IF(BI864="","",BI864*INDEX('00 - Lists'!$M$2:$M$11,MATCH(L864,'00 - Lists'!$L$2:$L$11,0))/100000),"")</f>
        <v/>
      </c>
      <c r="BS864" s="36" t="str">
        <f aca="false">IF(O864="","",IF(O864&gt;=20,"Yes","No"))</f>
        <v/>
      </c>
      <c r="BT864" s="36" t="str">
        <f aca="false">IF(O864="","",IF(O864&gt;=30,"Yes","No"))</f>
        <v/>
      </c>
      <c r="BU864" s="36" t="str">
        <f aca="false">IF(O864="","",IF(O864&gt;=75,"Yes","No"))</f>
        <v/>
      </c>
      <c r="BV864" s="36" t="str">
        <f aca="false">IF(O864="","",IF(O864&gt;=100,"Yes","No"))</f>
        <v/>
      </c>
      <c r="BW864" s="36" t="str">
        <f aca="false">IF(O864="","",IF(O864&gt;=150,"Yes","No"))</f>
        <v/>
      </c>
      <c r="BX864" s="36" t="str">
        <f aca="false">IF(O864="","",IF(O864&gt;=200,"Yes","No"))</f>
        <v/>
      </c>
      <c r="BY864" s="36" t="str">
        <f aca="false">IF(Q864="","",IF(Q864&gt;=150000,"Yes","No"))</f>
        <v/>
      </c>
      <c r="BZ864" s="36" t="str">
        <f aca="false">IF(Q864="","",IF(Q864&gt;=200000,"Yes","No"))</f>
        <v/>
      </c>
      <c r="CA864" s="36" t="str">
        <f aca="false">IF(Q864="","",IF(Q864&gt;=250000,"Yes","No"))</f>
        <v/>
      </c>
      <c r="CB864" s="36" t="str">
        <f aca="false">IF(Q864="","",IF(Q864&gt;=300000,"Yes","No"))</f>
        <v/>
      </c>
      <c r="CC864" s="37"/>
      <c r="CD864" s="36" t="str">
        <f aca="true">IF(B864="","",IF(TODAY()-B864&lt;=7,"🟢 0-7d",IF(TODAY()-B864&lt;=30,"🟡 8-30d",IF(TODAY()-B864&lt;=60,"🟠 31-60d","🔴 60d+"))))</f>
        <v/>
      </c>
      <c r="CE864" s="36" t="str">
        <f aca="false">IF(G864="","",IF(G864&lt;&gt;"USA","N/A - Not USA Role",IF(J864="Yes",IF(OR(F864="Intern",F864="New Grad"),"🟡 Possible","🟢 Strong"),IF(J864="No","🔴 Difficult","⚪ Unknown"))))</f>
        <v/>
      </c>
      <c r="CF864" s="37"/>
      <c r="CG864" s="37"/>
      <c r="CH864" s="38"/>
      <c r="CI864" s="38"/>
      <c r="CJ864" s="38"/>
      <c r="CK864" s="38"/>
    </row>
    <row r="865" customFormat="false" ht="15" hidden="false" customHeight="true" outlineLevel="0" collapsed="false">
      <c r="A865" s="26" t="str">
        <f aca="false">IF($C865="","",ROW()-3)</f>
        <v/>
      </c>
      <c r="B865" s="27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9"/>
      <c r="N865" s="29"/>
      <c r="O865" s="30" t="str">
        <f aca="false">IFERROR(IF(M865="","",M865*INDEX('00 - Lists'!$M$2:$M$11,MATCH(L865,'00 - Lists'!$L$2:$L$11,0))/100000),"")</f>
        <v/>
      </c>
      <c r="P865" s="30" t="str">
        <f aca="false">IFERROR(IF(N865="","",N865*INDEX('00 - Lists'!$M$2:$M$11,MATCH(L865,'00 - Lists'!$L$2:$L$11,0))/100000),"")</f>
        <v/>
      </c>
      <c r="Q865" s="31" t="str">
        <f aca="false">IFERROR(IF(M865="","",M865*INDEX('00 - Lists'!$N$2:$N$11,MATCH(L865,'00 - Lists'!$L$2:$L$11,0))),"")</f>
        <v/>
      </c>
      <c r="R865" s="31" t="str">
        <f aca="false">IFERROR(IF(N865="","",N865*INDEX('00 - Lists'!$N$2:$N$11,MATCH(L865,'00 - Lists'!$L$2:$L$11,0))),"")</f>
        <v/>
      </c>
      <c r="S865" s="32" t="str">
        <f aca="false">IF(O865="","",IF(O865&gt;=50,"Yes","No"))</f>
        <v/>
      </c>
      <c r="T865" s="32" t="str">
        <f aca="false">IF(Q865="","",IF(Q865&gt;=100000,"Yes","No"))</f>
        <v/>
      </c>
      <c r="U865" s="28"/>
      <c r="V865" s="28"/>
      <c r="W865" s="28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J865" s="34" t="str">
        <f aca="false">IF(OR($BD865&lt;&gt;"",$BF865&lt;&gt;"",$BH865&lt;&gt;""),"Yes","No")</f>
        <v>No</v>
      </c>
      <c r="BK865" s="35" t="str">
        <f aca="false">IFERROR(IF(BD865="","",BD865*INDEX('00 - Lists'!$M$2:$M$11,MATCH(L865,'00 - Lists'!$L$2:$L$11,0))/100000),"")</f>
        <v/>
      </c>
      <c r="BL865" s="35" t="str">
        <f aca="false">IFERROR(IF(BE865="","",BE865*INDEX('00 - Lists'!$M$2:$M$11,MATCH(L865,'00 - Lists'!$L$2:$L$11,0))/100000),"")</f>
        <v/>
      </c>
      <c r="BM865" s="35" t="str">
        <f aca="false">IFERROR(IF(BF865="","",BF865*INDEX('00 - Lists'!$M$2:$M$11,MATCH(L865,'00 - Lists'!$L$2:$L$11,0))/100000),"")</f>
        <v/>
      </c>
      <c r="BN865" s="35" t="str">
        <f aca="false">IFERROR(IF(BG865="","",BG865*INDEX('00 - Lists'!$M$2:$M$11,MATCH(L865,'00 - Lists'!$L$2:$L$11,0))/100000),"")</f>
        <v/>
      </c>
      <c r="BO865" s="35" t="str">
        <f aca="false">IFERROR(IF(BH865="","",BH865*INDEX('00 - Lists'!$M$2:$M$11,MATCH(L865,'00 - Lists'!$L$2:$L$11,0))/100000),"")</f>
        <v/>
      </c>
      <c r="BP865" s="35" t="str">
        <f aca="false">IFERROR(IF(BI865="","",BI865*INDEX('00 - Lists'!$M$2:$M$11,MATCH(L865,'00 - Lists'!$L$2:$L$11,0))/100000),"")</f>
        <v/>
      </c>
      <c r="BS865" s="36" t="str">
        <f aca="false">IF(O865="","",IF(O865&gt;=20,"Yes","No"))</f>
        <v/>
      </c>
      <c r="BT865" s="36" t="str">
        <f aca="false">IF(O865="","",IF(O865&gt;=30,"Yes","No"))</f>
        <v/>
      </c>
      <c r="BU865" s="36" t="str">
        <f aca="false">IF(O865="","",IF(O865&gt;=75,"Yes","No"))</f>
        <v/>
      </c>
      <c r="BV865" s="36" t="str">
        <f aca="false">IF(O865="","",IF(O865&gt;=100,"Yes","No"))</f>
        <v/>
      </c>
      <c r="BW865" s="36" t="str">
        <f aca="false">IF(O865="","",IF(O865&gt;=150,"Yes","No"))</f>
        <v/>
      </c>
      <c r="BX865" s="36" t="str">
        <f aca="false">IF(O865="","",IF(O865&gt;=200,"Yes","No"))</f>
        <v/>
      </c>
      <c r="BY865" s="36" t="str">
        <f aca="false">IF(Q865="","",IF(Q865&gt;=150000,"Yes","No"))</f>
        <v/>
      </c>
      <c r="BZ865" s="36" t="str">
        <f aca="false">IF(Q865="","",IF(Q865&gt;=200000,"Yes","No"))</f>
        <v/>
      </c>
      <c r="CA865" s="36" t="str">
        <f aca="false">IF(Q865="","",IF(Q865&gt;=250000,"Yes","No"))</f>
        <v/>
      </c>
      <c r="CB865" s="36" t="str">
        <f aca="false">IF(Q865="","",IF(Q865&gt;=300000,"Yes","No"))</f>
        <v/>
      </c>
      <c r="CC865" s="37"/>
      <c r="CD865" s="36" t="str">
        <f aca="true">IF(B865="","",IF(TODAY()-B865&lt;=7,"🟢 0-7d",IF(TODAY()-B865&lt;=30,"🟡 8-30d",IF(TODAY()-B865&lt;=60,"🟠 31-60d","🔴 60d+"))))</f>
        <v/>
      </c>
      <c r="CE865" s="36" t="str">
        <f aca="false">IF(G865="","",IF(G865&lt;&gt;"USA","N/A - Not USA Role",IF(J865="Yes",IF(OR(F865="Intern",F865="New Grad"),"🟡 Possible","🟢 Strong"),IF(J865="No","🔴 Difficult","⚪ Unknown"))))</f>
        <v/>
      </c>
      <c r="CF865" s="37"/>
      <c r="CG865" s="37"/>
      <c r="CH865" s="38"/>
      <c r="CI865" s="38"/>
      <c r="CJ865" s="38"/>
      <c r="CK865" s="38"/>
    </row>
    <row r="866" customFormat="false" ht="15" hidden="false" customHeight="true" outlineLevel="0" collapsed="false">
      <c r="A866" s="26" t="str">
        <f aca="false">IF($C866="","",ROW()-3)</f>
        <v/>
      </c>
      <c r="B866" s="27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9"/>
      <c r="N866" s="29"/>
      <c r="O866" s="30" t="str">
        <f aca="false">IFERROR(IF(M866="","",M866*INDEX('00 - Lists'!$M$2:$M$11,MATCH(L866,'00 - Lists'!$L$2:$L$11,0))/100000),"")</f>
        <v/>
      </c>
      <c r="P866" s="30" t="str">
        <f aca="false">IFERROR(IF(N866="","",N866*INDEX('00 - Lists'!$M$2:$M$11,MATCH(L866,'00 - Lists'!$L$2:$L$11,0))/100000),"")</f>
        <v/>
      </c>
      <c r="Q866" s="31" t="str">
        <f aca="false">IFERROR(IF(M866="","",M866*INDEX('00 - Lists'!$N$2:$N$11,MATCH(L866,'00 - Lists'!$L$2:$L$11,0))),"")</f>
        <v/>
      </c>
      <c r="R866" s="31" t="str">
        <f aca="false">IFERROR(IF(N866="","",N866*INDEX('00 - Lists'!$N$2:$N$11,MATCH(L866,'00 - Lists'!$L$2:$L$11,0))),"")</f>
        <v/>
      </c>
      <c r="S866" s="32" t="str">
        <f aca="false">IF(O866="","",IF(O866&gt;=50,"Yes","No"))</f>
        <v/>
      </c>
      <c r="T866" s="32" t="str">
        <f aca="false">IF(Q866="","",IF(Q866&gt;=100000,"Yes","No"))</f>
        <v/>
      </c>
      <c r="U866" s="28"/>
      <c r="V866" s="28"/>
      <c r="W866" s="28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J866" s="34" t="str">
        <f aca="false">IF(OR($BD866&lt;&gt;"",$BF866&lt;&gt;"",$BH866&lt;&gt;""),"Yes","No")</f>
        <v>No</v>
      </c>
      <c r="BK866" s="35" t="str">
        <f aca="false">IFERROR(IF(BD866="","",BD866*INDEX('00 - Lists'!$M$2:$M$11,MATCH(L866,'00 - Lists'!$L$2:$L$11,0))/100000),"")</f>
        <v/>
      </c>
      <c r="BL866" s="35" t="str">
        <f aca="false">IFERROR(IF(BE866="","",BE866*INDEX('00 - Lists'!$M$2:$M$11,MATCH(L866,'00 - Lists'!$L$2:$L$11,0))/100000),"")</f>
        <v/>
      </c>
      <c r="BM866" s="35" t="str">
        <f aca="false">IFERROR(IF(BF866="","",BF866*INDEX('00 - Lists'!$M$2:$M$11,MATCH(L866,'00 - Lists'!$L$2:$L$11,0))/100000),"")</f>
        <v/>
      </c>
      <c r="BN866" s="35" t="str">
        <f aca="false">IFERROR(IF(BG866="","",BG866*INDEX('00 - Lists'!$M$2:$M$11,MATCH(L866,'00 - Lists'!$L$2:$L$11,0))/100000),"")</f>
        <v/>
      </c>
      <c r="BO866" s="35" t="str">
        <f aca="false">IFERROR(IF(BH866="","",BH866*INDEX('00 - Lists'!$M$2:$M$11,MATCH(L866,'00 - Lists'!$L$2:$L$11,0))/100000),"")</f>
        <v/>
      </c>
      <c r="BP866" s="35" t="str">
        <f aca="false">IFERROR(IF(BI866="","",BI866*INDEX('00 - Lists'!$M$2:$M$11,MATCH(L866,'00 - Lists'!$L$2:$L$11,0))/100000),"")</f>
        <v/>
      </c>
      <c r="BS866" s="36" t="str">
        <f aca="false">IF(O866="","",IF(O866&gt;=20,"Yes","No"))</f>
        <v/>
      </c>
      <c r="BT866" s="36" t="str">
        <f aca="false">IF(O866="","",IF(O866&gt;=30,"Yes","No"))</f>
        <v/>
      </c>
      <c r="BU866" s="36" t="str">
        <f aca="false">IF(O866="","",IF(O866&gt;=75,"Yes","No"))</f>
        <v/>
      </c>
      <c r="BV866" s="36" t="str">
        <f aca="false">IF(O866="","",IF(O866&gt;=100,"Yes","No"))</f>
        <v/>
      </c>
      <c r="BW866" s="36" t="str">
        <f aca="false">IF(O866="","",IF(O866&gt;=150,"Yes","No"))</f>
        <v/>
      </c>
      <c r="BX866" s="36" t="str">
        <f aca="false">IF(O866="","",IF(O866&gt;=200,"Yes","No"))</f>
        <v/>
      </c>
      <c r="BY866" s="36" t="str">
        <f aca="false">IF(Q866="","",IF(Q866&gt;=150000,"Yes","No"))</f>
        <v/>
      </c>
      <c r="BZ866" s="36" t="str">
        <f aca="false">IF(Q866="","",IF(Q866&gt;=200000,"Yes","No"))</f>
        <v/>
      </c>
      <c r="CA866" s="36" t="str">
        <f aca="false">IF(Q866="","",IF(Q866&gt;=250000,"Yes","No"))</f>
        <v/>
      </c>
      <c r="CB866" s="36" t="str">
        <f aca="false">IF(Q866="","",IF(Q866&gt;=300000,"Yes","No"))</f>
        <v/>
      </c>
      <c r="CC866" s="37"/>
      <c r="CD866" s="36" t="str">
        <f aca="true">IF(B866="","",IF(TODAY()-B866&lt;=7,"🟢 0-7d",IF(TODAY()-B866&lt;=30,"🟡 8-30d",IF(TODAY()-B866&lt;=60,"🟠 31-60d","🔴 60d+"))))</f>
        <v/>
      </c>
      <c r="CE866" s="36" t="str">
        <f aca="false">IF(G866="","",IF(G866&lt;&gt;"USA","N/A - Not USA Role",IF(J866="Yes",IF(OR(F866="Intern",F866="New Grad"),"🟡 Possible","🟢 Strong"),IF(J866="No","🔴 Difficult","⚪ Unknown"))))</f>
        <v/>
      </c>
      <c r="CF866" s="37"/>
      <c r="CG866" s="37"/>
      <c r="CH866" s="38"/>
      <c r="CI866" s="38"/>
      <c r="CJ866" s="38"/>
      <c r="CK866" s="38"/>
    </row>
    <row r="867" customFormat="false" ht="15" hidden="false" customHeight="true" outlineLevel="0" collapsed="false">
      <c r="A867" s="26" t="str">
        <f aca="false">IF($C867="","",ROW()-3)</f>
        <v/>
      </c>
      <c r="B867" s="27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9"/>
      <c r="N867" s="29"/>
      <c r="O867" s="30" t="str">
        <f aca="false">IFERROR(IF(M867="","",M867*INDEX('00 - Lists'!$M$2:$M$11,MATCH(L867,'00 - Lists'!$L$2:$L$11,0))/100000),"")</f>
        <v/>
      </c>
      <c r="P867" s="30" t="str">
        <f aca="false">IFERROR(IF(N867="","",N867*INDEX('00 - Lists'!$M$2:$M$11,MATCH(L867,'00 - Lists'!$L$2:$L$11,0))/100000),"")</f>
        <v/>
      </c>
      <c r="Q867" s="31" t="str">
        <f aca="false">IFERROR(IF(M867="","",M867*INDEX('00 - Lists'!$N$2:$N$11,MATCH(L867,'00 - Lists'!$L$2:$L$11,0))),"")</f>
        <v/>
      </c>
      <c r="R867" s="31" t="str">
        <f aca="false">IFERROR(IF(N867="","",N867*INDEX('00 - Lists'!$N$2:$N$11,MATCH(L867,'00 - Lists'!$L$2:$L$11,0))),"")</f>
        <v/>
      </c>
      <c r="S867" s="32" t="str">
        <f aca="false">IF(O867="","",IF(O867&gt;=50,"Yes","No"))</f>
        <v/>
      </c>
      <c r="T867" s="32" t="str">
        <f aca="false">IF(Q867="","",IF(Q867&gt;=100000,"Yes","No"))</f>
        <v/>
      </c>
      <c r="U867" s="28"/>
      <c r="V867" s="28"/>
      <c r="W867" s="28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J867" s="34" t="str">
        <f aca="false">IF(OR($BD867&lt;&gt;"",$BF867&lt;&gt;"",$BH867&lt;&gt;""),"Yes","No")</f>
        <v>No</v>
      </c>
      <c r="BK867" s="35" t="str">
        <f aca="false">IFERROR(IF(BD867="","",BD867*INDEX('00 - Lists'!$M$2:$M$11,MATCH(L867,'00 - Lists'!$L$2:$L$11,0))/100000),"")</f>
        <v/>
      </c>
      <c r="BL867" s="35" t="str">
        <f aca="false">IFERROR(IF(BE867="","",BE867*INDEX('00 - Lists'!$M$2:$M$11,MATCH(L867,'00 - Lists'!$L$2:$L$11,0))/100000),"")</f>
        <v/>
      </c>
      <c r="BM867" s="35" t="str">
        <f aca="false">IFERROR(IF(BF867="","",BF867*INDEX('00 - Lists'!$M$2:$M$11,MATCH(L867,'00 - Lists'!$L$2:$L$11,0))/100000),"")</f>
        <v/>
      </c>
      <c r="BN867" s="35" t="str">
        <f aca="false">IFERROR(IF(BG867="","",BG867*INDEX('00 - Lists'!$M$2:$M$11,MATCH(L867,'00 - Lists'!$L$2:$L$11,0))/100000),"")</f>
        <v/>
      </c>
      <c r="BO867" s="35" t="str">
        <f aca="false">IFERROR(IF(BH867="","",BH867*INDEX('00 - Lists'!$M$2:$M$11,MATCH(L867,'00 - Lists'!$L$2:$L$11,0))/100000),"")</f>
        <v/>
      </c>
      <c r="BP867" s="35" t="str">
        <f aca="false">IFERROR(IF(BI867="","",BI867*INDEX('00 - Lists'!$M$2:$M$11,MATCH(L867,'00 - Lists'!$L$2:$L$11,0))/100000),"")</f>
        <v/>
      </c>
      <c r="BS867" s="36" t="str">
        <f aca="false">IF(O867="","",IF(O867&gt;=20,"Yes","No"))</f>
        <v/>
      </c>
      <c r="BT867" s="36" t="str">
        <f aca="false">IF(O867="","",IF(O867&gt;=30,"Yes","No"))</f>
        <v/>
      </c>
      <c r="BU867" s="36" t="str">
        <f aca="false">IF(O867="","",IF(O867&gt;=75,"Yes","No"))</f>
        <v/>
      </c>
      <c r="BV867" s="36" t="str">
        <f aca="false">IF(O867="","",IF(O867&gt;=100,"Yes","No"))</f>
        <v/>
      </c>
      <c r="BW867" s="36" t="str">
        <f aca="false">IF(O867="","",IF(O867&gt;=150,"Yes","No"))</f>
        <v/>
      </c>
      <c r="BX867" s="36" t="str">
        <f aca="false">IF(O867="","",IF(O867&gt;=200,"Yes","No"))</f>
        <v/>
      </c>
      <c r="BY867" s="36" t="str">
        <f aca="false">IF(Q867="","",IF(Q867&gt;=150000,"Yes","No"))</f>
        <v/>
      </c>
      <c r="BZ867" s="36" t="str">
        <f aca="false">IF(Q867="","",IF(Q867&gt;=200000,"Yes","No"))</f>
        <v/>
      </c>
      <c r="CA867" s="36" t="str">
        <f aca="false">IF(Q867="","",IF(Q867&gt;=250000,"Yes","No"))</f>
        <v/>
      </c>
      <c r="CB867" s="36" t="str">
        <f aca="false">IF(Q867="","",IF(Q867&gt;=300000,"Yes","No"))</f>
        <v/>
      </c>
      <c r="CC867" s="37"/>
      <c r="CD867" s="36" t="str">
        <f aca="true">IF(B867="","",IF(TODAY()-B867&lt;=7,"🟢 0-7d",IF(TODAY()-B867&lt;=30,"🟡 8-30d",IF(TODAY()-B867&lt;=60,"🟠 31-60d","🔴 60d+"))))</f>
        <v/>
      </c>
      <c r="CE867" s="36" t="str">
        <f aca="false">IF(G867="","",IF(G867&lt;&gt;"USA","N/A - Not USA Role",IF(J867="Yes",IF(OR(F867="Intern",F867="New Grad"),"🟡 Possible","🟢 Strong"),IF(J867="No","🔴 Difficult","⚪ Unknown"))))</f>
        <v/>
      </c>
      <c r="CF867" s="37"/>
      <c r="CG867" s="37"/>
      <c r="CH867" s="38"/>
      <c r="CI867" s="38"/>
      <c r="CJ867" s="38"/>
      <c r="CK867" s="38"/>
    </row>
    <row r="868" customFormat="false" ht="15" hidden="false" customHeight="true" outlineLevel="0" collapsed="false">
      <c r="A868" s="26" t="str">
        <f aca="false">IF($C868="","",ROW()-3)</f>
        <v/>
      </c>
      <c r="B868" s="27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9"/>
      <c r="N868" s="29"/>
      <c r="O868" s="30" t="str">
        <f aca="false">IFERROR(IF(M868="","",M868*INDEX('00 - Lists'!$M$2:$M$11,MATCH(L868,'00 - Lists'!$L$2:$L$11,0))/100000),"")</f>
        <v/>
      </c>
      <c r="P868" s="30" t="str">
        <f aca="false">IFERROR(IF(N868="","",N868*INDEX('00 - Lists'!$M$2:$M$11,MATCH(L868,'00 - Lists'!$L$2:$L$11,0))/100000),"")</f>
        <v/>
      </c>
      <c r="Q868" s="31" t="str">
        <f aca="false">IFERROR(IF(M868="","",M868*INDEX('00 - Lists'!$N$2:$N$11,MATCH(L868,'00 - Lists'!$L$2:$L$11,0))),"")</f>
        <v/>
      </c>
      <c r="R868" s="31" t="str">
        <f aca="false">IFERROR(IF(N868="","",N868*INDEX('00 - Lists'!$N$2:$N$11,MATCH(L868,'00 - Lists'!$L$2:$L$11,0))),"")</f>
        <v/>
      </c>
      <c r="S868" s="32" t="str">
        <f aca="false">IF(O868="","",IF(O868&gt;=50,"Yes","No"))</f>
        <v/>
      </c>
      <c r="T868" s="32" t="str">
        <f aca="false">IF(Q868="","",IF(Q868&gt;=100000,"Yes","No"))</f>
        <v/>
      </c>
      <c r="U868" s="28"/>
      <c r="V868" s="28"/>
      <c r="W868" s="28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J868" s="34" t="str">
        <f aca="false">IF(OR($BD868&lt;&gt;"",$BF868&lt;&gt;"",$BH868&lt;&gt;""),"Yes","No")</f>
        <v>No</v>
      </c>
      <c r="BK868" s="35" t="str">
        <f aca="false">IFERROR(IF(BD868="","",BD868*INDEX('00 - Lists'!$M$2:$M$11,MATCH(L868,'00 - Lists'!$L$2:$L$11,0))/100000),"")</f>
        <v/>
      </c>
      <c r="BL868" s="35" t="str">
        <f aca="false">IFERROR(IF(BE868="","",BE868*INDEX('00 - Lists'!$M$2:$M$11,MATCH(L868,'00 - Lists'!$L$2:$L$11,0))/100000),"")</f>
        <v/>
      </c>
      <c r="BM868" s="35" t="str">
        <f aca="false">IFERROR(IF(BF868="","",BF868*INDEX('00 - Lists'!$M$2:$M$11,MATCH(L868,'00 - Lists'!$L$2:$L$11,0))/100000),"")</f>
        <v/>
      </c>
      <c r="BN868" s="35" t="str">
        <f aca="false">IFERROR(IF(BG868="","",BG868*INDEX('00 - Lists'!$M$2:$M$11,MATCH(L868,'00 - Lists'!$L$2:$L$11,0))/100000),"")</f>
        <v/>
      </c>
      <c r="BO868" s="35" t="str">
        <f aca="false">IFERROR(IF(BH868="","",BH868*INDEX('00 - Lists'!$M$2:$M$11,MATCH(L868,'00 - Lists'!$L$2:$L$11,0))/100000),"")</f>
        <v/>
      </c>
      <c r="BP868" s="35" t="str">
        <f aca="false">IFERROR(IF(BI868="","",BI868*INDEX('00 - Lists'!$M$2:$M$11,MATCH(L868,'00 - Lists'!$L$2:$L$11,0))/100000),"")</f>
        <v/>
      </c>
      <c r="BS868" s="36" t="str">
        <f aca="false">IF(O868="","",IF(O868&gt;=20,"Yes","No"))</f>
        <v/>
      </c>
      <c r="BT868" s="36" t="str">
        <f aca="false">IF(O868="","",IF(O868&gt;=30,"Yes","No"))</f>
        <v/>
      </c>
      <c r="BU868" s="36" t="str">
        <f aca="false">IF(O868="","",IF(O868&gt;=75,"Yes","No"))</f>
        <v/>
      </c>
      <c r="BV868" s="36" t="str">
        <f aca="false">IF(O868="","",IF(O868&gt;=100,"Yes","No"))</f>
        <v/>
      </c>
      <c r="BW868" s="36" t="str">
        <f aca="false">IF(O868="","",IF(O868&gt;=150,"Yes","No"))</f>
        <v/>
      </c>
      <c r="BX868" s="36" t="str">
        <f aca="false">IF(O868="","",IF(O868&gt;=200,"Yes","No"))</f>
        <v/>
      </c>
      <c r="BY868" s="36" t="str">
        <f aca="false">IF(Q868="","",IF(Q868&gt;=150000,"Yes","No"))</f>
        <v/>
      </c>
      <c r="BZ868" s="36" t="str">
        <f aca="false">IF(Q868="","",IF(Q868&gt;=200000,"Yes","No"))</f>
        <v/>
      </c>
      <c r="CA868" s="36" t="str">
        <f aca="false">IF(Q868="","",IF(Q868&gt;=250000,"Yes","No"))</f>
        <v/>
      </c>
      <c r="CB868" s="36" t="str">
        <f aca="false">IF(Q868="","",IF(Q868&gt;=300000,"Yes","No"))</f>
        <v/>
      </c>
      <c r="CC868" s="37"/>
      <c r="CD868" s="36" t="str">
        <f aca="true">IF(B868="","",IF(TODAY()-B868&lt;=7,"🟢 0-7d",IF(TODAY()-B868&lt;=30,"🟡 8-30d",IF(TODAY()-B868&lt;=60,"🟠 31-60d","🔴 60d+"))))</f>
        <v/>
      </c>
      <c r="CE868" s="36" t="str">
        <f aca="false">IF(G868="","",IF(G868&lt;&gt;"USA","N/A - Not USA Role",IF(J868="Yes",IF(OR(F868="Intern",F868="New Grad"),"🟡 Possible","🟢 Strong"),IF(J868="No","🔴 Difficult","⚪ Unknown"))))</f>
        <v/>
      </c>
      <c r="CF868" s="37"/>
      <c r="CG868" s="37"/>
      <c r="CH868" s="38"/>
      <c r="CI868" s="38"/>
      <c r="CJ868" s="38"/>
      <c r="CK868" s="38"/>
    </row>
    <row r="869" customFormat="false" ht="15" hidden="false" customHeight="true" outlineLevel="0" collapsed="false">
      <c r="A869" s="26" t="str">
        <f aca="false">IF($C869="","",ROW()-3)</f>
        <v/>
      </c>
      <c r="B869" s="27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9"/>
      <c r="N869" s="29"/>
      <c r="O869" s="30" t="str">
        <f aca="false">IFERROR(IF(M869="","",M869*INDEX('00 - Lists'!$M$2:$M$11,MATCH(L869,'00 - Lists'!$L$2:$L$11,0))/100000),"")</f>
        <v/>
      </c>
      <c r="P869" s="30" t="str">
        <f aca="false">IFERROR(IF(N869="","",N869*INDEX('00 - Lists'!$M$2:$M$11,MATCH(L869,'00 - Lists'!$L$2:$L$11,0))/100000),"")</f>
        <v/>
      </c>
      <c r="Q869" s="31" t="str">
        <f aca="false">IFERROR(IF(M869="","",M869*INDEX('00 - Lists'!$N$2:$N$11,MATCH(L869,'00 - Lists'!$L$2:$L$11,0))),"")</f>
        <v/>
      </c>
      <c r="R869" s="31" t="str">
        <f aca="false">IFERROR(IF(N869="","",N869*INDEX('00 - Lists'!$N$2:$N$11,MATCH(L869,'00 - Lists'!$L$2:$L$11,0))),"")</f>
        <v/>
      </c>
      <c r="S869" s="32" t="str">
        <f aca="false">IF(O869="","",IF(O869&gt;=50,"Yes","No"))</f>
        <v/>
      </c>
      <c r="T869" s="32" t="str">
        <f aca="false">IF(Q869="","",IF(Q869&gt;=100000,"Yes","No"))</f>
        <v/>
      </c>
      <c r="U869" s="28"/>
      <c r="V869" s="28"/>
      <c r="W869" s="28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J869" s="34" t="str">
        <f aca="false">IF(OR($BD869&lt;&gt;"",$BF869&lt;&gt;"",$BH869&lt;&gt;""),"Yes","No")</f>
        <v>No</v>
      </c>
      <c r="BK869" s="35" t="str">
        <f aca="false">IFERROR(IF(BD869="","",BD869*INDEX('00 - Lists'!$M$2:$M$11,MATCH(L869,'00 - Lists'!$L$2:$L$11,0))/100000),"")</f>
        <v/>
      </c>
      <c r="BL869" s="35" t="str">
        <f aca="false">IFERROR(IF(BE869="","",BE869*INDEX('00 - Lists'!$M$2:$M$11,MATCH(L869,'00 - Lists'!$L$2:$L$11,0))/100000),"")</f>
        <v/>
      </c>
      <c r="BM869" s="35" t="str">
        <f aca="false">IFERROR(IF(BF869="","",BF869*INDEX('00 - Lists'!$M$2:$M$11,MATCH(L869,'00 - Lists'!$L$2:$L$11,0))/100000),"")</f>
        <v/>
      </c>
      <c r="BN869" s="35" t="str">
        <f aca="false">IFERROR(IF(BG869="","",BG869*INDEX('00 - Lists'!$M$2:$M$11,MATCH(L869,'00 - Lists'!$L$2:$L$11,0))/100000),"")</f>
        <v/>
      </c>
      <c r="BO869" s="35" t="str">
        <f aca="false">IFERROR(IF(BH869="","",BH869*INDEX('00 - Lists'!$M$2:$M$11,MATCH(L869,'00 - Lists'!$L$2:$L$11,0))/100000),"")</f>
        <v/>
      </c>
      <c r="BP869" s="35" t="str">
        <f aca="false">IFERROR(IF(BI869="","",BI869*INDEX('00 - Lists'!$M$2:$M$11,MATCH(L869,'00 - Lists'!$L$2:$L$11,0))/100000),"")</f>
        <v/>
      </c>
      <c r="BS869" s="36" t="str">
        <f aca="false">IF(O869="","",IF(O869&gt;=20,"Yes","No"))</f>
        <v/>
      </c>
      <c r="BT869" s="36" t="str">
        <f aca="false">IF(O869="","",IF(O869&gt;=30,"Yes","No"))</f>
        <v/>
      </c>
      <c r="BU869" s="36" t="str">
        <f aca="false">IF(O869="","",IF(O869&gt;=75,"Yes","No"))</f>
        <v/>
      </c>
      <c r="BV869" s="36" t="str">
        <f aca="false">IF(O869="","",IF(O869&gt;=100,"Yes","No"))</f>
        <v/>
      </c>
      <c r="BW869" s="36" t="str">
        <f aca="false">IF(O869="","",IF(O869&gt;=150,"Yes","No"))</f>
        <v/>
      </c>
      <c r="BX869" s="36" t="str">
        <f aca="false">IF(O869="","",IF(O869&gt;=200,"Yes","No"))</f>
        <v/>
      </c>
      <c r="BY869" s="36" t="str">
        <f aca="false">IF(Q869="","",IF(Q869&gt;=150000,"Yes","No"))</f>
        <v/>
      </c>
      <c r="BZ869" s="36" t="str">
        <f aca="false">IF(Q869="","",IF(Q869&gt;=200000,"Yes","No"))</f>
        <v/>
      </c>
      <c r="CA869" s="36" t="str">
        <f aca="false">IF(Q869="","",IF(Q869&gt;=250000,"Yes","No"))</f>
        <v/>
      </c>
      <c r="CB869" s="36" t="str">
        <f aca="false">IF(Q869="","",IF(Q869&gt;=300000,"Yes","No"))</f>
        <v/>
      </c>
      <c r="CC869" s="37"/>
      <c r="CD869" s="36" t="str">
        <f aca="true">IF(B869="","",IF(TODAY()-B869&lt;=7,"🟢 0-7d",IF(TODAY()-B869&lt;=30,"🟡 8-30d",IF(TODAY()-B869&lt;=60,"🟠 31-60d","🔴 60d+"))))</f>
        <v/>
      </c>
      <c r="CE869" s="36" t="str">
        <f aca="false">IF(G869="","",IF(G869&lt;&gt;"USA","N/A - Not USA Role",IF(J869="Yes",IF(OR(F869="Intern",F869="New Grad"),"🟡 Possible","🟢 Strong"),IF(J869="No","🔴 Difficult","⚪ Unknown"))))</f>
        <v/>
      </c>
      <c r="CF869" s="37"/>
      <c r="CG869" s="37"/>
      <c r="CH869" s="38"/>
      <c r="CI869" s="38"/>
      <c r="CJ869" s="38"/>
      <c r="CK869" s="38"/>
    </row>
    <row r="870" customFormat="false" ht="15" hidden="false" customHeight="true" outlineLevel="0" collapsed="false">
      <c r="A870" s="26" t="str">
        <f aca="false">IF($C870="","",ROW()-3)</f>
        <v/>
      </c>
      <c r="B870" s="27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9"/>
      <c r="N870" s="29"/>
      <c r="O870" s="30" t="str">
        <f aca="false">IFERROR(IF(M870="","",M870*INDEX('00 - Lists'!$M$2:$M$11,MATCH(L870,'00 - Lists'!$L$2:$L$11,0))/100000),"")</f>
        <v/>
      </c>
      <c r="P870" s="30" t="str">
        <f aca="false">IFERROR(IF(N870="","",N870*INDEX('00 - Lists'!$M$2:$M$11,MATCH(L870,'00 - Lists'!$L$2:$L$11,0))/100000),"")</f>
        <v/>
      </c>
      <c r="Q870" s="31" t="str">
        <f aca="false">IFERROR(IF(M870="","",M870*INDEX('00 - Lists'!$N$2:$N$11,MATCH(L870,'00 - Lists'!$L$2:$L$11,0))),"")</f>
        <v/>
      </c>
      <c r="R870" s="31" t="str">
        <f aca="false">IFERROR(IF(N870="","",N870*INDEX('00 - Lists'!$N$2:$N$11,MATCH(L870,'00 - Lists'!$L$2:$L$11,0))),"")</f>
        <v/>
      </c>
      <c r="S870" s="32" t="str">
        <f aca="false">IF(O870="","",IF(O870&gt;=50,"Yes","No"))</f>
        <v/>
      </c>
      <c r="T870" s="32" t="str">
        <f aca="false">IF(Q870="","",IF(Q870&gt;=100000,"Yes","No"))</f>
        <v/>
      </c>
      <c r="U870" s="28"/>
      <c r="V870" s="28"/>
      <c r="W870" s="28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J870" s="34" t="str">
        <f aca="false">IF(OR($BD870&lt;&gt;"",$BF870&lt;&gt;"",$BH870&lt;&gt;""),"Yes","No")</f>
        <v>No</v>
      </c>
      <c r="BK870" s="35" t="str">
        <f aca="false">IFERROR(IF(BD870="","",BD870*INDEX('00 - Lists'!$M$2:$M$11,MATCH(L870,'00 - Lists'!$L$2:$L$11,0))/100000),"")</f>
        <v/>
      </c>
      <c r="BL870" s="35" t="str">
        <f aca="false">IFERROR(IF(BE870="","",BE870*INDEX('00 - Lists'!$M$2:$M$11,MATCH(L870,'00 - Lists'!$L$2:$L$11,0))/100000),"")</f>
        <v/>
      </c>
      <c r="BM870" s="35" t="str">
        <f aca="false">IFERROR(IF(BF870="","",BF870*INDEX('00 - Lists'!$M$2:$M$11,MATCH(L870,'00 - Lists'!$L$2:$L$11,0))/100000),"")</f>
        <v/>
      </c>
      <c r="BN870" s="35" t="str">
        <f aca="false">IFERROR(IF(BG870="","",BG870*INDEX('00 - Lists'!$M$2:$M$11,MATCH(L870,'00 - Lists'!$L$2:$L$11,0))/100000),"")</f>
        <v/>
      </c>
      <c r="BO870" s="35" t="str">
        <f aca="false">IFERROR(IF(BH870="","",BH870*INDEX('00 - Lists'!$M$2:$M$11,MATCH(L870,'00 - Lists'!$L$2:$L$11,0))/100000),"")</f>
        <v/>
      </c>
      <c r="BP870" s="35" t="str">
        <f aca="false">IFERROR(IF(BI870="","",BI870*INDEX('00 - Lists'!$M$2:$M$11,MATCH(L870,'00 - Lists'!$L$2:$L$11,0))/100000),"")</f>
        <v/>
      </c>
      <c r="BS870" s="36" t="str">
        <f aca="false">IF(O870="","",IF(O870&gt;=20,"Yes","No"))</f>
        <v/>
      </c>
      <c r="BT870" s="36" t="str">
        <f aca="false">IF(O870="","",IF(O870&gt;=30,"Yes","No"))</f>
        <v/>
      </c>
      <c r="BU870" s="36" t="str">
        <f aca="false">IF(O870="","",IF(O870&gt;=75,"Yes","No"))</f>
        <v/>
      </c>
      <c r="BV870" s="36" t="str">
        <f aca="false">IF(O870="","",IF(O870&gt;=100,"Yes","No"))</f>
        <v/>
      </c>
      <c r="BW870" s="36" t="str">
        <f aca="false">IF(O870="","",IF(O870&gt;=150,"Yes","No"))</f>
        <v/>
      </c>
      <c r="BX870" s="36" t="str">
        <f aca="false">IF(O870="","",IF(O870&gt;=200,"Yes","No"))</f>
        <v/>
      </c>
      <c r="BY870" s="36" t="str">
        <f aca="false">IF(Q870="","",IF(Q870&gt;=150000,"Yes","No"))</f>
        <v/>
      </c>
      <c r="BZ870" s="36" t="str">
        <f aca="false">IF(Q870="","",IF(Q870&gt;=200000,"Yes","No"))</f>
        <v/>
      </c>
      <c r="CA870" s="36" t="str">
        <f aca="false">IF(Q870="","",IF(Q870&gt;=250000,"Yes","No"))</f>
        <v/>
      </c>
      <c r="CB870" s="36" t="str">
        <f aca="false">IF(Q870="","",IF(Q870&gt;=300000,"Yes","No"))</f>
        <v/>
      </c>
      <c r="CC870" s="37"/>
      <c r="CD870" s="36" t="str">
        <f aca="true">IF(B870="","",IF(TODAY()-B870&lt;=7,"🟢 0-7d",IF(TODAY()-B870&lt;=30,"🟡 8-30d",IF(TODAY()-B870&lt;=60,"🟠 31-60d","🔴 60d+"))))</f>
        <v/>
      </c>
      <c r="CE870" s="36" t="str">
        <f aca="false">IF(G870="","",IF(G870&lt;&gt;"USA","N/A - Not USA Role",IF(J870="Yes",IF(OR(F870="Intern",F870="New Grad"),"🟡 Possible","🟢 Strong"),IF(J870="No","🔴 Difficult","⚪ Unknown"))))</f>
        <v/>
      </c>
      <c r="CF870" s="37"/>
      <c r="CG870" s="37"/>
      <c r="CH870" s="38"/>
      <c r="CI870" s="38"/>
      <c r="CJ870" s="38"/>
      <c r="CK870" s="38"/>
    </row>
    <row r="871" customFormat="false" ht="15" hidden="false" customHeight="true" outlineLevel="0" collapsed="false">
      <c r="A871" s="26" t="str">
        <f aca="false">IF($C871="","",ROW()-3)</f>
        <v/>
      </c>
      <c r="B871" s="27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9"/>
      <c r="N871" s="29"/>
      <c r="O871" s="30" t="str">
        <f aca="false">IFERROR(IF(M871="","",M871*INDEX('00 - Lists'!$M$2:$M$11,MATCH(L871,'00 - Lists'!$L$2:$L$11,0))/100000),"")</f>
        <v/>
      </c>
      <c r="P871" s="30" t="str">
        <f aca="false">IFERROR(IF(N871="","",N871*INDEX('00 - Lists'!$M$2:$M$11,MATCH(L871,'00 - Lists'!$L$2:$L$11,0))/100000),"")</f>
        <v/>
      </c>
      <c r="Q871" s="31" t="str">
        <f aca="false">IFERROR(IF(M871="","",M871*INDEX('00 - Lists'!$N$2:$N$11,MATCH(L871,'00 - Lists'!$L$2:$L$11,0))),"")</f>
        <v/>
      </c>
      <c r="R871" s="31" t="str">
        <f aca="false">IFERROR(IF(N871="","",N871*INDEX('00 - Lists'!$N$2:$N$11,MATCH(L871,'00 - Lists'!$L$2:$L$11,0))),"")</f>
        <v/>
      </c>
      <c r="S871" s="32" t="str">
        <f aca="false">IF(O871="","",IF(O871&gt;=50,"Yes","No"))</f>
        <v/>
      </c>
      <c r="T871" s="32" t="str">
        <f aca="false">IF(Q871="","",IF(Q871&gt;=100000,"Yes","No"))</f>
        <v/>
      </c>
      <c r="U871" s="28"/>
      <c r="V871" s="28"/>
      <c r="W871" s="28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J871" s="34" t="str">
        <f aca="false">IF(OR($BD871&lt;&gt;"",$BF871&lt;&gt;"",$BH871&lt;&gt;""),"Yes","No")</f>
        <v>No</v>
      </c>
      <c r="BK871" s="35" t="str">
        <f aca="false">IFERROR(IF(BD871="","",BD871*INDEX('00 - Lists'!$M$2:$M$11,MATCH(L871,'00 - Lists'!$L$2:$L$11,0))/100000),"")</f>
        <v/>
      </c>
      <c r="BL871" s="35" t="str">
        <f aca="false">IFERROR(IF(BE871="","",BE871*INDEX('00 - Lists'!$M$2:$M$11,MATCH(L871,'00 - Lists'!$L$2:$L$11,0))/100000),"")</f>
        <v/>
      </c>
      <c r="BM871" s="35" t="str">
        <f aca="false">IFERROR(IF(BF871="","",BF871*INDEX('00 - Lists'!$M$2:$M$11,MATCH(L871,'00 - Lists'!$L$2:$L$11,0))/100000),"")</f>
        <v/>
      </c>
      <c r="BN871" s="35" t="str">
        <f aca="false">IFERROR(IF(BG871="","",BG871*INDEX('00 - Lists'!$M$2:$M$11,MATCH(L871,'00 - Lists'!$L$2:$L$11,0))/100000),"")</f>
        <v/>
      </c>
      <c r="BO871" s="35" t="str">
        <f aca="false">IFERROR(IF(BH871="","",BH871*INDEX('00 - Lists'!$M$2:$M$11,MATCH(L871,'00 - Lists'!$L$2:$L$11,0))/100000),"")</f>
        <v/>
      </c>
      <c r="BP871" s="35" t="str">
        <f aca="false">IFERROR(IF(BI871="","",BI871*INDEX('00 - Lists'!$M$2:$M$11,MATCH(L871,'00 - Lists'!$L$2:$L$11,0))/100000),"")</f>
        <v/>
      </c>
      <c r="BS871" s="36" t="str">
        <f aca="false">IF(O871="","",IF(O871&gt;=20,"Yes","No"))</f>
        <v/>
      </c>
      <c r="BT871" s="36" t="str">
        <f aca="false">IF(O871="","",IF(O871&gt;=30,"Yes","No"))</f>
        <v/>
      </c>
      <c r="BU871" s="36" t="str">
        <f aca="false">IF(O871="","",IF(O871&gt;=75,"Yes","No"))</f>
        <v/>
      </c>
      <c r="BV871" s="36" t="str">
        <f aca="false">IF(O871="","",IF(O871&gt;=100,"Yes","No"))</f>
        <v/>
      </c>
      <c r="BW871" s="36" t="str">
        <f aca="false">IF(O871="","",IF(O871&gt;=150,"Yes","No"))</f>
        <v/>
      </c>
      <c r="BX871" s="36" t="str">
        <f aca="false">IF(O871="","",IF(O871&gt;=200,"Yes","No"))</f>
        <v/>
      </c>
      <c r="BY871" s="36" t="str">
        <f aca="false">IF(Q871="","",IF(Q871&gt;=150000,"Yes","No"))</f>
        <v/>
      </c>
      <c r="BZ871" s="36" t="str">
        <f aca="false">IF(Q871="","",IF(Q871&gt;=200000,"Yes","No"))</f>
        <v/>
      </c>
      <c r="CA871" s="36" t="str">
        <f aca="false">IF(Q871="","",IF(Q871&gt;=250000,"Yes","No"))</f>
        <v/>
      </c>
      <c r="CB871" s="36" t="str">
        <f aca="false">IF(Q871="","",IF(Q871&gt;=300000,"Yes","No"))</f>
        <v/>
      </c>
      <c r="CC871" s="37"/>
      <c r="CD871" s="36" t="str">
        <f aca="true">IF(B871="","",IF(TODAY()-B871&lt;=7,"🟢 0-7d",IF(TODAY()-B871&lt;=30,"🟡 8-30d",IF(TODAY()-B871&lt;=60,"🟠 31-60d","🔴 60d+"))))</f>
        <v/>
      </c>
      <c r="CE871" s="36" t="str">
        <f aca="false">IF(G871="","",IF(G871&lt;&gt;"USA","N/A - Not USA Role",IF(J871="Yes",IF(OR(F871="Intern",F871="New Grad"),"🟡 Possible","🟢 Strong"),IF(J871="No","🔴 Difficult","⚪ Unknown"))))</f>
        <v/>
      </c>
      <c r="CF871" s="37"/>
      <c r="CG871" s="37"/>
      <c r="CH871" s="38"/>
      <c r="CI871" s="38"/>
      <c r="CJ871" s="38"/>
      <c r="CK871" s="38"/>
    </row>
    <row r="872" customFormat="false" ht="15" hidden="false" customHeight="true" outlineLevel="0" collapsed="false">
      <c r="A872" s="26" t="str">
        <f aca="false">IF($C872="","",ROW()-3)</f>
        <v/>
      </c>
      <c r="B872" s="27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9"/>
      <c r="N872" s="29"/>
      <c r="O872" s="30" t="str">
        <f aca="false">IFERROR(IF(M872="","",M872*INDEX('00 - Lists'!$M$2:$M$11,MATCH(L872,'00 - Lists'!$L$2:$L$11,0))/100000),"")</f>
        <v/>
      </c>
      <c r="P872" s="30" t="str">
        <f aca="false">IFERROR(IF(N872="","",N872*INDEX('00 - Lists'!$M$2:$M$11,MATCH(L872,'00 - Lists'!$L$2:$L$11,0))/100000),"")</f>
        <v/>
      </c>
      <c r="Q872" s="31" t="str">
        <f aca="false">IFERROR(IF(M872="","",M872*INDEX('00 - Lists'!$N$2:$N$11,MATCH(L872,'00 - Lists'!$L$2:$L$11,0))),"")</f>
        <v/>
      </c>
      <c r="R872" s="31" t="str">
        <f aca="false">IFERROR(IF(N872="","",N872*INDEX('00 - Lists'!$N$2:$N$11,MATCH(L872,'00 - Lists'!$L$2:$L$11,0))),"")</f>
        <v/>
      </c>
      <c r="S872" s="32" t="str">
        <f aca="false">IF(O872="","",IF(O872&gt;=50,"Yes","No"))</f>
        <v/>
      </c>
      <c r="T872" s="32" t="str">
        <f aca="false">IF(Q872="","",IF(Q872&gt;=100000,"Yes","No"))</f>
        <v/>
      </c>
      <c r="U872" s="28"/>
      <c r="V872" s="28"/>
      <c r="W872" s="28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J872" s="34" t="str">
        <f aca="false">IF(OR($BD872&lt;&gt;"",$BF872&lt;&gt;"",$BH872&lt;&gt;""),"Yes","No")</f>
        <v>No</v>
      </c>
      <c r="BK872" s="35" t="str">
        <f aca="false">IFERROR(IF(BD872="","",BD872*INDEX('00 - Lists'!$M$2:$M$11,MATCH(L872,'00 - Lists'!$L$2:$L$11,0))/100000),"")</f>
        <v/>
      </c>
      <c r="BL872" s="35" t="str">
        <f aca="false">IFERROR(IF(BE872="","",BE872*INDEX('00 - Lists'!$M$2:$M$11,MATCH(L872,'00 - Lists'!$L$2:$L$11,0))/100000),"")</f>
        <v/>
      </c>
      <c r="BM872" s="35" t="str">
        <f aca="false">IFERROR(IF(BF872="","",BF872*INDEX('00 - Lists'!$M$2:$M$11,MATCH(L872,'00 - Lists'!$L$2:$L$11,0))/100000),"")</f>
        <v/>
      </c>
      <c r="BN872" s="35" t="str">
        <f aca="false">IFERROR(IF(BG872="","",BG872*INDEX('00 - Lists'!$M$2:$M$11,MATCH(L872,'00 - Lists'!$L$2:$L$11,0))/100000),"")</f>
        <v/>
      </c>
      <c r="BO872" s="35" t="str">
        <f aca="false">IFERROR(IF(BH872="","",BH872*INDEX('00 - Lists'!$M$2:$M$11,MATCH(L872,'00 - Lists'!$L$2:$L$11,0))/100000),"")</f>
        <v/>
      </c>
      <c r="BP872" s="35" t="str">
        <f aca="false">IFERROR(IF(BI872="","",BI872*INDEX('00 - Lists'!$M$2:$M$11,MATCH(L872,'00 - Lists'!$L$2:$L$11,0))/100000),"")</f>
        <v/>
      </c>
      <c r="BS872" s="36" t="str">
        <f aca="false">IF(O872="","",IF(O872&gt;=20,"Yes","No"))</f>
        <v/>
      </c>
      <c r="BT872" s="36" t="str">
        <f aca="false">IF(O872="","",IF(O872&gt;=30,"Yes","No"))</f>
        <v/>
      </c>
      <c r="BU872" s="36" t="str">
        <f aca="false">IF(O872="","",IF(O872&gt;=75,"Yes","No"))</f>
        <v/>
      </c>
      <c r="BV872" s="36" t="str">
        <f aca="false">IF(O872="","",IF(O872&gt;=100,"Yes","No"))</f>
        <v/>
      </c>
      <c r="BW872" s="36" t="str">
        <f aca="false">IF(O872="","",IF(O872&gt;=150,"Yes","No"))</f>
        <v/>
      </c>
      <c r="BX872" s="36" t="str">
        <f aca="false">IF(O872="","",IF(O872&gt;=200,"Yes","No"))</f>
        <v/>
      </c>
      <c r="BY872" s="36" t="str">
        <f aca="false">IF(Q872="","",IF(Q872&gt;=150000,"Yes","No"))</f>
        <v/>
      </c>
      <c r="BZ872" s="36" t="str">
        <f aca="false">IF(Q872="","",IF(Q872&gt;=200000,"Yes","No"))</f>
        <v/>
      </c>
      <c r="CA872" s="36" t="str">
        <f aca="false">IF(Q872="","",IF(Q872&gt;=250000,"Yes","No"))</f>
        <v/>
      </c>
      <c r="CB872" s="36" t="str">
        <f aca="false">IF(Q872="","",IF(Q872&gt;=300000,"Yes","No"))</f>
        <v/>
      </c>
      <c r="CC872" s="37"/>
      <c r="CD872" s="36" t="str">
        <f aca="true">IF(B872="","",IF(TODAY()-B872&lt;=7,"🟢 0-7d",IF(TODAY()-B872&lt;=30,"🟡 8-30d",IF(TODAY()-B872&lt;=60,"🟠 31-60d","🔴 60d+"))))</f>
        <v/>
      </c>
      <c r="CE872" s="36" t="str">
        <f aca="false">IF(G872="","",IF(G872&lt;&gt;"USA","N/A - Not USA Role",IF(J872="Yes",IF(OR(F872="Intern",F872="New Grad"),"🟡 Possible","🟢 Strong"),IF(J872="No","🔴 Difficult","⚪ Unknown"))))</f>
        <v/>
      </c>
      <c r="CF872" s="37"/>
      <c r="CG872" s="37"/>
      <c r="CH872" s="38"/>
      <c r="CI872" s="38"/>
      <c r="CJ872" s="38"/>
      <c r="CK872" s="38"/>
    </row>
    <row r="873" customFormat="false" ht="15" hidden="false" customHeight="true" outlineLevel="0" collapsed="false">
      <c r="A873" s="26" t="str">
        <f aca="false">IF($C873="","",ROW()-3)</f>
        <v/>
      </c>
      <c r="B873" s="27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9"/>
      <c r="N873" s="29"/>
      <c r="O873" s="30" t="str">
        <f aca="false">IFERROR(IF(M873="","",M873*INDEX('00 - Lists'!$M$2:$M$11,MATCH(L873,'00 - Lists'!$L$2:$L$11,0))/100000),"")</f>
        <v/>
      </c>
      <c r="P873" s="30" t="str">
        <f aca="false">IFERROR(IF(N873="","",N873*INDEX('00 - Lists'!$M$2:$M$11,MATCH(L873,'00 - Lists'!$L$2:$L$11,0))/100000),"")</f>
        <v/>
      </c>
      <c r="Q873" s="31" t="str">
        <f aca="false">IFERROR(IF(M873="","",M873*INDEX('00 - Lists'!$N$2:$N$11,MATCH(L873,'00 - Lists'!$L$2:$L$11,0))),"")</f>
        <v/>
      </c>
      <c r="R873" s="31" t="str">
        <f aca="false">IFERROR(IF(N873="","",N873*INDEX('00 - Lists'!$N$2:$N$11,MATCH(L873,'00 - Lists'!$L$2:$L$11,0))),"")</f>
        <v/>
      </c>
      <c r="S873" s="32" t="str">
        <f aca="false">IF(O873="","",IF(O873&gt;=50,"Yes","No"))</f>
        <v/>
      </c>
      <c r="T873" s="32" t="str">
        <f aca="false">IF(Q873="","",IF(Q873&gt;=100000,"Yes","No"))</f>
        <v/>
      </c>
      <c r="U873" s="28"/>
      <c r="V873" s="28"/>
      <c r="W873" s="28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J873" s="34" t="str">
        <f aca="false">IF(OR($BD873&lt;&gt;"",$BF873&lt;&gt;"",$BH873&lt;&gt;""),"Yes","No")</f>
        <v>No</v>
      </c>
      <c r="BK873" s="35" t="str">
        <f aca="false">IFERROR(IF(BD873="","",BD873*INDEX('00 - Lists'!$M$2:$M$11,MATCH(L873,'00 - Lists'!$L$2:$L$11,0))/100000),"")</f>
        <v/>
      </c>
      <c r="BL873" s="35" t="str">
        <f aca="false">IFERROR(IF(BE873="","",BE873*INDEX('00 - Lists'!$M$2:$M$11,MATCH(L873,'00 - Lists'!$L$2:$L$11,0))/100000),"")</f>
        <v/>
      </c>
      <c r="BM873" s="35" t="str">
        <f aca="false">IFERROR(IF(BF873="","",BF873*INDEX('00 - Lists'!$M$2:$M$11,MATCH(L873,'00 - Lists'!$L$2:$L$11,0))/100000),"")</f>
        <v/>
      </c>
      <c r="BN873" s="35" t="str">
        <f aca="false">IFERROR(IF(BG873="","",BG873*INDEX('00 - Lists'!$M$2:$M$11,MATCH(L873,'00 - Lists'!$L$2:$L$11,0))/100000),"")</f>
        <v/>
      </c>
      <c r="BO873" s="35" t="str">
        <f aca="false">IFERROR(IF(BH873="","",BH873*INDEX('00 - Lists'!$M$2:$M$11,MATCH(L873,'00 - Lists'!$L$2:$L$11,0))/100000),"")</f>
        <v/>
      </c>
      <c r="BP873" s="35" t="str">
        <f aca="false">IFERROR(IF(BI873="","",BI873*INDEX('00 - Lists'!$M$2:$M$11,MATCH(L873,'00 - Lists'!$L$2:$L$11,0))/100000),"")</f>
        <v/>
      </c>
      <c r="BS873" s="36" t="str">
        <f aca="false">IF(O873="","",IF(O873&gt;=20,"Yes","No"))</f>
        <v/>
      </c>
      <c r="BT873" s="36" t="str">
        <f aca="false">IF(O873="","",IF(O873&gt;=30,"Yes","No"))</f>
        <v/>
      </c>
      <c r="BU873" s="36" t="str">
        <f aca="false">IF(O873="","",IF(O873&gt;=75,"Yes","No"))</f>
        <v/>
      </c>
      <c r="BV873" s="36" t="str">
        <f aca="false">IF(O873="","",IF(O873&gt;=100,"Yes","No"))</f>
        <v/>
      </c>
      <c r="BW873" s="36" t="str">
        <f aca="false">IF(O873="","",IF(O873&gt;=150,"Yes","No"))</f>
        <v/>
      </c>
      <c r="BX873" s="36" t="str">
        <f aca="false">IF(O873="","",IF(O873&gt;=200,"Yes","No"))</f>
        <v/>
      </c>
      <c r="BY873" s="36" t="str">
        <f aca="false">IF(Q873="","",IF(Q873&gt;=150000,"Yes","No"))</f>
        <v/>
      </c>
      <c r="BZ873" s="36" t="str">
        <f aca="false">IF(Q873="","",IF(Q873&gt;=200000,"Yes","No"))</f>
        <v/>
      </c>
      <c r="CA873" s="36" t="str">
        <f aca="false">IF(Q873="","",IF(Q873&gt;=250000,"Yes","No"))</f>
        <v/>
      </c>
      <c r="CB873" s="36" t="str">
        <f aca="false">IF(Q873="","",IF(Q873&gt;=300000,"Yes","No"))</f>
        <v/>
      </c>
      <c r="CC873" s="37"/>
      <c r="CD873" s="36" t="str">
        <f aca="true">IF(B873="","",IF(TODAY()-B873&lt;=7,"🟢 0-7d",IF(TODAY()-B873&lt;=30,"🟡 8-30d",IF(TODAY()-B873&lt;=60,"🟠 31-60d","🔴 60d+"))))</f>
        <v/>
      </c>
      <c r="CE873" s="36" t="str">
        <f aca="false">IF(G873="","",IF(G873&lt;&gt;"USA","N/A - Not USA Role",IF(J873="Yes",IF(OR(F873="Intern",F873="New Grad"),"🟡 Possible","🟢 Strong"),IF(J873="No","🔴 Difficult","⚪ Unknown"))))</f>
        <v/>
      </c>
      <c r="CF873" s="37"/>
      <c r="CG873" s="37"/>
      <c r="CH873" s="38"/>
      <c r="CI873" s="38"/>
      <c r="CJ873" s="38"/>
      <c r="CK873" s="38"/>
    </row>
    <row r="874" customFormat="false" ht="15" hidden="false" customHeight="true" outlineLevel="0" collapsed="false">
      <c r="A874" s="26" t="str">
        <f aca="false">IF($C874="","",ROW()-3)</f>
        <v/>
      </c>
      <c r="B874" s="27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9"/>
      <c r="N874" s="29"/>
      <c r="O874" s="30" t="str">
        <f aca="false">IFERROR(IF(M874="","",M874*INDEX('00 - Lists'!$M$2:$M$11,MATCH(L874,'00 - Lists'!$L$2:$L$11,0))/100000),"")</f>
        <v/>
      </c>
      <c r="P874" s="30" t="str">
        <f aca="false">IFERROR(IF(N874="","",N874*INDEX('00 - Lists'!$M$2:$M$11,MATCH(L874,'00 - Lists'!$L$2:$L$11,0))/100000),"")</f>
        <v/>
      </c>
      <c r="Q874" s="31" t="str">
        <f aca="false">IFERROR(IF(M874="","",M874*INDEX('00 - Lists'!$N$2:$N$11,MATCH(L874,'00 - Lists'!$L$2:$L$11,0))),"")</f>
        <v/>
      </c>
      <c r="R874" s="31" t="str">
        <f aca="false">IFERROR(IF(N874="","",N874*INDEX('00 - Lists'!$N$2:$N$11,MATCH(L874,'00 - Lists'!$L$2:$L$11,0))),"")</f>
        <v/>
      </c>
      <c r="S874" s="32" t="str">
        <f aca="false">IF(O874="","",IF(O874&gt;=50,"Yes","No"))</f>
        <v/>
      </c>
      <c r="T874" s="32" t="str">
        <f aca="false">IF(Q874="","",IF(Q874&gt;=100000,"Yes","No"))</f>
        <v/>
      </c>
      <c r="U874" s="28"/>
      <c r="V874" s="28"/>
      <c r="W874" s="28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J874" s="34" t="str">
        <f aca="false">IF(OR($BD874&lt;&gt;"",$BF874&lt;&gt;"",$BH874&lt;&gt;""),"Yes","No")</f>
        <v>No</v>
      </c>
      <c r="BK874" s="35" t="str">
        <f aca="false">IFERROR(IF(BD874="","",BD874*INDEX('00 - Lists'!$M$2:$M$11,MATCH(L874,'00 - Lists'!$L$2:$L$11,0))/100000),"")</f>
        <v/>
      </c>
      <c r="BL874" s="35" t="str">
        <f aca="false">IFERROR(IF(BE874="","",BE874*INDEX('00 - Lists'!$M$2:$M$11,MATCH(L874,'00 - Lists'!$L$2:$L$11,0))/100000),"")</f>
        <v/>
      </c>
      <c r="BM874" s="35" t="str">
        <f aca="false">IFERROR(IF(BF874="","",BF874*INDEX('00 - Lists'!$M$2:$M$11,MATCH(L874,'00 - Lists'!$L$2:$L$11,0))/100000),"")</f>
        <v/>
      </c>
      <c r="BN874" s="35" t="str">
        <f aca="false">IFERROR(IF(BG874="","",BG874*INDEX('00 - Lists'!$M$2:$M$11,MATCH(L874,'00 - Lists'!$L$2:$L$11,0))/100000),"")</f>
        <v/>
      </c>
      <c r="BO874" s="35" t="str">
        <f aca="false">IFERROR(IF(BH874="","",BH874*INDEX('00 - Lists'!$M$2:$M$11,MATCH(L874,'00 - Lists'!$L$2:$L$11,0))/100000),"")</f>
        <v/>
      </c>
      <c r="BP874" s="35" t="str">
        <f aca="false">IFERROR(IF(BI874="","",BI874*INDEX('00 - Lists'!$M$2:$M$11,MATCH(L874,'00 - Lists'!$L$2:$L$11,0))/100000),"")</f>
        <v/>
      </c>
      <c r="BS874" s="36" t="str">
        <f aca="false">IF(O874="","",IF(O874&gt;=20,"Yes","No"))</f>
        <v/>
      </c>
      <c r="BT874" s="36" t="str">
        <f aca="false">IF(O874="","",IF(O874&gt;=30,"Yes","No"))</f>
        <v/>
      </c>
      <c r="BU874" s="36" t="str">
        <f aca="false">IF(O874="","",IF(O874&gt;=75,"Yes","No"))</f>
        <v/>
      </c>
      <c r="BV874" s="36" t="str">
        <f aca="false">IF(O874="","",IF(O874&gt;=100,"Yes","No"))</f>
        <v/>
      </c>
      <c r="BW874" s="36" t="str">
        <f aca="false">IF(O874="","",IF(O874&gt;=150,"Yes","No"))</f>
        <v/>
      </c>
      <c r="BX874" s="36" t="str">
        <f aca="false">IF(O874="","",IF(O874&gt;=200,"Yes","No"))</f>
        <v/>
      </c>
      <c r="BY874" s="36" t="str">
        <f aca="false">IF(Q874="","",IF(Q874&gt;=150000,"Yes","No"))</f>
        <v/>
      </c>
      <c r="BZ874" s="36" t="str">
        <f aca="false">IF(Q874="","",IF(Q874&gt;=200000,"Yes","No"))</f>
        <v/>
      </c>
      <c r="CA874" s="36" t="str">
        <f aca="false">IF(Q874="","",IF(Q874&gt;=250000,"Yes","No"))</f>
        <v/>
      </c>
      <c r="CB874" s="36" t="str">
        <f aca="false">IF(Q874="","",IF(Q874&gt;=300000,"Yes","No"))</f>
        <v/>
      </c>
      <c r="CC874" s="37"/>
      <c r="CD874" s="36" t="str">
        <f aca="true">IF(B874="","",IF(TODAY()-B874&lt;=7,"🟢 0-7d",IF(TODAY()-B874&lt;=30,"🟡 8-30d",IF(TODAY()-B874&lt;=60,"🟠 31-60d","🔴 60d+"))))</f>
        <v/>
      </c>
      <c r="CE874" s="36" t="str">
        <f aca="false">IF(G874="","",IF(G874&lt;&gt;"USA","N/A - Not USA Role",IF(J874="Yes",IF(OR(F874="Intern",F874="New Grad"),"🟡 Possible","🟢 Strong"),IF(J874="No","🔴 Difficult","⚪ Unknown"))))</f>
        <v/>
      </c>
      <c r="CF874" s="37"/>
      <c r="CG874" s="37"/>
      <c r="CH874" s="38"/>
      <c r="CI874" s="38"/>
      <c r="CJ874" s="38"/>
      <c r="CK874" s="38"/>
    </row>
    <row r="875" customFormat="false" ht="15" hidden="false" customHeight="true" outlineLevel="0" collapsed="false">
      <c r="A875" s="26" t="str">
        <f aca="false">IF($C875="","",ROW()-3)</f>
        <v/>
      </c>
      <c r="B875" s="27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9"/>
      <c r="N875" s="29"/>
      <c r="O875" s="30" t="str">
        <f aca="false">IFERROR(IF(M875="","",M875*INDEX('00 - Lists'!$M$2:$M$11,MATCH(L875,'00 - Lists'!$L$2:$L$11,0))/100000),"")</f>
        <v/>
      </c>
      <c r="P875" s="30" t="str">
        <f aca="false">IFERROR(IF(N875="","",N875*INDEX('00 - Lists'!$M$2:$M$11,MATCH(L875,'00 - Lists'!$L$2:$L$11,0))/100000),"")</f>
        <v/>
      </c>
      <c r="Q875" s="31" t="str">
        <f aca="false">IFERROR(IF(M875="","",M875*INDEX('00 - Lists'!$N$2:$N$11,MATCH(L875,'00 - Lists'!$L$2:$L$11,0))),"")</f>
        <v/>
      </c>
      <c r="R875" s="31" t="str">
        <f aca="false">IFERROR(IF(N875="","",N875*INDEX('00 - Lists'!$N$2:$N$11,MATCH(L875,'00 - Lists'!$L$2:$L$11,0))),"")</f>
        <v/>
      </c>
      <c r="S875" s="32" t="str">
        <f aca="false">IF(O875="","",IF(O875&gt;=50,"Yes","No"))</f>
        <v/>
      </c>
      <c r="T875" s="32" t="str">
        <f aca="false">IF(Q875="","",IF(Q875&gt;=100000,"Yes","No"))</f>
        <v/>
      </c>
      <c r="U875" s="28"/>
      <c r="V875" s="28"/>
      <c r="W875" s="28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J875" s="34" t="str">
        <f aca="false">IF(OR($BD875&lt;&gt;"",$BF875&lt;&gt;"",$BH875&lt;&gt;""),"Yes","No")</f>
        <v>No</v>
      </c>
      <c r="BK875" s="35" t="str">
        <f aca="false">IFERROR(IF(BD875="","",BD875*INDEX('00 - Lists'!$M$2:$M$11,MATCH(L875,'00 - Lists'!$L$2:$L$11,0))/100000),"")</f>
        <v/>
      </c>
      <c r="BL875" s="35" t="str">
        <f aca="false">IFERROR(IF(BE875="","",BE875*INDEX('00 - Lists'!$M$2:$M$11,MATCH(L875,'00 - Lists'!$L$2:$L$11,0))/100000),"")</f>
        <v/>
      </c>
      <c r="BM875" s="35" t="str">
        <f aca="false">IFERROR(IF(BF875="","",BF875*INDEX('00 - Lists'!$M$2:$M$11,MATCH(L875,'00 - Lists'!$L$2:$L$11,0))/100000),"")</f>
        <v/>
      </c>
      <c r="BN875" s="35" t="str">
        <f aca="false">IFERROR(IF(BG875="","",BG875*INDEX('00 - Lists'!$M$2:$M$11,MATCH(L875,'00 - Lists'!$L$2:$L$11,0))/100000),"")</f>
        <v/>
      </c>
      <c r="BO875" s="35" t="str">
        <f aca="false">IFERROR(IF(BH875="","",BH875*INDEX('00 - Lists'!$M$2:$M$11,MATCH(L875,'00 - Lists'!$L$2:$L$11,0))/100000),"")</f>
        <v/>
      </c>
      <c r="BP875" s="35" t="str">
        <f aca="false">IFERROR(IF(BI875="","",BI875*INDEX('00 - Lists'!$M$2:$M$11,MATCH(L875,'00 - Lists'!$L$2:$L$11,0))/100000),"")</f>
        <v/>
      </c>
      <c r="BS875" s="36" t="str">
        <f aca="false">IF(O875="","",IF(O875&gt;=20,"Yes","No"))</f>
        <v/>
      </c>
      <c r="BT875" s="36" t="str">
        <f aca="false">IF(O875="","",IF(O875&gt;=30,"Yes","No"))</f>
        <v/>
      </c>
      <c r="BU875" s="36" t="str">
        <f aca="false">IF(O875="","",IF(O875&gt;=75,"Yes","No"))</f>
        <v/>
      </c>
      <c r="BV875" s="36" t="str">
        <f aca="false">IF(O875="","",IF(O875&gt;=100,"Yes","No"))</f>
        <v/>
      </c>
      <c r="BW875" s="36" t="str">
        <f aca="false">IF(O875="","",IF(O875&gt;=150,"Yes","No"))</f>
        <v/>
      </c>
      <c r="BX875" s="36" t="str">
        <f aca="false">IF(O875="","",IF(O875&gt;=200,"Yes","No"))</f>
        <v/>
      </c>
      <c r="BY875" s="36" t="str">
        <f aca="false">IF(Q875="","",IF(Q875&gt;=150000,"Yes","No"))</f>
        <v/>
      </c>
      <c r="BZ875" s="36" t="str">
        <f aca="false">IF(Q875="","",IF(Q875&gt;=200000,"Yes","No"))</f>
        <v/>
      </c>
      <c r="CA875" s="36" t="str">
        <f aca="false">IF(Q875="","",IF(Q875&gt;=250000,"Yes","No"))</f>
        <v/>
      </c>
      <c r="CB875" s="36" t="str">
        <f aca="false">IF(Q875="","",IF(Q875&gt;=300000,"Yes","No"))</f>
        <v/>
      </c>
      <c r="CC875" s="37"/>
      <c r="CD875" s="36" t="str">
        <f aca="true">IF(B875="","",IF(TODAY()-B875&lt;=7,"🟢 0-7d",IF(TODAY()-B875&lt;=30,"🟡 8-30d",IF(TODAY()-B875&lt;=60,"🟠 31-60d","🔴 60d+"))))</f>
        <v/>
      </c>
      <c r="CE875" s="36" t="str">
        <f aca="false">IF(G875="","",IF(G875&lt;&gt;"USA","N/A - Not USA Role",IF(J875="Yes",IF(OR(F875="Intern",F875="New Grad"),"🟡 Possible","🟢 Strong"),IF(J875="No","🔴 Difficult","⚪ Unknown"))))</f>
        <v/>
      </c>
      <c r="CF875" s="37"/>
      <c r="CG875" s="37"/>
      <c r="CH875" s="38"/>
      <c r="CI875" s="38"/>
      <c r="CJ875" s="38"/>
      <c r="CK875" s="38"/>
    </row>
    <row r="876" customFormat="false" ht="15" hidden="false" customHeight="true" outlineLevel="0" collapsed="false">
      <c r="A876" s="26" t="str">
        <f aca="false">IF($C876="","",ROW()-3)</f>
        <v/>
      </c>
      <c r="B876" s="27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9"/>
      <c r="N876" s="29"/>
      <c r="O876" s="30" t="str">
        <f aca="false">IFERROR(IF(M876="","",M876*INDEX('00 - Lists'!$M$2:$M$11,MATCH(L876,'00 - Lists'!$L$2:$L$11,0))/100000),"")</f>
        <v/>
      </c>
      <c r="P876" s="30" t="str">
        <f aca="false">IFERROR(IF(N876="","",N876*INDEX('00 - Lists'!$M$2:$M$11,MATCH(L876,'00 - Lists'!$L$2:$L$11,0))/100000),"")</f>
        <v/>
      </c>
      <c r="Q876" s="31" t="str">
        <f aca="false">IFERROR(IF(M876="","",M876*INDEX('00 - Lists'!$N$2:$N$11,MATCH(L876,'00 - Lists'!$L$2:$L$11,0))),"")</f>
        <v/>
      </c>
      <c r="R876" s="31" t="str">
        <f aca="false">IFERROR(IF(N876="","",N876*INDEX('00 - Lists'!$N$2:$N$11,MATCH(L876,'00 - Lists'!$L$2:$L$11,0))),"")</f>
        <v/>
      </c>
      <c r="S876" s="32" t="str">
        <f aca="false">IF(O876="","",IF(O876&gt;=50,"Yes","No"))</f>
        <v/>
      </c>
      <c r="T876" s="32" t="str">
        <f aca="false">IF(Q876="","",IF(Q876&gt;=100000,"Yes","No"))</f>
        <v/>
      </c>
      <c r="U876" s="28"/>
      <c r="V876" s="28"/>
      <c r="W876" s="28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J876" s="34" t="str">
        <f aca="false">IF(OR($BD876&lt;&gt;"",$BF876&lt;&gt;"",$BH876&lt;&gt;""),"Yes","No")</f>
        <v>No</v>
      </c>
      <c r="BK876" s="35" t="str">
        <f aca="false">IFERROR(IF(BD876="","",BD876*INDEX('00 - Lists'!$M$2:$M$11,MATCH(L876,'00 - Lists'!$L$2:$L$11,0))/100000),"")</f>
        <v/>
      </c>
      <c r="BL876" s="35" t="str">
        <f aca="false">IFERROR(IF(BE876="","",BE876*INDEX('00 - Lists'!$M$2:$M$11,MATCH(L876,'00 - Lists'!$L$2:$L$11,0))/100000),"")</f>
        <v/>
      </c>
      <c r="BM876" s="35" t="str">
        <f aca="false">IFERROR(IF(BF876="","",BF876*INDEX('00 - Lists'!$M$2:$M$11,MATCH(L876,'00 - Lists'!$L$2:$L$11,0))/100000),"")</f>
        <v/>
      </c>
      <c r="BN876" s="35" t="str">
        <f aca="false">IFERROR(IF(BG876="","",BG876*INDEX('00 - Lists'!$M$2:$M$11,MATCH(L876,'00 - Lists'!$L$2:$L$11,0))/100000),"")</f>
        <v/>
      </c>
      <c r="BO876" s="35" t="str">
        <f aca="false">IFERROR(IF(BH876="","",BH876*INDEX('00 - Lists'!$M$2:$M$11,MATCH(L876,'00 - Lists'!$L$2:$L$11,0))/100000),"")</f>
        <v/>
      </c>
      <c r="BP876" s="35" t="str">
        <f aca="false">IFERROR(IF(BI876="","",BI876*INDEX('00 - Lists'!$M$2:$M$11,MATCH(L876,'00 - Lists'!$L$2:$L$11,0))/100000),"")</f>
        <v/>
      </c>
      <c r="BS876" s="36" t="str">
        <f aca="false">IF(O876="","",IF(O876&gt;=20,"Yes","No"))</f>
        <v/>
      </c>
      <c r="BT876" s="36" t="str">
        <f aca="false">IF(O876="","",IF(O876&gt;=30,"Yes","No"))</f>
        <v/>
      </c>
      <c r="BU876" s="36" t="str">
        <f aca="false">IF(O876="","",IF(O876&gt;=75,"Yes","No"))</f>
        <v/>
      </c>
      <c r="BV876" s="36" t="str">
        <f aca="false">IF(O876="","",IF(O876&gt;=100,"Yes","No"))</f>
        <v/>
      </c>
      <c r="BW876" s="36" t="str">
        <f aca="false">IF(O876="","",IF(O876&gt;=150,"Yes","No"))</f>
        <v/>
      </c>
      <c r="BX876" s="36" t="str">
        <f aca="false">IF(O876="","",IF(O876&gt;=200,"Yes","No"))</f>
        <v/>
      </c>
      <c r="BY876" s="36" t="str">
        <f aca="false">IF(Q876="","",IF(Q876&gt;=150000,"Yes","No"))</f>
        <v/>
      </c>
      <c r="BZ876" s="36" t="str">
        <f aca="false">IF(Q876="","",IF(Q876&gt;=200000,"Yes","No"))</f>
        <v/>
      </c>
      <c r="CA876" s="36" t="str">
        <f aca="false">IF(Q876="","",IF(Q876&gt;=250000,"Yes","No"))</f>
        <v/>
      </c>
      <c r="CB876" s="36" t="str">
        <f aca="false">IF(Q876="","",IF(Q876&gt;=300000,"Yes","No"))</f>
        <v/>
      </c>
      <c r="CC876" s="37"/>
      <c r="CD876" s="36" t="str">
        <f aca="true">IF(B876="","",IF(TODAY()-B876&lt;=7,"🟢 0-7d",IF(TODAY()-B876&lt;=30,"🟡 8-30d",IF(TODAY()-B876&lt;=60,"🟠 31-60d","🔴 60d+"))))</f>
        <v/>
      </c>
      <c r="CE876" s="36" t="str">
        <f aca="false">IF(G876="","",IF(G876&lt;&gt;"USA","N/A - Not USA Role",IF(J876="Yes",IF(OR(F876="Intern",F876="New Grad"),"🟡 Possible","🟢 Strong"),IF(J876="No","🔴 Difficult","⚪ Unknown"))))</f>
        <v/>
      </c>
      <c r="CF876" s="37"/>
      <c r="CG876" s="37"/>
      <c r="CH876" s="38"/>
      <c r="CI876" s="38"/>
      <c r="CJ876" s="38"/>
      <c r="CK876" s="38"/>
    </row>
    <row r="877" customFormat="false" ht="15" hidden="false" customHeight="true" outlineLevel="0" collapsed="false">
      <c r="A877" s="26" t="str">
        <f aca="false">IF($C877="","",ROW()-3)</f>
        <v/>
      </c>
      <c r="B877" s="27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9"/>
      <c r="N877" s="29"/>
      <c r="O877" s="30" t="str">
        <f aca="false">IFERROR(IF(M877="","",M877*INDEX('00 - Lists'!$M$2:$M$11,MATCH(L877,'00 - Lists'!$L$2:$L$11,0))/100000),"")</f>
        <v/>
      </c>
      <c r="P877" s="30" t="str">
        <f aca="false">IFERROR(IF(N877="","",N877*INDEX('00 - Lists'!$M$2:$M$11,MATCH(L877,'00 - Lists'!$L$2:$L$11,0))/100000),"")</f>
        <v/>
      </c>
      <c r="Q877" s="31" t="str">
        <f aca="false">IFERROR(IF(M877="","",M877*INDEX('00 - Lists'!$N$2:$N$11,MATCH(L877,'00 - Lists'!$L$2:$L$11,0))),"")</f>
        <v/>
      </c>
      <c r="R877" s="31" t="str">
        <f aca="false">IFERROR(IF(N877="","",N877*INDEX('00 - Lists'!$N$2:$N$11,MATCH(L877,'00 - Lists'!$L$2:$L$11,0))),"")</f>
        <v/>
      </c>
      <c r="S877" s="32" t="str">
        <f aca="false">IF(O877="","",IF(O877&gt;=50,"Yes","No"))</f>
        <v/>
      </c>
      <c r="T877" s="32" t="str">
        <f aca="false">IF(Q877="","",IF(Q877&gt;=100000,"Yes","No"))</f>
        <v/>
      </c>
      <c r="U877" s="28"/>
      <c r="V877" s="28"/>
      <c r="W877" s="28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J877" s="34" t="str">
        <f aca="false">IF(OR($BD877&lt;&gt;"",$BF877&lt;&gt;"",$BH877&lt;&gt;""),"Yes","No")</f>
        <v>No</v>
      </c>
      <c r="BK877" s="35" t="str">
        <f aca="false">IFERROR(IF(BD877="","",BD877*INDEX('00 - Lists'!$M$2:$M$11,MATCH(L877,'00 - Lists'!$L$2:$L$11,0))/100000),"")</f>
        <v/>
      </c>
      <c r="BL877" s="35" t="str">
        <f aca="false">IFERROR(IF(BE877="","",BE877*INDEX('00 - Lists'!$M$2:$M$11,MATCH(L877,'00 - Lists'!$L$2:$L$11,0))/100000),"")</f>
        <v/>
      </c>
      <c r="BM877" s="35" t="str">
        <f aca="false">IFERROR(IF(BF877="","",BF877*INDEX('00 - Lists'!$M$2:$M$11,MATCH(L877,'00 - Lists'!$L$2:$L$11,0))/100000),"")</f>
        <v/>
      </c>
      <c r="BN877" s="35" t="str">
        <f aca="false">IFERROR(IF(BG877="","",BG877*INDEX('00 - Lists'!$M$2:$M$11,MATCH(L877,'00 - Lists'!$L$2:$L$11,0))/100000),"")</f>
        <v/>
      </c>
      <c r="BO877" s="35" t="str">
        <f aca="false">IFERROR(IF(BH877="","",BH877*INDEX('00 - Lists'!$M$2:$M$11,MATCH(L877,'00 - Lists'!$L$2:$L$11,0))/100000),"")</f>
        <v/>
      </c>
      <c r="BP877" s="35" t="str">
        <f aca="false">IFERROR(IF(BI877="","",BI877*INDEX('00 - Lists'!$M$2:$M$11,MATCH(L877,'00 - Lists'!$L$2:$L$11,0))/100000),"")</f>
        <v/>
      </c>
      <c r="BS877" s="36" t="str">
        <f aca="false">IF(O877="","",IF(O877&gt;=20,"Yes","No"))</f>
        <v/>
      </c>
      <c r="BT877" s="36" t="str">
        <f aca="false">IF(O877="","",IF(O877&gt;=30,"Yes","No"))</f>
        <v/>
      </c>
      <c r="BU877" s="36" t="str">
        <f aca="false">IF(O877="","",IF(O877&gt;=75,"Yes","No"))</f>
        <v/>
      </c>
      <c r="BV877" s="36" t="str">
        <f aca="false">IF(O877="","",IF(O877&gt;=100,"Yes","No"))</f>
        <v/>
      </c>
      <c r="BW877" s="36" t="str">
        <f aca="false">IF(O877="","",IF(O877&gt;=150,"Yes","No"))</f>
        <v/>
      </c>
      <c r="BX877" s="36" t="str">
        <f aca="false">IF(O877="","",IF(O877&gt;=200,"Yes","No"))</f>
        <v/>
      </c>
      <c r="BY877" s="36" t="str">
        <f aca="false">IF(Q877="","",IF(Q877&gt;=150000,"Yes","No"))</f>
        <v/>
      </c>
      <c r="BZ877" s="36" t="str">
        <f aca="false">IF(Q877="","",IF(Q877&gt;=200000,"Yes","No"))</f>
        <v/>
      </c>
      <c r="CA877" s="36" t="str">
        <f aca="false">IF(Q877="","",IF(Q877&gt;=250000,"Yes","No"))</f>
        <v/>
      </c>
      <c r="CB877" s="36" t="str">
        <f aca="false">IF(Q877="","",IF(Q877&gt;=300000,"Yes","No"))</f>
        <v/>
      </c>
      <c r="CC877" s="37"/>
      <c r="CD877" s="36" t="str">
        <f aca="true">IF(B877="","",IF(TODAY()-B877&lt;=7,"🟢 0-7d",IF(TODAY()-B877&lt;=30,"🟡 8-30d",IF(TODAY()-B877&lt;=60,"🟠 31-60d","🔴 60d+"))))</f>
        <v/>
      </c>
      <c r="CE877" s="36" t="str">
        <f aca="false">IF(G877="","",IF(G877&lt;&gt;"USA","N/A - Not USA Role",IF(J877="Yes",IF(OR(F877="Intern",F877="New Grad"),"🟡 Possible","🟢 Strong"),IF(J877="No","🔴 Difficult","⚪ Unknown"))))</f>
        <v/>
      </c>
      <c r="CF877" s="37"/>
      <c r="CG877" s="37"/>
      <c r="CH877" s="38"/>
      <c r="CI877" s="38"/>
      <c r="CJ877" s="38"/>
      <c r="CK877" s="38"/>
    </row>
    <row r="878" customFormat="false" ht="15" hidden="false" customHeight="true" outlineLevel="0" collapsed="false">
      <c r="A878" s="26" t="str">
        <f aca="false">IF($C878="","",ROW()-3)</f>
        <v/>
      </c>
      <c r="B878" s="27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9"/>
      <c r="N878" s="29"/>
      <c r="O878" s="30" t="str">
        <f aca="false">IFERROR(IF(M878="","",M878*INDEX('00 - Lists'!$M$2:$M$11,MATCH(L878,'00 - Lists'!$L$2:$L$11,0))/100000),"")</f>
        <v/>
      </c>
      <c r="P878" s="30" t="str">
        <f aca="false">IFERROR(IF(N878="","",N878*INDEX('00 - Lists'!$M$2:$M$11,MATCH(L878,'00 - Lists'!$L$2:$L$11,0))/100000),"")</f>
        <v/>
      </c>
      <c r="Q878" s="31" t="str">
        <f aca="false">IFERROR(IF(M878="","",M878*INDEX('00 - Lists'!$N$2:$N$11,MATCH(L878,'00 - Lists'!$L$2:$L$11,0))),"")</f>
        <v/>
      </c>
      <c r="R878" s="31" t="str">
        <f aca="false">IFERROR(IF(N878="","",N878*INDEX('00 - Lists'!$N$2:$N$11,MATCH(L878,'00 - Lists'!$L$2:$L$11,0))),"")</f>
        <v/>
      </c>
      <c r="S878" s="32" t="str">
        <f aca="false">IF(O878="","",IF(O878&gt;=50,"Yes","No"))</f>
        <v/>
      </c>
      <c r="T878" s="32" t="str">
        <f aca="false">IF(Q878="","",IF(Q878&gt;=100000,"Yes","No"))</f>
        <v/>
      </c>
      <c r="U878" s="28"/>
      <c r="V878" s="28"/>
      <c r="W878" s="28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J878" s="34" t="str">
        <f aca="false">IF(OR($BD878&lt;&gt;"",$BF878&lt;&gt;"",$BH878&lt;&gt;""),"Yes","No")</f>
        <v>No</v>
      </c>
      <c r="BK878" s="35" t="str">
        <f aca="false">IFERROR(IF(BD878="","",BD878*INDEX('00 - Lists'!$M$2:$M$11,MATCH(L878,'00 - Lists'!$L$2:$L$11,0))/100000),"")</f>
        <v/>
      </c>
      <c r="BL878" s="35" t="str">
        <f aca="false">IFERROR(IF(BE878="","",BE878*INDEX('00 - Lists'!$M$2:$M$11,MATCH(L878,'00 - Lists'!$L$2:$L$11,0))/100000),"")</f>
        <v/>
      </c>
      <c r="BM878" s="35" t="str">
        <f aca="false">IFERROR(IF(BF878="","",BF878*INDEX('00 - Lists'!$M$2:$M$11,MATCH(L878,'00 - Lists'!$L$2:$L$11,0))/100000),"")</f>
        <v/>
      </c>
      <c r="BN878" s="35" t="str">
        <f aca="false">IFERROR(IF(BG878="","",BG878*INDEX('00 - Lists'!$M$2:$M$11,MATCH(L878,'00 - Lists'!$L$2:$L$11,0))/100000),"")</f>
        <v/>
      </c>
      <c r="BO878" s="35" t="str">
        <f aca="false">IFERROR(IF(BH878="","",BH878*INDEX('00 - Lists'!$M$2:$M$11,MATCH(L878,'00 - Lists'!$L$2:$L$11,0))/100000),"")</f>
        <v/>
      </c>
      <c r="BP878" s="35" t="str">
        <f aca="false">IFERROR(IF(BI878="","",BI878*INDEX('00 - Lists'!$M$2:$M$11,MATCH(L878,'00 - Lists'!$L$2:$L$11,0))/100000),"")</f>
        <v/>
      </c>
      <c r="BS878" s="36" t="str">
        <f aca="false">IF(O878="","",IF(O878&gt;=20,"Yes","No"))</f>
        <v/>
      </c>
      <c r="BT878" s="36" t="str">
        <f aca="false">IF(O878="","",IF(O878&gt;=30,"Yes","No"))</f>
        <v/>
      </c>
      <c r="BU878" s="36" t="str">
        <f aca="false">IF(O878="","",IF(O878&gt;=75,"Yes","No"))</f>
        <v/>
      </c>
      <c r="BV878" s="36" t="str">
        <f aca="false">IF(O878="","",IF(O878&gt;=100,"Yes","No"))</f>
        <v/>
      </c>
      <c r="BW878" s="36" t="str">
        <f aca="false">IF(O878="","",IF(O878&gt;=150,"Yes","No"))</f>
        <v/>
      </c>
      <c r="BX878" s="36" t="str">
        <f aca="false">IF(O878="","",IF(O878&gt;=200,"Yes","No"))</f>
        <v/>
      </c>
      <c r="BY878" s="36" t="str">
        <f aca="false">IF(Q878="","",IF(Q878&gt;=150000,"Yes","No"))</f>
        <v/>
      </c>
      <c r="BZ878" s="36" t="str">
        <f aca="false">IF(Q878="","",IF(Q878&gt;=200000,"Yes","No"))</f>
        <v/>
      </c>
      <c r="CA878" s="36" t="str">
        <f aca="false">IF(Q878="","",IF(Q878&gt;=250000,"Yes","No"))</f>
        <v/>
      </c>
      <c r="CB878" s="36" t="str">
        <f aca="false">IF(Q878="","",IF(Q878&gt;=300000,"Yes","No"))</f>
        <v/>
      </c>
      <c r="CC878" s="37"/>
      <c r="CD878" s="36" t="str">
        <f aca="true">IF(B878="","",IF(TODAY()-B878&lt;=7,"🟢 0-7d",IF(TODAY()-B878&lt;=30,"🟡 8-30d",IF(TODAY()-B878&lt;=60,"🟠 31-60d","🔴 60d+"))))</f>
        <v/>
      </c>
      <c r="CE878" s="36" t="str">
        <f aca="false">IF(G878="","",IF(G878&lt;&gt;"USA","N/A - Not USA Role",IF(J878="Yes",IF(OR(F878="Intern",F878="New Grad"),"🟡 Possible","🟢 Strong"),IF(J878="No","🔴 Difficult","⚪ Unknown"))))</f>
        <v/>
      </c>
      <c r="CF878" s="37"/>
      <c r="CG878" s="37"/>
      <c r="CH878" s="38"/>
      <c r="CI878" s="38"/>
      <c r="CJ878" s="38"/>
      <c r="CK878" s="38"/>
    </row>
    <row r="879" customFormat="false" ht="15" hidden="false" customHeight="true" outlineLevel="0" collapsed="false">
      <c r="A879" s="26" t="str">
        <f aca="false">IF($C879="","",ROW()-3)</f>
        <v/>
      </c>
      <c r="B879" s="27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9"/>
      <c r="N879" s="29"/>
      <c r="O879" s="30" t="str">
        <f aca="false">IFERROR(IF(M879="","",M879*INDEX('00 - Lists'!$M$2:$M$11,MATCH(L879,'00 - Lists'!$L$2:$L$11,0))/100000),"")</f>
        <v/>
      </c>
      <c r="P879" s="30" t="str">
        <f aca="false">IFERROR(IF(N879="","",N879*INDEX('00 - Lists'!$M$2:$M$11,MATCH(L879,'00 - Lists'!$L$2:$L$11,0))/100000),"")</f>
        <v/>
      </c>
      <c r="Q879" s="31" t="str">
        <f aca="false">IFERROR(IF(M879="","",M879*INDEX('00 - Lists'!$N$2:$N$11,MATCH(L879,'00 - Lists'!$L$2:$L$11,0))),"")</f>
        <v/>
      </c>
      <c r="R879" s="31" t="str">
        <f aca="false">IFERROR(IF(N879="","",N879*INDEX('00 - Lists'!$N$2:$N$11,MATCH(L879,'00 - Lists'!$L$2:$L$11,0))),"")</f>
        <v/>
      </c>
      <c r="S879" s="32" t="str">
        <f aca="false">IF(O879="","",IF(O879&gt;=50,"Yes","No"))</f>
        <v/>
      </c>
      <c r="T879" s="32" t="str">
        <f aca="false">IF(Q879="","",IF(Q879&gt;=100000,"Yes","No"))</f>
        <v/>
      </c>
      <c r="U879" s="28"/>
      <c r="V879" s="28"/>
      <c r="W879" s="28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J879" s="34" t="str">
        <f aca="false">IF(OR($BD879&lt;&gt;"",$BF879&lt;&gt;"",$BH879&lt;&gt;""),"Yes","No")</f>
        <v>No</v>
      </c>
      <c r="BK879" s="35" t="str">
        <f aca="false">IFERROR(IF(BD879="","",BD879*INDEX('00 - Lists'!$M$2:$M$11,MATCH(L879,'00 - Lists'!$L$2:$L$11,0))/100000),"")</f>
        <v/>
      </c>
      <c r="BL879" s="35" t="str">
        <f aca="false">IFERROR(IF(BE879="","",BE879*INDEX('00 - Lists'!$M$2:$M$11,MATCH(L879,'00 - Lists'!$L$2:$L$11,0))/100000),"")</f>
        <v/>
      </c>
      <c r="BM879" s="35" t="str">
        <f aca="false">IFERROR(IF(BF879="","",BF879*INDEX('00 - Lists'!$M$2:$M$11,MATCH(L879,'00 - Lists'!$L$2:$L$11,0))/100000),"")</f>
        <v/>
      </c>
      <c r="BN879" s="35" t="str">
        <f aca="false">IFERROR(IF(BG879="","",BG879*INDEX('00 - Lists'!$M$2:$M$11,MATCH(L879,'00 - Lists'!$L$2:$L$11,0))/100000),"")</f>
        <v/>
      </c>
      <c r="BO879" s="35" t="str">
        <f aca="false">IFERROR(IF(BH879="","",BH879*INDEX('00 - Lists'!$M$2:$M$11,MATCH(L879,'00 - Lists'!$L$2:$L$11,0))/100000),"")</f>
        <v/>
      </c>
      <c r="BP879" s="35" t="str">
        <f aca="false">IFERROR(IF(BI879="","",BI879*INDEX('00 - Lists'!$M$2:$M$11,MATCH(L879,'00 - Lists'!$L$2:$L$11,0))/100000),"")</f>
        <v/>
      </c>
      <c r="BS879" s="36" t="str">
        <f aca="false">IF(O879="","",IF(O879&gt;=20,"Yes","No"))</f>
        <v/>
      </c>
      <c r="BT879" s="36" t="str">
        <f aca="false">IF(O879="","",IF(O879&gt;=30,"Yes","No"))</f>
        <v/>
      </c>
      <c r="BU879" s="36" t="str">
        <f aca="false">IF(O879="","",IF(O879&gt;=75,"Yes","No"))</f>
        <v/>
      </c>
      <c r="BV879" s="36" t="str">
        <f aca="false">IF(O879="","",IF(O879&gt;=100,"Yes","No"))</f>
        <v/>
      </c>
      <c r="BW879" s="36" t="str">
        <f aca="false">IF(O879="","",IF(O879&gt;=150,"Yes","No"))</f>
        <v/>
      </c>
      <c r="BX879" s="36" t="str">
        <f aca="false">IF(O879="","",IF(O879&gt;=200,"Yes","No"))</f>
        <v/>
      </c>
      <c r="BY879" s="36" t="str">
        <f aca="false">IF(Q879="","",IF(Q879&gt;=150000,"Yes","No"))</f>
        <v/>
      </c>
      <c r="BZ879" s="36" t="str">
        <f aca="false">IF(Q879="","",IF(Q879&gt;=200000,"Yes","No"))</f>
        <v/>
      </c>
      <c r="CA879" s="36" t="str">
        <f aca="false">IF(Q879="","",IF(Q879&gt;=250000,"Yes","No"))</f>
        <v/>
      </c>
      <c r="CB879" s="36" t="str">
        <f aca="false">IF(Q879="","",IF(Q879&gt;=300000,"Yes","No"))</f>
        <v/>
      </c>
      <c r="CC879" s="37"/>
      <c r="CD879" s="36" t="str">
        <f aca="true">IF(B879="","",IF(TODAY()-B879&lt;=7,"🟢 0-7d",IF(TODAY()-B879&lt;=30,"🟡 8-30d",IF(TODAY()-B879&lt;=60,"🟠 31-60d","🔴 60d+"))))</f>
        <v/>
      </c>
      <c r="CE879" s="36" t="str">
        <f aca="false">IF(G879="","",IF(G879&lt;&gt;"USA","N/A - Not USA Role",IF(J879="Yes",IF(OR(F879="Intern",F879="New Grad"),"🟡 Possible","🟢 Strong"),IF(J879="No","🔴 Difficult","⚪ Unknown"))))</f>
        <v/>
      </c>
      <c r="CF879" s="37"/>
      <c r="CG879" s="37"/>
      <c r="CH879" s="38"/>
      <c r="CI879" s="38"/>
      <c r="CJ879" s="38"/>
      <c r="CK879" s="38"/>
    </row>
    <row r="880" customFormat="false" ht="15" hidden="false" customHeight="true" outlineLevel="0" collapsed="false">
      <c r="A880" s="26" t="str">
        <f aca="false">IF($C880="","",ROW()-3)</f>
        <v/>
      </c>
      <c r="B880" s="27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9"/>
      <c r="N880" s="29"/>
      <c r="O880" s="30" t="str">
        <f aca="false">IFERROR(IF(M880="","",M880*INDEX('00 - Lists'!$M$2:$M$11,MATCH(L880,'00 - Lists'!$L$2:$L$11,0))/100000),"")</f>
        <v/>
      </c>
      <c r="P880" s="30" t="str">
        <f aca="false">IFERROR(IF(N880="","",N880*INDEX('00 - Lists'!$M$2:$M$11,MATCH(L880,'00 - Lists'!$L$2:$L$11,0))/100000),"")</f>
        <v/>
      </c>
      <c r="Q880" s="31" t="str">
        <f aca="false">IFERROR(IF(M880="","",M880*INDEX('00 - Lists'!$N$2:$N$11,MATCH(L880,'00 - Lists'!$L$2:$L$11,0))),"")</f>
        <v/>
      </c>
      <c r="R880" s="31" t="str">
        <f aca="false">IFERROR(IF(N880="","",N880*INDEX('00 - Lists'!$N$2:$N$11,MATCH(L880,'00 - Lists'!$L$2:$L$11,0))),"")</f>
        <v/>
      </c>
      <c r="S880" s="32" t="str">
        <f aca="false">IF(O880="","",IF(O880&gt;=50,"Yes","No"))</f>
        <v/>
      </c>
      <c r="T880" s="32" t="str">
        <f aca="false">IF(Q880="","",IF(Q880&gt;=100000,"Yes","No"))</f>
        <v/>
      </c>
      <c r="U880" s="28"/>
      <c r="V880" s="28"/>
      <c r="W880" s="28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J880" s="34" t="str">
        <f aca="false">IF(OR($BD880&lt;&gt;"",$BF880&lt;&gt;"",$BH880&lt;&gt;""),"Yes","No")</f>
        <v>No</v>
      </c>
      <c r="BK880" s="35" t="str">
        <f aca="false">IFERROR(IF(BD880="","",BD880*INDEX('00 - Lists'!$M$2:$M$11,MATCH(L880,'00 - Lists'!$L$2:$L$11,0))/100000),"")</f>
        <v/>
      </c>
      <c r="BL880" s="35" t="str">
        <f aca="false">IFERROR(IF(BE880="","",BE880*INDEX('00 - Lists'!$M$2:$M$11,MATCH(L880,'00 - Lists'!$L$2:$L$11,0))/100000),"")</f>
        <v/>
      </c>
      <c r="BM880" s="35" t="str">
        <f aca="false">IFERROR(IF(BF880="","",BF880*INDEX('00 - Lists'!$M$2:$M$11,MATCH(L880,'00 - Lists'!$L$2:$L$11,0))/100000),"")</f>
        <v/>
      </c>
      <c r="BN880" s="35" t="str">
        <f aca="false">IFERROR(IF(BG880="","",BG880*INDEX('00 - Lists'!$M$2:$M$11,MATCH(L880,'00 - Lists'!$L$2:$L$11,0))/100000),"")</f>
        <v/>
      </c>
      <c r="BO880" s="35" t="str">
        <f aca="false">IFERROR(IF(BH880="","",BH880*INDEX('00 - Lists'!$M$2:$M$11,MATCH(L880,'00 - Lists'!$L$2:$L$11,0))/100000),"")</f>
        <v/>
      </c>
      <c r="BP880" s="35" t="str">
        <f aca="false">IFERROR(IF(BI880="","",BI880*INDEX('00 - Lists'!$M$2:$M$11,MATCH(L880,'00 - Lists'!$L$2:$L$11,0))/100000),"")</f>
        <v/>
      </c>
      <c r="BS880" s="36" t="str">
        <f aca="false">IF(O880="","",IF(O880&gt;=20,"Yes","No"))</f>
        <v/>
      </c>
      <c r="BT880" s="36" t="str">
        <f aca="false">IF(O880="","",IF(O880&gt;=30,"Yes","No"))</f>
        <v/>
      </c>
      <c r="BU880" s="36" t="str">
        <f aca="false">IF(O880="","",IF(O880&gt;=75,"Yes","No"))</f>
        <v/>
      </c>
      <c r="BV880" s="36" t="str">
        <f aca="false">IF(O880="","",IF(O880&gt;=100,"Yes","No"))</f>
        <v/>
      </c>
      <c r="BW880" s="36" t="str">
        <f aca="false">IF(O880="","",IF(O880&gt;=150,"Yes","No"))</f>
        <v/>
      </c>
      <c r="BX880" s="36" t="str">
        <f aca="false">IF(O880="","",IF(O880&gt;=200,"Yes","No"))</f>
        <v/>
      </c>
      <c r="BY880" s="36" t="str">
        <f aca="false">IF(Q880="","",IF(Q880&gt;=150000,"Yes","No"))</f>
        <v/>
      </c>
      <c r="BZ880" s="36" t="str">
        <f aca="false">IF(Q880="","",IF(Q880&gt;=200000,"Yes","No"))</f>
        <v/>
      </c>
      <c r="CA880" s="36" t="str">
        <f aca="false">IF(Q880="","",IF(Q880&gt;=250000,"Yes","No"))</f>
        <v/>
      </c>
      <c r="CB880" s="36" t="str">
        <f aca="false">IF(Q880="","",IF(Q880&gt;=300000,"Yes","No"))</f>
        <v/>
      </c>
      <c r="CC880" s="37"/>
      <c r="CD880" s="36" t="str">
        <f aca="true">IF(B880="","",IF(TODAY()-B880&lt;=7,"🟢 0-7d",IF(TODAY()-B880&lt;=30,"🟡 8-30d",IF(TODAY()-B880&lt;=60,"🟠 31-60d","🔴 60d+"))))</f>
        <v/>
      </c>
      <c r="CE880" s="36" t="str">
        <f aca="false">IF(G880="","",IF(G880&lt;&gt;"USA","N/A - Not USA Role",IF(J880="Yes",IF(OR(F880="Intern",F880="New Grad"),"🟡 Possible","🟢 Strong"),IF(J880="No","🔴 Difficult","⚪ Unknown"))))</f>
        <v/>
      </c>
      <c r="CF880" s="37"/>
      <c r="CG880" s="37"/>
      <c r="CH880" s="38"/>
      <c r="CI880" s="38"/>
      <c r="CJ880" s="38"/>
      <c r="CK880" s="38"/>
    </row>
    <row r="881" customFormat="false" ht="15" hidden="false" customHeight="true" outlineLevel="0" collapsed="false">
      <c r="A881" s="26" t="str">
        <f aca="false">IF($C881="","",ROW()-3)</f>
        <v/>
      </c>
      <c r="B881" s="27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9"/>
      <c r="N881" s="29"/>
      <c r="O881" s="30" t="str">
        <f aca="false">IFERROR(IF(M881="","",M881*INDEX('00 - Lists'!$M$2:$M$11,MATCH(L881,'00 - Lists'!$L$2:$L$11,0))/100000),"")</f>
        <v/>
      </c>
      <c r="P881" s="30" t="str">
        <f aca="false">IFERROR(IF(N881="","",N881*INDEX('00 - Lists'!$M$2:$M$11,MATCH(L881,'00 - Lists'!$L$2:$L$11,0))/100000),"")</f>
        <v/>
      </c>
      <c r="Q881" s="31" t="str">
        <f aca="false">IFERROR(IF(M881="","",M881*INDEX('00 - Lists'!$N$2:$N$11,MATCH(L881,'00 - Lists'!$L$2:$L$11,0))),"")</f>
        <v/>
      </c>
      <c r="R881" s="31" t="str">
        <f aca="false">IFERROR(IF(N881="","",N881*INDEX('00 - Lists'!$N$2:$N$11,MATCH(L881,'00 - Lists'!$L$2:$L$11,0))),"")</f>
        <v/>
      </c>
      <c r="S881" s="32" t="str">
        <f aca="false">IF(O881="","",IF(O881&gt;=50,"Yes","No"))</f>
        <v/>
      </c>
      <c r="T881" s="32" t="str">
        <f aca="false">IF(Q881="","",IF(Q881&gt;=100000,"Yes","No"))</f>
        <v/>
      </c>
      <c r="U881" s="28"/>
      <c r="V881" s="28"/>
      <c r="W881" s="28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J881" s="34" t="str">
        <f aca="false">IF(OR($BD881&lt;&gt;"",$BF881&lt;&gt;"",$BH881&lt;&gt;""),"Yes","No")</f>
        <v>No</v>
      </c>
      <c r="BK881" s="35" t="str">
        <f aca="false">IFERROR(IF(BD881="","",BD881*INDEX('00 - Lists'!$M$2:$M$11,MATCH(L881,'00 - Lists'!$L$2:$L$11,0))/100000),"")</f>
        <v/>
      </c>
      <c r="BL881" s="35" t="str">
        <f aca="false">IFERROR(IF(BE881="","",BE881*INDEX('00 - Lists'!$M$2:$M$11,MATCH(L881,'00 - Lists'!$L$2:$L$11,0))/100000),"")</f>
        <v/>
      </c>
      <c r="BM881" s="35" t="str">
        <f aca="false">IFERROR(IF(BF881="","",BF881*INDEX('00 - Lists'!$M$2:$M$11,MATCH(L881,'00 - Lists'!$L$2:$L$11,0))/100000),"")</f>
        <v/>
      </c>
      <c r="BN881" s="35" t="str">
        <f aca="false">IFERROR(IF(BG881="","",BG881*INDEX('00 - Lists'!$M$2:$M$11,MATCH(L881,'00 - Lists'!$L$2:$L$11,0))/100000),"")</f>
        <v/>
      </c>
      <c r="BO881" s="35" t="str">
        <f aca="false">IFERROR(IF(BH881="","",BH881*INDEX('00 - Lists'!$M$2:$M$11,MATCH(L881,'00 - Lists'!$L$2:$L$11,0))/100000),"")</f>
        <v/>
      </c>
      <c r="BP881" s="35" t="str">
        <f aca="false">IFERROR(IF(BI881="","",BI881*INDEX('00 - Lists'!$M$2:$M$11,MATCH(L881,'00 - Lists'!$L$2:$L$11,0))/100000),"")</f>
        <v/>
      </c>
      <c r="BS881" s="36" t="str">
        <f aca="false">IF(O881="","",IF(O881&gt;=20,"Yes","No"))</f>
        <v/>
      </c>
      <c r="BT881" s="36" t="str">
        <f aca="false">IF(O881="","",IF(O881&gt;=30,"Yes","No"))</f>
        <v/>
      </c>
      <c r="BU881" s="36" t="str">
        <f aca="false">IF(O881="","",IF(O881&gt;=75,"Yes","No"))</f>
        <v/>
      </c>
      <c r="BV881" s="36" t="str">
        <f aca="false">IF(O881="","",IF(O881&gt;=100,"Yes","No"))</f>
        <v/>
      </c>
      <c r="BW881" s="36" t="str">
        <f aca="false">IF(O881="","",IF(O881&gt;=150,"Yes","No"))</f>
        <v/>
      </c>
      <c r="BX881" s="36" t="str">
        <f aca="false">IF(O881="","",IF(O881&gt;=200,"Yes","No"))</f>
        <v/>
      </c>
      <c r="BY881" s="36" t="str">
        <f aca="false">IF(Q881="","",IF(Q881&gt;=150000,"Yes","No"))</f>
        <v/>
      </c>
      <c r="BZ881" s="36" t="str">
        <f aca="false">IF(Q881="","",IF(Q881&gt;=200000,"Yes","No"))</f>
        <v/>
      </c>
      <c r="CA881" s="36" t="str">
        <f aca="false">IF(Q881="","",IF(Q881&gt;=250000,"Yes","No"))</f>
        <v/>
      </c>
      <c r="CB881" s="36" t="str">
        <f aca="false">IF(Q881="","",IF(Q881&gt;=300000,"Yes","No"))</f>
        <v/>
      </c>
      <c r="CC881" s="37"/>
      <c r="CD881" s="36" t="str">
        <f aca="true">IF(B881="","",IF(TODAY()-B881&lt;=7,"🟢 0-7d",IF(TODAY()-B881&lt;=30,"🟡 8-30d",IF(TODAY()-B881&lt;=60,"🟠 31-60d","🔴 60d+"))))</f>
        <v/>
      </c>
      <c r="CE881" s="36" t="str">
        <f aca="false">IF(G881="","",IF(G881&lt;&gt;"USA","N/A - Not USA Role",IF(J881="Yes",IF(OR(F881="Intern",F881="New Grad"),"🟡 Possible","🟢 Strong"),IF(J881="No","🔴 Difficult","⚪ Unknown"))))</f>
        <v/>
      </c>
      <c r="CF881" s="37"/>
      <c r="CG881" s="37"/>
      <c r="CH881" s="38"/>
      <c r="CI881" s="38"/>
      <c r="CJ881" s="38"/>
      <c r="CK881" s="38"/>
    </row>
    <row r="882" customFormat="false" ht="15" hidden="false" customHeight="true" outlineLevel="0" collapsed="false">
      <c r="A882" s="26" t="str">
        <f aca="false">IF($C882="","",ROW()-3)</f>
        <v/>
      </c>
      <c r="B882" s="27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9"/>
      <c r="N882" s="29"/>
      <c r="O882" s="30" t="str">
        <f aca="false">IFERROR(IF(M882="","",M882*INDEX('00 - Lists'!$M$2:$M$11,MATCH(L882,'00 - Lists'!$L$2:$L$11,0))/100000),"")</f>
        <v/>
      </c>
      <c r="P882" s="30" t="str">
        <f aca="false">IFERROR(IF(N882="","",N882*INDEX('00 - Lists'!$M$2:$M$11,MATCH(L882,'00 - Lists'!$L$2:$L$11,0))/100000),"")</f>
        <v/>
      </c>
      <c r="Q882" s="31" t="str">
        <f aca="false">IFERROR(IF(M882="","",M882*INDEX('00 - Lists'!$N$2:$N$11,MATCH(L882,'00 - Lists'!$L$2:$L$11,0))),"")</f>
        <v/>
      </c>
      <c r="R882" s="31" t="str">
        <f aca="false">IFERROR(IF(N882="","",N882*INDEX('00 - Lists'!$N$2:$N$11,MATCH(L882,'00 - Lists'!$L$2:$L$11,0))),"")</f>
        <v/>
      </c>
      <c r="S882" s="32" t="str">
        <f aca="false">IF(O882="","",IF(O882&gt;=50,"Yes","No"))</f>
        <v/>
      </c>
      <c r="T882" s="32" t="str">
        <f aca="false">IF(Q882="","",IF(Q882&gt;=100000,"Yes","No"))</f>
        <v/>
      </c>
      <c r="U882" s="28"/>
      <c r="V882" s="28"/>
      <c r="W882" s="28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J882" s="34" t="str">
        <f aca="false">IF(OR($BD882&lt;&gt;"",$BF882&lt;&gt;"",$BH882&lt;&gt;""),"Yes","No")</f>
        <v>No</v>
      </c>
      <c r="BK882" s="35" t="str">
        <f aca="false">IFERROR(IF(BD882="","",BD882*INDEX('00 - Lists'!$M$2:$M$11,MATCH(L882,'00 - Lists'!$L$2:$L$11,0))/100000),"")</f>
        <v/>
      </c>
      <c r="BL882" s="35" t="str">
        <f aca="false">IFERROR(IF(BE882="","",BE882*INDEX('00 - Lists'!$M$2:$M$11,MATCH(L882,'00 - Lists'!$L$2:$L$11,0))/100000),"")</f>
        <v/>
      </c>
      <c r="BM882" s="35" t="str">
        <f aca="false">IFERROR(IF(BF882="","",BF882*INDEX('00 - Lists'!$M$2:$M$11,MATCH(L882,'00 - Lists'!$L$2:$L$11,0))/100000),"")</f>
        <v/>
      </c>
      <c r="BN882" s="35" t="str">
        <f aca="false">IFERROR(IF(BG882="","",BG882*INDEX('00 - Lists'!$M$2:$M$11,MATCH(L882,'00 - Lists'!$L$2:$L$11,0))/100000),"")</f>
        <v/>
      </c>
      <c r="BO882" s="35" t="str">
        <f aca="false">IFERROR(IF(BH882="","",BH882*INDEX('00 - Lists'!$M$2:$M$11,MATCH(L882,'00 - Lists'!$L$2:$L$11,0))/100000),"")</f>
        <v/>
      </c>
      <c r="BP882" s="35" t="str">
        <f aca="false">IFERROR(IF(BI882="","",BI882*INDEX('00 - Lists'!$M$2:$M$11,MATCH(L882,'00 - Lists'!$L$2:$L$11,0))/100000),"")</f>
        <v/>
      </c>
      <c r="BS882" s="36" t="str">
        <f aca="false">IF(O882="","",IF(O882&gt;=20,"Yes","No"))</f>
        <v/>
      </c>
      <c r="BT882" s="36" t="str">
        <f aca="false">IF(O882="","",IF(O882&gt;=30,"Yes","No"))</f>
        <v/>
      </c>
      <c r="BU882" s="36" t="str">
        <f aca="false">IF(O882="","",IF(O882&gt;=75,"Yes","No"))</f>
        <v/>
      </c>
      <c r="BV882" s="36" t="str">
        <f aca="false">IF(O882="","",IF(O882&gt;=100,"Yes","No"))</f>
        <v/>
      </c>
      <c r="BW882" s="36" t="str">
        <f aca="false">IF(O882="","",IF(O882&gt;=150,"Yes","No"))</f>
        <v/>
      </c>
      <c r="BX882" s="36" t="str">
        <f aca="false">IF(O882="","",IF(O882&gt;=200,"Yes","No"))</f>
        <v/>
      </c>
      <c r="BY882" s="36" t="str">
        <f aca="false">IF(Q882="","",IF(Q882&gt;=150000,"Yes","No"))</f>
        <v/>
      </c>
      <c r="BZ882" s="36" t="str">
        <f aca="false">IF(Q882="","",IF(Q882&gt;=200000,"Yes","No"))</f>
        <v/>
      </c>
      <c r="CA882" s="36" t="str">
        <f aca="false">IF(Q882="","",IF(Q882&gt;=250000,"Yes","No"))</f>
        <v/>
      </c>
      <c r="CB882" s="36" t="str">
        <f aca="false">IF(Q882="","",IF(Q882&gt;=300000,"Yes","No"))</f>
        <v/>
      </c>
      <c r="CC882" s="37"/>
      <c r="CD882" s="36" t="str">
        <f aca="true">IF(B882="","",IF(TODAY()-B882&lt;=7,"🟢 0-7d",IF(TODAY()-B882&lt;=30,"🟡 8-30d",IF(TODAY()-B882&lt;=60,"🟠 31-60d","🔴 60d+"))))</f>
        <v/>
      </c>
      <c r="CE882" s="36" t="str">
        <f aca="false">IF(G882="","",IF(G882&lt;&gt;"USA","N/A - Not USA Role",IF(J882="Yes",IF(OR(F882="Intern",F882="New Grad"),"🟡 Possible","🟢 Strong"),IF(J882="No","🔴 Difficult","⚪ Unknown"))))</f>
        <v/>
      </c>
      <c r="CF882" s="37"/>
      <c r="CG882" s="37"/>
      <c r="CH882" s="38"/>
      <c r="CI882" s="38"/>
      <c r="CJ882" s="38"/>
      <c r="CK882" s="38"/>
    </row>
    <row r="883" customFormat="false" ht="15" hidden="false" customHeight="true" outlineLevel="0" collapsed="false">
      <c r="A883" s="26" t="str">
        <f aca="false">IF($C883="","",ROW()-3)</f>
        <v/>
      </c>
      <c r="B883" s="27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9"/>
      <c r="N883" s="29"/>
      <c r="O883" s="30" t="str">
        <f aca="false">IFERROR(IF(M883="","",M883*INDEX('00 - Lists'!$M$2:$M$11,MATCH(L883,'00 - Lists'!$L$2:$L$11,0))/100000),"")</f>
        <v/>
      </c>
      <c r="P883" s="30" t="str">
        <f aca="false">IFERROR(IF(N883="","",N883*INDEX('00 - Lists'!$M$2:$M$11,MATCH(L883,'00 - Lists'!$L$2:$L$11,0))/100000),"")</f>
        <v/>
      </c>
      <c r="Q883" s="31" t="str">
        <f aca="false">IFERROR(IF(M883="","",M883*INDEX('00 - Lists'!$N$2:$N$11,MATCH(L883,'00 - Lists'!$L$2:$L$11,0))),"")</f>
        <v/>
      </c>
      <c r="R883" s="31" t="str">
        <f aca="false">IFERROR(IF(N883="","",N883*INDEX('00 - Lists'!$N$2:$N$11,MATCH(L883,'00 - Lists'!$L$2:$L$11,0))),"")</f>
        <v/>
      </c>
      <c r="S883" s="32" t="str">
        <f aca="false">IF(O883="","",IF(O883&gt;=50,"Yes","No"))</f>
        <v/>
      </c>
      <c r="T883" s="32" t="str">
        <f aca="false">IF(Q883="","",IF(Q883&gt;=100000,"Yes","No"))</f>
        <v/>
      </c>
      <c r="U883" s="28"/>
      <c r="V883" s="28"/>
      <c r="W883" s="28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J883" s="34" t="str">
        <f aca="false">IF(OR($BD883&lt;&gt;"",$BF883&lt;&gt;"",$BH883&lt;&gt;""),"Yes","No")</f>
        <v>No</v>
      </c>
      <c r="BK883" s="35" t="str">
        <f aca="false">IFERROR(IF(BD883="","",BD883*INDEX('00 - Lists'!$M$2:$M$11,MATCH(L883,'00 - Lists'!$L$2:$L$11,0))/100000),"")</f>
        <v/>
      </c>
      <c r="BL883" s="35" t="str">
        <f aca="false">IFERROR(IF(BE883="","",BE883*INDEX('00 - Lists'!$M$2:$M$11,MATCH(L883,'00 - Lists'!$L$2:$L$11,0))/100000),"")</f>
        <v/>
      </c>
      <c r="BM883" s="35" t="str">
        <f aca="false">IFERROR(IF(BF883="","",BF883*INDEX('00 - Lists'!$M$2:$M$11,MATCH(L883,'00 - Lists'!$L$2:$L$11,0))/100000),"")</f>
        <v/>
      </c>
      <c r="BN883" s="35" t="str">
        <f aca="false">IFERROR(IF(BG883="","",BG883*INDEX('00 - Lists'!$M$2:$M$11,MATCH(L883,'00 - Lists'!$L$2:$L$11,0))/100000),"")</f>
        <v/>
      </c>
      <c r="BO883" s="35" t="str">
        <f aca="false">IFERROR(IF(BH883="","",BH883*INDEX('00 - Lists'!$M$2:$M$11,MATCH(L883,'00 - Lists'!$L$2:$L$11,0))/100000),"")</f>
        <v/>
      </c>
      <c r="BP883" s="35" t="str">
        <f aca="false">IFERROR(IF(BI883="","",BI883*INDEX('00 - Lists'!$M$2:$M$11,MATCH(L883,'00 - Lists'!$L$2:$L$11,0))/100000),"")</f>
        <v/>
      </c>
      <c r="BS883" s="36" t="str">
        <f aca="false">IF(O883="","",IF(O883&gt;=20,"Yes","No"))</f>
        <v/>
      </c>
      <c r="BT883" s="36" t="str">
        <f aca="false">IF(O883="","",IF(O883&gt;=30,"Yes","No"))</f>
        <v/>
      </c>
      <c r="BU883" s="36" t="str">
        <f aca="false">IF(O883="","",IF(O883&gt;=75,"Yes","No"))</f>
        <v/>
      </c>
      <c r="BV883" s="36" t="str">
        <f aca="false">IF(O883="","",IF(O883&gt;=100,"Yes","No"))</f>
        <v/>
      </c>
      <c r="BW883" s="36" t="str">
        <f aca="false">IF(O883="","",IF(O883&gt;=150,"Yes","No"))</f>
        <v/>
      </c>
      <c r="BX883" s="36" t="str">
        <f aca="false">IF(O883="","",IF(O883&gt;=200,"Yes","No"))</f>
        <v/>
      </c>
      <c r="BY883" s="36" t="str">
        <f aca="false">IF(Q883="","",IF(Q883&gt;=150000,"Yes","No"))</f>
        <v/>
      </c>
      <c r="BZ883" s="36" t="str">
        <f aca="false">IF(Q883="","",IF(Q883&gt;=200000,"Yes","No"))</f>
        <v/>
      </c>
      <c r="CA883" s="36" t="str">
        <f aca="false">IF(Q883="","",IF(Q883&gt;=250000,"Yes","No"))</f>
        <v/>
      </c>
      <c r="CB883" s="36" t="str">
        <f aca="false">IF(Q883="","",IF(Q883&gt;=300000,"Yes","No"))</f>
        <v/>
      </c>
      <c r="CC883" s="37"/>
      <c r="CD883" s="36" t="str">
        <f aca="true">IF(B883="","",IF(TODAY()-B883&lt;=7,"🟢 0-7d",IF(TODAY()-B883&lt;=30,"🟡 8-30d",IF(TODAY()-B883&lt;=60,"🟠 31-60d","🔴 60d+"))))</f>
        <v/>
      </c>
      <c r="CE883" s="36" t="str">
        <f aca="false">IF(G883="","",IF(G883&lt;&gt;"USA","N/A - Not USA Role",IF(J883="Yes",IF(OR(F883="Intern",F883="New Grad"),"🟡 Possible","🟢 Strong"),IF(J883="No","🔴 Difficult","⚪ Unknown"))))</f>
        <v/>
      </c>
      <c r="CF883" s="37"/>
      <c r="CG883" s="37"/>
      <c r="CH883" s="38"/>
      <c r="CI883" s="38"/>
      <c r="CJ883" s="38"/>
      <c r="CK883" s="38"/>
    </row>
    <row r="884" customFormat="false" ht="15" hidden="false" customHeight="true" outlineLevel="0" collapsed="false">
      <c r="A884" s="26" t="str">
        <f aca="false">IF($C884="","",ROW()-3)</f>
        <v/>
      </c>
      <c r="B884" s="27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9"/>
      <c r="N884" s="29"/>
      <c r="O884" s="30" t="str">
        <f aca="false">IFERROR(IF(M884="","",M884*INDEX('00 - Lists'!$M$2:$M$11,MATCH(L884,'00 - Lists'!$L$2:$L$11,0))/100000),"")</f>
        <v/>
      </c>
      <c r="P884" s="30" t="str">
        <f aca="false">IFERROR(IF(N884="","",N884*INDEX('00 - Lists'!$M$2:$M$11,MATCH(L884,'00 - Lists'!$L$2:$L$11,0))/100000),"")</f>
        <v/>
      </c>
      <c r="Q884" s="31" t="str">
        <f aca="false">IFERROR(IF(M884="","",M884*INDEX('00 - Lists'!$N$2:$N$11,MATCH(L884,'00 - Lists'!$L$2:$L$11,0))),"")</f>
        <v/>
      </c>
      <c r="R884" s="31" t="str">
        <f aca="false">IFERROR(IF(N884="","",N884*INDEX('00 - Lists'!$N$2:$N$11,MATCH(L884,'00 - Lists'!$L$2:$L$11,0))),"")</f>
        <v/>
      </c>
      <c r="S884" s="32" t="str">
        <f aca="false">IF(O884="","",IF(O884&gt;=50,"Yes","No"))</f>
        <v/>
      </c>
      <c r="T884" s="32" t="str">
        <f aca="false">IF(Q884="","",IF(Q884&gt;=100000,"Yes","No"))</f>
        <v/>
      </c>
      <c r="U884" s="28"/>
      <c r="V884" s="28"/>
      <c r="W884" s="28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J884" s="34" t="str">
        <f aca="false">IF(OR($BD884&lt;&gt;"",$BF884&lt;&gt;"",$BH884&lt;&gt;""),"Yes","No")</f>
        <v>No</v>
      </c>
      <c r="BK884" s="35" t="str">
        <f aca="false">IFERROR(IF(BD884="","",BD884*INDEX('00 - Lists'!$M$2:$M$11,MATCH(L884,'00 - Lists'!$L$2:$L$11,0))/100000),"")</f>
        <v/>
      </c>
      <c r="BL884" s="35" t="str">
        <f aca="false">IFERROR(IF(BE884="","",BE884*INDEX('00 - Lists'!$M$2:$M$11,MATCH(L884,'00 - Lists'!$L$2:$L$11,0))/100000),"")</f>
        <v/>
      </c>
      <c r="BM884" s="35" t="str">
        <f aca="false">IFERROR(IF(BF884="","",BF884*INDEX('00 - Lists'!$M$2:$M$11,MATCH(L884,'00 - Lists'!$L$2:$L$11,0))/100000),"")</f>
        <v/>
      </c>
      <c r="BN884" s="35" t="str">
        <f aca="false">IFERROR(IF(BG884="","",BG884*INDEX('00 - Lists'!$M$2:$M$11,MATCH(L884,'00 - Lists'!$L$2:$L$11,0))/100000),"")</f>
        <v/>
      </c>
      <c r="BO884" s="35" t="str">
        <f aca="false">IFERROR(IF(BH884="","",BH884*INDEX('00 - Lists'!$M$2:$M$11,MATCH(L884,'00 - Lists'!$L$2:$L$11,0))/100000),"")</f>
        <v/>
      </c>
      <c r="BP884" s="35" t="str">
        <f aca="false">IFERROR(IF(BI884="","",BI884*INDEX('00 - Lists'!$M$2:$M$11,MATCH(L884,'00 - Lists'!$L$2:$L$11,0))/100000),"")</f>
        <v/>
      </c>
      <c r="BS884" s="36" t="str">
        <f aca="false">IF(O884="","",IF(O884&gt;=20,"Yes","No"))</f>
        <v/>
      </c>
      <c r="BT884" s="36" t="str">
        <f aca="false">IF(O884="","",IF(O884&gt;=30,"Yes","No"))</f>
        <v/>
      </c>
      <c r="BU884" s="36" t="str">
        <f aca="false">IF(O884="","",IF(O884&gt;=75,"Yes","No"))</f>
        <v/>
      </c>
      <c r="BV884" s="36" t="str">
        <f aca="false">IF(O884="","",IF(O884&gt;=100,"Yes","No"))</f>
        <v/>
      </c>
      <c r="BW884" s="36" t="str">
        <f aca="false">IF(O884="","",IF(O884&gt;=150,"Yes","No"))</f>
        <v/>
      </c>
      <c r="BX884" s="36" t="str">
        <f aca="false">IF(O884="","",IF(O884&gt;=200,"Yes","No"))</f>
        <v/>
      </c>
      <c r="BY884" s="36" t="str">
        <f aca="false">IF(Q884="","",IF(Q884&gt;=150000,"Yes","No"))</f>
        <v/>
      </c>
      <c r="BZ884" s="36" t="str">
        <f aca="false">IF(Q884="","",IF(Q884&gt;=200000,"Yes","No"))</f>
        <v/>
      </c>
      <c r="CA884" s="36" t="str">
        <f aca="false">IF(Q884="","",IF(Q884&gt;=250000,"Yes","No"))</f>
        <v/>
      </c>
      <c r="CB884" s="36" t="str">
        <f aca="false">IF(Q884="","",IF(Q884&gt;=300000,"Yes","No"))</f>
        <v/>
      </c>
      <c r="CC884" s="37"/>
      <c r="CD884" s="36" t="str">
        <f aca="true">IF(B884="","",IF(TODAY()-B884&lt;=7,"🟢 0-7d",IF(TODAY()-B884&lt;=30,"🟡 8-30d",IF(TODAY()-B884&lt;=60,"🟠 31-60d","🔴 60d+"))))</f>
        <v/>
      </c>
      <c r="CE884" s="36" t="str">
        <f aca="false">IF(G884="","",IF(G884&lt;&gt;"USA","N/A - Not USA Role",IF(J884="Yes",IF(OR(F884="Intern",F884="New Grad"),"🟡 Possible","🟢 Strong"),IF(J884="No","🔴 Difficult","⚪ Unknown"))))</f>
        <v/>
      </c>
      <c r="CF884" s="37"/>
      <c r="CG884" s="37"/>
      <c r="CH884" s="38"/>
      <c r="CI884" s="38"/>
      <c r="CJ884" s="38"/>
      <c r="CK884" s="38"/>
    </row>
    <row r="885" customFormat="false" ht="15" hidden="false" customHeight="true" outlineLevel="0" collapsed="false">
      <c r="A885" s="26" t="str">
        <f aca="false">IF($C885="","",ROW()-3)</f>
        <v/>
      </c>
      <c r="B885" s="27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9"/>
      <c r="N885" s="29"/>
      <c r="O885" s="30" t="str">
        <f aca="false">IFERROR(IF(M885="","",M885*INDEX('00 - Lists'!$M$2:$M$11,MATCH(L885,'00 - Lists'!$L$2:$L$11,0))/100000),"")</f>
        <v/>
      </c>
      <c r="P885" s="30" t="str">
        <f aca="false">IFERROR(IF(N885="","",N885*INDEX('00 - Lists'!$M$2:$M$11,MATCH(L885,'00 - Lists'!$L$2:$L$11,0))/100000),"")</f>
        <v/>
      </c>
      <c r="Q885" s="31" t="str">
        <f aca="false">IFERROR(IF(M885="","",M885*INDEX('00 - Lists'!$N$2:$N$11,MATCH(L885,'00 - Lists'!$L$2:$L$11,0))),"")</f>
        <v/>
      </c>
      <c r="R885" s="31" t="str">
        <f aca="false">IFERROR(IF(N885="","",N885*INDEX('00 - Lists'!$N$2:$N$11,MATCH(L885,'00 - Lists'!$L$2:$L$11,0))),"")</f>
        <v/>
      </c>
      <c r="S885" s="32" t="str">
        <f aca="false">IF(O885="","",IF(O885&gt;=50,"Yes","No"))</f>
        <v/>
      </c>
      <c r="T885" s="32" t="str">
        <f aca="false">IF(Q885="","",IF(Q885&gt;=100000,"Yes","No"))</f>
        <v/>
      </c>
      <c r="U885" s="28"/>
      <c r="V885" s="28"/>
      <c r="W885" s="28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J885" s="34" t="str">
        <f aca="false">IF(OR($BD885&lt;&gt;"",$BF885&lt;&gt;"",$BH885&lt;&gt;""),"Yes","No")</f>
        <v>No</v>
      </c>
      <c r="BK885" s="35" t="str">
        <f aca="false">IFERROR(IF(BD885="","",BD885*INDEX('00 - Lists'!$M$2:$M$11,MATCH(L885,'00 - Lists'!$L$2:$L$11,0))/100000),"")</f>
        <v/>
      </c>
      <c r="BL885" s="35" t="str">
        <f aca="false">IFERROR(IF(BE885="","",BE885*INDEX('00 - Lists'!$M$2:$M$11,MATCH(L885,'00 - Lists'!$L$2:$L$11,0))/100000),"")</f>
        <v/>
      </c>
      <c r="BM885" s="35" t="str">
        <f aca="false">IFERROR(IF(BF885="","",BF885*INDEX('00 - Lists'!$M$2:$M$11,MATCH(L885,'00 - Lists'!$L$2:$L$11,0))/100000),"")</f>
        <v/>
      </c>
      <c r="BN885" s="35" t="str">
        <f aca="false">IFERROR(IF(BG885="","",BG885*INDEX('00 - Lists'!$M$2:$M$11,MATCH(L885,'00 - Lists'!$L$2:$L$11,0))/100000),"")</f>
        <v/>
      </c>
      <c r="BO885" s="35" t="str">
        <f aca="false">IFERROR(IF(BH885="","",BH885*INDEX('00 - Lists'!$M$2:$M$11,MATCH(L885,'00 - Lists'!$L$2:$L$11,0))/100000),"")</f>
        <v/>
      </c>
      <c r="BP885" s="35" t="str">
        <f aca="false">IFERROR(IF(BI885="","",BI885*INDEX('00 - Lists'!$M$2:$M$11,MATCH(L885,'00 - Lists'!$L$2:$L$11,0))/100000),"")</f>
        <v/>
      </c>
      <c r="BS885" s="36" t="str">
        <f aca="false">IF(O885="","",IF(O885&gt;=20,"Yes","No"))</f>
        <v/>
      </c>
      <c r="BT885" s="36" t="str">
        <f aca="false">IF(O885="","",IF(O885&gt;=30,"Yes","No"))</f>
        <v/>
      </c>
      <c r="BU885" s="36" t="str">
        <f aca="false">IF(O885="","",IF(O885&gt;=75,"Yes","No"))</f>
        <v/>
      </c>
      <c r="BV885" s="36" t="str">
        <f aca="false">IF(O885="","",IF(O885&gt;=100,"Yes","No"))</f>
        <v/>
      </c>
      <c r="BW885" s="36" t="str">
        <f aca="false">IF(O885="","",IF(O885&gt;=150,"Yes","No"))</f>
        <v/>
      </c>
      <c r="BX885" s="36" t="str">
        <f aca="false">IF(O885="","",IF(O885&gt;=200,"Yes","No"))</f>
        <v/>
      </c>
      <c r="BY885" s="36" t="str">
        <f aca="false">IF(Q885="","",IF(Q885&gt;=150000,"Yes","No"))</f>
        <v/>
      </c>
      <c r="BZ885" s="36" t="str">
        <f aca="false">IF(Q885="","",IF(Q885&gt;=200000,"Yes","No"))</f>
        <v/>
      </c>
      <c r="CA885" s="36" t="str">
        <f aca="false">IF(Q885="","",IF(Q885&gt;=250000,"Yes","No"))</f>
        <v/>
      </c>
      <c r="CB885" s="36" t="str">
        <f aca="false">IF(Q885="","",IF(Q885&gt;=300000,"Yes","No"))</f>
        <v/>
      </c>
      <c r="CC885" s="37"/>
      <c r="CD885" s="36" t="str">
        <f aca="true">IF(B885="","",IF(TODAY()-B885&lt;=7,"🟢 0-7d",IF(TODAY()-B885&lt;=30,"🟡 8-30d",IF(TODAY()-B885&lt;=60,"🟠 31-60d","🔴 60d+"))))</f>
        <v/>
      </c>
      <c r="CE885" s="36" t="str">
        <f aca="false">IF(G885="","",IF(G885&lt;&gt;"USA","N/A - Not USA Role",IF(J885="Yes",IF(OR(F885="Intern",F885="New Grad"),"🟡 Possible","🟢 Strong"),IF(J885="No","🔴 Difficult","⚪ Unknown"))))</f>
        <v/>
      </c>
      <c r="CF885" s="37"/>
      <c r="CG885" s="37"/>
      <c r="CH885" s="38"/>
      <c r="CI885" s="38"/>
      <c r="CJ885" s="38"/>
      <c r="CK885" s="38"/>
    </row>
    <row r="886" customFormat="false" ht="15" hidden="false" customHeight="true" outlineLevel="0" collapsed="false">
      <c r="A886" s="26" t="str">
        <f aca="false">IF($C886="","",ROW()-3)</f>
        <v/>
      </c>
      <c r="B886" s="27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9"/>
      <c r="N886" s="29"/>
      <c r="O886" s="30" t="str">
        <f aca="false">IFERROR(IF(M886="","",M886*INDEX('00 - Lists'!$M$2:$M$11,MATCH(L886,'00 - Lists'!$L$2:$L$11,0))/100000),"")</f>
        <v/>
      </c>
      <c r="P886" s="30" t="str">
        <f aca="false">IFERROR(IF(N886="","",N886*INDEX('00 - Lists'!$M$2:$M$11,MATCH(L886,'00 - Lists'!$L$2:$L$11,0))/100000),"")</f>
        <v/>
      </c>
      <c r="Q886" s="31" t="str">
        <f aca="false">IFERROR(IF(M886="","",M886*INDEX('00 - Lists'!$N$2:$N$11,MATCH(L886,'00 - Lists'!$L$2:$L$11,0))),"")</f>
        <v/>
      </c>
      <c r="R886" s="31" t="str">
        <f aca="false">IFERROR(IF(N886="","",N886*INDEX('00 - Lists'!$N$2:$N$11,MATCH(L886,'00 - Lists'!$L$2:$L$11,0))),"")</f>
        <v/>
      </c>
      <c r="S886" s="32" t="str">
        <f aca="false">IF(O886="","",IF(O886&gt;=50,"Yes","No"))</f>
        <v/>
      </c>
      <c r="T886" s="32" t="str">
        <f aca="false">IF(Q886="","",IF(Q886&gt;=100000,"Yes","No"))</f>
        <v/>
      </c>
      <c r="U886" s="28"/>
      <c r="V886" s="28"/>
      <c r="W886" s="28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J886" s="34" t="str">
        <f aca="false">IF(OR($BD886&lt;&gt;"",$BF886&lt;&gt;"",$BH886&lt;&gt;""),"Yes","No")</f>
        <v>No</v>
      </c>
      <c r="BK886" s="35" t="str">
        <f aca="false">IFERROR(IF(BD886="","",BD886*INDEX('00 - Lists'!$M$2:$M$11,MATCH(L886,'00 - Lists'!$L$2:$L$11,0))/100000),"")</f>
        <v/>
      </c>
      <c r="BL886" s="35" t="str">
        <f aca="false">IFERROR(IF(BE886="","",BE886*INDEX('00 - Lists'!$M$2:$M$11,MATCH(L886,'00 - Lists'!$L$2:$L$11,0))/100000),"")</f>
        <v/>
      </c>
      <c r="BM886" s="35" t="str">
        <f aca="false">IFERROR(IF(BF886="","",BF886*INDEX('00 - Lists'!$M$2:$M$11,MATCH(L886,'00 - Lists'!$L$2:$L$11,0))/100000),"")</f>
        <v/>
      </c>
      <c r="BN886" s="35" t="str">
        <f aca="false">IFERROR(IF(BG886="","",BG886*INDEX('00 - Lists'!$M$2:$M$11,MATCH(L886,'00 - Lists'!$L$2:$L$11,0))/100000),"")</f>
        <v/>
      </c>
      <c r="BO886" s="35" t="str">
        <f aca="false">IFERROR(IF(BH886="","",BH886*INDEX('00 - Lists'!$M$2:$M$11,MATCH(L886,'00 - Lists'!$L$2:$L$11,0))/100000),"")</f>
        <v/>
      </c>
      <c r="BP886" s="35" t="str">
        <f aca="false">IFERROR(IF(BI886="","",BI886*INDEX('00 - Lists'!$M$2:$M$11,MATCH(L886,'00 - Lists'!$L$2:$L$11,0))/100000),"")</f>
        <v/>
      </c>
      <c r="BS886" s="36" t="str">
        <f aca="false">IF(O886="","",IF(O886&gt;=20,"Yes","No"))</f>
        <v/>
      </c>
      <c r="BT886" s="36" t="str">
        <f aca="false">IF(O886="","",IF(O886&gt;=30,"Yes","No"))</f>
        <v/>
      </c>
      <c r="BU886" s="36" t="str">
        <f aca="false">IF(O886="","",IF(O886&gt;=75,"Yes","No"))</f>
        <v/>
      </c>
      <c r="BV886" s="36" t="str">
        <f aca="false">IF(O886="","",IF(O886&gt;=100,"Yes","No"))</f>
        <v/>
      </c>
      <c r="BW886" s="36" t="str">
        <f aca="false">IF(O886="","",IF(O886&gt;=150,"Yes","No"))</f>
        <v/>
      </c>
      <c r="BX886" s="36" t="str">
        <f aca="false">IF(O886="","",IF(O886&gt;=200,"Yes","No"))</f>
        <v/>
      </c>
      <c r="BY886" s="36" t="str">
        <f aca="false">IF(Q886="","",IF(Q886&gt;=150000,"Yes","No"))</f>
        <v/>
      </c>
      <c r="BZ886" s="36" t="str">
        <f aca="false">IF(Q886="","",IF(Q886&gt;=200000,"Yes","No"))</f>
        <v/>
      </c>
      <c r="CA886" s="36" t="str">
        <f aca="false">IF(Q886="","",IF(Q886&gt;=250000,"Yes","No"))</f>
        <v/>
      </c>
      <c r="CB886" s="36" t="str">
        <f aca="false">IF(Q886="","",IF(Q886&gt;=300000,"Yes","No"))</f>
        <v/>
      </c>
      <c r="CC886" s="37"/>
      <c r="CD886" s="36" t="str">
        <f aca="true">IF(B886="","",IF(TODAY()-B886&lt;=7,"🟢 0-7d",IF(TODAY()-B886&lt;=30,"🟡 8-30d",IF(TODAY()-B886&lt;=60,"🟠 31-60d","🔴 60d+"))))</f>
        <v/>
      </c>
      <c r="CE886" s="36" t="str">
        <f aca="false">IF(G886="","",IF(G886&lt;&gt;"USA","N/A - Not USA Role",IF(J886="Yes",IF(OR(F886="Intern",F886="New Grad"),"🟡 Possible","🟢 Strong"),IF(J886="No","🔴 Difficult","⚪ Unknown"))))</f>
        <v/>
      </c>
      <c r="CF886" s="37"/>
      <c r="CG886" s="37"/>
      <c r="CH886" s="38"/>
      <c r="CI886" s="38"/>
      <c r="CJ886" s="38"/>
      <c r="CK886" s="38"/>
    </row>
    <row r="887" customFormat="false" ht="15" hidden="false" customHeight="true" outlineLevel="0" collapsed="false">
      <c r="A887" s="26" t="str">
        <f aca="false">IF($C887="","",ROW()-3)</f>
        <v/>
      </c>
      <c r="B887" s="27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9"/>
      <c r="N887" s="29"/>
      <c r="O887" s="30" t="str">
        <f aca="false">IFERROR(IF(M887="","",M887*INDEX('00 - Lists'!$M$2:$M$11,MATCH(L887,'00 - Lists'!$L$2:$L$11,0))/100000),"")</f>
        <v/>
      </c>
      <c r="P887" s="30" t="str">
        <f aca="false">IFERROR(IF(N887="","",N887*INDEX('00 - Lists'!$M$2:$M$11,MATCH(L887,'00 - Lists'!$L$2:$L$11,0))/100000),"")</f>
        <v/>
      </c>
      <c r="Q887" s="31" t="str">
        <f aca="false">IFERROR(IF(M887="","",M887*INDEX('00 - Lists'!$N$2:$N$11,MATCH(L887,'00 - Lists'!$L$2:$L$11,0))),"")</f>
        <v/>
      </c>
      <c r="R887" s="31" t="str">
        <f aca="false">IFERROR(IF(N887="","",N887*INDEX('00 - Lists'!$N$2:$N$11,MATCH(L887,'00 - Lists'!$L$2:$L$11,0))),"")</f>
        <v/>
      </c>
      <c r="S887" s="32" t="str">
        <f aca="false">IF(O887="","",IF(O887&gt;=50,"Yes","No"))</f>
        <v/>
      </c>
      <c r="T887" s="32" t="str">
        <f aca="false">IF(Q887="","",IF(Q887&gt;=100000,"Yes","No"))</f>
        <v/>
      </c>
      <c r="U887" s="28"/>
      <c r="V887" s="28"/>
      <c r="W887" s="28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J887" s="34" t="str">
        <f aca="false">IF(OR($BD887&lt;&gt;"",$BF887&lt;&gt;"",$BH887&lt;&gt;""),"Yes","No")</f>
        <v>No</v>
      </c>
      <c r="BK887" s="35" t="str">
        <f aca="false">IFERROR(IF(BD887="","",BD887*INDEX('00 - Lists'!$M$2:$M$11,MATCH(L887,'00 - Lists'!$L$2:$L$11,0))/100000),"")</f>
        <v/>
      </c>
      <c r="BL887" s="35" t="str">
        <f aca="false">IFERROR(IF(BE887="","",BE887*INDEX('00 - Lists'!$M$2:$M$11,MATCH(L887,'00 - Lists'!$L$2:$L$11,0))/100000),"")</f>
        <v/>
      </c>
      <c r="BM887" s="35" t="str">
        <f aca="false">IFERROR(IF(BF887="","",BF887*INDEX('00 - Lists'!$M$2:$M$11,MATCH(L887,'00 - Lists'!$L$2:$L$11,0))/100000),"")</f>
        <v/>
      </c>
      <c r="BN887" s="35" t="str">
        <f aca="false">IFERROR(IF(BG887="","",BG887*INDEX('00 - Lists'!$M$2:$M$11,MATCH(L887,'00 - Lists'!$L$2:$L$11,0))/100000),"")</f>
        <v/>
      </c>
      <c r="BO887" s="35" t="str">
        <f aca="false">IFERROR(IF(BH887="","",BH887*INDEX('00 - Lists'!$M$2:$M$11,MATCH(L887,'00 - Lists'!$L$2:$L$11,0))/100000),"")</f>
        <v/>
      </c>
      <c r="BP887" s="35" t="str">
        <f aca="false">IFERROR(IF(BI887="","",BI887*INDEX('00 - Lists'!$M$2:$M$11,MATCH(L887,'00 - Lists'!$L$2:$L$11,0))/100000),"")</f>
        <v/>
      </c>
      <c r="BS887" s="36" t="str">
        <f aca="false">IF(O887="","",IF(O887&gt;=20,"Yes","No"))</f>
        <v/>
      </c>
      <c r="BT887" s="36" t="str">
        <f aca="false">IF(O887="","",IF(O887&gt;=30,"Yes","No"))</f>
        <v/>
      </c>
      <c r="BU887" s="36" t="str">
        <f aca="false">IF(O887="","",IF(O887&gt;=75,"Yes","No"))</f>
        <v/>
      </c>
      <c r="BV887" s="36" t="str">
        <f aca="false">IF(O887="","",IF(O887&gt;=100,"Yes","No"))</f>
        <v/>
      </c>
      <c r="BW887" s="36" t="str">
        <f aca="false">IF(O887="","",IF(O887&gt;=150,"Yes","No"))</f>
        <v/>
      </c>
      <c r="BX887" s="36" t="str">
        <f aca="false">IF(O887="","",IF(O887&gt;=200,"Yes","No"))</f>
        <v/>
      </c>
      <c r="BY887" s="36" t="str">
        <f aca="false">IF(Q887="","",IF(Q887&gt;=150000,"Yes","No"))</f>
        <v/>
      </c>
      <c r="BZ887" s="36" t="str">
        <f aca="false">IF(Q887="","",IF(Q887&gt;=200000,"Yes","No"))</f>
        <v/>
      </c>
      <c r="CA887" s="36" t="str">
        <f aca="false">IF(Q887="","",IF(Q887&gt;=250000,"Yes","No"))</f>
        <v/>
      </c>
      <c r="CB887" s="36" t="str">
        <f aca="false">IF(Q887="","",IF(Q887&gt;=300000,"Yes","No"))</f>
        <v/>
      </c>
      <c r="CC887" s="37"/>
      <c r="CD887" s="36" t="str">
        <f aca="true">IF(B887="","",IF(TODAY()-B887&lt;=7,"🟢 0-7d",IF(TODAY()-B887&lt;=30,"🟡 8-30d",IF(TODAY()-B887&lt;=60,"🟠 31-60d","🔴 60d+"))))</f>
        <v/>
      </c>
      <c r="CE887" s="36" t="str">
        <f aca="false">IF(G887="","",IF(G887&lt;&gt;"USA","N/A - Not USA Role",IF(J887="Yes",IF(OR(F887="Intern",F887="New Grad"),"🟡 Possible","🟢 Strong"),IF(J887="No","🔴 Difficult","⚪ Unknown"))))</f>
        <v/>
      </c>
      <c r="CF887" s="37"/>
      <c r="CG887" s="37"/>
      <c r="CH887" s="38"/>
      <c r="CI887" s="38"/>
      <c r="CJ887" s="38"/>
      <c r="CK887" s="38"/>
    </row>
    <row r="888" customFormat="false" ht="15" hidden="false" customHeight="true" outlineLevel="0" collapsed="false">
      <c r="A888" s="26" t="str">
        <f aca="false">IF($C888="","",ROW()-3)</f>
        <v/>
      </c>
      <c r="B888" s="27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9"/>
      <c r="N888" s="29"/>
      <c r="O888" s="30" t="str">
        <f aca="false">IFERROR(IF(M888="","",M888*INDEX('00 - Lists'!$M$2:$M$11,MATCH(L888,'00 - Lists'!$L$2:$L$11,0))/100000),"")</f>
        <v/>
      </c>
      <c r="P888" s="30" t="str">
        <f aca="false">IFERROR(IF(N888="","",N888*INDEX('00 - Lists'!$M$2:$M$11,MATCH(L888,'00 - Lists'!$L$2:$L$11,0))/100000),"")</f>
        <v/>
      </c>
      <c r="Q888" s="31" t="str">
        <f aca="false">IFERROR(IF(M888="","",M888*INDEX('00 - Lists'!$N$2:$N$11,MATCH(L888,'00 - Lists'!$L$2:$L$11,0))),"")</f>
        <v/>
      </c>
      <c r="R888" s="31" t="str">
        <f aca="false">IFERROR(IF(N888="","",N888*INDEX('00 - Lists'!$N$2:$N$11,MATCH(L888,'00 - Lists'!$L$2:$L$11,0))),"")</f>
        <v/>
      </c>
      <c r="S888" s="32" t="str">
        <f aca="false">IF(O888="","",IF(O888&gt;=50,"Yes","No"))</f>
        <v/>
      </c>
      <c r="T888" s="32" t="str">
        <f aca="false">IF(Q888="","",IF(Q888&gt;=100000,"Yes","No"))</f>
        <v/>
      </c>
      <c r="U888" s="28"/>
      <c r="V888" s="28"/>
      <c r="W888" s="28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J888" s="34" t="str">
        <f aca="false">IF(OR($BD888&lt;&gt;"",$BF888&lt;&gt;"",$BH888&lt;&gt;""),"Yes","No")</f>
        <v>No</v>
      </c>
      <c r="BK888" s="35" t="str">
        <f aca="false">IFERROR(IF(BD888="","",BD888*INDEX('00 - Lists'!$M$2:$M$11,MATCH(L888,'00 - Lists'!$L$2:$L$11,0))/100000),"")</f>
        <v/>
      </c>
      <c r="BL888" s="35" t="str">
        <f aca="false">IFERROR(IF(BE888="","",BE888*INDEX('00 - Lists'!$M$2:$M$11,MATCH(L888,'00 - Lists'!$L$2:$L$11,0))/100000),"")</f>
        <v/>
      </c>
      <c r="BM888" s="35" t="str">
        <f aca="false">IFERROR(IF(BF888="","",BF888*INDEX('00 - Lists'!$M$2:$M$11,MATCH(L888,'00 - Lists'!$L$2:$L$11,0))/100000),"")</f>
        <v/>
      </c>
      <c r="BN888" s="35" t="str">
        <f aca="false">IFERROR(IF(BG888="","",BG888*INDEX('00 - Lists'!$M$2:$M$11,MATCH(L888,'00 - Lists'!$L$2:$L$11,0))/100000),"")</f>
        <v/>
      </c>
      <c r="BO888" s="35" t="str">
        <f aca="false">IFERROR(IF(BH888="","",BH888*INDEX('00 - Lists'!$M$2:$M$11,MATCH(L888,'00 - Lists'!$L$2:$L$11,0))/100000),"")</f>
        <v/>
      </c>
      <c r="BP888" s="35" t="str">
        <f aca="false">IFERROR(IF(BI888="","",BI888*INDEX('00 - Lists'!$M$2:$M$11,MATCH(L888,'00 - Lists'!$L$2:$L$11,0))/100000),"")</f>
        <v/>
      </c>
      <c r="BS888" s="36" t="str">
        <f aca="false">IF(O888="","",IF(O888&gt;=20,"Yes","No"))</f>
        <v/>
      </c>
      <c r="BT888" s="36" t="str">
        <f aca="false">IF(O888="","",IF(O888&gt;=30,"Yes","No"))</f>
        <v/>
      </c>
      <c r="BU888" s="36" t="str">
        <f aca="false">IF(O888="","",IF(O888&gt;=75,"Yes","No"))</f>
        <v/>
      </c>
      <c r="BV888" s="36" t="str">
        <f aca="false">IF(O888="","",IF(O888&gt;=100,"Yes","No"))</f>
        <v/>
      </c>
      <c r="BW888" s="36" t="str">
        <f aca="false">IF(O888="","",IF(O888&gt;=150,"Yes","No"))</f>
        <v/>
      </c>
      <c r="BX888" s="36" t="str">
        <f aca="false">IF(O888="","",IF(O888&gt;=200,"Yes","No"))</f>
        <v/>
      </c>
      <c r="BY888" s="36" t="str">
        <f aca="false">IF(Q888="","",IF(Q888&gt;=150000,"Yes","No"))</f>
        <v/>
      </c>
      <c r="BZ888" s="36" t="str">
        <f aca="false">IF(Q888="","",IF(Q888&gt;=200000,"Yes","No"))</f>
        <v/>
      </c>
      <c r="CA888" s="36" t="str">
        <f aca="false">IF(Q888="","",IF(Q888&gt;=250000,"Yes","No"))</f>
        <v/>
      </c>
      <c r="CB888" s="36" t="str">
        <f aca="false">IF(Q888="","",IF(Q888&gt;=300000,"Yes","No"))</f>
        <v/>
      </c>
      <c r="CC888" s="37"/>
      <c r="CD888" s="36" t="str">
        <f aca="true">IF(B888="","",IF(TODAY()-B888&lt;=7,"🟢 0-7d",IF(TODAY()-B888&lt;=30,"🟡 8-30d",IF(TODAY()-B888&lt;=60,"🟠 31-60d","🔴 60d+"))))</f>
        <v/>
      </c>
      <c r="CE888" s="36" t="str">
        <f aca="false">IF(G888="","",IF(G888&lt;&gt;"USA","N/A - Not USA Role",IF(J888="Yes",IF(OR(F888="Intern",F888="New Grad"),"🟡 Possible","🟢 Strong"),IF(J888="No","🔴 Difficult","⚪ Unknown"))))</f>
        <v/>
      </c>
      <c r="CF888" s="37"/>
      <c r="CG888" s="37"/>
      <c r="CH888" s="38"/>
      <c r="CI888" s="38"/>
      <c r="CJ888" s="38"/>
      <c r="CK888" s="38"/>
    </row>
    <row r="889" customFormat="false" ht="15" hidden="false" customHeight="true" outlineLevel="0" collapsed="false">
      <c r="A889" s="26" t="str">
        <f aca="false">IF($C889="","",ROW()-3)</f>
        <v/>
      </c>
      <c r="B889" s="27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9"/>
      <c r="N889" s="29"/>
      <c r="O889" s="30" t="str">
        <f aca="false">IFERROR(IF(M889="","",M889*INDEX('00 - Lists'!$M$2:$M$11,MATCH(L889,'00 - Lists'!$L$2:$L$11,0))/100000),"")</f>
        <v/>
      </c>
      <c r="P889" s="30" t="str">
        <f aca="false">IFERROR(IF(N889="","",N889*INDEX('00 - Lists'!$M$2:$M$11,MATCH(L889,'00 - Lists'!$L$2:$L$11,0))/100000),"")</f>
        <v/>
      </c>
      <c r="Q889" s="31" t="str">
        <f aca="false">IFERROR(IF(M889="","",M889*INDEX('00 - Lists'!$N$2:$N$11,MATCH(L889,'00 - Lists'!$L$2:$L$11,0))),"")</f>
        <v/>
      </c>
      <c r="R889" s="31" t="str">
        <f aca="false">IFERROR(IF(N889="","",N889*INDEX('00 - Lists'!$N$2:$N$11,MATCH(L889,'00 - Lists'!$L$2:$L$11,0))),"")</f>
        <v/>
      </c>
      <c r="S889" s="32" t="str">
        <f aca="false">IF(O889="","",IF(O889&gt;=50,"Yes","No"))</f>
        <v/>
      </c>
      <c r="T889" s="32" t="str">
        <f aca="false">IF(Q889="","",IF(Q889&gt;=100000,"Yes","No"))</f>
        <v/>
      </c>
      <c r="U889" s="28"/>
      <c r="V889" s="28"/>
      <c r="W889" s="28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J889" s="34" t="str">
        <f aca="false">IF(OR($BD889&lt;&gt;"",$BF889&lt;&gt;"",$BH889&lt;&gt;""),"Yes","No")</f>
        <v>No</v>
      </c>
      <c r="BK889" s="35" t="str">
        <f aca="false">IFERROR(IF(BD889="","",BD889*INDEX('00 - Lists'!$M$2:$M$11,MATCH(L889,'00 - Lists'!$L$2:$L$11,0))/100000),"")</f>
        <v/>
      </c>
      <c r="BL889" s="35" t="str">
        <f aca="false">IFERROR(IF(BE889="","",BE889*INDEX('00 - Lists'!$M$2:$M$11,MATCH(L889,'00 - Lists'!$L$2:$L$11,0))/100000),"")</f>
        <v/>
      </c>
      <c r="BM889" s="35" t="str">
        <f aca="false">IFERROR(IF(BF889="","",BF889*INDEX('00 - Lists'!$M$2:$M$11,MATCH(L889,'00 - Lists'!$L$2:$L$11,0))/100000),"")</f>
        <v/>
      </c>
      <c r="BN889" s="35" t="str">
        <f aca="false">IFERROR(IF(BG889="","",BG889*INDEX('00 - Lists'!$M$2:$M$11,MATCH(L889,'00 - Lists'!$L$2:$L$11,0))/100000),"")</f>
        <v/>
      </c>
      <c r="BO889" s="35" t="str">
        <f aca="false">IFERROR(IF(BH889="","",BH889*INDEX('00 - Lists'!$M$2:$M$11,MATCH(L889,'00 - Lists'!$L$2:$L$11,0))/100000),"")</f>
        <v/>
      </c>
      <c r="BP889" s="35" t="str">
        <f aca="false">IFERROR(IF(BI889="","",BI889*INDEX('00 - Lists'!$M$2:$M$11,MATCH(L889,'00 - Lists'!$L$2:$L$11,0))/100000),"")</f>
        <v/>
      </c>
      <c r="BS889" s="36" t="str">
        <f aca="false">IF(O889="","",IF(O889&gt;=20,"Yes","No"))</f>
        <v/>
      </c>
      <c r="BT889" s="36" t="str">
        <f aca="false">IF(O889="","",IF(O889&gt;=30,"Yes","No"))</f>
        <v/>
      </c>
      <c r="BU889" s="36" t="str">
        <f aca="false">IF(O889="","",IF(O889&gt;=75,"Yes","No"))</f>
        <v/>
      </c>
      <c r="BV889" s="36" t="str">
        <f aca="false">IF(O889="","",IF(O889&gt;=100,"Yes","No"))</f>
        <v/>
      </c>
      <c r="BW889" s="36" t="str">
        <f aca="false">IF(O889="","",IF(O889&gt;=150,"Yes","No"))</f>
        <v/>
      </c>
      <c r="BX889" s="36" t="str">
        <f aca="false">IF(O889="","",IF(O889&gt;=200,"Yes","No"))</f>
        <v/>
      </c>
      <c r="BY889" s="36" t="str">
        <f aca="false">IF(Q889="","",IF(Q889&gt;=150000,"Yes","No"))</f>
        <v/>
      </c>
      <c r="BZ889" s="36" t="str">
        <f aca="false">IF(Q889="","",IF(Q889&gt;=200000,"Yes","No"))</f>
        <v/>
      </c>
      <c r="CA889" s="36" t="str">
        <f aca="false">IF(Q889="","",IF(Q889&gt;=250000,"Yes","No"))</f>
        <v/>
      </c>
      <c r="CB889" s="36" t="str">
        <f aca="false">IF(Q889="","",IF(Q889&gt;=300000,"Yes","No"))</f>
        <v/>
      </c>
      <c r="CC889" s="37"/>
      <c r="CD889" s="36" t="str">
        <f aca="true">IF(B889="","",IF(TODAY()-B889&lt;=7,"🟢 0-7d",IF(TODAY()-B889&lt;=30,"🟡 8-30d",IF(TODAY()-B889&lt;=60,"🟠 31-60d","🔴 60d+"))))</f>
        <v/>
      </c>
      <c r="CE889" s="36" t="str">
        <f aca="false">IF(G889="","",IF(G889&lt;&gt;"USA","N/A - Not USA Role",IF(J889="Yes",IF(OR(F889="Intern",F889="New Grad"),"🟡 Possible","🟢 Strong"),IF(J889="No","🔴 Difficult","⚪ Unknown"))))</f>
        <v/>
      </c>
      <c r="CF889" s="37"/>
      <c r="CG889" s="37"/>
      <c r="CH889" s="38"/>
      <c r="CI889" s="38"/>
      <c r="CJ889" s="38"/>
      <c r="CK889" s="38"/>
    </row>
    <row r="890" customFormat="false" ht="15" hidden="false" customHeight="true" outlineLevel="0" collapsed="false">
      <c r="A890" s="26" t="str">
        <f aca="false">IF($C890="","",ROW()-3)</f>
        <v/>
      </c>
      <c r="B890" s="27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9"/>
      <c r="N890" s="29"/>
      <c r="O890" s="30" t="str">
        <f aca="false">IFERROR(IF(M890="","",M890*INDEX('00 - Lists'!$M$2:$M$11,MATCH(L890,'00 - Lists'!$L$2:$L$11,0))/100000),"")</f>
        <v/>
      </c>
      <c r="P890" s="30" t="str">
        <f aca="false">IFERROR(IF(N890="","",N890*INDEX('00 - Lists'!$M$2:$M$11,MATCH(L890,'00 - Lists'!$L$2:$L$11,0))/100000),"")</f>
        <v/>
      </c>
      <c r="Q890" s="31" t="str">
        <f aca="false">IFERROR(IF(M890="","",M890*INDEX('00 - Lists'!$N$2:$N$11,MATCH(L890,'00 - Lists'!$L$2:$L$11,0))),"")</f>
        <v/>
      </c>
      <c r="R890" s="31" t="str">
        <f aca="false">IFERROR(IF(N890="","",N890*INDEX('00 - Lists'!$N$2:$N$11,MATCH(L890,'00 - Lists'!$L$2:$L$11,0))),"")</f>
        <v/>
      </c>
      <c r="S890" s="32" t="str">
        <f aca="false">IF(O890="","",IF(O890&gt;=50,"Yes","No"))</f>
        <v/>
      </c>
      <c r="T890" s="32" t="str">
        <f aca="false">IF(Q890="","",IF(Q890&gt;=100000,"Yes","No"))</f>
        <v/>
      </c>
      <c r="U890" s="28"/>
      <c r="V890" s="28"/>
      <c r="W890" s="28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J890" s="34" t="str">
        <f aca="false">IF(OR($BD890&lt;&gt;"",$BF890&lt;&gt;"",$BH890&lt;&gt;""),"Yes","No")</f>
        <v>No</v>
      </c>
      <c r="BK890" s="35" t="str">
        <f aca="false">IFERROR(IF(BD890="","",BD890*INDEX('00 - Lists'!$M$2:$M$11,MATCH(L890,'00 - Lists'!$L$2:$L$11,0))/100000),"")</f>
        <v/>
      </c>
      <c r="BL890" s="35" t="str">
        <f aca="false">IFERROR(IF(BE890="","",BE890*INDEX('00 - Lists'!$M$2:$M$11,MATCH(L890,'00 - Lists'!$L$2:$L$11,0))/100000),"")</f>
        <v/>
      </c>
      <c r="BM890" s="35" t="str">
        <f aca="false">IFERROR(IF(BF890="","",BF890*INDEX('00 - Lists'!$M$2:$M$11,MATCH(L890,'00 - Lists'!$L$2:$L$11,0))/100000),"")</f>
        <v/>
      </c>
      <c r="BN890" s="35" t="str">
        <f aca="false">IFERROR(IF(BG890="","",BG890*INDEX('00 - Lists'!$M$2:$M$11,MATCH(L890,'00 - Lists'!$L$2:$L$11,0))/100000),"")</f>
        <v/>
      </c>
      <c r="BO890" s="35" t="str">
        <f aca="false">IFERROR(IF(BH890="","",BH890*INDEX('00 - Lists'!$M$2:$M$11,MATCH(L890,'00 - Lists'!$L$2:$L$11,0))/100000),"")</f>
        <v/>
      </c>
      <c r="BP890" s="35" t="str">
        <f aca="false">IFERROR(IF(BI890="","",BI890*INDEX('00 - Lists'!$M$2:$M$11,MATCH(L890,'00 - Lists'!$L$2:$L$11,0))/100000),"")</f>
        <v/>
      </c>
      <c r="BS890" s="36" t="str">
        <f aca="false">IF(O890="","",IF(O890&gt;=20,"Yes","No"))</f>
        <v/>
      </c>
      <c r="BT890" s="36" t="str">
        <f aca="false">IF(O890="","",IF(O890&gt;=30,"Yes","No"))</f>
        <v/>
      </c>
      <c r="BU890" s="36" t="str">
        <f aca="false">IF(O890="","",IF(O890&gt;=75,"Yes","No"))</f>
        <v/>
      </c>
      <c r="BV890" s="36" t="str">
        <f aca="false">IF(O890="","",IF(O890&gt;=100,"Yes","No"))</f>
        <v/>
      </c>
      <c r="BW890" s="36" t="str">
        <f aca="false">IF(O890="","",IF(O890&gt;=150,"Yes","No"))</f>
        <v/>
      </c>
      <c r="BX890" s="36" t="str">
        <f aca="false">IF(O890="","",IF(O890&gt;=200,"Yes","No"))</f>
        <v/>
      </c>
      <c r="BY890" s="36" t="str">
        <f aca="false">IF(Q890="","",IF(Q890&gt;=150000,"Yes","No"))</f>
        <v/>
      </c>
      <c r="BZ890" s="36" t="str">
        <f aca="false">IF(Q890="","",IF(Q890&gt;=200000,"Yes","No"))</f>
        <v/>
      </c>
      <c r="CA890" s="36" t="str">
        <f aca="false">IF(Q890="","",IF(Q890&gt;=250000,"Yes","No"))</f>
        <v/>
      </c>
      <c r="CB890" s="36" t="str">
        <f aca="false">IF(Q890="","",IF(Q890&gt;=300000,"Yes","No"))</f>
        <v/>
      </c>
      <c r="CC890" s="37"/>
      <c r="CD890" s="36" t="str">
        <f aca="true">IF(B890="","",IF(TODAY()-B890&lt;=7,"🟢 0-7d",IF(TODAY()-B890&lt;=30,"🟡 8-30d",IF(TODAY()-B890&lt;=60,"🟠 31-60d","🔴 60d+"))))</f>
        <v/>
      </c>
      <c r="CE890" s="36" t="str">
        <f aca="false">IF(G890="","",IF(G890&lt;&gt;"USA","N/A - Not USA Role",IF(J890="Yes",IF(OR(F890="Intern",F890="New Grad"),"🟡 Possible","🟢 Strong"),IF(J890="No","🔴 Difficult","⚪ Unknown"))))</f>
        <v/>
      </c>
      <c r="CF890" s="37"/>
      <c r="CG890" s="37"/>
      <c r="CH890" s="38"/>
      <c r="CI890" s="38"/>
      <c r="CJ890" s="38"/>
      <c r="CK890" s="38"/>
    </row>
    <row r="891" customFormat="false" ht="15" hidden="false" customHeight="true" outlineLevel="0" collapsed="false">
      <c r="A891" s="26" t="str">
        <f aca="false">IF($C891="","",ROW()-3)</f>
        <v/>
      </c>
      <c r="B891" s="27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9"/>
      <c r="N891" s="29"/>
      <c r="O891" s="30" t="str">
        <f aca="false">IFERROR(IF(M891="","",M891*INDEX('00 - Lists'!$M$2:$M$11,MATCH(L891,'00 - Lists'!$L$2:$L$11,0))/100000),"")</f>
        <v/>
      </c>
      <c r="P891" s="30" t="str">
        <f aca="false">IFERROR(IF(N891="","",N891*INDEX('00 - Lists'!$M$2:$M$11,MATCH(L891,'00 - Lists'!$L$2:$L$11,0))/100000),"")</f>
        <v/>
      </c>
      <c r="Q891" s="31" t="str">
        <f aca="false">IFERROR(IF(M891="","",M891*INDEX('00 - Lists'!$N$2:$N$11,MATCH(L891,'00 - Lists'!$L$2:$L$11,0))),"")</f>
        <v/>
      </c>
      <c r="R891" s="31" t="str">
        <f aca="false">IFERROR(IF(N891="","",N891*INDEX('00 - Lists'!$N$2:$N$11,MATCH(L891,'00 - Lists'!$L$2:$L$11,0))),"")</f>
        <v/>
      </c>
      <c r="S891" s="32" t="str">
        <f aca="false">IF(O891="","",IF(O891&gt;=50,"Yes","No"))</f>
        <v/>
      </c>
      <c r="T891" s="32" t="str">
        <f aca="false">IF(Q891="","",IF(Q891&gt;=100000,"Yes","No"))</f>
        <v/>
      </c>
      <c r="U891" s="28"/>
      <c r="V891" s="28"/>
      <c r="W891" s="28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J891" s="34" t="str">
        <f aca="false">IF(OR($BD891&lt;&gt;"",$BF891&lt;&gt;"",$BH891&lt;&gt;""),"Yes","No")</f>
        <v>No</v>
      </c>
      <c r="BK891" s="35" t="str">
        <f aca="false">IFERROR(IF(BD891="","",BD891*INDEX('00 - Lists'!$M$2:$M$11,MATCH(L891,'00 - Lists'!$L$2:$L$11,0))/100000),"")</f>
        <v/>
      </c>
      <c r="BL891" s="35" t="str">
        <f aca="false">IFERROR(IF(BE891="","",BE891*INDEX('00 - Lists'!$M$2:$M$11,MATCH(L891,'00 - Lists'!$L$2:$L$11,0))/100000),"")</f>
        <v/>
      </c>
      <c r="BM891" s="35" t="str">
        <f aca="false">IFERROR(IF(BF891="","",BF891*INDEX('00 - Lists'!$M$2:$M$11,MATCH(L891,'00 - Lists'!$L$2:$L$11,0))/100000),"")</f>
        <v/>
      </c>
      <c r="BN891" s="35" t="str">
        <f aca="false">IFERROR(IF(BG891="","",BG891*INDEX('00 - Lists'!$M$2:$M$11,MATCH(L891,'00 - Lists'!$L$2:$L$11,0))/100000),"")</f>
        <v/>
      </c>
      <c r="BO891" s="35" t="str">
        <f aca="false">IFERROR(IF(BH891="","",BH891*INDEX('00 - Lists'!$M$2:$M$11,MATCH(L891,'00 - Lists'!$L$2:$L$11,0))/100000),"")</f>
        <v/>
      </c>
      <c r="BP891" s="35" t="str">
        <f aca="false">IFERROR(IF(BI891="","",BI891*INDEX('00 - Lists'!$M$2:$M$11,MATCH(L891,'00 - Lists'!$L$2:$L$11,0))/100000),"")</f>
        <v/>
      </c>
      <c r="BS891" s="36" t="str">
        <f aca="false">IF(O891="","",IF(O891&gt;=20,"Yes","No"))</f>
        <v/>
      </c>
      <c r="BT891" s="36" t="str">
        <f aca="false">IF(O891="","",IF(O891&gt;=30,"Yes","No"))</f>
        <v/>
      </c>
      <c r="BU891" s="36" t="str">
        <f aca="false">IF(O891="","",IF(O891&gt;=75,"Yes","No"))</f>
        <v/>
      </c>
      <c r="BV891" s="36" t="str">
        <f aca="false">IF(O891="","",IF(O891&gt;=100,"Yes","No"))</f>
        <v/>
      </c>
      <c r="BW891" s="36" t="str">
        <f aca="false">IF(O891="","",IF(O891&gt;=150,"Yes","No"))</f>
        <v/>
      </c>
      <c r="BX891" s="36" t="str">
        <f aca="false">IF(O891="","",IF(O891&gt;=200,"Yes","No"))</f>
        <v/>
      </c>
      <c r="BY891" s="36" t="str">
        <f aca="false">IF(Q891="","",IF(Q891&gt;=150000,"Yes","No"))</f>
        <v/>
      </c>
      <c r="BZ891" s="36" t="str">
        <f aca="false">IF(Q891="","",IF(Q891&gt;=200000,"Yes","No"))</f>
        <v/>
      </c>
      <c r="CA891" s="36" t="str">
        <f aca="false">IF(Q891="","",IF(Q891&gt;=250000,"Yes","No"))</f>
        <v/>
      </c>
      <c r="CB891" s="36" t="str">
        <f aca="false">IF(Q891="","",IF(Q891&gt;=300000,"Yes","No"))</f>
        <v/>
      </c>
      <c r="CC891" s="37"/>
      <c r="CD891" s="36" t="str">
        <f aca="true">IF(B891="","",IF(TODAY()-B891&lt;=7,"🟢 0-7d",IF(TODAY()-B891&lt;=30,"🟡 8-30d",IF(TODAY()-B891&lt;=60,"🟠 31-60d","🔴 60d+"))))</f>
        <v/>
      </c>
      <c r="CE891" s="36" t="str">
        <f aca="false">IF(G891="","",IF(G891&lt;&gt;"USA","N/A - Not USA Role",IF(J891="Yes",IF(OR(F891="Intern",F891="New Grad"),"🟡 Possible","🟢 Strong"),IF(J891="No","🔴 Difficult","⚪ Unknown"))))</f>
        <v/>
      </c>
      <c r="CF891" s="37"/>
      <c r="CG891" s="37"/>
      <c r="CH891" s="38"/>
      <c r="CI891" s="38"/>
      <c r="CJ891" s="38"/>
      <c r="CK891" s="38"/>
    </row>
    <row r="892" customFormat="false" ht="15" hidden="false" customHeight="true" outlineLevel="0" collapsed="false">
      <c r="A892" s="26" t="str">
        <f aca="false">IF($C892="","",ROW()-3)</f>
        <v/>
      </c>
      <c r="B892" s="27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9"/>
      <c r="N892" s="29"/>
      <c r="O892" s="30" t="str">
        <f aca="false">IFERROR(IF(M892="","",M892*INDEX('00 - Lists'!$M$2:$M$11,MATCH(L892,'00 - Lists'!$L$2:$L$11,0))/100000),"")</f>
        <v/>
      </c>
      <c r="P892" s="30" t="str">
        <f aca="false">IFERROR(IF(N892="","",N892*INDEX('00 - Lists'!$M$2:$M$11,MATCH(L892,'00 - Lists'!$L$2:$L$11,0))/100000),"")</f>
        <v/>
      </c>
      <c r="Q892" s="31" t="str">
        <f aca="false">IFERROR(IF(M892="","",M892*INDEX('00 - Lists'!$N$2:$N$11,MATCH(L892,'00 - Lists'!$L$2:$L$11,0))),"")</f>
        <v/>
      </c>
      <c r="R892" s="31" t="str">
        <f aca="false">IFERROR(IF(N892="","",N892*INDEX('00 - Lists'!$N$2:$N$11,MATCH(L892,'00 - Lists'!$L$2:$L$11,0))),"")</f>
        <v/>
      </c>
      <c r="S892" s="32" t="str">
        <f aca="false">IF(O892="","",IF(O892&gt;=50,"Yes","No"))</f>
        <v/>
      </c>
      <c r="T892" s="32" t="str">
        <f aca="false">IF(Q892="","",IF(Q892&gt;=100000,"Yes","No"))</f>
        <v/>
      </c>
      <c r="U892" s="28"/>
      <c r="V892" s="28"/>
      <c r="W892" s="28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J892" s="34" t="str">
        <f aca="false">IF(OR($BD892&lt;&gt;"",$BF892&lt;&gt;"",$BH892&lt;&gt;""),"Yes","No")</f>
        <v>No</v>
      </c>
      <c r="BK892" s="35" t="str">
        <f aca="false">IFERROR(IF(BD892="","",BD892*INDEX('00 - Lists'!$M$2:$M$11,MATCH(L892,'00 - Lists'!$L$2:$L$11,0))/100000),"")</f>
        <v/>
      </c>
      <c r="BL892" s="35" t="str">
        <f aca="false">IFERROR(IF(BE892="","",BE892*INDEX('00 - Lists'!$M$2:$M$11,MATCH(L892,'00 - Lists'!$L$2:$L$11,0))/100000),"")</f>
        <v/>
      </c>
      <c r="BM892" s="35" t="str">
        <f aca="false">IFERROR(IF(BF892="","",BF892*INDEX('00 - Lists'!$M$2:$M$11,MATCH(L892,'00 - Lists'!$L$2:$L$11,0))/100000),"")</f>
        <v/>
      </c>
      <c r="BN892" s="35" t="str">
        <f aca="false">IFERROR(IF(BG892="","",BG892*INDEX('00 - Lists'!$M$2:$M$11,MATCH(L892,'00 - Lists'!$L$2:$L$11,0))/100000),"")</f>
        <v/>
      </c>
      <c r="BO892" s="35" t="str">
        <f aca="false">IFERROR(IF(BH892="","",BH892*INDEX('00 - Lists'!$M$2:$M$11,MATCH(L892,'00 - Lists'!$L$2:$L$11,0))/100000),"")</f>
        <v/>
      </c>
      <c r="BP892" s="35" t="str">
        <f aca="false">IFERROR(IF(BI892="","",BI892*INDEX('00 - Lists'!$M$2:$M$11,MATCH(L892,'00 - Lists'!$L$2:$L$11,0))/100000),"")</f>
        <v/>
      </c>
      <c r="BS892" s="36" t="str">
        <f aca="false">IF(O892="","",IF(O892&gt;=20,"Yes","No"))</f>
        <v/>
      </c>
      <c r="BT892" s="36" t="str">
        <f aca="false">IF(O892="","",IF(O892&gt;=30,"Yes","No"))</f>
        <v/>
      </c>
      <c r="BU892" s="36" t="str">
        <f aca="false">IF(O892="","",IF(O892&gt;=75,"Yes","No"))</f>
        <v/>
      </c>
      <c r="BV892" s="36" t="str">
        <f aca="false">IF(O892="","",IF(O892&gt;=100,"Yes","No"))</f>
        <v/>
      </c>
      <c r="BW892" s="36" t="str">
        <f aca="false">IF(O892="","",IF(O892&gt;=150,"Yes","No"))</f>
        <v/>
      </c>
      <c r="BX892" s="36" t="str">
        <f aca="false">IF(O892="","",IF(O892&gt;=200,"Yes","No"))</f>
        <v/>
      </c>
      <c r="BY892" s="36" t="str">
        <f aca="false">IF(Q892="","",IF(Q892&gt;=150000,"Yes","No"))</f>
        <v/>
      </c>
      <c r="BZ892" s="36" t="str">
        <f aca="false">IF(Q892="","",IF(Q892&gt;=200000,"Yes","No"))</f>
        <v/>
      </c>
      <c r="CA892" s="36" t="str">
        <f aca="false">IF(Q892="","",IF(Q892&gt;=250000,"Yes","No"))</f>
        <v/>
      </c>
      <c r="CB892" s="36" t="str">
        <f aca="false">IF(Q892="","",IF(Q892&gt;=300000,"Yes","No"))</f>
        <v/>
      </c>
      <c r="CC892" s="37"/>
      <c r="CD892" s="36" t="str">
        <f aca="true">IF(B892="","",IF(TODAY()-B892&lt;=7,"🟢 0-7d",IF(TODAY()-B892&lt;=30,"🟡 8-30d",IF(TODAY()-B892&lt;=60,"🟠 31-60d","🔴 60d+"))))</f>
        <v/>
      </c>
      <c r="CE892" s="36" t="str">
        <f aca="false">IF(G892="","",IF(G892&lt;&gt;"USA","N/A - Not USA Role",IF(J892="Yes",IF(OR(F892="Intern",F892="New Grad"),"🟡 Possible","🟢 Strong"),IF(J892="No","🔴 Difficult","⚪ Unknown"))))</f>
        <v/>
      </c>
      <c r="CF892" s="37"/>
      <c r="CG892" s="37"/>
      <c r="CH892" s="38"/>
      <c r="CI892" s="38"/>
      <c r="CJ892" s="38"/>
      <c r="CK892" s="38"/>
    </row>
    <row r="893" customFormat="false" ht="15" hidden="false" customHeight="true" outlineLevel="0" collapsed="false">
      <c r="A893" s="26" t="str">
        <f aca="false">IF($C893="","",ROW()-3)</f>
        <v/>
      </c>
      <c r="B893" s="27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9"/>
      <c r="N893" s="29"/>
      <c r="O893" s="30" t="str">
        <f aca="false">IFERROR(IF(M893="","",M893*INDEX('00 - Lists'!$M$2:$M$11,MATCH(L893,'00 - Lists'!$L$2:$L$11,0))/100000),"")</f>
        <v/>
      </c>
      <c r="P893" s="30" t="str">
        <f aca="false">IFERROR(IF(N893="","",N893*INDEX('00 - Lists'!$M$2:$M$11,MATCH(L893,'00 - Lists'!$L$2:$L$11,0))/100000),"")</f>
        <v/>
      </c>
      <c r="Q893" s="31" t="str">
        <f aca="false">IFERROR(IF(M893="","",M893*INDEX('00 - Lists'!$N$2:$N$11,MATCH(L893,'00 - Lists'!$L$2:$L$11,0))),"")</f>
        <v/>
      </c>
      <c r="R893" s="31" t="str">
        <f aca="false">IFERROR(IF(N893="","",N893*INDEX('00 - Lists'!$N$2:$N$11,MATCH(L893,'00 - Lists'!$L$2:$L$11,0))),"")</f>
        <v/>
      </c>
      <c r="S893" s="32" t="str">
        <f aca="false">IF(O893="","",IF(O893&gt;=50,"Yes","No"))</f>
        <v/>
      </c>
      <c r="T893" s="32" t="str">
        <f aca="false">IF(Q893="","",IF(Q893&gt;=100000,"Yes","No"))</f>
        <v/>
      </c>
      <c r="U893" s="28"/>
      <c r="V893" s="28"/>
      <c r="W893" s="28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J893" s="34" t="str">
        <f aca="false">IF(OR($BD893&lt;&gt;"",$BF893&lt;&gt;"",$BH893&lt;&gt;""),"Yes","No")</f>
        <v>No</v>
      </c>
      <c r="BK893" s="35" t="str">
        <f aca="false">IFERROR(IF(BD893="","",BD893*INDEX('00 - Lists'!$M$2:$M$11,MATCH(L893,'00 - Lists'!$L$2:$L$11,0))/100000),"")</f>
        <v/>
      </c>
      <c r="BL893" s="35" t="str">
        <f aca="false">IFERROR(IF(BE893="","",BE893*INDEX('00 - Lists'!$M$2:$M$11,MATCH(L893,'00 - Lists'!$L$2:$L$11,0))/100000),"")</f>
        <v/>
      </c>
      <c r="BM893" s="35" t="str">
        <f aca="false">IFERROR(IF(BF893="","",BF893*INDEX('00 - Lists'!$M$2:$M$11,MATCH(L893,'00 - Lists'!$L$2:$L$11,0))/100000),"")</f>
        <v/>
      </c>
      <c r="BN893" s="35" t="str">
        <f aca="false">IFERROR(IF(BG893="","",BG893*INDEX('00 - Lists'!$M$2:$M$11,MATCH(L893,'00 - Lists'!$L$2:$L$11,0))/100000),"")</f>
        <v/>
      </c>
      <c r="BO893" s="35" t="str">
        <f aca="false">IFERROR(IF(BH893="","",BH893*INDEX('00 - Lists'!$M$2:$M$11,MATCH(L893,'00 - Lists'!$L$2:$L$11,0))/100000),"")</f>
        <v/>
      </c>
      <c r="BP893" s="35" t="str">
        <f aca="false">IFERROR(IF(BI893="","",BI893*INDEX('00 - Lists'!$M$2:$M$11,MATCH(L893,'00 - Lists'!$L$2:$L$11,0))/100000),"")</f>
        <v/>
      </c>
      <c r="BS893" s="36" t="str">
        <f aca="false">IF(O893="","",IF(O893&gt;=20,"Yes","No"))</f>
        <v/>
      </c>
      <c r="BT893" s="36" t="str">
        <f aca="false">IF(O893="","",IF(O893&gt;=30,"Yes","No"))</f>
        <v/>
      </c>
      <c r="BU893" s="36" t="str">
        <f aca="false">IF(O893="","",IF(O893&gt;=75,"Yes","No"))</f>
        <v/>
      </c>
      <c r="BV893" s="36" t="str">
        <f aca="false">IF(O893="","",IF(O893&gt;=100,"Yes","No"))</f>
        <v/>
      </c>
      <c r="BW893" s="36" t="str">
        <f aca="false">IF(O893="","",IF(O893&gt;=150,"Yes","No"))</f>
        <v/>
      </c>
      <c r="BX893" s="36" t="str">
        <f aca="false">IF(O893="","",IF(O893&gt;=200,"Yes","No"))</f>
        <v/>
      </c>
      <c r="BY893" s="36" t="str">
        <f aca="false">IF(Q893="","",IF(Q893&gt;=150000,"Yes","No"))</f>
        <v/>
      </c>
      <c r="BZ893" s="36" t="str">
        <f aca="false">IF(Q893="","",IF(Q893&gt;=200000,"Yes","No"))</f>
        <v/>
      </c>
      <c r="CA893" s="36" t="str">
        <f aca="false">IF(Q893="","",IF(Q893&gt;=250000,"Yes","No"))</f>
        <v/>
      </c>
      <c r="CB893" s="36" t="str">
        <f aca="false">IF(Q893="","",IF(Q893&gt;=300000,"Yes","No"))</f>
        <v/>
      </c>
      <c r="CC893" s="37"/>
      <c r="CD893" s="36" t="str">
        <f aca="true">IF(B893="","",IF(TODAY()-B893&lt;=7,"🟢 0-7d",IF(TODAY()-B893&lt;=30,"🟡 8-30d",IF(TODAY()-B893&lt;=60,"🟠 31-60d","🔴 60d+"))))</f>
        <v/>
      </c>
      <c r="CE893" s="36" t="str">
        <f aca="false">IF(G893="","",IF(G893&lt;&gt;"USA","N/A - Not USA Role",IF(J893="Yes",IF(OR(F893="Intern",F893="New Grad"),"🟡 Possible","🟢 Strong"),IF(J893="No","🔴 Difficult","⚪ Unknown"))))</f>
        <v/>
      </c>
      <c r="CF893" s="37"/>
      <c r="CG893" s="37"/>
      <c r="CH893" s="38"/>
      <c r="CI893" s="38"/>
      <c r="CJ893" s="38"/>
      <c r="CK893" s="38"/>
    </row>
    <row r="894" customFormat="false" ht="15" hidden="false" customHeight="true" outlineLevel="0" collapsed="false">
      <c r="A894" s="26" t="str">
        <f aca="false">IF($C894="","",ROW()-3)</f>
        <v/>
      </c>
      <c r="B894" s="27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9"/>
      <c r="N894" s="29"/>
      <c r="O894" s="30" t="str">
        <f aca="false">IFERROR(IF(M894="","",M894*INDEX('00 - Lists'!$M$2:$M$11,MATCH(L894,'00 - Lists'!$L$2:$L$11,0))/100000),"")</f>
        <v/>
      </c>
      <c r="P894" s="30" t="str">
        <f aca="false">IFERROR(IF(N894="","",N894*INDEX('00 - Lists'!$M$2:$M$11,MATCH(L894,'00 - Lists'!$L$2:$L$11,0))/100000),"")</f>
        <v/>
      </c>
      <c r="Q894" s="31" t="str">
        <f aca="false">IFERROR(IF(M894="","",M894*INDEX('00 - Lists'!$N$2:$N$11,MATCH(L894,'00 - Lists'!$L$2:$L$11,0))),"")</f>
        <v/>
      </c>
      <c r="R894" s="31" t="str">
        <f aca="false">IFERROR(IF(N894="","",N894*INDEX('00 - Lists'!$N$2:$N$11,MATCH(L894,'00 - Lists'!$L$2:$L$11,0))),"")</f>
        <v/>
      </c>
      <c r="S894" s="32" t="str">
        <f aca="false">IF(O894="","",IF(O894&gt;=50,"Yes","No"))</f>
        <v/>
      </c>
      <c r="T894" s="32" t="str">
        <f aca="false">IF(Q894="","",IF(Q894&gt;=100000,"Yes","No"))</f>
        <v/>
      </c>
      <c r="U894" s="28"/>
      <c r="V894" s="28"/>
      <c r="W894" s="28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J894" s="34" t="str">
        <f aca="false">IF(OR($BD894&lt;&gt;"",$BF894&lt;&gt;"",$BH894&lt;&gt;""),"Yes","No")</f>
        <v>No</v>
      </c>
      <c r="BK894" s="35" t="str">
        <f aca="false">IFERROR(IF(BD894="","",BD894*INDEX('00 - Lists'!$M$2:$M$11,MATCH(L894,'00 - Lists'!$L$2:$L$11,0))/100000),"")</f>
        <v/>
      </c>
      <c r="BL894" s="35" t="str">
        <f aca="false">IFERROR(IF(BE894="","",BE894*INDEX('00 - Lists'!$M$2:$M$11,MATCH(L894,'00 - Lists'!$L$2:$L$11,0))/100000),"")</f>
        <v/>
      </c>
      <c r="BM894" s="35" t="str">
        <f aca="false">IFERROR(IF(BF894="","",BF894*INDEX('00 - Lists'!$M$2:$M$11,MATCH(L894,'00 - Lists'!$L$2:$L$11,0))/100000),"")</f>
        <v/>
      </c>
      <c r="BN894" s="35" t="str">
        <f aca="false">IFERROR(IF(BG894="","",BG894*INDEX('00 - Lists'!$M$2:$M$11,MATCH(L894,'00 - Lists'!$L$2:$L$11,0))/100000),"")</f>
        <v/>
      </c>
      <c r="BO894" s="35" t="str">
        <f aca="false">IFERROR(IF(BH894="","",BH894*INDEX('00 - Lists'!$M$2:$M$11,MATCH(L894,'00 - Lists'!$L$2:$L$11,0))/100000),"")</f>
        <v/>
      </c>
      <c r="BP894" s="35" t="str">
        <f aca="false">IFERROR(IF(BI894="","",BI894*INDEX('00 - Lists'!$M$2:$M$11,MATCH(L894,'00 - Lists'!$L$2:$L$11,0))/100000),"")</f>
        <v/>
      </c>
      <c r="BS894" s="36" t="str">
        <f aca="false">IF(O894="","",IF(O894&gt;=20,"Yes","No"))</f>
        <v/>
      </c>
      <c r="BT894" s="36" t="str">
        <f aca="false">IF(O894="","",IF(O894&gt;=30,"Yes","No"))</f>
        <v/>
      </c>
      <c r="BU894" s="36" t="str">
        <f aca="false">IF(O894="","",IF(O894&gt;=75,"Yes","No"))</f>
        <v/>
      </c>
      <c r="BV894" s="36" t="str">
        <f aca="false">IF(O894="","",IF(O894&gt;=100,"Yes","No"))</f>
        <v/>
      </c>
      <c r="BW894" s="36" t="str">
        <f aca="false">IF(O894="","",IF(O894&gt;=150,"Yes","No"))</f>
        <v/>
      </c>
      <c r="BX894" s="36" t="str">
        <f aca="false">IF(O894="","",IF(O894&gt;=200,"Yes","No"))</f>
        <v/>
      </c>
      <c r="BY894" s="36" t="str">
        <f aca="false">IF(Q894="","",IF(Q894&gt;=150000,"Yes","No"))</f>
        <v/>
      </c>
      <c r="BZ894" s="36" t="str">
        <f aca="false">IF(Q894="","",IF(Q894&gt;=200000,"Yes","No"))</f>
        <v/>
      </c>
      <c r="CA894" s="36" t="str">
        <f aca="false">IF(Q894="","",IF(Q894&gt;=250000,"Yes","No"))</f>
        <v/>
      </c>
      <c r="CB894" s="36" t="str">
        <f aca="false">IF(Q894="","",IF(Q894&gt;=300000,"Yes","No"))</f>
        <v/>
      </c>
      <c r="CC894" s="37"/>
      <c r="CD894" s="36" t="str">
        <f aca="true">IF(B894="","",IF(TODAY()-B894&lt;=7,"🟢 0-7d",IF(TODAY()-B894&lt;=30,"🟡 8-30d",IF(TODAY()-B894&lt;=60,"🟠 31-60d","🔴 60d+"))))</f>
        <v/>
      </c>
      <c r="CE894" s="36" t="str">
        <f aca="false">IF(G894="","",IF(G894&lt;&gt;"USA","N/A - Not USA Role",IF(J894="Yes",IF(OR(F894="Intern",F894="New Grad"),"🟡 Possible","🟢 Strong"),IF(J894="No","🔴 Difficult","⚪ Unknown"))))</f>
        <v/>
      </c>
      <c r="CF894" s="37"/>
      <c r="CG894" s="37"/>
      <c r="CH894" s="38"/>
      <c r="CI894" s="38"/>
      <c r="CJ894" s="38"/>
      <c r="CK894" s="38"/>
    </row>
    <row r="895" customFormat="false" ht="15" hidden="false" customHeight="true" outlineLevel="0" collapsed="false">
      <c r="A895" s="26" t="str">
        <f aca="false">IF($C895="","",ROW()-3)</f>
        <v/>
      </c>
      <c r="B895" s="27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9"/>
      <c r="N895" s="29"/>
      <c r="O895" s="30" t="str">
        <f aca="false">IFERROR(IF(M895="","",M895*INDEX('00 - Lists'!$M$2:$M$11,MATCH(L895,'00 - Lists'!$L$2:$L$11,0))/100000),"")</f>
        <v/>
      </c>
      <c r="P895" s="30" t="str">
        <f aca="false">IFERROR(IF(N895="","",N895*INDEX('00 - Lists'!$M$2:$M$11,MATCH(L895,'00 - Lists'!$L$2:$L$11,0))/100000),"")</f>
        <v/>
      </c>
      <c r="Q895" s="31" t="str">
        <f aca="false">IFERROR(IF(M895="","",M895*INDEX('00 - Lists'!$N$2:$N$11,MATCH(L895,'00 - Lists'!$L$2:$L$11,0))),"")</f>
        <v/>
      </c>
      <c r="R895" s="31" t="str">
        <f aca="false">IFERROR(IF(N895="","",N895*INDEX('00 - Lists'!$N$2:$N$11,MATCH(L895,'00 - Lists'!$L$2:$L$11,0))),"")</f>
        <v/>
      </c>
      <c r="S895" s="32" t="str">
        <f aca="false">IF(O895="","",IF(O895&gt;=50,"Yes","No"))</f>
        <v/>
      </c>
      <c r="T895" s="32" t="str">
        <f aca="false">IF(Q895="","",IF(Q895&gt;=100000,"Yes","No"))</f>
        <v/>
      </c>
      <c r="U895" s="28"/>
      <c r="V895" s="28"/>
      <c r="W895" s="28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J895" s="34" t="str">
        <f aca="false">IF(OR($BD895&lt;&gt;"",$BF895&lt;&gt;"",$BH895&lt;&gt;""),"Yes","No")</f>
        <v>No</v>
      </c>
      <c r="BK895" s="35" t="str">
        <f aca="false">IFERROR(IF(BD895="","",BD895*INDEX('00 - Lists'!$M$2:$M$11,MATCH(L895,'00 - Lists'!$L$2:$L$11,0))/100000),"")</f>
        <v/>
      </c>
      <c r="BL895" s="35" t="str">
        <f aca="false">IFERROR(IF(BE895="","",BE895*INDEX('00 - Lists'!$M$2:$M$11,MATCH(L895,'00 - Lists'!$L$2:$L$11,0))/100000),"")</f>
        <v/>
      </c>
      <c r="BM895" s="35" t="str">
        <f aca="false">IFERROR(IF(BF895="","",BF895*INDEX('00 - Lists'!$M$2:$M$11,MATCH(L895,'00 - Lists'!$L$2:$L$11,0))/100000),"")</f>
        <v/>
      </c>
      <c r="BN895" s="35" t="str">
        <f aca="false">IFERROR(IF(BG895="","",BG895*INDEX('00 - Lists'!$M$2:$M$11,MATCH(L895,'00 - Lists'!$L$2:$L$11,0))/100000),"")</f>
        <v/>
      </c>
      <c r="BO895" s="35" t="str">
        <f aca="false">IFERROR(IF(BH895="","",BH895*INDEX('00 - Lists'!$M$2:$M$11,MATCH(L895,'00 - Lists'!$L$2:$L$11,0))/100000),"")</f>
        <v/>
      </c>
      <c r="BP895" s="35" t="str">
        <f aca="false">IFERROR(IF(BI895="","",BI895*INDEX('00 - Lists'!$M$2:$M$11,MATCH(L895,'00 - Lists'!$L$2:$L$11,0))/100000),"")</f>
        <v/>
      </c>
      <c r="BS895" s="36" t="str">
        <f aca="false">IF(O895="","",IF(O895&gt;=20,"Yes","No"))</f>
        <v/>
      </c>
      <c r="BT895" s="36" t="str">
        <f aca="false">IF(O895="","",IF(O895&gt;=30,"Yes","No"))</f>
        <v/>
      </c>
      <c r="BU895" s="36" t="str">
        <f aca="false">IF(O895="","",IF(O895&gt;=75,"Yes","No"))</f>
        <v/>
      </c>
      <c r="BV895" s="36" t="str">
        <f aca="false">IF(O895="","",IF(O895&gt;=100,"Yes","No"))</f>
        <v/>
      </c>
      <c r="BW895" s="36" t="str">
        <f aca="false">IF(O895="","",IF(O895&gt;=150,"Yes","No"))</f>
        <v/>
      </c>
      <c r="BX895" s="36" t="str">
        <f aca="false">IF(O895="","",IF(O895&gt;=200,"Yes","No"))</f>
        <v/>
      </c>
      <c r="BY895" s="36" t="str">
        <f aca="false">IF(Q895="","",IF(Q895&gt;=150000,"Yes","No"))</f>
        <v/>
      </c>
      <c r="BZ895" s="36" t="str">
        <f aca="false">IF(Q895="","",IF(Q895&gt;=200000,"Yes","No"))</f>
        <v/>
      </c>
      <c r="CA895" s="36" t="str">
        <f aca="false">IF(Q895="","",IF(Q895&gt;=250000,"Yes","No"))</f>
        <v/>
      </c>
      <c r="CB895" s="36" t="str">
        <f aca="false">IF(Q895="","",IF(Q895&gt;=300000,"Yes","No"))</f>
        <v/>
      </c>
      <c r="CC895" s="37"/>
      <c r="CD895" s="36" t="str">
        <f aca="true">IF(B895="","",IF(TODAY()-B895&lt;=7,"🟢 0-7d",IF(TODAY()-B895&lt;=30,"🟡 8-30d",IF(TODAY()-B895&lt;=60,"🟠 31-60d","🔴 60d+"))))</f>
        <v/>
      </c>
      <c r="CE895" s="36" t="str">
        <f aca="false">IF(G895="","",IF(G895&lt;&gt;"USA","N/A - Not USA Role",IF(J895="Yes",IF(OR(F895="Intern",F895="New Grad"),"🟡 Possible","🟢 Strong"),IF(J895="No","🔴 Difficult","⚪ Unknown"))))</f>
        <v/>
      </c>
      <c r="CF895" s="37"/>
      <c r="CG895" s="37"/>
      <c r="CH895" s="38"/>
      <c r="CI895" s="38"/>
      <c r="CJ895" s="38"/>
      <c r="CK895" s="38"/>
    </row>
    <row r="896" customFormat="false" ht="15" hidden="false" customHeight="true" outlineLevel="0" collapsed="false">
      <c r="A896" s="26" t="str">
        <f aca="false">IF($C896="","",ROW()-3)</f>
        <v/>
      </c>
      <c r="B896" s="27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9"/>
      <c r="N896" s="29"/>
      <c r="O896" s="30" t="str">
        <f aca="false">IFERROR(IF(M896="","",M896*INDEX('00 - Lists'!$M$2:$M$11,MATCH(L896,'00 - Lists'!$L$2:$L$11,0))/100000),"")</f>
        <v/>
      </c>
      <c r="P896" s="30" t="str">
        <f aca="false">IFERROR(IF(N896="","",N896*INDEX('00 - Lists'!$M$2:$M$11,MATCH(L896,'00 - Lists'!$L$2:$L$11,0))/100000),"")</f>
        <v/>
      </c>
      <c r="Q896" s="31" t="str">
        <f aca="false">IFERROR(IF(M896="","",M896*INDEX('00 - Lists'!$N$2:$N$11,MATCH(L896,'00 - Lists'!$L$2:$L$11,0))),"")</f>
        <v/>
      </c>
      <c r="R896" s="31" t="str">
        <f aca="false">IFERROR(IF(N896="","",N896*INDEX('00 - Lists'!$N$2:$N$11,MATCH(L896,'00 - Lists'!$L$2:$L$11,0))),"")</f>
        <v/>
      </c>
      <c r="S896" s="32" t="str">
        <f aca="false">IF(O896="","",IF(O896&gt;=50,"Yes","No"))</f>
        <v/>
      </c>
      <c r="T896" s="32" t="str">
        <f aca="false">IF(Q896="","",IF(Q896&gt;=100000,"Yes","No"))</f>
        <v/>
      </c>
      <c r="U896" s="28"/>
      <c r="V896" s="28"/>
      <c r="W896" s="28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J896" s="34" t="str">
        <f aca="false">IF(OR($BD896&lt;&gt;"",$BF896&lt;&gt;"",$BH896&lt;&gt;""),"Yes","No")</f>
        <v>No</v>
      </c>
      <c r="BK896" s="35" t="str">
        <f aca="false">IFERROR(IF(BD896="","",BD896*INDEX('00 - Lists'!$M$2:$M$11,MATCH(L896,'00 - Lists'!$L$2:$L$11,0))/100000),"")</f>
        <v/>
      </c>
      <c r="BL896" s="35" t="str">
        <f aca="false">IFERROR(IF(BE896="","",BE896*INDEX('00 - Lists'!$M$2:$M$11,MATCH(L896,'00 - Lists'!$L$2:$L$11,0))/100000),"")</f>
        <v/>
      </c>
      <c r="BM896" s="35" t="str">
        <f aca="false">IFERROR(IF(BF896="","",BF896*INDEX('00 - Lists'!$M$2:$M$11,MATCH(L896,'00 - Lists'!$L$2:$L$11,0))/100000),"")</f>
        <v/>
      </c>
      <c r="BN896" s="35" t="str">
        <f aca="false">IFERROR(IF(BG896="","",BG896*INDEX('00 - Lists'!$M$2:$M$11,MATCH(L896,'00 - Lists'!$L$2:$L$11,0))/100000),"")</f>
        <v/>
      </c>
      <c r="BO896" s="35" t="str">
        <f aca="false">IFERROR(IF(BH896="","",BH896*INDEX('00 - Lists'!$M$2:$M$11,MATCH(L896,'00 - Lists'!$L$2:$L$11,0))/100000),"")</f>
        <v/>
      </c>
      <c r="BP896" s="35" t="str">
        <f aca="false">IFERROR(IF(BI896="","",BI896*INDEX('00 - Lists'!$M$2:$M$11,MATCH(L896,'00 - Lists'!$L$2:$L$11,0))/100000),"")</f>
        <v/>
      </c>
      <c r="BS896" s="36" t="str">
        <f aca="false">IF(O896="","",IF(O896&gt;=20,"Yes","No"))</f>
        <v/>
      </c>
      <c r="BT896" s="36" t="str">
        <f aca="false">IF(O896="","",IF(O896&gt;=30,"Yes","No"))</f>
        <v/>
      </c>
      <c r="BU896" s="36" t="str">
        <f aca="false">IF(O896="","",IF(O896&gt;=75,"Yes","No"))</f>
        <v/>
      </c>
      <c r="BV896" s="36" t="str">
        <f aca="false">IF(O896="","",IF(O896&gt;=100,"Yes","No"))</f>
        <v/>
      </c>
      <c r="BW896" s="36" t="str">
        <f aca="false">IF(O896="","",IF(O896&gt;=150,"Yes","No"))</f>
        <v/>
      </c>
      <c r="BX896" s="36" t="str">
        <f aca="false">IF(O896="","",IF(O896&gt;=200,"Yes","No"))</f>
        <v/>
      </c>
      <c r="BY896" s="36" t="str">
        <f aca="false">IF(Q896="","",IF(Q896&gt;=150000,"Yes","No"))</f>
        <v/>
      </c>
      <c r="BZ896" s="36" t="str">
        <f aca="false">IF(Q896="","",IF(Q896&gt;=200000,"Yes","No"))</f>
        <v/>
      </c>
      <c r="CA896" s="36" t="str">
        <f aca="false">IF(Q896="","",IF(Q896&gt;=250000,"Yes","No"))</f>
        <v/>
      </c>
      <c r="CB896" s="36" t="str">
        <f aca="false">IF(Q896="","",IF(Q896&gt;=300000,"Yes","No"))</f>
        <v/>
      </c>
      <c r="CC896" s="37"/>
      <c r="CD896" s="36" t="str">
        <f aca="true">IF(B896="","",IF(TODAY()-B896&lt;=7,"🟢 0-7d",IF(TODAY()-B896&lt;=30,"🟡 8-30d",IF(TODAY()-B896&lt;=60,"🟠 31-60d","🔴 60d+"))))</f>
        <v/>
      </c>
      <c r="CE896" s="36" t="str">
        <f aca="false">IF(G896="","",IF(G896&lt;&gt;"USA","N/A - Not USA Role",IF(J896="Yes",IF(OR(F896="Intern",F896="New Grad"),"🟡 Possible","🟢 Strong"),IF(J896="No","🔴 Difficult","⚪ Unknown"))))</f>
        <v/>
      </c>
      <c r="CF896" s="37"/>
      <c r="CG896" s="37"/>
      <c r="CH896" s="38"/>
      <c r="CI896" s="38"/>
      <c r="CJ896" s="38"/>
      <c r="CK896" s="38"/>
    </row>
    <row r="897" customFormat="false" ht="15" hidden="false" customHeight="true" outlineLevel="0" collapsed="false">
      <c r="A897" s="26" t="str">
        <f aca="false">IF($C897="","",ROW()-3)</f>
        <v/>
      </c>
      <c r="B897" s="27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9"/>
      <c r="N897" s="29"/>
      <c r="O897" s="30" t="str">
        <f aca="false">IFERROR(IF(M897="","",M897*INDEX('00 - Lists'!$M$2:$M$11,MATCH(L897,'00 - Lists'!$L$2:$L$11,0))/100000),"")</f>
        <v/>
      </c>
      <c r="P897" s="30" t="str">
        <f aca="false">IFERROR(IF(N897="","",N897*INDEX('00 - Lists'!$M$2:$M$11,MATCH(L897,'00 - Lists'!$L$2:$L$11,0))/100000),"")</f>
        <v/>
      </c>
      <c r="Q897" s="31" t="str">
        <f aca="false">IFERROR(IF(M897="","",M897*INDEX('00 - Lists'!$N$2:$N$11,MATCH(L897,'00 - Lists'!$L$2:$L$11,0))),"")</f>
        <v/>
      </c>
      <c r="R897" s="31" t="str">
        <f aca="false">IFERROR(IF(N897="","",N897*INDEX('00 - Lists'!$N$2:$N$11,MATCH(L897,'00 - Lists'!$L$2:$L$11,0))),"")</f>
        <v/>
      </c>
      <c r="S897" s="32" t="str">
        <f aca="false">IF(O897="","",IF(O897&gt;=50,"Yes","No"))</f>
        <v/>
      </c>
      <c r="T897" s="32" t="str">
        <f aca="false">IF(Q897="","",IF(Q897&gt;=100000,"Yes","No"))</f>
        <v/>
      </c>
      <c r="U897" s="28"/>
      <c r="V897" s="28"/>
      <c r="W897" s="28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J897" s="34" t="str">
        <f aca="false">IF(OR($BD897&lt;&gt;"",$BF897&lt;&gt;"",$BH897&lt;&gt;""),"Yes","No")</f>
        <v>No</v>
      </c>
      <c r="BK897" s="35" t="str">
        <f aca="false">IFERROR(IF(BD897="","",BD897*INDEX('00 - Lists'!$M$2:$M$11,MATCH(L897,'00 - Lists'!$L$2:$L$11,0))/100000),"")</f>
        <v/>
      </c>
      <c r="BL897" s="35" t="str">
        <f aca="false">IFERROR(IF(BE897="","",BE897*INDEX('00 - Lists'!$M$2:$M$11,MATCH(L897,'00 - Lists'!$L$2:$L$11,0))/100000),"")</f>
        <v/>
      </c>
      <c r="BM897" s="35" t="str">
        <f aca="false">IFERROR(IF(BF897="","",BF897*INDEX('00 - Lists'!$M$2:$M$11,MATCH(L897,'00 - Lists'!$L$2:$L$11,0))/100000),"")</f>
        <v/>
      </c>
      <c r="BN897" s="35" t="str">
        <f aca="false">IFERROR(IF(BG897="","",BG897*INDEX('00 - Lists'!$M$2:$M$11,MATCH(L897,'00 - Lists'!$L$2:$L$11,0))/100000),"")</f>
        <v/>
      </c>
      <c r="BO897" s="35" t="str">
        <f aca="false">IFERROR(IF(BH897="","",BH897*INDEX('00 - Lists'!$M$2:$M$11,MATCH(L897,'00 - Lists'!$L$2:$L$11,0))/100000),"")</f>
        <v/>
      </c>
      <c r="BP897" s="35" t="str">
        <f aca="false">IFERROR(IF(BI897="","",BI897*INDEX('00 - Lists'!$M$2:$M$11,MATCH(L897,'00 - Lists'!$L$2:$L$11,0))/100000),"")</f>
        <v/>
      </c>
      <c r="BS897" s="36" t="str">
        <f aca="false">IF(O897="","",IF(O897&gt;=20,"Yes","No"))</f>
        <v/>
      </c>
      <c r="BT897" s="36" t="str">
        <f aca="false">IF(O897="","",IF(O897&gt;=30,"Yes","No"))</f>
        <v/>
      </c>
      <c r="BU897" s="36" t="str">
        <f aca="false">IF(O897="","",IF(O897&gt;=75,"Yes","No"))</f>
        <v/>
      </c>
      <c r="BV897" s="36" t="str">
        <f aca="false">IF(O897="","",IF(O897&gt;=100,"Yes","No"))</f>
        <v/>
      </c>
      <c r="BW897" s="36" t="str">
        <f aca="false">IF(O897="","",IF(O897&gt;=150,"Yes","No"))</f>
        <v/>
      </c>
      <c r="BX897" s="36" t="str">
        <f aca="false">IF(O897="","",IF(O897&gt;=200,"Yes","No"))</f>
        <v/>
      </c>
      <c r="BY897" s="36" t="str">
        <f aca="false">IF(Q897="","",IF(Q897&gt;=150000,"Yes","No"))</f>
        <v/>
      </c>
      <c r="BZ897" s="36" t="str">
        <f aca="false">IF(Q897="","",IF(Q897&gt;=200000,"Yes","No"))</f>
        <v/>
      </c>
      <c r="CA897" s="36" t="str">
        <f aca="false">IF(Q897="","",IF(Q897&gt;=250000,"Yes","No"))</f>
        <v/>
      </c>
      <c r="CB897" s="36" t="str">
        <f aca="false">IF(Q897="","",IF(Q897&gt;=300000,"Yes","No"))</f>
        <v/>
      </c>
      <c r="CC897" s="37"/>
      <c r="CD897" s="36" t="str">
        <f aca="true">IF(B897="","",IF(TODAY()-B897&lt;=7,"🟢 0-7d",IF(TODAY()-B897&lt;=30,"🟡 8-30d",IF(TODAY()-B897&lt;=60,"🟠 31-60d","🔴 60d+"))))</f>
        <v/>
      </c>
      <c r="CE897" s="36" t="str">
        <f aca="false">IF(G897="","",IF(G897&lt;&gt;"USA","N/A - Not USA Role",IF(J897="Yes",IF(OR(F897="Intern",F897="New Grad"),"🟡 Possible","🟢 Strong"),IF(J897="No","🔴 Difficult","⚪ Unknown"))))</f>
        <v/>
      </c>
      <c r="CF897" s="37"/>
      <c r="CG897" s="37"/>
      <c r="CH897" s="38"/>
      <c r="CI897" s="38"/>
      <c r="CJ897" s="38"/>
      <c r="CK897" s="38"/>
    </row>
    <row r="898" customFormat="false" ht="15" hidden="false" customHeight="true" outlineLevel="0" collapsed="false">
      <c r="A898" s="26" t="str">
        <f aca="false">IF($C898="","",ROW()-3)</f>
        <v/>
      </c>
      <c r="B898" s="27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9"/>
      <c r="N898" s="29"/>
      <c r="O898" s="30" t="str">
        <f aca="false">IFERROR(IF(M898="","",M898*INDEX('00 - Lists'!$M$2:$M$11,MATCH(L898,'00 - Lists'!$L$2:$L$11,0))/100000),"")</f>
        <v/>
      </c>
      <c r="P898" s="30" t="str">
        <f aca="false">IFERROR(IF(N898="","",N898*INDEX('00 - Lists'!$M$2:$M$11,MATCH(L898,'00 - Lists'!$L$2:$L$11,0))/100000),"")</f>
        <v/>
      </c>
      <c r="Q898" s="31" t="str">
        <f aca="false">IFERROR(IF(M898="","",M898*INDEX('00 - Lists'!$N$2:$N$11,MATCH(L898,'00 - Lists'!$L$2:$L$11,0))),"")</f>
        <v/>
      </c>
      <c r="R898" s="31" t="str">
        <f aca="false">IFERROR(IF(N898="","",N898*INDEX('00 - Lists'!$N$2:$N$11,MATCH(L898,'00 - Lists'!$L$2:$L$11,0))),"")</f>
        <v/>
      </c>
      <c r="S898" s="32" t="str">
        <f aca="false">IF(O898="","",IF(O898&gt;=50,"Yes","No"))</f>
        <v/>
      </c>
      <c r="T898" s="32" t="str">
        <f aca="false">IF(Q898="","",IF(Q898&gt;=100000,"Yes","No"))</f>
        <v/>
      </c>
      <c r="U898" s="28"/>
      <c r="V898" s="28"/>
      <c r="W898" s="28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J898" s="34" t="str">
        <f aca="false">IF(OR($BD898&lt;&gt;"",$BF898&lt;&gt;"",$BH898&lt;&gt;""),"Yes","No")</f>
        <v>No</v>
      </c>
      <c r="BK898" s="35" t="str">
        <f aca="false">IFERROR(IF(BD898="","",BD898*INDEX('00 - Lists'!$M$2:$M$11,MATCH(L898,'00 - Lists'!$L$2:$L$11,0))/100000),"")</f>
        <v/>
      </c>
      <c r="BL898" s="35" t="str">
        <f aca="false">IFERROR(IF(BE898="","",BE898*INDEX('00 - Lists'!$M$2:$M$11,MATCH(L898,'00 - Lists'!$L$2:$L$11,0))/100000),"")</f>
        <v/>
      </c>
      <c r="BM898" s="35" t="str">
        <f aca="false">IFERROR(IF(BF898="","",BF898*INDEX('00 - Lists'!$M$2:$M$11,MATCH(L898,'00 - Lists'!$L$2:$L$11,0))/100000),"")</f>
        <v/>
      </c>
      <c r="BN898" s="35" t="str">
        <f aca="false">IFERROR(IF(BG898="","",BG898*INDEX('00 - Lists'!$M$2:$M$11,MATCH(L898,'00 - Lists'!$L$2:$L$11,0))/100000),"")</f>
        <v/>
      </c>
      <c r="BO898" s="35" t="str">
        <f aca="false">IFERROR(IF(BH898="","",BH898*INDEX('00 - Lists'!$M$2:$M$11,MATCH(L898,'00 - Lists'!$L$2:$L$11,0))/100000),"")</f>
        <v/>
      </c>
      <c r="BP898" s="35" t="str">
        <f aca="false">IFERROR(IF(BI898="","",BI898*INDEX('00 - Lists'!$M$2:$M$11,MATCH(L898,'00 - Lists'!$L$2:$L$11,0))/100000),"")</f>
        <v/>
      </c>
      <c r="BS898" s="36" t="str">
        <f aca="false">IF(O898="","",IF(O898&gt;=20,"Yes","No"))</f>
        <v/>
      </c>
      <c r="BT898" s="36" t="str">
        <f aca="false">IF(O898="","",IF(O898&gt;=30,"Yes","No"))</f>
        <v/>
      </c>
      <c r="BU898" s="36" t="str">
        <f aca="false">IF(O898="","",IF(O898&gt;=75,"Yes","No"))</f>
        <v/>
      </c>
      <c r="BV898" s="36" t="str">
        <f aca="false">IF(O898="","",IF(O898&gt;=100,"Yes","No"))</f>
        <v/>
      </c>
      <c r="BW898" s="36" t="str">
        <f aca="false">IF(O898="","",IF(O898&gt;=150,"Yes","No"))</f>
        <v/>
      </c>
      <c r="BX898" s="36" t="str">
        <f aca="false">IF(O898="","",IF(O898&gt;=200,"Yes","No"))</f>
        <v/>
      </c>
      <c r="BY898" s="36" t="str">
        <f aca="false">IF(Q898="","",IF(Q898&gt;=150000,"Yes","No"))</f>
        <v/>
      </c>
      <c r="BZ898" s="36" t="str">
        <f aca="false">IF(Q898="","",IF(Q898&gt;=200000,"Yes","No"))</f>
        <v/>
      </c>
      <c r="CA898" s="36" t="str">
        <f aca="false">IF(Q898="","",IF(Q898&gt;=250000,"Yes","No"))</f>
        <v/>
      </c>
      <c r="CB898" s="36" t="str">
        <f aca="false">IF(Q898="","",IF(Q898&gt;=300000,"Yes","No"))</f>
        <v/>
      </c>
      <c r="CC898" s="37"/>
      <c r="CD898" s="36" t="str">
        <f aca="true">IF(B898="","",IF(TODAY()-B898&lt;=7,"🟢 0-7d",IF(TODAY()-B898&lt;=30,"🟡 8-30d",IF(TODAY()-B898&lt;=60,"🟠 31-60d","🔴 60d+"))))</f>
        <v/>
      </c>
      <c r="CE898" s="36" t="str">
        <f aca="false">IF(G898="","",IF(G898&lt;&gt;"USA","N/A - Not USA Role",IF(J898="Yes",IF(OR(F898="Intern",F898="New Grad"),"🟡 Possible","🟢 Strong"),IF(J898="No","🔴 Difficult","⚪ Unknown"))))</f>
        <v/>
      </c>
      <c r="CF898" s="37"/>
      <c r="CG898" s="37"/>
      <c r="CH898" s="38"/>
      <c r="CI898" s="38"/>
      <c r="CJ898" s="38"/>
      <c r="CK898" s="38"/>
    </row>
    <row r="899" customFormat="false" ht="15" hidden="false" customHeight="true" outlineLevel="0" collapsed="false">
      <c r="A899" s="26" t="str">
        <f aca="false">IF($C899="","",ROW()-3)</f>
        <v/>
      </c>
      <c r="B899" s="27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9"/>
      <c r="N899" s="29"/>
      <c r="O899" s="30" t="str">
        <f aca="false">IFERROR(IF(M899="","",M899*INDEX('00 - Lists'!$M$2:$M$11,MATCH(L899,'00 - Lists'!$L$2:$L$11,0))/100000),"")</f>
        <v/>
      </c>
      <c r="P899" s="30" t="str">
        <f aca="false">IFERROR(IF(N899="","",N899*INDEX('00 - Lists'!$M$2:$M$11,MATCH(L899,'00 - Lists'!$L$2:$L$11,0))/100000),"")</f>
        <v/>
      </c>
      <c r="Q899" s="31" t="str">
        <f aca="false">IFERROR(IF(M899="","",M899*INDEX('00 - Lists'!$N$2:$N$11,MATCH(L899,'00 - Lists'!$L$2:$L$11,0))),"")</f>
        <v/>
      </c>
      <c r="R899" s="31" t="str">
        <f aca="false">IFERROR(IF(N899="","",N899*INDEX('00 - Lists'!$N$2:$N$11,MATCH(L899,'00 - Lists'!$L$2:$L$11,0))),"")</f>
        <v/>
      </c>
      <c r="S899" s="32" t="str">
        <f aca="false">IF(O899="","",IF(O899&gt;=50,"Yes","No"))</f>
        <v/>
      </c>
      <c r="T899" s="32" t="str">
        <f aca="false">IF(Q899="","",IF(Q899&gt;=100000,"Yes","No"))</f>
        <v/>
      </c>
      <c r="U899" s="28"/>
      <c r="V899" s="28"/>
      <c r="W899" s="28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J899" s="34" t="str">
        <f aca="false">IF(OR($BD899&lt;&gt;"",$BF899&lt;&gt;"",$BH899&lt;&gt;""),"Yes","No")</f>
        <v>No</v>
      </c>
      <c r="BK899" s="35" t="str">
        <f aca="false">IFERROR(IF(BD899="","",BD899*INDEX('00 - Lists'!$M$2:$M$11,MATCH(L899,'00 - Lists'!$L$2:$L$11,0))/100000),"")</f>
        <v/>
      </c>
      <c r="BL899" s="35" t="str">
        <f aca="false">IFERROR(IF(BE899="","",BE899*INDEX('00 - Lists'!$M$2:$M$11,MATCH(L899,'00 - Lists'!$L$2:$L$11,0))/100000),"")</f>
        <v/>
      </c>
      <c r="BM899" s="35" t="str">
        <f aca="false">IFERROR(IF(BF899="","",BF899*INDEX('00 - Lists'!$M$2:$M$11,MATCH(L899,'00 - Lists'!$L$2:$L$11,0))/100000),"")</f>
        <v/>
      </c>
      <c r="BN899" s="35" t="str">
        <f aca="false">IFERROR(IF(BG899="","",BG899*INDEX('00 - Lists'!$M$2:$M$11,MATCH(L899,'00 - Lists'!$L$2:$L$11,0))/100000),"")</f>
        <v/>
      </c>
      <c r="BO899" s="35" t="str">
        <f aca="false">IFERROR(IF(BH899="","",BH899*INDEX('00 - Lists'!$M$2:$M$11,MATCH(L899,'00 - Lists'!$L$2:$L$11,0))/100000),"")</f>
        <v/>
      </c>
      <c r="BP899" s="35" t="str">
        <f aca="false">IFERROR(IF(BI899="","",BI899*INDEX('00 - Lists'!$M$2:$M$11,MATCH(L899,'00 - Lists'!$L$2:$L$11,0))/100000),"")</f>
        <v/>
      </c>
      <c r="BS899" s="36" t="str">
        <f aca="false">IF(O899="","",IF(O899&gt;=20,"Yes","No"))</f>
        <v/>
      </c>
      <c r="BT899" s="36" t="str">
        <f aca="false">IF(O899="","",IF(O899&gt;=30,"Yes","No"))</f>
        <v/>
      </c>
      <c r="BU899" s="36" t="str">
        <f aca="false">IF(O899="","",IF(O899&gt;=75,"Yes","No"))</f>
        <v/>
      </c>
      <c r="BV899" s="36" t="str">
        <f aca="false">IF(O899="","",IF(O899&gt;=100,"Yes","No"))</f>
        <v/>
      </c>
      <c r="BW899" s="36" t="str">
        <f aca="false">IF(O899="","",IF(O899&gt;=150,"Yes","No"))</f>
        <v/>
      </c>
      <c r="BX899" s="36" t="str">
        <f aca="false">IF(O899="","",IF(O899&gt;=200,"Yes","No"))</f>
        <v/>
      </c>
      <c r="BY899" s="36" t="str">
        <f aca="false">IF(Q899="","",IF(Q899&gt;=150000,"Yes","No"))</f>
        <v/>
      </c>
      <c r="BZ899" s="36" t="str">
        <f aca="false">IF(Q899="","",IF(Q899&gt;=200000,"Yes","No"))</f>
        <v/>
      </c>
      <c r="CA899" s="36" t="str">
        <f aca="false">IF(Q899="","",IF(Q899&gt;=250000,"Yes","No"))</f>
        <v/>
      </c>
      <c r="CB899" s="36" t="str">
        <f aca="false">IF(Q899="","",IF(Q899&gt;=300000,"Yes","No"))</f>
        <v/>
      </c>
      <c r="CC899" s="37"/>
      <c r="CD899" s="36" t="str">
        <f aca="true">IF(B899="","",IF(TODAY()-B899&lt;=7,"🟢 0-7d",IF(TODAY()-B899&lt;=30,"🟡 8-30d",IF(TODAY()-B899&lt;=60,"🟠 31-60d","🔴 60d+"))))</f>
        <v/>
      </c>
      <c r="CE899" s="36" t="str">
        <f aca="false">IF(G899="","",IF(G899&lt;&gt;"USA","N/A - Not USA Role",IF(J899="Yes",IF(OR(F899="Intern",F899="New Grad"),"🟡 Possible","🟢 Strong"),IF(J899="No","🔴 Difficult","⚪ Unknown"))))</f>
        <v/>
      </c>
      <c r="CF899" s="37"/>
      <c r="CG899" s="37"/>
      <c r="CH899" s="38"/>
      <c r="CI899" s="38"/>
      <c r="CJ899" s="38"/>
      <c r="CK899" s="38"/>
    </row>
    <row r="900" customFormat="false" ht="15" hidden="false" customHeight="true" outlineLevel="0" collapsed="false">
      <c r="A900" s="26" t="str">
        <f aca="false">IF($C900="","",ROW()-3)</f>
        <v/>
      </c>
      <c r="B900" s="27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9"/>
      <c r="N900" s="29"/>
      <c r="O900" s="30" t="str">
        <f aca="false">IFERROR(IF(M900="","",M900*INDEX('00 - Lists'!$M$2:$M$11,MATCH(L900,'00 - Lists'!$L$2:$L$11,0))/100000),"")</f>
        <v/>
      </c>
      <c r="P900" s="30" t="str">
        <f aca="false">IFERROR(IF(N900="","",N900*INDEX('00 - Lists'!$M$2:$M$11,MATCH(L900,'00 - Lists'!$L$2:$L$11,0))/100000),"")</f>
        <v/>
      </c>
      <c r="Q900" s="31" t="str">
        <f aca="false">IFERROR(IF(M900="","",M900*INDEX('00 - Lists'!$N$2:$N$11,MATCH(L900,'00 - Lists'!$L$2:$L$11,0))),"")</f>
        <v/>
      </c>
      <c r="R900" s="31" t="str">
        <f aca="false">IFERROR(IF(N900="","",N900*INDEX('00 - Lists'!$N$2:$N$11,MATCH(L900,'00 - Lists'!$L$2:$L$11,0))),"")</f>
        <v/>
      </c>
      <c r="S900" s="32" t="str">
        <f aca="false">IF(O900="","",IF(O900&gt;=50,"Yes","No"))</f>
        <v/>
      </c>
      <c r="T900" s="32" t="str">
        <f aca="false">IF(Q900="","",IF(Q900&gt;=100000,"Yes","No"))</f>
        <v/>
      </c>
      <c r="U900" s="28"/>
      <c r="V900" s="28"/>
      <c r="W900" s="28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J900" s="34" t="str">
        <f aca="false">IF(OR($BD900&lt;&gt;"",$BF900&lt;&gt;"",$BH900&lt;&gt;""),"Yes","No")</f>
        <v>No</v>
      </c>
      <c r="BK900" s="35" t="str">
        <f aca="false">IFERROR(IF(BD900="","",BD900*INDEX('00 - Lists'!$M$2:$M$11,MATCH(L900,'00 - Lists'!$L$2:$L$11,0))/100000),"")</f>
        <v/>
      </c>
      <c r="BL900" s="35" t="str">
        <f aca="false">IFERROR(IF(BE900="","",BE900*INDEX('00 - Lists'!$M$2:$M$11,MATCH(L900,'00 - Lists'!$L$2:$L$11,0))/100000),"")</f>
        <v/>
      </c>
      <c r="BM900" s="35" t="str">
        <f aca="false">IFERROR(IF(BF900="","",BF900*INDEX('00 - Lists'!$M$2:$M$11,MATCH(L900,'00 - Lists'!$L$2:$L$11,0))/100000),"")</f>
        <v/>
      </c>
      <c r="BN900" s="35" t="str">
        <f aca="false">IFERROR(IF(BG900="","",BG900*INDEX('00 - Lists'!$M$2:$M$11,MATCH(L900,'00 - Lists'!$L$2:$L$11,0))/100000),"")</f>
        <v/>
      </c>
      <c r="BO900" s="35" t="str">
        <f aca="false">IFERROR(IF(BH900="","",BH900*INDEX('00 - Lists'!$M$2:$M$11,MATCH(L900,'00 - Lists'!$L$2:$L$11,0))/100000),"")</f>
        <v/>
      </c>
      <c r="BP900" s="35" t="str">
        <f aca="false">IFERROR(IF(BI900="","",BI900*INDEX('00 - Lists'!$M$2:$M$11,MATCH(L900,'00 - Lists'!$L$2:$L$11,0))/100000),"")</f>
        <v/>
      </c>
      <c r="BS900" s="36" t="str">
        <f aca="false">IF(O900="","",IF(O900&gt;=20,"Yes","No"))</f>
        <v/>
      </c>
      <c r="BT900" s="36" t="str">
        <f aca="false">IF(O900="","",IF(O900&gt;=30,"Yes","No"))</f>
        <v/>
      </c>
      <c r="BU900" s="36" t="str">
        <f aca="false">IF(O900="","",IF(O900&gt;=75,"Yes","No"))</f>
        <v/>
      </c>
      <c r="BV900" s="36" t="str">
        <f aca="false">IF(O900="","",IF(O900&gt;=100,"Yes","No"))</f>
        <v/>
      </c>
      <c r="BW900" s="36" t="str">
        <f aca="false">IF(O900="","",IF(O900&gt;=150,"Yes","No"))</f>
        <v/>
      </c>
      <c r="BX900" s="36" t="str">
        <f aca="false">IF(O900="","",IF(O900&gt;=200,"Yes","No"))</f>
        <v/>
      </c>
      <c r="BY900" s="36" t="str">
        <f aca="false">IF(Q900="","",IF(Q900&gt;=150000,"Yes","No"))</f>
        <v/>
      </c>
      <c r="BZ900" s="36" t="str">
        <f aca="false">IF(Q900="","",IF(Q900&gt;=200000,"Yes","No"))</f>
        <v/>
      </c>
      <c r="CA900" s="36" t="str">
        <f aca="false">IF(Q900="","",IF(Q900&gt;=250000,"Yes","No"))</f>
        <v/>
      </c>
      <c r="CB900" s="36" t="str">
        <f aca="false">IF(Q900="","",IF(Q900&gt;=300000,"Yes","No"))</f>
        <v/>
      </c>
      <c r="CC900" s="37"/>
      <c r="CD900" s="36" t="str">
        <f aca="true">IF(B900="","",IF(TODAY()-B900&lt;=7,"🟢 0-7d",IF(TODAY()-B900&lt;=30,"🟡 8-30d",IF(TODAY()-B900&lt;=60,"🟠 31-60d","🔴 60d+"))))</f>
        <v/>
      </c>
      <c r="CE900" s="36" t="str">
        <f aca="false">IF(G900="","",IF(G900&lt;&gt;"USA","N/A - Not USA Role",IF(J900="Yes",IF(OR(F900="Intern",F900="New Grad"),"🟡 Possible","🟢 Strong"),IF(J900="No","🔴 Difficult","⚪ Unknown"))))</f>
        <v/>
      </c>
      <c r="CF900" s="37"/>
      <c r="CG900" s="37"/>
      <c r="CH900" s="38"/>
      <c r="CI900" s="38"/>
      <c r="CJ900" s="38"/>
      <c r="CK900" s="38"/>
    </row>
    <row r="901" customFormat="false" ht="15" hidden="false" customHeight="true" outlineLevel="0" collapsed="false">
      <c r="A901" s="26" t="str">
        <f aca="false">IF($C901="","",ROW()-3)</f>
        <v/>
      </c>
      <c r="B901" s="27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9"/>
      <c r="N901" s="29"/>
      <c r="O901" s="30" t="str">
        <f aca="false">IFERROR(IF(M901="","",M901*INDEX('00 - Lists'!$M$2:$M$11,MATCH(L901,'00 - Lists'!$L$2:$L$11,0))/100000),"")</f>
        <v/>
      </c>
      <c r="P901" s="30" t="str">
        <f aca="false">IFERROR(IF(N901="","",N901*INDEX('00 - Lists'!$M$2:$M$11,MATCH(L901,'00 - Lists'!$L$2:$L$11,0))/100000),"")</f>
        <v/>
      </c>
      <c r="Q901" s="31" t="str">
        <f aca="false">IFERROR(IF(M901="","",M901*INDEX('00 - Lists'!$N$2:$N$11,MATCH(L901,'00 - Lists'!$L$2:$L$11,0))),"")</f>
        <v/>
      </c>
      <c r="R901" s="31" t="str">
        <f aca="false">IFERROR(IF(N901="","",N901*INDEX('00 - Lists'!$N$2:$N$11,MATCH(L901,'00 - Lists'!$L$2:$L$11,0))),"")</f>
        <v/>
      </c>
      <c r="S901" s="32" t="str">
        <f aca="false">IF(O901="","",IF(O901&gt;=50,"Yes","No"))</f>
        <v/>
      </c>
      <c r="T901" s="32" t="str">
        <f aca="false">IF(Q901="","",IF(Q901&gt;=100000,"Yes","No"))</f>
        <v/>
      </c>
      <c r="U901" s="28"/>
      <c r="V901" s="28"/>
      <c r="W901" s="28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J901" s="34" t="str">
        <f aca="false">IF(OR($BD901&lt;&gt;"",$BF901&lt;&gt;"",$BH901&lt;&gt;""),"Yes","No")</f>
        <v>No</v>
      </c>
      <c r="BK901" s="35" t="str">
        <f aca="false">IFERROR(IF(BD901="","",BD901*INDEX('00 - Lists'!$M$2:$M$11,MATCH(L901,'00 - Lists'!$L$2:$L$11,0))/100000),"")</f>
        <v/>
      </c>
      <c r="BL901" s="35" t="str">
        <f aca="false">IFERROR(IF(BE901="","",BE901*INDEX('00 - Lists'!$M$2:$M$11,MATCH(L901,'00 - Lists'!$L$2:$L$11,0))/100000),"")</f>
        <v/>
      </c>
      <c r="BM901" s="35" t="str">
        <f aca="false">IFERROR(IF(BF901="","",BF901*INDEX('00 - Lists'!$M$2:$M$11,MATCH(L901,'00 - Lists'!$L$2:$L$11,0))/100000),"")</f>
        <v/>
      </c>
      <c r="BN901" s="35" t="str">
        <f aca="false">IFERROR(IF(BG901="","",BG901*INDEX('00 - Lists'!$M$2:$M$11,MATCH(L901,'00 - Lists'!$L$2:$L$11,0))/100000),"")</f>
        <v/>
      </c>
      <c r="BO901" s="35" t="str">
        <f aca="false">IFERROR(IF(BH901="","",BH901*INDEX('00 - Lists'!$M$2:$M$11,MATCH(L901,'00 - Lists'!$L$2:$L$11,0))/100000),"")</f>
        <v/>
      </c>
      <c r="BP901" s="35" t="str">
        <f aca="false">IFERROR(IF(BI901="","",BI901*INDEX('00 - Lists'!$M$2:$M$11,MATCH(L901,'00 - Lists'!$L$2:$L$11,0))/100000),"")</f>
        <v/>
      </c>
      <c r="BS901" s="36" t="str">
        <f aca="false">IF(O901="","",IF(O901&gt;=20,"Yes","No"))</f>
        <v/>
      </c>
      <c r="BT901" s="36" t="str">
        <f aca="false">IF(O901="","",IF(O901&gt;=30,"Yes","No"))</f>
        <v/>
      </c>
      <c r="BU901" s="36" t="str">
        <f aca="false">IF(O901="","",IF(O901&gt;=75,"Yes","No"))</f>
        <v/>
      </c>
      <c r="BV901" s="36" t="str">
        <f aca="false">IF(O901="","",IF(O901&gt;=100,"Yes","No"))</f>
        <v/>
      </c>
      <c r="BW901" s="36" t="str">
        <f aca="false">IF(O901="","",IF(O901&gt;=150,"Yes","No"))</f>
        <v/>
      </c>
      <c r="BX901" s="36" t="str">
        <f aca="false">IF(O901="","",IF(O901&gt;=200,"Yes","No"))</f>
        <v/>
      </c>
      <c r="BY901" s="36" t="str">
        <f aca="false">IF(Q901="","",IF(Q901&gt;=150000,"Yes","No"))</f>
        <v/>
      </c>
      <c r="BZ901" s="36" t="str">
        <f aca="false">IF(Q901="","",IF(Q901&gt;=200000,"Yes","No"))</f>
        <v/>
      </c>
      <c r="CA901" s="36" t="str">
        <f aca="false">IF(Q901="","",IF(Q901&gt;=250000,"Yes","No"))</f>
        <v/>
      </c>
      <c r="CB901" s="36" t="str">
        <f aca="false">IF(Q901="","",IF(Q901&gt;=300000,"Yes","No"))</f>
        <v/>
      </c>
      <c r="CC901" s="37"/>
      <c r="CD901" s="36" t="str">
        <f aca="true">IF(B901="","",IF(TODAY()-B901&lt;=7,"🟢 0-7d",IF(TODAY()-B901&lt;=30,"🟡 8-30d",IF(TODAY()-B901&lt;=60,"🟠 31-60d","🔴 60d+"))))</f>
        <v/>
      </c>
      <c r="CE901" s="36" t="str">
        <f aca="false">IF(G901="","",IF(G901&lt;&gt;"USA","N/A - Not USA Role",IF(J901="Yes",IF(OR(F901="Intern",F901="New Grad"),"🟡 Possible","🟢 Strong"),IF(J901="No","🔴 Difficult","⚪ Unknown"))))</f>
        <v/>
      </c>
      <c r="CF901" s="37"/>
      <c r="CG901" s="37"/>
      <c r="CH901" s="38"/>
      <c r="CI901" s="38"/>
      <c r="CJ901" s="38"/>
      <c r="CK901" s="38"/>
    </row>
    <row r="902" customFormat="false" ht="15" hidden="false" customHeight="true" outlineLevel="0" collapsed="false">
      <c r="A902" s="26" t="str">
        <f aca="false">IF($C902="","",ROW()-3)</f>
        <v/>
      </c>
      <c r="B902" s="27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9"/>
      <c r="N902" s="29"/>
      <c r="O902" s="30" t="str">
        <f aca="false">IFERROR(IF(M902="","",M902*INDEX('00 - Lists'!$M$2:$M$11,MATCH(L902,'00 - Lists'!$L$2:$L$11,0))/100000),"")</f>
        <v/>
      </c>
      <c r="P902" s="30" t="str">
        <f aca="false">IFERROR(IF(N902="","",N902*INDEX('00 - Lists'!$M$2:$M$11,MATCH(L902,'00 - Lists'!$L$2:$L$11,0))/100000),"")</f>
        <v/>
      </c>
      <c r="Q902" s="31" t="str">
        <f aca="false">IFERROR(IF(M902="","",M902*INDEX('00 - Lists'!$N$2:$N$11,MATCH(L902,'00 - Lists'!$L$2:$L$11,0))),"")</f>
        <v/>
      </c>
      <c r="R902" s="31" t="str">
        <f aca="false">IFERROR(IF(N902="","",N902*INDEX('00 - Lists'!$N$2:$N$11,MATCH(L902,'00 - Lists'!$L$2:$L$11,0))),"")</f>
        <v/>
      </c>
      <c r="S902" s="32" t="str">
        <f aca="false">IF(O902="","",IF(O902&gt;=50,"Yes","No"))</f>
        <v/>
      </c>
      <c r="T902" s="32" t="str">
        <f aca="false">IF(Q902="","",IF(Q902&gt;=100000,"Yes","No"))</f>
        <v/>
      </c>
      <c r="U902" s="28"/>
      <c r="V902" s="28"/>
      <c r="W902" s="28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J902" s="34" t="str">
        <f aca="false">IF(OR($BD902&lt;&gt;"",$BF902&lt;&gt;"",$BH902&lt;&gt;""),"Yes","No")</f>
        <v>No</v>
      </c>
      <c r="BK902" s="35" t="str">
        <f aca="false">IFERROR(IF(BD902="","",BD902*INDEX('00 - Lists'!$M$2:$M$11,MATCH(L902,'00 - Lists'!$L$2:$L$11,0))/100000),"")</f>
        <v/>
      </c>
      <c r="BL902" s="35" t="str">
        <f aca="false">IFERROR(IF(BE902="","",BE902*INDEX('00 - Lists'!$M$2:$M$11,MATCH(L902,'00 - Lists'!$L$2:$L$11,0))/100000),"")</f>
        <v/>
      </c>
      <c r="BM902" s="35" t="str">
        <f aca="false">IFERROR(IF(BF902="","",BF902*INDEX('00 - Lists'!$M$2:$M$11,MATCH(L902,'00 - Lists'!$L$2:$L$11,0))/100000),"")</f>
        <v/>
      </c>
      <c r="BN902" s="35" t="str">
        <f aca="false">IFERROR(IF(BG902="","",BG902*INDEX('00 - Lists'!$M$2:$M$11,MATCH(L902,'00 - Lists'!$L$2:$L$11,0))/100000),"")</f>
        <v/>
      </c>
      <c r="BO902" s="35" t="str">
        <f aca="false">IFERROR(IF(BH902="","",BH902*INDEX('00 - Lists'!$M$2:$M$11,MATCH(L902,'00 - Lists'!$L$2:$L$11,0))/100000),"")</f>
        <v/>
      </c>
      <c r="BP902" s="35" t="str">
        <f aca="false">IFERROR(IF(BI902="","",BI902*INDEX('00 - Lists'!$M$2:$M$11,MATCH(L902,'00 - Lists'!$L$2:$L$11,0))/100000),"")</f>
        <v/>
      </c>
      <c r="BS902" s="36" t="str">
        <f aca="false">IF(O902="","",IF(O902&gt;=20,"Yes","No"))</f>
        <v/>
      </c>
      <c r="BT902" s="36" t="str">
        <f aca="false">IF(O902="","",IF(O902&gt;=30,"Yes","No"))</f>
        <v/>
      </c>
      <c r="BU902" s="36" t="str">
        <f aca="false">IF(O902="","",IF(O902&gt;=75,"Yes","No"))</f>
        <v/>
      </c>
      <c r="BV902" s="36" t="str">
        <f aca="false">IF(O902="","",IF(O902&gt;=100,"Yes","No"))</f>
        <v/>
      </c>
      <c r="BW902" s="36" t="str">
        <f aca="false">IF(O902="","",IF(O902&gt;=150,"Yes","No"))</f>
        <v/>
      </c>
      <c r="BX902" s="36" t="str">
        <f aca="false">IF(O902="","",IF(O902&gt;=200,"Yes","No"))</f>
        <v/>
      </c>
      <c r="BY902" s="36" t="str">
        <f aca="false">IF(Q902="","",IF(Q902&gt;=150000,"Yes","No"))</f>
        <v/>
      </c>
      <c r="BZ902" s="36" t="str">
        <f aca="false">IF(Q902="","",IF(Q902&gt;=200000,"Yes","No"))</f>
        <v/>
      </c>
      <c r="CA902" s="36" t="str">
        <f aca="false">IF(Q902="","",IF(Q902&gt;=250000,"Yes","No"))</f>
        <v/>
      </c>
      <c r="CB902" s="36" t="str">
        <f aca="false">IF(Q902="","",IF(Q902&gt;=300000,"Yes","No"))</f>
        <v/>
      </c>
      <c r="CC902" s="37"/>
      <c r="CD902" s="36" t="str">
        <f aca="true">IF(B902="","",IF(TODAY()-B902&lt;=7,"🟢 0-7d",IF(TODAY()-B902&lt;=30,"🟡 8-30d",IF(TODAY()-B902&lt;=60,"🟠 31-60d","🔴 60d+"))))</f>
        <v/>
      </c>
      <c r="CE902" s="36" t="str">
        <f aca="false">IF(G902="","",IF(G902&lt;&gt;"USA","N/A - Not USA Role",IF(J902="Yes",IF(OR(F902="Intern",F902="New Grad"),"🟡 Possible","🟢 Strong"),IF(J902="No","🔴 Difficult","⚪ Unknown"))))</f>
        <v/>
      </c>
      <c r="CF902" s="37"/>
      <c r="CG902" s="37"/>
      <c r="CH902" s="38"/>
      <c r="CI902" s="38"/>
      <c r="CJ902" s="38"/>
      <c r="CK902" s="38"/>
    </row>
    <row r="903" customFormat="false" ht="15" hidden="false" customHeight="true" outlineLevel="0" collapsed="false">
      <c r="A903" s="26" t="str">
        <f aca="false">IF($C903="","",ROW()-3)</f>
        <v/>
      </c>
      <c r="B903" s="27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9"/>
      <c r="N903" s="29"/>
      <c r="O903" s="30" t="str">
        <f aca="false">IFERROR(IF(M903="","",M903*INDEX('00 - Lists'!$M$2:$M$11,MATCH(L903,'00 - Lists'!$L$2:$L$11,0))/100000),"")</f>
        <v/>
      </c>
      <c r="P903" s="30" t="str">
        <f aca="false">IFERROR(IF(N903="","",N903*INDEX('00 - Lists'!$M$2:$M$11,MATCH(L903,'00 - Lists'!$L$2:$L$11,0))/100000),"")</f>
        <v/>
      </c>
      <c r="Q903" s="31" t="str">
        <f aca="false">IFERROR(IF(M903="","",M903*INDEX('00 - Lists'!$N$2:$N$11,MATCH(L903,'00 - Lists'!$L$2:$L$11,0))),"")</f>
        <v/>
      </c>
      <c r="R903" s="31" t="str">
        <f aca="false">IFERROR(IF(N903="","",N903*INDEX('00 - Lists'!$N$2:$N$11,MATCH(L903,'00 - Lists'!$L$2:$L$11,0))),"")</f>
        <v/>
      </c>
      <c r="S903" s="32" t="str">
        <f aca="false">IF(O903="","",IF(O903&gt;=50,"Yes","No"))</f>
        <v/>
      </c>
      <c r="T903" s="32" t="str">
        <f aca="false">IF(Q903="","",IF(Q903&gt;=100000,"Yes","No"))</f>
        <v/>
      </c>
      <c r="U903" s="28"/>
      <c r="V903" s="28"/>
      <c r="W903" s="28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J903" s="34" t="str">
        <f aca="false">IF(OR($BD903&lt;&gt;"",$BF903&lt;&gt;"",$BH903&lt;&gt;""),"Yes","No")</f>
        <v>No</v>
      </c>
      <c r="BK903" s="35" t="str">
        <f aca="false">IFERROR(IF(BD903="","",BD903*INDEX('00 - Lists'!$M$2:$M$11,MATCH(L903,'00 - Lists'!$L$2:$L$11,0))/100000),"")</f>
        <v/>
      </c>
      <c r="BL903" s="35" t="str">
        <f aca="false">IFERROR(IF(BE903="","",BE903*INDEX('00 - Lists'!$M$2:$M$11,MATCH(L903,'00 - Lists'!$L$2:$L$11,0))/100000),"")</f>
        <v/>
      </c>
      <c r="BM903" s="35" t="str">
        <f aca="false">IFERROR(IF(BF903="","",BF903*INDEX('00 - Lists'!$M$2:$M$11,MATCH(L903,'00 - Lists'!$L$2:$L$11,0))/100000),"")</f>
        <v/>
      </c>
      <c r="BN903" s="35" t="str">
        <f aca="false">IFERROR(IF(BG903="","",BG903*INDEX('00 - Lists'!$M$2:$M$11,MATCH(L903,'00 - Lists'!$L$2:$L$11,0))/100000),"")</f>
        <v/>
      </c>
      <c r="BO903" s="35" t="str">
        <f aca="false">IFERROR(IF(BH903="","",BH903*INDEX('00 - Lists'!$M$2:$M$11,MATCH(L903,'00 - Lists'!$L$2:$L$11,0))/100000),"")</f>
        <v/>
      </c>
      <c r="BP903" s="35" t="str">
        <f aca="false">IFERROR(IF(BI903="","",BI903*INDEX('00 - Lists'!$M$2:$M$11,MATCH(L903,'00 - Lists'!$L$2:$L$11,0))/100000),"")</f>
        <v/>
      </c>
      <c r="BS903" s="36" t="str">
        <f aca="false">IF(O903="","",IF(O903&gt;=20,"Yes","No"))</f>
        <v/>
      </c>
      <c r="BT903" s="36" t="str">
        <f aca="false">IF(O903="","",IF(O903&gt;=30,"Yes","No"))</f>
        <v/>
      </c>
      <c r="BU903" s="36" t="str">
        <f aca="false">IF(O903="","",IF(O903&gt;=75,"Yes","No"))</f>
        <v/>
      </c>
      <c r="BV903" s="36" t="str">
        <f aca="false">IF(O903="","",IF(O903&gt;=100,"Yes","No"))</f>
        <v/>
      </c>
      <c r="BW903" s="36" t="str">
        <f aca="false">IF(O903="","",IF(O903&gt;=150,"Yes","No"))</f>
        <v/>
      </c>
      <c r="BX903" s="36" t="str">
        <f aca="false">IF(O903="","",IF(O903&gt;=200,"Yes","No"))</f>
        <v/>
      </c>
      <c r="BY903" s="36" t="str">
        <f aca="false">IF(Q903="","",IF(Q903&gt;=150000,"Yes","No"))</f>
        <v/>
      </c>
      <c r="BZ903" s="36" t="str">
        <f aca="false">IF(Q903="","",IF(Q903&gt;=200000,"Yes","No"))</f>
        <v/>
      </c>
      <c r="CA903" s="36" t="str">
        <f aca="false">IF(Q903="","",IF(Q903&gt;=250000,"Yes","No"))</f>
        <v/>
      </c>
      <c r="CB903" s="36" t="str">
        <f aca="false">IF(Q903="","",IF(Q903&gt;=300000,"Yes","No"))</f>
        <v/>
      </c>
      <c r="CC903" s="37"/>
      <c r="CD903" s="36" t="str">
        <f aca="true">IF(B903="","",IF(TODAY()-B903&lt;=7,"🟢 0-7d",IF(TODAY()-B903&lt;=30,"🟡 8-30d",IF(TODAY()-B903&lt;=60,"🟠 31-60d","🔴 60d+"))))</f>
        <v/>
      </c>
      <c r="CE903" s="36" t="str">
        <f aca="false">IF(G903="","",IF(G903&lt;&gt;"USA","N/A - Not USA Role",IF(J903="Yes",IF(OR(F903="Intern",F903="New Grad"),"🟡 Possible","🟢 Strong"),IF(J903="No","🔴 Difficult","⚪ Unknown"))))</f>
        <v/>
      </c>
      <c r="CF903" s="37"/>
      <c r="CG903" s="37"/>
      <c r="CH903" s="38"/>
      <c r="CI903" s="38"/>
      <c r="CJ903" s="38"/>
      <c r="CK903" s="38"/>
    </row>
    <row r="904" customFormat="false" ht="15" hidden="false" customHeight="true" outlineLevel="0" collapsed="false">
      <c r="A904" s="26" t="str">
        <f aca="false">IF($C904="","",ROW()-3)</f>
        <v/>
      </c>
      <c r="B904" s="27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9"/>
      <c r="N904" s="29"/>
      <c r="O904" s="30" t="str">
        <f aca="false">IFERROR(IF(M904="","",M904*INDEX('00 - Lists'!$M$2:$M$11,MATCH(L904,'00 - Lists'!$L$2:$L$11,0))/100000),"")</f>
        <v/>
      </c>
      <c r="P904" s="30" t="str">
        <f aca="false">IFERROR(IF(N904="","",N904*INDEX('00 - Lists'!$M$2:$M$11,MATCH(L904,'00 - Lists'!$L$2:$L$11,0))/100000),"")</f>
        <v/>
      </c>
      <c r="Q904" s="31" t="str">
        <f aca="false">IFERROR(IF(M904="","",M904*INDEX('00 - Lists'!$N$2:$N$11,MATCH(L904,'00 - Lists'!$L$2:$L$11,0))),"")</f>
        <v/>
      </c>
      <c r="R904" s="31" t="str">
        <f aca="false">IFERROR(IF(N904="","",N904*INDEX('00 - Lists'!$N$2:$N$11,MATCH(L904,'00 - Lists'!$L$2:$L$11,0))),"")</f>
        <v/>
      </c>
      <c r="S904" s="32" t="str">
        <f aca="false">IF(O904="","",IF(O904&gt;=50,"Yes","No"))</f>
        <v/>
      </c>
      <c r="T904" s="32" t="str">
        <f aca="false">IF(Q904="","",IF(Q904&gt;=100000,"Yes","No"))</f>
        <v/>
      </c>
      <c r="U904" s="28"/>
      <c r="V904" s="28"/>
      <c r="W904" s="28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J904" s="34" t="str">
        <f aca="false">IF(OR($BD904&lt;&gt;"",$BF904&lt;&gt;"",$BH904&lt;&gt;""),"Yes","No")</f>
        <v>No</v>
      </c>
      <c r="BK904" s="35" t="str">
        <f aca="false">IFERROR(IF(BD904="","",BD904*INDEX('00 - Lists'!$M$2:$M$11,MATCH(L904,'00 - Lists'!$L$2:$L$11,0))/100000),"")</f>
        <v/>
      </c>
      <c r="BL904" s="35" t="str">
        <f aca="false">IFERROR(IF(BE904="","",BE904*INDEX('00 - Lists'!$M$2:$M$11,MATCH(L904,'00 - Lists'!$L$2:$L$11,0))/100000),"")</f>
        <v/>
      </c>
      <c r="BM904" s="35" t="str">
        <f aca="false">IFERROR(IF(BF904="","",BF904*INDEX('00 - Lists'!$M$2:$M$11,MATCH(L904,'00 - Lists'!$L$2:$L$11,0))/100000),"")</f>
        <v/>
      </c>
      <c r="BN904" s="35" t="str">
        <f aca="false">IFERROR(IF(BG904="","",BG904*INDEX('00 - Lists'!$M$2:$M$11,MATCH(L904,'00 - Lists'!$L$2:$L$11,0))/100000),"")</f>
        <v/>
      </c>
      <c r="BO904" s="35" t="str">
        <f aca="false">IFERROR(IF(BH904="","",BH904*INDEX('00 - Lists'!$M$2:$M$11,MATCH(L904,'00 - Lists'!$L$2:$L$11,0))/100000),"")</f>
        <v/>
      </c>
      <c r="BP904" s="35" t="str">
        <f aca="false">IFERROR(IF(BI904="","",BI904*INDEX('00 - Lists'!$M$2:$M$11,MATCH(L904,'00 - Lists'!$L$2:$L$11,0))/100000),"")</f>
        <v/>
      </c>
      <c r="BS904" s="36" t="str">
        <f aca="false">IF(O904="","",IF(O904&gt;=20,"Yes","No"))</f>
        <v/>
      </c>
      <c r="BT904" s="36" t="str">
        <f aca="false">IF(O904="","",IF(O904&gt;=30,"Yes","No"))</f>
        <v/>
      </c>
      <c r="BU904" s="36" t="str">
        <f aca="false">IF(O904="","",IF(O904&gt;=75,"Yes","No"))</f>
        <v/>
      </c>
      <c r="BV904" s="36" t="str">
        <f aca="false">IF(O904="","",IF(O904&gt;=100,"Yes","No"))</f>
        <v/>
      </c>
      <c r="BW904" s="36" t="str">
        <f aca="false">IF(O904="","",IF(O904&gt;=150,"Yes","No"))</f>
        <v/>
      </c>
      <c r="BX904" s="36" t="str">
        <f aca="false">IF(O904="","",IF(O904&gt;=200,"Yes","No"))</f>
        <v/>
      </c>
      <c r="BY904" s="36" t="str">
        <f aca="false">IF(Q904="","",IF(Q904&gt;=150000,"Yes","No"))</f>
        <v/>
      </c>
      <c r="BZ904" s="36" t="str">
        <f aca="false">IF(Q904="","",IF(Q904&gt;=200000,"Yes","No"))</f>
        <v/>
      </c>
      <c r="CA904" s="36" t="str">
        <f aca="false">IF(Q904="","",IF(Q904&gt;=250000,"Yes","No"))</f>
        <v/>
      </c>
      <c r="CB904" s="36" t="str">
        <f aca="false">IF(Q904="","",IF(Q904&gt;=300000,"Yes","No"))</f>
        <v/>
      </c>
      <c r="CC904" s="37"/>
      <c r="CD904" s="36" t="str">
        <f aca="true">IF(B904="","",IF(TODAY()-B904&lt;=7,"🟢 0-7d",IF(TODAY()-B904&lt;=30,"🟡 8-30d",IF(TODAY()-B904&lt;=60,"🟠 31-60d","🔴 60d+"))))</f>
        <v/>
      </c>
      <c r="CE904" s="36" t="str">
        <f aca="false">IF(G904="","",IF(G904&lt;&gt;"USA","N/A - Not USA Role",IF(J904="Yes",IF(OR(F904="Intern",F904="New Grad"),"🟡 Possible","🟢 Strong"),IF(J904="No","🔴 Difficult","⚪ Unknown"))))</f>
        <v/>
      </c>
      <c r="CF904" s="37"/>
      <c r="CG904" s="37"/>
      <c r="CH904" s="38"/>
      <c r="CI904" s="38"/>
      <c r="CJ904" s="38"/>
      <c r="CK904" s="38"/>
    </row>
    <row r="905" customFormat="false" ht="15" hidden="false" customHeight="true" outlineLevel="0" collapsed="false">
      <c r="A905" s="26" t="str">
        <f aca="false">IF($C905="","",ROW()-3)</f>
        <v/>
      </c>
      <c r="B905" s="27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9"/>
      <c r="N905" s="29"/>
      <c r="O905" s="30" t="str">
        <f aca="false">IFERROR(IF(M905="","",M905*INDEX('00 - Lists'!$M$2:$M$11,MATCH(L905,'00 - Lists'!$L$2:$L$11,0))/100000),"")</f>
        <v/>
      </c>
      <c r="P905" s="30" t="str">
        <f aca="false">IFERROR(IF(N905="","",N905*INDEX('00 - Lists'!$M$2:$M$11,MATCH(L905,'00 - Lists'!$L$2:$L$11,0))/100000),"")</f>
        <v/>
      </c>
      <c r="Q905" s="31" t="str">
        <f aca="false">IFERROR(IF(M905="","",M905*INDEX('00 - Lists'!$N$2:$N$11,MATCH(L905,'00 - Lists'!$L$2:$L$11,0))),"")</f>
        <v/>
      </c>
      <c r="R905" s="31" t="str">
        <f aca="false">IFERROR(IF(N905="","",N905*INDEX('00 - Lists'!$N$2:$N$11,MATCH(L905,'00 - Lists'!$L$2:$L$11,0))),"")</f>
        <v/>
      </c>
      <c r="S905" s="32" t="str">
        <f aca="false">IF(O905="","",IF(O905&gt;=50,"Yes","No"))</f>
        <v/>
      </c>
      <c r="T905" s="32" t="str">
        <f aca="false">IF(Q905="","",IF(Q905&gt;=100000,"Yes","No"))</f>
        <v/>
      </c>
      <c r="U905" s="28"/>
      <c r="V905" s="28"/>
      <c r="W905" s="28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J905" s="34" t="str">
        <f aca="false">IF(OR($BD905&lt;&gt;"",$BF905&lt;&gt;"",$BH905&lt;&gt;""),"Yes","No")</f>
        <v>No</v>
      </c>
      <c r="BK905" s="35" t="str">
        <f aca="false">IFERROR(IF(BD905="","",BD905*INDEX('00 - Lists'!$M$2:$M$11,MATCH(L905,'00 - Lists'!$L$2:$L$11,0))/100000),"")</f>
        <v/>
      </c>
      <c r="BL905" s="35" t="str">
        <f aca="false">IFERROR(IF(BE905="","",BE905*INDEX('00 - Lists'!$M$2:$M$11,MATCH(L905,'00 - Lists'!$L$2:$L$11,0))/100000),"")</f>
        <v/>
      </c>
      <c r="BM905" s="35" t="str">
        <f aca="false">IFERROR(IF(BF905="","",BF905*INDEX('00 - Lists'!$M$2:$M$11,MATCH(L905,'00 - Lists'!$L$2:$L$11,0))/100000),"")</f>
        <v/>
      </c>
      <c r="BN905" s="35" t="str">
        <f aca="false">IFERROR(IF(BG905="","",BG905*INDEX('00 - Lists'!$M$2:$M$11,MATCH(L905,'00 - Lists'!$L$2:$L$11,0))/100000),"")</f>
        <v/>
      </c>
      <c r="BO905" s="35" t="str">
        <f aca="false">IFERROR(IF(BH905="","",BH905*INDEX('00 - Lists'!$M$2:$M$11,MATCH(L905,'00 - Lists'!$L$2:$L$11,0))/100000),"")</f>
        <v/>
      </c>
      <c r="BP905" s="35" t="str">
        <f aca="false">IFERROR(IF(BI905="","",BI905*INDEX('00 - Lists'!$M$2:$M$11,MATCH(L905,'00 - Lists'!$L$2:$L$11,0))/100000),"")</f>
        <v/>
      </c>
      <c r="BS905" s="36" t="str">
        <f aca="false">IF(O905="","",IF(O905&gt;=20,"Yes","No"))</f>
        <v/>
      </c>
      <c r="BT905" s="36" t="str">
        <f aca="false">IF(O905="","",IF(O905&gt;=30,"Yes","No"))</f>
        <v/>
      </c>
      <c r="BU905" s="36" t="str">
        <f aca="false">IF(O905="","",IF(O905&gt;=75,"Yes","No"))</f>
        <v/>
      </c>
      <c r="BV905" s="36" t="str">
        <f aca="false">IF(O905="","",IF(O905&gt;=100,"Yes","No"))</f>
        <v/>
      </c>
      <c r="BW905" s="36" t="str">
        <f aca="false">IF(O905="","",IF(O905&gt;=150,"Yes","No"))</f>
        <v/>
      </c>
      <c r="BX905" s="36" t="str">
        <f aca="false">IF(O905="","",IF(O905&gt;=200,"Yes","No"))</f>
        <v/>
      </c>
      <c r="BY905" s="36" t="str">
        <f aca="false">IF(Q905="","",IF(Q905&gt;=150000,"Yes","No"))</f>
        <v/>
      </c>
      <c r="BZ905" s="36" t="str">
        <f aca="false">IF(Q905="","",IF(Q905&gt;=200000,"Yes","No"))</f>
        <v/>
      </c>
      <c r="CA905" s="36" t="str">
        <f aca="false">IF(Q905="","",IF(Q905&gt;=250000,"Yes","No"))</f>
        <v/>
      </c>
      <c r="CB905" s="36" t="str">
        <f aca="false">IF(Q905="","",IF(Q905&gt;=300000,"Yes","No"))</f>
        <v/>
      </c>
      <c r="CC905" s="37"/>
      <c r="CD905" s="36" t="str">
        <f aca="true">IF(B905="","",IF(TODAY()-B905&lt;=7,"🟢 0-7d",IF(TODAY()-B905&lt;=30,"🟡 8-30d",IF(TODAY()-B905&lt;=60,"🟠 31-60d","🔴 60d+"))))</f>
        <v/>
      </c>
      <c r="CE905" s="36" t="str">
        <f aca="false">IF(G905="","",IF(G905&lt;&gt;"USA","N/A - Not USA Role",IF(J905="Yes",IF(OR(F905="Intern",F905="New Grad"),"🟡 Possible","🟢 Strong"),IF(J905="No","🔴 Difficult","⚪ Unknown"))))</f>
        <v/>
      </c>
      <c r="CF905" s="37"/>
      <c r="CG905" s="37"/>
      <c r="CH905" s="38"/>
      <c r="CI905" s="38"/>
      <c r="CJ905" s="38"/>
      <c r="CK905" s="38"/>
    </row>
    <row r="906" customFormat="false" ht="15" hidden="false" customHeight="true" outlineLevel="0" collapsed="false">
      <c r="A906" s="26" t="str">
        <f aca="false">IF($C906="","",ROW()-3)</f>
        <v/>
      </c>
      <c r="B906" s="27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9"/>
      <c r="N906" s="29"/>
      <c r="O906" s="30" t="str">
        <f aca="false">IFERROR(IF(M906="","",M906*INDEX('00 - Lists'!$M$2:$M$11,MATCH(L906,'00 - Lists'!$L$2:$L$11,0))/100000),"")</f>
        <v/>
      </c>
      <c r="P906" s="30" t="str">
        <f aca="false">IFERROR(IF(N906="","",N906*INDEX('00 - Lists'!$M$2:$M$11,MATCH(L906,'00 - Lists'!$L$2:$L$11,0))/100000),"")</f>
        <v/>
      </c>
      <c r="Q906" s="31" t="str">
        <f aca="false">IFERROR(IF(M906="","",M906*INDEX('00 - Lists'!$N$2:$N$11,MATCH(L906,'00 - Lists'!$L$2:$L$11,0))),"")</f>
        <v/>
      </c>
      <c r="R906" s="31" t="str">
        <f aca="false">IFERROR(IF(N906="","",N906*INDEX('00 - Lists'!$N$2:$N$11,MATCH(L906,'00 - Lists'!$L$2:$L$11,0))),"")</f>
        <v/>
      </c>
      <c r="S906" s="32" t="str">
        <f aca="false">IF(O906="","",IF(O906&gt;=50,"Yes","No"))</f>
        <v/>
      </c>
      <c r="T906" s="32" t="str">
        <f aca="false">IF(Q906="","",IF(Q906&gt;=100000,"Yes","No"))</f>
        <v/>
      </c>
      <c r="U906" s="28"/>
      <c r="V906" s="28"/>
      <c r="W906" s="28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J906" s="34" t="str">
        <f aca="false">IF(OR($BD906&lt;&gt;"",$BF906&lt;&gt;"",$BH906&lt;&gt;""),"Yes","No")</f>
        <v>No</v>
      </c>
      <c r="BK906" s="35" t="str">
        <f aca="false">IFERROR(IF(BD906="","",BD906*INDEX('00 - Lists'!$M$2:$M$11,MATCH(L906,'00 - Lists'!$L$2:$L$11,0))/100000),"")</f>
        <v/>
      </c>
      <c r="BL906" s="35" t="str">
        <f aca="false">IFERROR(IF(BE906="","",BE906*INDEX('00 - Lists'!$M$2:$M$11,MATCH(L906,'00 - Lists'!$L$2:$L$11,0))/100000),"")</f>
        <v/>
      </c>
      <c r="BM906" s="35" t="str">
        <f aca="false">IFERROR(IF(BF906="","",BF906*INDEX('00 - Lists'!$M$2:$M$11,MATCH(L906,'00 - Lists'!$L$2:$L$11,0))/100000),"")</f>
        <v/>
      </c>
      <c r="BN906" s="35" t="str">
        <f aca="false">IFERROR(IF(BG906="","",BG906*INDEX('00 - Lists'!$M$2:$M$11,MATCH(L906,'00 - Lists'!$L$2:$L$11,0))/100000),"")</f>
        <v/>
      </c>
      <c r="BO906" s="35" t="str">
        <f aca="false">IFERROR(IF(BH906="","",BH906*INDEX('00 - Lists'!$M$2:$M$11,MATCH(L906,'00 - Lists'!$L$2:$L$11,0))/100000),"")</f>
        <v/>
      </c>
      <c r="BP906" s="35" t="str">
        <f aca="false">IFERROR(IF(BI906="","",BI906*INDEX('00 - Lists'!$M$2:$M$11,MATCH(L906,'00 - Lists'!$L$2:$L$11,0))/100000),"")</f>
        <v/>
      </c>
      <c r="BS906" s="36" t="str">
        <f aca="false">IF(O906="","",IF(O906&gt;=20,"Yes","No"))</f>
        <v/>
      </c>
      <c r="BT906" s="36" t="str">
        <f aca="false">IF(O906="","",IF(O906&gt;=30,"Yes","No"))</f>
        <v/>
      </c>
      <c r="BU906" s="36" t="str">
        <f aca="false">IF(O906="","",IF(O906&gt;=75,"Yes","No"))</f>
        <v/>
      </c>
      <c r="BV906" s="36" t="str">
        <f aca="false">IF(O906="","",IF(O906&gt;=100,"Yes","No"))</f>
        <v/>
      </c>
      <c r="BW906" s="36" t="str">
        <f aca="false">IF(O906="","",IF(O906&gt;=150,"Yes","No"))</f>
        <v/>
      </c>
      <c r="BX906" s="36" t="str">
        <f aca="false">IF(O906="","",IF(O906&gt;=200,"Yes","No"))</f>
        <v/>
      </c>
      <c r="BY906" s="36" t="str">
        <f aca="false">IF(Q906="","",IF(Q906&gt;=150000,"Yes","No"))</f>
        <v/>
      </c>
      <c r="BZ906" s="36" t="str">
        <f aca="false">IF(Q906="","",IF(Q906&gt;=200000,"Yes","No"))</f>
        <v/>
      </c>
      <c r="CA906" s="36" t="str">
        <f aca="false">IF(Q906="","",IF(Q906&gt;=250000,"Yes","No"))</f>
        <v/>
      </c>
      <c r="CB906" s="36" t="str">
        <f aca="false">IF(Q906="","",IF(Q906&gt;=300000,"Yes","No"))</f>
        <v/>
      </c>
      <c r="CC906" s="37"/>
      <c r="CD906" s="36" t="str">
        <f aca="true">IF(B906="","",IF(TODAY()-B906&lt;=7,"🟢 0-7d",IF(TODAY()-B906&lt;=30,"🟡 8-30d",IF(TODAY()-B906&lt;=60,"🟠 31-60d","🔴 60d+"))))</f>
        <v/>
      </c>
      <c r="CE906" s="36" t="str">
        <f aca="false">IF(G906="","",IF(G906&lt;&gt;"USA","N/A - Not USA Role",IF(J906="Yes",IF(OR(F906="Intern",F906="New Grad"),"🟡 Possible","🟢 Strong"),IF(J906="No","🔴 Difficult","⚪ Unknown"))))</f>
        <v/>
      </c>
      <c r="CF906" s="37"/>
      <c r="CG906" s="37"/>
      <c r="CH906" s="38"/>
      <c r="CI906" s="38"/>
      <c r="CJ906" s="38"/>
      <c r="CK906" s="38"/>
    </row>
    <row r="907" customFormat="false" ht="15" hidden="false" customHeight="true" outlineLevel="0" collapsed="false">
      <c r="A907" s="26" t="str">
        <f aca="false">IF($C907="","",ROW()-3)</f>
        <v/>
      </c>
      <c r="B907" s="27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9"/>
      <c r="N907" s="29"/>
      <c r="O907" s="30" t="str">
        <f aca="false">IFERROR(IF(M907="","",M907*INDEX('00 - Lists'!$M$2:$M$11,MATCH(L907,'00 - Lists'!$L$2:$L$11,0))/100000),"")</f>
        <v/>
      </c>
      <c r="P907" s="30" t="str">
        <f aca="false">IFERROR(IF(N907="","",N907*INDEX('00 - Lists'!$M$2:$M$11,MATCH(L907,'00 - Lists'!$L$2:$L$11,0))/100000),"")</f>
        <v/>
      </c>
      <c r="Q907" s="31" t="str">
        <f aca="false">IFERROR(IF(M907="","",M907*INDEX('00 - Lists'!$N$2:$N$11,MATCH(L907,'00 - Lists'!$L$2:$L$11,0))),"")</f>
        <v/>
      </c>
      <c r="R907" s="31" t="str">
        <f aca="false">IFERROR(IF(N907="","",N907*INDEX('00 - Lists'!$N$2:$N$11,MATCH(L907,'00 - Lists'!$L$2:$L$11,0))),"")</f>
        <v/>
      </c>
      <c r="S907" s="32" t="str">
        <f aca="false">IF(O907="","",IF(O907&gt;=50,"Yes","No"))</f>
        <v/>
      </c>
      <c r="T907" s="32" t="str">
        <f aca="false">IF(Q907="","",IF(Q907&gt;=100000,"Yes","No"))</f>
        <v/>
      </c>
      <c r="U907" s="28"/>
      <c r="V907" s="28"/>
      <c r="W907" s="28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J907" s="34" t="str">
        <f aca="false">IF(OR($BD907&lt;&gt;"",$BF907&lt;&gt;"",$BH907&lt;&gt;""),"Yes","No")</f>
        <v>No</v>
      </c>
      <c r="BK907" s="35" t="str">
        <f aca="false">IFERROR(IF(BD907="","",BD907*INDEX('00 - Lists'!$M$2:$M$11,MATCH(L907,'00 - Lists'!$L$2:$L$11,0))/100000),"")</f>
        <v/>
      </c>
      <c r="BL907" s="35" t="str">
        <f aca="false">IFERROR(IF(BE907="","",BE907*INDEX('00 - Lists'!$M$2:$M$11,MATCH(L907,'00 - Lists'!$L$2:$L$11,0))/100000),"")</f>
        <v/>
      </c>
      <c r="BM907" s="35" t="str">
        <f aca="false">IFERROR(IF(BF907="","",BF907*INDEX('00 - Lists'!$M$2:$M$11,MATCH(L907,'00 - Lists'!$L$2:$L$11,0))/100000),"")</f>
        <v/>
      </c>
      <c r="BN907" s="35" t="str">
        <f aca="false">IFERROR(IF(BG907="","",BG907*INDEX('00 - Lists'!$M$2:$M$11,MATCH(L907,'00 - Lists'!$L$2:$L$11,0))/100000),"")</f>
        <v/>
      </c>
      <c r="BO907" s="35" t="str">
        <f aca="false">IFERROR(IF(BH907="","",BH907*INDEX('00 - Lists'!$M$2:$M$11,MATCH(L907,'00 - Lists'!$L$2:$L$11,0))/100000),"")</f>
        <v/>
      </c>
      <c r="BP907" s="35" t="str">
        <f aca="false">IFERROR(IF(BI907="","",BI907*INDEX('00 - Lists'!$M$2:$M$11,MATCH(L907,'00 - Lists'!$L$2:$L$11,0))/100000),"")</f>
        <v/>
      </c>
      <c r="BS907" s="36" t="str">
        <f aca="false">IF(O907="","",IF(O907&gt;=20,"Yes","No"))</f>
        <v/>
      </c>
      <c r="BT907" s="36" t="str">
        <f aca="false">IF(O907="","",IF(O907&gt;=30,"Yes","No"))</f>
        <v/>
      </c>
      <c r="BU907" s="36" t="str">
        <f aca="false">IF(O907="","",IF(O907&gt;=75,"Yes","No"))</f>
        <v/>
      </c>
      <c r="BV907" s="36" t="str">
        <f aca="false">IF(O907="","",IF(O907&gt;=100,"Yes","No"))</f>
        <v/>
      </c>
      <c r="BW907" s="36" t="str">
        <f aca="false">IF(O907="","",IF(O907&gt;=150,"Yes","No"))</f>
        <v/>
      </c>
      <c r="BX907" s="36" t="str">
        <f aca="false">IF(O907="","",IF(O907&gt;=200,"Yes","No"))</f>
        <v/>
      </c>
      <c r="BY907" s="36" t="str">
        <f aca="false">IF(Q907="","",IF(Q907&gt;=150000,"Yes","No"))</f>
        <v/>
      </c>
      <c r="BZ907" s="36" t="str">
        <f aca="false">IF(Q907="","",IF(Q907&gt;=200000,"Yes","No"))</f>
        <v/>
      </c>
      <c r="CA907" s="36" t="str">
        <f aca="false">IF(Q907="","",IF(Q907&gt;=250000,"Yes","No"))</f>
        <v/>
      </c>
      <c r="CB907" s="36" t="str">
        <f aca="false">IF(Q907="","",IF(Q907&gt;=300000,"Yes","No"))</f>
        <v/>
      </c>
      <c r="CC907" s="37"/>
      <c r="CD907" s="36" t="str">
        <f aca="true">IF(B907="","",IF(TODAY()-B907&lt;=7,"🟢 0-7d",IF(TODAY()-B907&lt;=30,"🟡 8-30d",IF(TODAY()-B907&lt;=60,"🟠 31-60d","🔴 60d+"))))</f>
        <v/>
      </c>
      <c r="CE907" s="36" t="str">
        <f aca="false">IF(G907="","",IF(G907&lt;&gt;"USA","N/A - Not USA Role",IF(J907="Yes",IF(OR(F907="Intern",F907="New Grad"),"🟡 Possible","🟢 Strong"),IF(J907="No","🔴 Difficult","⚪ Unknown"))))</f>
        <v/>
      </c>
      <c r="CF907" s="37"/>
      <c r="CG907" s="37"/>
      <c r="CH907" s="38"/>
      <c r="CI907" s="38"/>
      <c r="CJ907" s="38"/>
      <c r="CK907" s="38"/>
    </row>
    <row r="908" customFormat="false" ht="15" hidden="false" customHeight="true" outlineLevel="0" collapsed="false">
      <c r="A908" s="26" t="str">
        <f aca="false">IF($C908="","",ROW()-3)</f>
        <v/>
      </c>
      <c r="B908" s="27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9"/>
      <c r="N908" s="29"/>
      <c r="O908" s="30" t="str">
        <f aca="false">IFERROR(IF(M908="","",M908*INDEX('00 - Lists'!$M$2:$M$11,MATCH(L908,'00 - Lists'!$L$2:$L$11,0))/100000),"")</f>
        <v/>
      </c>
      <c r="P908" s="30" t="str">
        <f aca="false">IFERROR(IF(N908="","",N908*INDEX('00 - Lists'!$M$2:$M$11,MATCH(L908,'00 - Lists'!$L$2:$L$11,0))/100000),"")</f>
        <v/>
      </c>
      <c r="Q908" s="31" t="str">
        <f aca="false">IFERROR(IF(M908="","",M908*INDEX('00 - Lists'!$N$2:$N$11,MATCH(L908,'00 - Lists'!$L$2:$L$11,0))),"")</f>
        <v/>
      </c>
      <c r="R908" s="31" t="str">
        <f aca="false">IFERROR(IF(N908="","",N908*INDEX('00 - Lists'!$N$2:$N$11,MATCH(L908,'00 - Lists'!$L$2:$L$11,0))),"")</f>
        <v/>
      </c>
      <c r="S908" s="32" t="str">
        <f aca="false">IF(O908="","",IF(O908&gt;=50,"Yes","No"))</f>
        <v/>
      </c>
      <c r="T908" s="32" t="str">
        <f aca="false">IF(Q908="","",IF(Q908&gt;=100000,"Yes","No"))</f>
        <v/>
      </c>
      <c r="U908" s="28"/>
      <c r="V908" s="28"/>
      <c r="W908" s="28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J908" s="34" t="str">
        <f aca="false">IF(OR($BD908&lt;&gt;"",$BF908&lt;&gt;"",$BH908&lt;&gt;""),"Yes","No")</f>
        <v>No</v>
      </c>
      <c r="BK908" s="35" t="str">
        <f aca="false">IFERROR(IF(BD908="","",BD908*INDEX('00 - Lists'!$M$2:$M$11,MATCH(L908,'00 - Lists'!$L$2:$L$11,0))/100000),"")</f>
        <v/>
      </c>
      <c r="BL908" s="35" t="str">
        <f aca="false">IFERROR(IF(BE908="","",BE908*INDEX('00 - Lists'!$M$2:$M$11,MATCH(L908,'00 - Lists'!$L$2:$L$11,0))/100000),"")</f>
        <v/>
      </c>
      <c r="BM908" s="35" t="str">
        <f aca="false">IFERROR(IF(BF908="","",BF908*INDEX('00 - Lists'!$M$2:$M$11,MATCH(L908,'00 - Lists'!$L$2:$L$11,0))/100000),"")</f>
        <v/>
      </c>
      <c r="BN908" s="35" t="str">
        <f aca="false">IFERROR(IF(BG908="","",BG908*INDEX('00 - Lists'!$M$2:$M$11,MATCH(L908,'00 - Lists'!$L$2:$L$11,0))/100000),"")</f>
        <v/>
      </c>
      <c r="BO908" s="35" t="str">
        <f aca="false">IFERROR(IF(BH908="","",BH908*INDEX('00 - Lists'!$M$2:$M$11,MATCH(L908,'00 - Lists'!$L$2:$L$11,0))/100000),"")</f>
        <v/>
      </c>
      <c r="BP908" s="35" t="str">
        <f aca="false">IFERROR(IF(BI908="","",BI908*INDEX('00 - Lists'!$M$2:$M$11,MATCH(L908,'00 - Lists'!$L$2:$L$11,0))/100000),"")</f>
        <v/>
      </c>
      <c r="BS908" s="36" t="str">
        <f aca="false">IF(O908="","",IF(O908&gt;=20,"Yes","No"))</f>
        <v/>
      </c>
      <c r="BT908" s="36" t="str">
        <f aca="false">IF(O908="","",IF(O908&gt;=30,"Yes","No"))</f>
        <v/>
      </c>
      <c r="BU908" s="36" t="str">
        <f aca="false">IF(O908="","",IF(O908&gt;=75,"Yes","No"))</f>
        <v/>
      </c>
      <c r="BV908" s="36" t="str">
        <f aca="false">IF(O908="","",IF(O908&gt;=100,"Yes","No"))</f>
        <v/>
      </c>
      <c r="BW908" s="36" t="str">
        <f aca="false">IF(O908="","",IF(O908&gt;=150,"Yes","No"))</f>
        <v/>
      </c>
      <c r="BX908" s="36" t="str">
        <f aca="false">IF(O908="","",IF(O908&gt;=200,"Yes","No"))</f>
        <v/>
      </c>
      <c r="BY908" s="36" t="str">
        <f aca="false">IF(Q908="","",IF(Q908&gt;=150000,"Yes","No"))</f>
        <v/>
      </c>
      <c r="BZ908" s="36" t="str">
        <f aca="false">IF(Q908="","",IF(Q908&gt;=200000,"Yes","No"))</f>
        <v/>
      </c>
      <c r="CA908" s="36" t="str">
        <f aca="false">IF(Q908="","",IF(Q908&gt;=250000,"Yes","No"))</f>
        <v/>
      </c>
      <c r="CB908" s="36" t="str">
        <f aca="false">IF(Q908="","",IF(Q908&gt;=300000,"Yes","No"))</f>
        <v/>
      </c>
      <c r="CC908" s="37"/>
      <c r="CD908" s="36" t="str">
        <f aca="true">IF(B908="","",IF(TODAY()-B908&lt;=7,"🟢 0-7d",IF(TODAY()-B908&lt;=30,"🟡 8-30d",IF(TODAY()-B908&lt;=60,"🟠 31-60d","🔴 60d+"))))</f>
        <v/>
      </c>
      <c r="CE908" s="36" t="str">
        <f aca="false">IF(G908="","",IF(G908&lt;&gt;"USA","N/A - Not USA Role",IF(J908="Yes",IF(OR(F908="Intern",F908="New Grad"),"🟡 Possible","🟢 Strong"),IF(J908="No","🔴 Difficult","⚪ Unknown"))))</f>
        <v/>
      </c>
      <c r="CF908" s="37"/>
      <c r="CG908" s="37"/>
      <c r="CH908" s="38"/>
      <c r="CI908" s="38"/>
      <c r="CJ908" s="38"/>
      <c r="CK908" s="38"/>
    </row>
    <row r="909" customFormat="false" ht="15" hidden="false" customHeight="true" outlineLevel="0" collapsed="false">
      <c r="A909" s="26" t="str">
        <f aca="false">IF($C909="","",ROW()-3)</f>
        <v/>
      </c>
      <c r="B909" s="27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9"/>
      <c r="N909" s="29"/>
      <c r="O909" s="30" t="str">
        <f aca="false">IFERROR(IF(M909="","",M909*INDEX('00 - Lists'!$M$2:$M$11,MATCH(L909,'00 - Lists'!$L$2:$L$11,0))/100000),"")</f>
        <v/>
      </c>
      <c r="P909" s="30" t="str">
        <f aca="false">IFERROR(IF(N909="","",N909*INDEX('00 - Lists'!$M$2:$M$11,MATCH(L909,'00 - Lists'!$L$2:$L$11,0))/100000),"")</f>
        <v/>
      </c>
      <c r="Q909" s="31" t="str">
        <f aca="false">IFERROR(IF(M909="","",M909*INDEX('00 - Lists'!$N$2:$N$11,MATCH(L909,'00 - Lists'!$L$2:$L$11,0))),"")</f>
        <v/>
      </c>
      <c r="R909" s="31" t="str">
        <f aca="false">IFERROR(IF(N909="","",N909*INDEX('00 - Lists'!$N$2:$N$11,MATCH(L909,'00 - Lists'!$L$2:$L$11,0))),"")</f>
        <v/>
      </c>
      <c r="S909" s="32" t="str">
        <f aca="false">IF(O909="","",IF(O909&gt;=50,"Yes","No"))</f>
        <v/>
      </c>
      <c r="T909" s="32" t="str">
        <f aca="false">IF(Q909="","",IF(Q909&gt;=100000,"Yes","No"))</f>
        <v/>
      </c>
      <c r="U909" s="28"/>
      <c r="V909" s="28"/>
      <c r="W909" s="28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J909" s="34" t="str">
        <f aca="false">IF(OR($BD909&lt;&gt;"",$BF909&lt;&gt;"",$BH909&lt;&gt;""),"Yes","No")</f>
        <v>No</v>
      </c>
      <c r="BK909" s="35" t="str">
        <f aca="false">IFERROR(IF(BD909="","",BD909*INDEX('00 - Lists'!$M$2:$M$11,MATCH(L909,'00 - Lists'!$L$2:$L$11,0))/100000),"")</f>
        <v/>
      </c>
      <c r="BL909" s="35" t="str">
        <f aca="false">IFERROR(IF(BE909="","",BE909*INDEX('00 - Lists'!$M$2:$M$11,MATCH(L909,'00 - Lists'!$L$2:$L$11,0))/100000),"")</f>
        <v/>
      </c>
      <c r="BM909" s="35" t="str">
        <f aca="false">IFERROR(IF(BF909="","",BF909*INDEX('00 - Lists'!$M$2:$M$11,MATCH(L909,'00 - Lists'!$L$2:$L$11,0))/100000),"")</f>
        <v/>
      </c>
      <c r="BN909" s="35" t="str">
        <f aca="false">IFERROR(IF(BG909="","",BG909*INDEX('00 - Lists'!$M$2:$M$11,MATCH(L909,'00 - Lists'!$L$2:$L$11,0))/100000),"")</f>
        <v/>
      </c>
      <c r="BO909" s="35" t="str">
        <f aca="false">IFERROR(IF(BH909="","",BH909*INDEX('00 - Lists'!$M$2:$M$11,MATCH(L909,'00 - Lists'!$L$2:$L$11,0))/100000),"")</f>
        <v/>
      </c>
      <c r="BP909" s="35" t="str">
        <f aca="false">IFERROR(IF(BI909="","",BI909*INDEX('00 - Lists'!$M$2:$M$11,MATCH(L909,'00 - Lists'!$L$2:$L$11,0))/100000),"")</f>
        <v/>
      </c>
      <c r="BS909" s="36" t="str">
        <f aca="false">IF(O909="","",IF(O909&gt;=20,"Yes","No"))</f>
        <v/>
      </c>
      <c r="BT909" s="36" t="str">
        <f aca="false">IF(O909="","",IF(O909&gt;=30,"Yes","No"))</f>
        <v/>
      </c>
      <c r="BU909" s="36" t="str">
        <f aca="false">IF(O909="","",IF(O909&gt;=75,"Yes","No"))</f>
        <v/>
      </c>
      <c r="BV909" s="36" t="str">
        <f aca="false">IF(O909="","",IF(O909&gt;=100,"Yes","No"))</f>
        <v/>
      </c>
      <c r="BW909" s="36" t="str">
        <f aca="false">IF(O909="","",IF(O909&gt;=150,"Yes","No"))</f>
        <v/>
      </c>
      <c r="BX909" s="36" t="str">
        <f aca="false">IF(O909="","",IF(O909&gt;=200,"Yes","No"))</f>
        <v/>
      </c>
      <c r="BY909" s="36" t="str">
        <f aca="false">IF(Q909="","",IF(Q909&gt;=150000,"Yes","No"))</f>
        <v/>
      </c>
      <c r="BZ909" s="36" t="str">
        <f aca="false">IF(Q909="","",IF(Q909&gt;=200000,"Yes","No"))</f>
        <v/>
      </c>
      <c r="CA909" s="36" t="str">
        <f aca="false">IF(Q909="","",IF(Q909&gt;=250000,"Yes","No"))</f>
        <v/>
      </c>
      <c r="CB909" s="36" t="str">
        <f aca="false">IF(Q909="","",IF(Q909&gt;=300000,"Yes","No"))</f>
        <v/>
      </c>
      <c r="CC909" s="37"/>
      <c r="CD909" s="36" t="str">
        <f aca="true">IF(B909="","",IF(TODAY()-B909&lt;=7,"🟢 0-7d",IF(TODAY()-B909&lt;=30,"🟡 8-30d",IF(TODAY()-B909&lt;=60,"🟠 31-60d","🔴 60d+"))))</f>
        <v/>
      </c>
      <c r="CE909" s="36" t="str">
        <f aca="false">IF(G909="","",IF(G909&lt;&gt;"USA","N/A - Not USA Role",IF(J909="Yes",IF(OR(F909="Intern",F909="New Grad"),"🟡 Possible","🟢 Strong"),IF(J909="No","🔴 Difficult","⚪ Unknown"))))</f>
        <v/>
      </c>
      <c r="CF909" s="37"/>
      <c r="CG909" s="37"/>
      <c r="CH909" s="38"/>
      <c r="CI909" s="38"/>
      <c r="CJ909" s="38"/>
      <c r="CK909" s="38"/>
    </row>
    <row r="910" customFormat="false" ht="15" hidden="false" customHeight="true" outlineLevel="0" collapsed="false">
      <c r="A910" s="26" t="str">
        <f aca="false">IF($C910="","",ROW()-3)</f>
        <v/>
      </c>
      <c r="B910" s="27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9"/>
      <c r="N910" s="29"/>
      <c r="O910" s="30" t="str">
        <f aca="false">IFERROR(IF(M910="","",M910*INDEX('00 - Lists'!$M$2:$M$11,MATCH(L910,'00 - Lists'!$L$2:$L$11,0))/100000),"")</f>
        <v/>
      </c>
      <c r="P910" s="30" t="str">
        <f aca="false">IFERROR(IF(N910="","",N910*INDEX('00 - Lists'!$M$2:$M$11,MATCH(L910,'00 - Lists'!$L$2:$L$11,0))/100000),"")</f>
        <v/>
      </c>
      <c r="Q910" s="31" t="str">
        <f aca="false">IFERROR(IF(M910="","",M910*INDEX('00 - Lists'!$N$2:$N$11,MATCH(L910,'00 - Lists'!$L$2:$L$11,0))),"")</f>
        <v/>
      </c>
      <c r="R910" s="31" t="str">
        <f aca="false">IFERROR(IF(N910="","",N910*INDEX('00 - Lists'!$N$2:$N$11,MATCH(L910,'00 - Lists'!$L$2:$L$11,0))),"")</f>
        <v/>
      </c>
      <c r="S910" s="32" t="str">
        <f aca="false">IF(O910="","",IF(O910&gt;=50,"Yes","No"))</f>
        <v/>
      </c>
      <c r="T910" s="32" t="str">
        <f aca="false">IF(Q910="","",IF(Q910&gt;=100000,"Yes","No"))</f>
        <v/>
      </c>
      <c r="U910" s="28"/>
      <c r="V910" s="28"/>
      <c r="W910" s="28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J910" s="34" t="str">
        <f aca="false">IF(OR($BD910&lt;&gt;"",$BF910&lt;&gt;"",$BH910&lt;&gt;""),"Yes","No")</f>
        <v>No</v>
      </c>
      <c r="BK910" s="35" t="str">
        <f aca="false">IFERROR(IF(BD910="","",BD910*INDEX('00 - Lists'!$M$2:$M$11,MATCH(L910,'00 - Lists'!$L$2:$L$11,0))/100000),"")</f>
        <v/>
      </c>
      <c r="BL910" s="35" t="str">
        <f aca="false">IFERROR(IF(BE910="","",BE910*INDEX('00 - Lists'!$M$2:$M$11,MATCH(L910,'00 - Lists'!$L$2:$L$11,0))/100000),"")</f>
        <v/>
      </c>
      <c r="BM910" s="35" t="str">
        <f aca="false">IFERROR(IF(BF910="","",BF910*INDEX('00 - Lists'!$M$2:$M$11,MATCH(L910,'00 - Lists'!$L$2:$L$11,0))/100000),"")</f>
        <v/>
      </c>
      <c r="BN910" s="35" t="str">
        <f aca="false">IFERROR(IF(BG910="","",BG910*INDEX('00 - Lists'!$M$2:$M$11,MATCH(L910,'00 - Lists'!$L$2:$L$11,0))/100000),"")</f>
        <v/>
      </c>
      <c r="BO910" s="35" t="str">
        <f aca="false">IFERROR(IF(BH910="","",BH910*INDEX('00 - Lists'!$M$2:$M$11,MATCH(L910,'00 - Lists'!$L$2:$L$11,0))/100000),"")</f>
        <v/>
      </c>
      <c r="BP910" s="35" t="str">
        <f aca="false">IFERROR(IF(BI910="","",BI910*INDEX('00 - Lists'!$M$2:$M$11,MATCH(L910,'00 - Lists'!$L$2:$L$11,0))/100000),"")</f>
        <v/>
      </c>
      <c r="BS910" s="36" t="str">
        <f aca="false">IF(O910="","",IF(O910&gt;=20,"Yes","No"))</f>
        <v/>
      </c>
      <c r="BT910" s="36" t="str">
        <f aca="false">IF(O910="","",IF(O910&gt;=30,"Yes","No"))</f>
        <v/>
      </c>
      <c r="BU910" s="36" t="str">
        <f aca="false">IF(O910="","",IF(O910&gt;=75,"Yes","No"))</f>
        <v/>
      </c>
      <c r="BV910" s="36" t="str">
        <f aca="false">IF(O910="","",IF(O910&gt;=100,"Yes","No"))</f>
        <v/>
      </c>
      <c r="BW910" s="36" t="str">
        <f aca="false">IF(O910="","",IF(O910&gt;=150,"Yes","No"))</f>
        <v/>
      </c>
      <c r="BX910" s="36" t="str">
        <f aca="false">IF(O910="","",IF(O910&gt;=200,"Yes","No"))</f>
        <v/>
      </c>
      <c r="BY910" s="36" t="str">
        <f aca="false">IF(Q910="","",IF(Q910&gt;=150000,"Yes","No"))</f>
        <v/>
      </c>
      <c r="BZ910" s="36" t="str">
        <f aca="false">IF(Q910="","",IF(Q910&gt;=200000,"Yes","No"))</f>
        <v/>
      </c>
      <c r="CA910" s="36" t="str">
        <f aca="false">IF(Q910="","",IF(Q910&gt;=250000,"Yes","No"))</f>
        <v/>
      </c>
      <c r="CB910" s="36" t="str">
        <f aca="false">IF(Q910="","",IF(Q910&gt;=300000,"Yes","No"))</f>
        <v/>
      </c>
      <c r="CC910" s="37"/>
      <c r="CD910" s="36" t="str">
        <f aca="true">IF(B910="","",IF(TODAY()-B910&lt;=7,"🟢 0-7d",IF(TODAY()-B910&lt;=30,"🟡 8-30d",IF(TODAY()-B910&lt;=60,"🟠 31-60d","🔴 60d+"))))</f>
        <v/>
      </c>
      <c r="CE910" s="36" t="str">
        <f aca="false">IF(G910="","",IF(G910&lt;&gt;"USA","N/A - Not USA Role",IF(J910="Yes",IF(OR(F910="Intern",F910="New Grad"),"🟡 Possible","🟢 Strong"),IF(J910="No","🔴 Difficult","⚪ Unknown"))))</f>
        <v/>
      </c>
      <c r="CF910" s="37"/>
      <c r="CG910" s="37"/>
      <c r="CH910" s="38"/>
      <c r="CI910" s="38"/>
      <c r="CJ910" s="38"/>
      <c r="CK910" s="38"/>
    </row>
    <row r="911" customFormat="false" ht="15" hidden="false" customHeight="true" outlineLevel="0" collapsed="false">
      <c r="A911" s="26" t="str">
        <f aca="false">IF($C911="","",ROW()-3)</f>
        <v/>
      </c>
      <c r="B911" s="27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9"/>
      <c r="N911" s="29"/>
      <c r="O911" s="30" t="str">
        <f aca="false">IFERROR(IF(M911="","",M911*INDEX('00 - Lists'!$M$2:$M$11,MATCH(L911,'00 - Lists'!$L$2:$L$11,0))/100000),"")</f>
        <v/>
      </c>
      <c r="P911" s="30" t="str">
        <f aca="false">IFERROR(IF(N911="","",N911*INDEX('00 - Lists'!$M$2:$M$11,MATCH(L911,'00 - Lists'!$L$2:$L$11,0))/100000),"")</f>
        <v/>
      </c>
      <c r="Q911" s="31" t="str">
        <f aca="false">IFERROR(IF(M911="","",M911*INDEX('00 - Lists'!$N$2:$N$11,MATCH(L911,'00 - Lists'!$L$2:$L$11,0))),"")</f>
        <v/>
      </c>
      <c r="R911" s="31" t="str">
        <f aca="false">IFERROR(IF(N911="","",N911*INDEX('00 - Lists'!$N$2:$N$11,MATCH(L911,'00 - Lists'!$L$2:$L$11,0))),"")</f>
        <v/>
      </c>
      <c r="S911" s="32" t="str">
        <f aca="false">IF(O911="","",IF(O911&gt;=50,"Yes","No"))</f>
        <v/>
      </c>
      <c r="T911" s="32" t="str">
        <f aca="false">IF(Q911="","",IF(Q911&gt;=100000,"Yes","No"))</f>
        <v/>
      </c>
      <c r="U911" s="28"/>
      <c r="V911" s="28"/>
      <c r="W911" s="28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J911" s="34" t="str">
        <f aca="false">IF(OR($BD911&lt;&gt;"",$BF911&lt;&gt;"",$BH911&lt;&gt;""),"Yes","No")</f>
        <v>No</v>
      </c>
      <c r="BK911" s="35" t="str">
        <f aca="false">IFERROR(IF(BD911="","",BD911*INDEX('00 - Lists'!$M$2:$M$11,MATCH(L911,'00 - Lists'!$L$2:$L$11,0))/100000),"")</f>
        <v/>
      </c>
      <c r="BL911" s="35" t="str">
        <f aca="false">IFERROR(IF(BE911="","",BE911*INDEX('00 - Lists'!$M$2:$M$11,MATCH(L911,'00 - Lists'!$L$2:$L$11,0))/100000),"")</f>
        <v/>
      </c>
      <c r="BM911" s="35" t="str">
        <f aca="false">IFERROR(IF(BF911="","",BF911*INDEX('00 - Lists'!$M$2:$M$11,MATCH(L911,'00 - Lists'!$L$2:$L$11,0))/100000),"")</f>
        <v/>
      </c>
      <c r="BN911" s="35" t="str">
        <f aca="false">IFERROR(IF(BG911="","",BG911*INDEX('00 - Lists'!$M$2:$M$11,MATCH(L911,'00 - Lists'!$L$2:$L$11,0))/100000),"")</f>
        <v/>
      </c>
      <c r="BO911" s="35" t="str">
        <f aca="false">IFERROR(IF(BH911="","",BH911*INDEX('00 - Lists'!$M$2:$M$11,MATCH(L911,'00 - Lists'!$L$2:$L$11,0))/100000),"")</f>
        <v/>
      </c>
      <c r="BP911" s="35" t="str">
        <f aca="false">IFERROR(IF(BI911="","",BI911*INDEX('00 - Lists'!$M$2:$M$11,MATCH(L911,'00 - Lists'!$L$2:$L$11,0))/100000),"")</f>
        <v/>
      </c>
      <c r="BS911" s="36" t="str">
        <f aca="false">IF(O911="","",IF(O911&gt;=20,"Yes","No"))</f>
        <v/>
      </c>
      <c r="BT911" s="36" t="str">
        <f aca="false">IF(O911="","",IF(O911&gt;=30,"Yes","No"))</f>
        <v/>
      </c>
      <c r="BU911" s="36" t="str">
        <f aca="false">IF(O911="","",IF(O911&gt;=75,"Yes","No"))</f>
        <v/>
      </c>
      <c r="BV911" s="36" t="str">
        <f aca="false">IF(O911="","",IF(O911&gt;=100,"Yes","No"))</f>
        <v/>
      </c>
      <c r="BW911" s="36" t="str">
        <f aca="false">IF(O911="","",IF(O911&gt;=150,"Yes","No"))</f>
        <v/>
      </c>
      <c r="BX911" s="36" t="str">
        <f aca="false">IF(O911="","",IF(O911&gt;=200,"Yes","No"))</f>
        <v/>
      </c>
      <c r="BY911" s="36" t="str">
        <f aca="false">IF(Q911="","",IF(Q911&gt;=150000,"Yes","No"))</f>
        <v/>
      </c>
      <c r="BZ911" s="36" t="str">
        <f aca="false">IF(Q911="","",IF(Q911&gt;=200000,"Yes","No"))</f>
        <v/>
      </c>
      <c r="CA911" s="36" t="str">
        <f aca="false">IF(Q911="","",IF(Q911&gt;=250000,"Yes","No"))</f>
        <v/>
      </c>
      <c r="CB911" s="36" t="str">
        <f aca="false">IF(Q911="","",IF(Q911&gt;=300000,"Yes","No"))</f>
        <v/>
      </c>
      <c r="CC911" s="37"/>
      <c r="CD911" s="36" t="str">
        <f aca="true">IF(B911="","",IF(TODAY()-B911&lt;=7,"🟢 0-7d",IF(TODAY()-B911&lt;=30,"🟡 8-30d",IF(TODAY()-B911&lt;=60,"🟠 31-60d","🔴 60d+"))))</f>
        <v/>
      </c>
      <c r="CE911" s="36" t="str">
        <f aca="false">IF(G911="","",IF(G911&lt;&gt;"USA","N/A - Not USA Role",IF(J911="Yes",IF(OR(F911="Intern",F911="New Grad"),"🟡 Possible","🟢 Strong"),IF(J911="No","🔴 Difficult","⚪ Unknown"))))</f>
        <v/>
      </c>
      <c r="CF911" s="37"/>
      <c r="CG911" s="37"/>
      <c r="CH911" s="38"/>
      <c r="CI911" s="38"/>
      <c r="CJ911" s="38"/>
      <c r="CK911" s="38"/>
    </row>
    <row r="912" customFormat="false" ht="15" hidden="false" customHeight="true" outlineLevel="0" collapsed="false">
      <c r="A912" s="26" t="str">
        <f aca="false">IF($C912="","",ROW()-3)</f>
        <v/>
      </c>
      <c r="B912" s="27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9"/>
      <c r="N912" s="29"/>
      <c r="O912" s="30" t="str">
        <f aca="false">IFERROR(IF(M912="","",M912*INDEX('00 - Lists'!$M$2:$M$11,MATCH(L912,'00 - Lists'!$L$2:$L$11,0))/100000),"")</f>
        <v/>
      </c>
      <c r="P912" s="30" t="str">
        <f aca="false">IFERROR(IF(N912="","",N912*INDEX('00 - Lists'!$M$2:$M$11,MATCH(L912,'00 - Lists'!$L$2:$L$11,0))/100000),"")</f>
        <v/>
      </c>
      <c r="Q912" s="31" t="str">
        <f aca="false">IFERROR(IF(M912="","",M912*INDEX('00 - Lists'!$N$2:$N$11,MATCH(L912,'00 - Lists'!$L$2:$L$11,0))),"")</f>
        <v/>
      </c>
      <c r="R912" s="31" t="str">
        <f aca="false">IFERROR(IF(N912="","",N912*INDEX('00 - Lists'!$N$2:$N$11,MATCH(L912,'00 - Lists'!$L$2:$L$11,0))),"")</f>
        <v/>
      </c>
      <c r="S912" s="32" t="str">
        <f aca="false">IF(O912="","",IF(O912&gt;=50,"Yes","No"))</f>
        <v/>
      </c>
      <c r="T912" s="32" t="str">
        <f aca="false">IF(Q912="","",IF(Q912&gt;=100000,"Yes","No"))</f>
        <v/>
      </c>
      <c r="U912" s="28"/>
      <c r="V912" s="28"/>
      <c r="W912" s="28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J912" s="34" t="str">
        <f aca="false">IF(OR($BD912&lt;&gt;"",$BF912&lt;&gt;"",$BH912&lt;&gt;""),"Yes","No")</f>
        <v>No</v>
      </c>
      <c r="BK912" s="35" t="str">
        <f aca="false">IFERROR(IF(BD912="","",BD912*INDEX('00 - Lists'!$M$2:$M$11,MATCH(L912,'00 - Lists'!$L$2:$L$11,0))/100000),"")</f>
        <v/>
      </c>
      <c r="BL912" s="35" t="str">
        <f aca="false">IFERROR(IF(BE912="","",BE912*INDEX('00 - Lists'!$M$2:$M$11,MATCH(L912,'00 - Lists'!$L$2:$L$11,0))/100000),"")</f>
        <v/>
      </c>
      <c r="BM912" s="35" t="str">
        <f aca="false">IFERROR(IF(BF912="","",BF912*INDEX('00 - Lists'!$M$2:$M$11,MATCH(L912,'00 - Lists'!$L$2:$L$11,0))/100000),"")</f>
        <v/>
      </c>
      <c r="BN912" s="35" t="str">
        <f aca="false">IFERROR(IF(BG912="","",BG912*INDEX('00 - Lists'!$M$2:$M$11,MATCH(L912,'00 - Lists'!$L$2:$L$11,0))/100000),"")</f>
        <v/>
      </c>
      <c r="BO912" s="35" t="str">
        <f aca="false">IFERROR(IF(BH912="","",BH912*INDEX('00 - Lists'!$M$2:$M$11,MATCH(L912,'00 - Lists'!$L$2:$L$11,0))/100000),"")</f>
        <v/>
      </c>
      <c r="BP912" s="35" t="str">
        <f aca="false">IFERROR(IF(BI912="","",BI912*INDEX('00 - Lists'!$M$2:$M$11,MATCH(L912,'00 - Lists'!$L$2:$L$11,0))/100000),"")</f>
        <v/>
      </c>
      <c r="BS912" s="36" t="str">
        <f aca="false">IF(O912="","",IF(O912&gt;=20,"Yes","No"))</f>
        <v/>
      </c>
      <c r="BT912" s="36" t="str">
        <f aca="false">IF(O912="","",IF(O912&gt;=30,"Yes","No"))</f>
        <v/>
      </c>
      <c r="BU912" s="36" t="str">
        <f aca="false">IF(O912="","",IF(O912&gt;=75,"Yes","No"))</f>
        <v/>
      </c>
      <c r="BV912" s="36" t="str">
        <f aca="false">IF(O912="","",IF(O912&gt;=100,"Yes","No"))</f>
        <v/>
      </c>
      <c r="BW912" s="36" t="str">
        <f aca="false">IF(O912="","",IF(O912&gt;=150,"Yes","No"))</f>
        <v/>
      </c>
      <c r="BX912" s="36" t="str">
        <f aca="false">IF(O912="","",IF(O912&gt;=200,"Yes","No"))</f>
        <v/>
      </c>
      <c r="BY912" s="36" t="str">
        <f aca="false">IF(Q912="","",IF(Q912&gt;=150000,"Yes","No"))</f>
        <v/>
      </c>
      <c r="BZ912" s="36" t="str">
        <f aca="false">IF(Q912="","",IF(Q912&gt;=200000,"Yes","No"))</f>
        <v/>
      </c>
      <c r="CA912" s="36" t="str">
        <f aca="false">IF(Q912="","",IF(Q912&gt;=250000,"Yes","No"))</f>
        <v/>
      </c>
      <c r="CB912" s="36" t="str">
        <f aca="false">IF(Q912="","",IF(Q912&gt;=300000,"Yes","No"))</f>
        <v/>
      </c>
      <c r="CC912" s="37"/>
      <c r="CD912" s="36" t="str">
        <f aca="true">IF(B912="","",IF(TODAY()-B912&lt;=7,"🟢 0-7d",IF(TODAY()-B912&lt;=30,"🟡 8-30d",IF(TODAY()-B912&lt;=60,"🟠 31-60d","🔴 60d+"))))</f>
        <v/>
      </c>
      <c r="CE912" s="36" t="str">
        <f aca="false">IF(G912="","",IF(G912&lt;&gt;"USA","N/A - Not USA Role",IF(J912="Yes",IF(OR(F912="Intern",F912="New Grad"),"🟡 Possible","🟢 Strong"),IF(J912="No","🔴 Difficult","⚪ Unknown"))))</f>
        <v/>
      </c>
      <c r="CF912" s="37"/>
      <c r="CG912" s="37"/>
      <c r="CH912" s="38"/>
      <c r="CI912" s="38"/>
      <c r="CJ912" s="38"/>
      <c r="CK912" s="38"/>
    </row>
    <row r="913" customFormat="false" ht="15" hidden="false" customHeight="true" outlineLevel="0" collapsed="false">
      <c r="A913" s="26" t="str">
        <f aca="false">IF($C913="","",ROW()-3)</f>
        <v/>
      </c>
      <c r="B913" s="27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9"/>
      <c r="N913" s="29"/>
      <c r="O913" s="30" t="str">
        <f aca="false">IFERROR(IF(M913="","",M913*INDEX('00 - Lists'!$M$2:$M$11,MATCH(L913,'00 - Lists'!$L$2:$L$11,0))/100000),"")</f>
        <v/>
      </c>
      <c r="P913" s="30" t="str">
        <f aca="false">IFERROR(IF(N913="","",N913*INDEX('00 - Lists'!$M$2:$M$11,MATCH(L913,'00 - Lists'!$L$2:$L$11,0))/100000),"")</f>
        <v/>
      </c>
      <c r="Q913" s="31" t="str">
        <f aca="false">IFERROR(IF(M913="","",M913*INDEX('00 - Lists'!$N$2:$N$11,MATCH(L913,'00 - Lists'!$L$2:$L$11,0))),"")</f>
        <v/>
      </c>
      <c r="R913" s="31" t="str">
        <f aca="false">IFERROR(IF(N913="","",N913*INDEX('00 - Lists'!$N$2:$N$11,MATCH(L913,'00 - Lists'!$L$2:$L$11,0))),"")</f>
        <v/>
      </c>
      <c r="S913" s="32" t="str">
        <f aca="false">IF(O913="","",IF(O913&gt;=50,"Yes","No"))</f>
        <v/>
      </c>
      <c r="T913" s="32" t="str">
        <f aca="false">IF(Q913="","",IF(Q913&gt;=100000,"Yes","No"))</f>
        <v/>
      </c>
      <c r="U913" s="28"/>
      <c r="V913" s="28"/>
      <c r="W913" s="28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J913" s="34" t="str">
        <f aca="false">IF(OR($BD913&lt;&gt;"",$BF913&lt;&gt;"",$BH913&lt;&gt;""),"Yes","No")</f>
        <v>No</v>
      </c>
      <c r="BK913" s="35" t="str">
        <f aca="false">IFERROR(IF(BD913="","",BD913*INDEX('00 - Lists'!$M$2:$M$11,MATCH(L913,'00 - Lists'!$L$2:$L$11,0))/100000),"")</f>
        <v/>
      </c>
      <c r="BL913" s="35" t="str">
        <f aca="false">IFERROR(IF(BE913="","",BE913*INDEX('00 - Lists'!$M$2:$M$11,MATCH(L913,'00 - Lists'!$L$2:$L$11,0))/100000),"")</f>
        <v/>
      </c>
      <c r="BM913" s="35" t="str">
        <f aca="false">IFERROR(IF(BF913="","",BF913*INDEX('00 - Lists'!$M$2:$M$11,MATCH(L913,'00 - Lists'!$L$2:$L$11,0))/100000),"")</f>
        <v/>
      </c>
      <c r="BN913" s="35" t="str">
        <f aca="false">IFERROR(IF(BG913="","",BG913*INDEX('00 - Lists'!$M$2:$M$11,MATCH(L913,'00 - Lists'!$L$2:$L$11,0))/100000),"")</f>
        <v/>
      </c>
      <c r="BO913" s="35" t="str">
        <f aca="false">IFERROR(IF(BH913="","",BH913*INDEX('00 - Lists'!$M$2:$M$11,MATCH(L913,'00 - Lists'!$L$2:$L$11,0))/100000),"")</f>
        <v/>
      </c>
      <c r="BP913" s="35" t="str">
        <f aca="false">IFERROR(IF(BI913="","",BI913*INDEX('00 - Lists'!$M$2:$M$11,MATCH(L913,'00 - Lists'!$L$2:$L$11,0))/100000),"")</f>
        <v/>
      </c>
      <c r="BS913" s="36" t="str">
        <f aca="false">IF(O913="","",IF(O913&gt;=20,"Yes","No"))</f>
        <v/>
      </c>
      <c r="BT913" s="36" t="str">
        <f aca="false">IF(O913="","",IF(O913&gt;=30,"Yes","No"))</f>
        <v/>
      </c>
      <c r="BU913" s="36" t="str">
        <f aca="false">IF(O913="","",IF(O913&gt;=75,"Yes","No"))</f>
        <v/>
      </c>
      <c r="BV913" s="36" t="str">
        <f aca="false">IF(O913="","",IF(O913&gt;=100,"Yes","No"))</f>
        <v/>
      </c>
      <c r="BW913" s="36" t="str">
        <f aca="false">IF(O913="","",IF(O913&gt;=150,"Yes","No"))</f>
        <v/>
      </c>
      <c r="BX913" s="36" t="str">
        <f aca="false">IF(O913="","",IF(O913&gt;=200,"Yes","No"))</f>
        <v/>
      </c>
      <c r="BY913" s="36" t="str">
        <f aca="false">IF(Q913="","",IF(Q913&gt;=150000,"Yes","No"))</f>
        <v/>
      </c>
      <c r="BZ913" s="36" t="str">
        <f aca="false">IF(Q913="","",IF(Q913&gt;=200000,"Yes","No"))</f>
        <v/>
      </c>
      <c r="CA913" s="36" t="str">
        <f aca="false">IF(Q913="","",IF(Q913&gt;=250000,"Yes","No"))</f>
        <v/>
      </c>
      <c r="CB913" s="36" t="str">
        <f aca="false">IF(Q913="","",IF(Q913&gt;=300000,"Yes","No"))</f>
        <v/>
      </c>
      <c r="CC913" s="37"/>
      <c r="CD913" s="36" t="str">
        <f aca="true">IF(B913="","",IF(TODAY()-B913&lt;=7,"🟢 0-7d",IF(TODAY()-B913&lt;=30,"🟡 8-30d",IF(TODAY()-B913&lt;=60,"🟠 31-60d","🔴 60d+"))))</f>
        <v/>
      </c>
      <c r="CE913" s="36" t="str">
        <f aca="false">IF(G913="","",IF(G913&lt;&gt;"USA","N/A - Not USA Role",IF(J913="Yes",IF(OR(F913="Intern",F913="New Grad"),"🟡 Possible","🟢 Strong"),IF(J913="No","🔴 Difficult","⚪ Unknown"))))</f>
        <v/>
      </c>
      <c r="CF913" s="37"/>
      <c r="CG913" s="37"/>
      <c r="CH913" s="38"/>
      <c r="CI913" s="38"/>
      <c r="CJ913" s="38"/>
      <c r="CK913" s="38"/>
    </row>
    <row r="914" customFormat="false" ht="15" hidden="false" customHeight="true" outlineLevel="0" collapsed="false">
      <c r="A914" s="26" t="str">
        <f aca="false">IF($C914="","",ROW()-3)</f>
        <v/>
      </c>
      <c r="B914" s="27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9"/>
      <c r="N914" s="29"/>
      <c r="O914" s="30" t="str">
        <f aca="false">IFERROR(IF(M914="","",M914*INDEX('00 - Lists'!$M$2:$M$11,MATCH(L914,'00 - Lists'!$L$2:$L$11,0))/100000),"")</f>
        <v/>
      </c>
      <c r="P914" s="30" t="str">
        <f aca="false">IFERROR(IF(N914="","",N914*INDEX('00 - Lists'!$M$2:$M$11,MATCH(L914,'00 - Lists'!$L$2:$L$11,0))/100000),"")</f>
        <v/>
      </c>
      <c r="Q914" s="31" t="str">
        <f aca="false">IFERROR(IF(M914="","",M914*INDEX('00 - Lists'!$N$2:$N$11,MATCH(L914,'00 - Lists'!$L$2:$L$11,0))),"")</f>
        <v/>
      </c>
      <c r="R914" s="31" t="str">
        <f aca="false">IFERROR(IF(N914="","",N914*INDEX('00 - Lists'!$N$2:$N$11,MATCH(L914,'00 - Lists'!$L$2:$L$11,0))),"")</f>
        <v/>
      </c>
      <c r="S914" s="32" t="str">
        <f aca="false">IF(O914="","",IF(O914&gt;=50,"Yes","No"))</f>
        <v/>
      </c>
      <c r="T914" s="32" t="str">
        <f aca="false">IF(Q914="","",IF(Q914&gt;=100000,"Yes","No"))</f>
        <v/>
      </c>
      <c r="U914" s="28"/>
      <c r="V914" s="28"/>
      <c r="W914" s="28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J914" s="34" t="str">
        <f aca="false">IF(OR($BD914&lt;&gt;"",$BF914&lt;&gt;"",$BH914&lt;&gt;""),"Yes","No")</f>
        <v>No</v>
      </c>
      <c r="BK914" s="35" t="str">
        <f aca="false">IFERROR(IF(BD914="","",BD914*INDEX('00 - Lists'!$M$2:$M$11,MATCH(L914,'00 - Lists'!$L$2:$L$11,0))/100000),"")</f>
        <v/>
      </c>
      <c r="BL914" s="35" t="str">
        <f aca="false">IFERROR(IF(BE914="","",BE914*INDEX('00 - Lists'!$M$2:$M$11,MATCH(L914,'00 - Lists'!$L$2:$L$11,0))/100000),"")</f>
        <v/>
      </c>
      <c r="BM914" s="35" t="str">
        <f aca="false">IFERROR(IF(BF914="","",BF914*INDEX('00 - Lists'!$M$2:$M$11,MATCH(L914,'00 - Lists'!$L$2:$L$11,0))/100000),"")</f>
        <v/>
      </c>
      <c r="BN914" s="35" t="str">
        <f aca="false">IFERROR(IF(BG914="","",BG914*INDEX('00 - Lists'!$M$2:$M$11,MATCH(L914,'00 - Lists'!$L$2:$L$11,0))/100000),"")</f>
        <v/>
      </c>
      <c r="BO914" s="35" t="str">
        <f aca="false">IFERROR(IF(BH914="","",BH914*INDEX('00 - Lists'!$M$2:$M$11,MATCH(L914,'00 - Lists'!$L$2:$L$11,0))/100000),"")</f>
        <v/>
      </c>
      <c r="BP914" s="35" t="str">
        <f aca="false">IFERROR(IF(BI914="","",BI914*INDEX('00 - Lists'!$M$2:$M$11,MATCH(L914,'00 - Lists'!$L$2:$L$11,0))/100000),"")</f>
        <v/>
      </c>
      <c r="BS914" s="36" t="str">
        <f aca="false">IF(O914="","",IF(O914&gt;=20,"Yes","No"))</f>
        <v/>
      </c>
      <c r="BT914" s="36" t="str">
        <f aca="false">IF(O914="","",IF(O914&gt;=30,"Yes","No"))</f>
        <v/>
      </c>
      <c r="BU914" s="36" t="str">
        <f aca="false">IF(O914="","",IF(O914&gt;=75,"Yes","No"))</f>
        <v/>
      </c>
      <c r="BV914" s="36" t="str">
        <f aca="false">IF(O914="","",IF(O914&gt;=100,"Yes","No"))</f>
        <v/>
      </c>
      <c r="BW914" s="36" t="str">
        <f aca="false">IF(O914="","",IF(O914&gt;=150,"Yes","No"))</f>
        <v/>
      </c>
      <c r="BX914" s="36" t="str">
        <f aca="false">IF(O914="","",IF(O914&gt;=200,"Yes","No"))</f>
        <v/>
      </c>
      <c r="BY914" s="36" t="str">
        <f aca="false">IF(Q914="","",IF(Q914&gt;=150000,"Yes","No"))</f>
        <v/>
      </c>
      <c r="BZ914" s="36" t="str">
        <f aca="false">IF(Q914="","",IF(Q914&gt;=200000,"Yes","No"))</f>
        <v/>
      </c>
      <c r="CA914" s="36" t="str">
        <f aca="false">IF(Q914="","",IF(Q914&gt;=250000,"Yes","No"))</f>
        <v/>
      </c>
      <c r="CB914" s="36" t="str">
        <f aca="false">IF(Q914="","",IF(Q914&gt;=300000,"Yes","No"))</f>
        <v/>
      </c>
      <c r="CC914" s="37"/>
      <c r="CD914" s="36" t="str">
        <f aca="true">IF(B914="","",IF(TODAY()-B914&lt;=7,"🟢 0-7d",IF(TODAY()-B914&lt;=30,"🟡 8-30d",IF(TODAY()-B914&lt;=60,"🟠 31-60d","🔴 60d+"))))</f>
        <v/>
      </c>
      <c r="CE914" s="36" t="str">
        <f aca="false">IF(G914="","",IF(G914&lt;&gt;"USA","N/A - Not USA Role",IF(J914="Yes",IF(OR(F914="Intern",F914="New Grad"),"🟡 Possible","🟢 Strong"),IF(J914="No","🔴 Difficult","⚪ Unknown"))))</f>
        <v/>
      </c>
      <c r="CF914" s="37"/>
      <c r="CG914" s="37"/>
      <c r="CH914" s="38"/>
      <c r="CI914" s="38"/>
      <c r="CJ914" s="38"/>
      <c r="CK914" s="38"/>
    </row>
    <row r="915" customFormat="false" ht="15" hidden="false" customHeight="true" outlineLevel="0" collapsed="false">
      <c r="A915" s="26" t="str">
        <f aca="false">IF($C915="","",ROW()-3)</f>
        <v/>
      </c>
      <c r="B915" s="27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9"/>
      <c r="N915" s="29"/>
      <c r="O915" s="30" t="str">
        <f aca="false">IFERROR(IF(M915="","",M915*INDEX('00 - Lists'!$M$2:$M$11,MATCH(L915,'00 - Lists'!$L$2:$L$11,0))/100000),"")</f>
        <v/>
      </c>
      <c r="P915" s="30" t="str">
        <f aca="false">IFERROR(IF(N915="","",N915*INDEX('00 - Lists'!$M$2:$M$11,MATCH(L915,'00 - Lists'!$L$2:$L$11,0))/100000),"")</f>
        <v/>
      </c>
      <c r="Q915" s="31" t="str">
        <f aca="false">IFERROR(IF(M915="","",M915*INDEX('00 - Lists'!$N$2:$N$11,MATCH(L915,'00 - Lists'!$L$2:$L$11,0))),"")</f>
        <v/>
      </c>
      <c r="R915" s="31" t="str">
        <f aca="false">IFERROR(IF(N915="","",N915*INDEX('00 - Lists'!$N$2:$N$11,MATCH(L915,'00 - Lists'!$L$2:$L$11,0))),"")</f>
        <v/>
      </c>
      <c r="S915" s="32" t="str">
        <f aca="false">IF(O915="","",IF(O915&gt;=50,"Yes","No"))</f>
        <v/>
      </c>
      <c r="T915" s="32" t="str">
        <f aca="false">IF(Q915="","",IF(Q915&gt;=100000,"Yes","No"))</f>
        <v/>
      </c>
      <c r="U915" s="28"/>
      <c r="V915" s="28"/>
      <c r="W915" s="28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J915" s="34" t="str">
        <f aca="false">IF(OR($BD915&lt;&gt;"",$BF915&lt;&gt;"",$BH915&lt;&gt;""),"Yes","No")</f>
        <v>No</v>
      </c>
      <c r="BK915" s="35" t="str">
        <f aca="false">IFERROR(IF(BD915="","",BD915*INDEX('00 - Lists'!$M$2:$M$11,MATCH(L915,'00 - Lists'!$L$2:$L$11,0))/100000),"")</f>
        <v/>
      </c>
      <c r="BL915" s="35" t="str">
        <f aca="false">IFERROR(IF(BE915="","",BE915*INDEX('00 - Lists'!$M$2:$M$11,MATCH(L915,'00 - Lists'!$L$2:$L$11,0))/100000),"")</f>
        <v/>
      </c>
      <c r="BM915" s="35" t="str">
        <f aca="false">IFERROR(IF(BF915="","",BF915*INDEX('00 - Lists'!$M$2:$M$11,MATCH(L915,'00 - Lists'!$L$2:$L$11,0))/100000),"")</f>
        <v/>
      </c>
      <c r="BN915" s="35" t="str">
        <f aca="false">IFERROR(IF(BG915="","",BG915*INDEX('00 - Lists'!$M$2:$M$11,MATCH(L915,'00 - Lists'!$L$2:$L$11,0))/100000),"")</f>
        <v/>
      </c>
      <c r="BO915" s="35" t="str">
        <f aca="false">IFERROR(IF(BH915="","",BH915*INDEX('00 - Lists'!$M$2:$M$11,MATCH(L915,'00 - Lists'!$L$2:$L$11,0))/100000),"")</f>
        <v/>
      </c>
      <c r="BP915" s="35" t="str">
        <f aca="false">IFERROR(IF(BI915="","",BI915*INDEX('00 - Lists'!$M$2:$M$11,MATCH(L915,'00 - Lists'!$L$2:$L$11,0))/100000),"")</f>
        <v/>
      </c>
      <c r="BS915" s="36" t="str">
        <f aca="false">IF(O915="","",IF(O915&gt;=20,"Yes","No"))</f>
        <v/>
      </c>
      <c r="BT915" s="36" t="str">
        <f aca="false">IF(O915="","",IF(O915&gt;=30,"Yes","No"))</f>
        <v/>
      </c>
      <c r="BU915" s="36" t="str">
        <f aca="false">IF(O915="","",IF(O915&gt;=75,"Yes","No"))</f>
        <v/>
      </c>
      <c r="BV915" s="36" t="str">
        <f aca="false">IF(O915="","",IF(O915&gt;=100,"Yes","No"))</f>
        <v/>
      </c>
      <c r="BW915" s="36" t="str">
        <f aca="false">IF(O915="","",IF(O915&gt;=150,"Yes","No"))</f>
        <v/>
      </c>
      <c r="BX915" s="36" t="str">
        <f aca="false">IF(O915="","",IF(O915&gt;=200,"Yes","No"))</f>
        <v/>
      </c>
      <c r="BY915" s="36" t="str">
        <f aca="false">IF(Q915="","",IF(Q915&gt;=150000,"Yes","No"))</f>
        <v/>
      </c>
      <c r="BZ915" s="36" t="str">
        <f aca="false">IF(Q915="","",IF(Q915&gt;=200000,"Yes","No"))</f>
        <v/>
      </c>
      <c r="CA915" s="36" t="str">
        <f aca="false">IF(Q915="","",IF(Q915&gt;=250000,"Yes","No"))</f>
        <v/>
      </c>
      <c r="CB915" s="36" t="str">
        <f aca="false">IF(Q915="","",IF(Q915&gt;=300000,"Yes","No"))</f>
        <v/>
      </c>
      <c r="CC915" s="37"/>
      <c r="CD915" s="36" t="str">
        <f aca="true">IF(B915="","",IF(TODAY()-B915&lt;=7,"🟢 0-7d",IF(TODAY()-B915&lt;=30,"🟡 8-30d",IF(TODAY()-B915&lt;=60,"🟠 31-60d","🔴 60d+"))))</f>
        <v/>
      </c>
      <c r="CE915" s="36" t="str">
        <f aca="false">IF(G915="","",IF(G915&lt;&gt;"USA","N/A - Not USA Role",IF(J915="Yes",IF(OR(F915="Intern",F915="New Grad"),"🟡 Possible","🟢 Strong"),IF(J915="No","🔴 Difficult","⚪ Unknown"))))</f>
        <v/>
      </c>
      <c r="CF915" s="37"/>
      <c r="CG915" s="37"/>
      <c r="CH915" s="38"/>
      <c r="CI915" s="38"/>
      <c r="CJ915" s="38"/>
      <c r="CK915" s="38"/>
    </row>
    <row r="916" customFormat="false" ht="15" hidden="false" customHeight="true" outlineLevel="0" collapsed="false">
      <c r="A916" s="26" t="str">
        <f aca="false">IF($C916="","",ROW()-3)</f>
        <v/>
      </c>
      <c r="B916" s="27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9"/>
      <c r="N916" s="29"/>
      <c r="O916" s="30" t="str">
        <f aca="false">IFERROR(IF(M916="","",M916*INDEX('00 - Lists'!$M$2:$M$11,MATCH(L916,'00 - Lists'!$L$2:$L$11,0))/100000),"")</f>
        <v/>
      </c>
      <c r="P916" s="30" t="str">
        <f aca="false">IFERROR(IF(N916="","",N916*INDEX('00 - Lists'!$M$2:$M$11,MATCH(L916,'00 - Lists'!$L$2:$L$11,0))/100000),"")</f>
        <v/>
      </c>
      <c r="Q916" s="31" t="str">
        <f aca="false">IFERROR(IF(M916="","",M916*INDEX('00 - Lists'!$N$2:$N$11,MATCH(L916,'00 - Lists'!$L$2:$L$11,0))),"")</f>
        <v/>
      </c>
      <c r="R916" s="31" t="str">
        <f aca="false">IFERROR(IF(N916="","",N916*INDEX('00 - Lists'!$N$2:$N$11,MATCH(L916,'00 - Lists'!$L$2:$L$11,0))),"")</f>
        <v/>
      </c>
      <c r="S916" s="32" t="str">
        <f aca="false">IF(O916="","",IF(O916&gt;=50,"Yes","No"))</f>
        <v/>
      </c>
      <c r="T916" s="32" t="str">
        <f aca="false">IF(Q916="","",IF(Q916&gt;=100000,"Yes","No"))</f>
        <v/>
      </c>
      <c r="U916" s="28"/>
      <c r="V916" s="28"/>
      <c r="W916" s="28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J916" s="34" t="str">
        <f aca="false">IF(OR($BD916&lt;&gt;"",$BF916&lt;&gt;"",$BH916&lt;&gt;""),"Yes","No")</f>
        <v>No</v>
      </c>
      <c r="BK916" s="35" t="str">
        <f aca="false">IFERROR(IF(BD916="","",BD916*INDEX('00 - Lists'!$M$2:$M$11,MATCH(L916,'00 - Lists'!$L$2:$L$11,0))/100000),"")</f>
        <v/>
      </c>
      <c r="BL916" s="35" t="str">
        <f aca="false">IFERROR(IF(BE916="","",BE916*INDEX('00 - Lists'!$M$2:$M$11,MATCH(L916,'00 - Lists'!$L$2:$L$11,0))/100000),"")</f>
        <v/>
      </c>
      <c r="BM916" s="35" t="str">
        <f aca="false">IFERROR(IF(BF916="","",BF916*INDEX('00 - Lists'!$M$2:$M$11,MATCH(L916,'00 - Lists'!$L$2:$L$11,0))/100000),"")</f>
        <v/>
      </c>
      <c r="BN916" s="35" t="str">
        <f aca="false">IFERROR(IF(BG916="","",BG916*INDEX('00 - Lists'!$M$2:$M$11,MATCH(L916,'00 - Lists'!$L$2:$L$11,0))/100000),"")</f>
        <v/>
      </c>
      <c r="BO916" s="35" t="str">
        <f aca="false">IFERROR(IF(BH916="","",BH916*INDEX('00 - Lists'!$M$2:$M$11,MATCH(L916,'00 - Lists'!$L$2:$L$11,0))/100000),"")</f>
        <v/>
      </c>
      <c r="BP916" s="35" t="str">
        <f aca="false">IFERROR(IF(BI916="","",BI916*INDEX('00 - Lists'!$M$2:$M$11,MATCH(L916,'00 - Lists'!$L$2:$L$11,0))/100000),"")</f>
        <v/>
      </c>
      <c r="BS916" s="36" t="str">
        <f aca="false">IF(O916="","",IF(O916&gt;=20,"Yes","No"))</f>
        <v/>
      </c>
      <c r="BT916" s="36" t="str">
        <f aca="false">IF(O916="","",IF(O916&gt;=30,"Yes","No"))</f>
        <v/>
      </c>
      <c r="BU916" s="36" t="str">
        <f aca="false">IF(O916="","",IF(O916&gt;=75,"Yes","No"))</f>
        <v/>
      </c>
      <c r="BV916" s="36" t="str">
        <f aca="false">IF(O916="","",IF(O916&gt;=100,"Yes","No"))</f>
        <v/>
      </c>
      <c r="BW916" s="36" t="str">
        <f aca="false">IF(O916="","",IF(O916&gt;=150,"Yes","No"))</f>
        <v/>
      </c>
      <c r="BX916" s="36" t="str">
        <f aca="false">IF(O916="","",IF(O916&gt;=200,"Yes","No"))</f>
        <v/>
      </c>
      <c r="BY916" s="36" t="str">
        <f aca="false">IF(Q916="","",IF(Q916&gt;=150000,"Yes","No"))</f>
        <v/>
      </c>
      <c r="BZ916" s="36" t="str">
        <f aca="false">IF(Q916="","",IF(Q916&gt;=200000,"Yes","No"))</f>
        <v/>
      </c>
      <c r="CA916" s="36" t="str">
        <f aca="false">IF(Q916="","",IF(Q916&gt;=250000,"Yes","No"))</f>
        <v/>
      </c>
      <c r="CB916" s="36" t="str">
        <f aca="false">IF(Q916="","",IF(Q916&gt;=300000,"Yes","No"))</f>
        <v/>
      </c>
      <c r="CC916" s="37"/>
      <c r="CD916" s="36" t="str">
        <f aca="true">IF(B916="","",IF(TODAY()-B916&lt;=7,"🟢 0-7d",IF(TODAY()-B916&lt;=30,"🟡 8-30d",IF(TODAY()-B916&lt;=60,"🟠 31-60d","🔴 60d+"))))</f>
        <v/>
      </c>
      <c r="CE916" s="36" t="str">
        <f aca="false">IF(G916="","",IF(G916&lt;&gt;"USA","N/A - Not USA Role",IF(J916="Yes",IF(OR(F916="Intern",F916="New Grad"),"🟡 Possible","🟢 Strong"),IF(J916="No","🔴 Difficult","⚪ Unknown"))))</f>
        <v/>
      </c>
      <c r="CF916" s="37"/>
      <c r="CG916" s="37"/>
      <c r="CH916" s="38"/>
      <c r="CI916" s="38"/>
      <c r="CJ916" s="38"/>
      <c r="CK916" s="38"/>
    </row>
    <row r="917" customFormat="false" ht="15" hidden="false" customHeight="true" outlineLevel="0" collapsed="false">
      <c r="A917" s="26" t="str">
        <f aca="false">IF($C917="","",ROW()-3)</f>
        <v/>
      </c>
      <c r="B917" s="27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9"/>
      <c r="N917" s="29"/>
      <c r="O917" s="30" t="str">
        <f aca="false">IFERROR(IF(M917="","",M917*INDEX('00 - Lists'!$M$2:$M$11,MATCH(L917,'00 - Lists'!$L$2:$L$11,0))/100000),"")</f>
        <v/>
      </c>
      <c r="P917" s="30" t="str">
        <f aca="false">IFERROR(IF(N917="","",N917*INDEX('00 - Lists'!$M$2:$M$11,MATCH(L917,'00 - Lists'!$L$2:$L$11,0))/100000),"")</f>
        <v/>
      </c>
      <c r="Q917" s="31" t="str">
        <f aca="false">IFERROR(IF(M917="","",M917*INDEX('00 - Lists'!$N$2:$N$11,MATCH(L917,'00 - Lists'!$L$2:$L$11,0))),"")</f>
        <v/>
      </c>
      <c r="R917" s="31" t="str">
        <f aca="false">IFERROR(IF(N917="","",N917*INDEX('00 - Lists'!$N$2:$N$11,MATCH(L917,'00 - Lists'!$L$2:$L$11,0))),"")</f>
        <v/>
      </c>
      <c r="S917" s="32" t="str">
        <f aca="false">IF(O917="","",IF(O917&gt;=50,"Yes","No"))</f>
        <v/>
      </c>
      <c r="T917" s="32" t="str">
        <f aca="false">IF(Q917="","",IF(Q917&gt;=100000,"Yes","No"))</f>
        <v/>
      </c>
      <c r="U917" s="28"/>
      <c r="V917" s="28"/>
      <c r="W917" s="28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J917" s="34" t="str">
        <f aca="false">IF(OR($BD917&lt;&gt;"",$BF917&lt;&gt;"",$BH917&lt;&gt;""),"Yes","No")</f>
        <v>No</v>
      </c>
      <c r="BK917" s="35" t="str">
        <f aca="false">IFERROR(IF(BD917="","",BD917*INDEX('00 - Lists'!$M$2:$M$11,MATCH(L917,'00 - Lists'!$L$2:$L$11,0))/100000),"")</f>
        <v/>
      </c>
      <c r="BL917" s="35" t="str">
        <f aca="false">IFERROR(IF(BE917="","",BE917*INDEX('00 - Lists'!$M$2:$M$11,MATCH(L917,'00 - Lists'!$L$2:$L$11,0))/100000),"")</f>
        <v/>
      </c>
      <c r="BM917" s="35" t="str">
        <f aca="false">IFERROR(IF(BF917="","",BF917*INDEX('00 - Lists'!$M$2:$M$11,MATCH(L917,'00 - Lists'!$L$2:$L$11,0))/100000),"")</f>
        <v/>
      </c>
      <c r="BN917" s="35" t="str">
        <f aca="false">IFERROR(IF(BG917="","",BG917*INDEX('00 - Lists'!$M$2:$M$11,MATCH(L917,'00 - Lists'!$L$2:$L$11,0))/100000),"")</f>
        <v/>
      </c>
      <c r="BO917" s="35" t="str">
        <f aca="false">IFERROR(IF(BH917="","",BH917*INDEX('00 - Lists'!$M$2:$M$11,MATCH(L917,'00 - Lists'!$L$2:$L$11,0))/100000),"")</f>
        <v/>
      </c>
      <c r="BP917" s="35" t="str">
        <f aca="false">IFERROR(IF(BI917="","",BI917*INDEX('00 - Lists'!$M$2:$M$11,MATCH(L917,'00 - Lists'!$L$2:$L$11,0))/100000),"")</f>
        <v/>
      </c>
      <c r="BS917" s="36" t="str">
        <f aca="false">IF(O917="","",IF(O917&gt;=20,"Yes","No"))</f>
        <v/>
      </c>
      <c r="BT917" s="36" t="str">
        <f aca="false">IF(O917="","",IF(O917&gt;=30,"Yes","No"))</f>
        <v/>
      </c>
      <c r="BU917" s="36" t="str">
        <f aca="false">IF(O917="","",IF(O917&gt;=75,"Yes","No"))</f>
        <v/>
      </c>
      <c r="BV917" s="36" t="str">
        <f aca="false">IF(O917="","",IF(O917&gt;=100,"Yes","No"))</f>
        <v/>
      </c>
      <c r="BW917" s="36" t="str">
        <f aca="false">IF(O917="","",IF(O917&gt;=150,"Yes","No"))</f>
        <v/>
      </c>
      <c r="BX917" s="36" t="str">
        <f aca="false">IF(O917="","",IF(O917&gt;=200,"Yes","No"))</f>
        <v/>
      </c>
      <c r="BY917" s="36" t="str">
        <f aca="false">IF(Q917="","",IF(Q917&gt;=150000,"Yes","No"))</f>
        <v/>
      </c>
      <c r="BZ917" s="36" t="str">
        <f aca="false">IF(Q917="","",IF(Q917&gt;=200000,"Yes","No"))</f>
        <v/>
      </c>
      <c r="CA917" s="36" t="str">
        <f aca="false">IF(Q917="","",IF(Q917&gt;=250000,"Yes","No"))</f>
        <v/>
      </c>
      <c r="CB917" s="36" t="str">
        <f aca="false">IF(Q917="","",IF(Q917&gt;=300000,"Yes","No"))</f>
        <v/>
      </c>
      <c r="CC917" s="37"/>
      <c r="CD917" s="36" t="str">
        <f aca="true">IF(B917="","",IF(TODAY()-B917&lt;=7,"🟢 0-7d",IF(TODAY()-B917&lt;=30,"🟡 8-30d",IF(TODAY()-B917&lt;=60,"🟠 31-60d","🔴 60d+"))))</f>
        <v/>
      </c>
      <c r="CE917" s="36" t="str">
        <f aca="false">IF(G917="","",IF(G917&lt;&gt;"USA","N/A - Not USA Role",IF(J917="Yes",IF(OR(F917="Intern",F917="New Grad"),"🟡 Possible","🟢 Strong"),IF(J917="No","🔴 Difficult","⚪ Unknown"))))</f>
        <v/>
      </c>
      <c r="CF917" s="37"/>
      <c r="CG917" s="37"/>
      <c r="CH917" s="38"/>
      <c r="CI917" s="38"/>
      <c r="CJ917" s="38"/>
      <c r="CK917" s="38"/>
    </row>
    <row r="918" customFormat="false" ht="15" hidden="false" customHeight="true" outlineLevel="0" collapsed="false">
      <c r="A918" s="26" t="str">
        <f aca="false">IF($C918="","",ROW()-3)</f>
        <v/>
      </c>
      <c r="B918" s="27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9"/>
      <c r="N918" s="29"/>
      <c r="O918" s="30" t="str">
        <f aca="false">IFERROR(IF(M918="","",M918*INDEX('00 - Lists'!$M$2:$M$11,MATCH(L918,'00 - Lists'!$L$2:$L$11,0))/100000),"")</f>
        <v/>
      </c>
      <c r="P918" s="30" t="str">
        <f aca="false">IFERROR(IF(N918="","",N918*INDEX('00 - Lists'!$M$2:$M$11,MATCH(L918,'00 - Lists'!$L$2:$L$11,0))/100000),"")</f>
        <v/>
      </c>
      <c r="Q918" s="31" t="str">
        <f aca="false">IFERROR(IF(M918="","",M918*INDEX('00 - Lists'!$N$2:$N$11,MATCH(L918,'00 - Lists'!$L$2:$L$11,0))),"")</f>
        <v/>
      </c>
      <c r="R918" s="31" t="str">
        <f aca="false">IFERROR(IF(N918="","",N918*INDEX('00 - Lists'!$N$2:$N$11,MATCH(L918,'00 - Lists'!$L$2:$L$11,0))),"")</f>
        <v/>
      </c>
      <c r="S918" s="32" t="str">
        <f aca="false">IF(O918="","",IF(O918&gt;=50,"Yes","No"))</f>
        <v/>
      </c>
      <c r="T918" s="32" t="str">
        <f aca="false">IF(Q918="","",IF(Q918&gt;=100000,"Yes","No"))</f>
        <v/>
      </c>
      <c r="U918" s="28"/>
      <c r="V918" s="28"/>
      <c r="W918" s="28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J918" s="34" t="str">
        <f aca="false">IF(OR($BD918&lt;&gt;"",$BF918&lt;&gt;"",$BH918&lt;&gt;""),"Yes","No")</f>
        <v>No</v>
      </c>
      <c r="BK918" s="35" t="str">
        <f aca="false">IFERROR(IF(BD918="","",BD918*INDEX('00 - Lists'!$M$2:$M$11,MATCH(L918,'00 - Lists'!$L$2:$L$11,0))/100000),"")</f>
        <v/>
      </c>
      <c r="BL918" s="35" t="str">
        <f aca="false">IFERROR(IF(BE918="","",BE918*INDEX('00 - Lists'!$M$2:$M$11,MATCH(L918,'00 - Lists'!$L$2:$L$11,0))/100000),"")</f>
        <v/>
      </c>
      <c r="BM918" s="35" t="str">
        <f aca="false">IFERROR(IF(BF918="","",BF918*INDEX('00 - Lists'!$M$2:$M$11,MATCH(L918,'00 - Lists'!$L$2:$L$11,0))/100000),"")</f>
        <v/>
      </c>
      <c r="BN918" s="35" t="str">
        <f aca="false">IFERROR(IF(BG918="","",BG918*INDEX('00 - Lists'!$M$2:$M$11,MATCH(L918,'00 - Lists'!$L$2:$L$11,0))/100000),"")</f>
        <v/>
      </c>
      <c r="BO918" s="35" t="str">
        <f aca="false">IFERROR(IF(BH918="","",BH918*INDEX('00 - Lists'!$M$2:$M$11,MATCH(L918,'00 - Lists'!$L$2:$L$11,0))/100000),"")</f>
        <v/>
      </c>
      <c r="BP918" s="35" t="str">
        <f aca="false">IFERROR(IF(BI918="","",BI918*INDEX('00 - Lists'!$M$2:$M$11,MATCH(L918,'00 - Lists'!$L$2:$L$11,0))/100000),"")</f>
        <v/>
      </c>
      <c r="BS918" s="36" t="str">
        <f aca="false">IF(O918="","",IF(O918&gt;=20,"Yes","No"))</f>
        <v/>
      </c>
      <c r="BT918" s="36" t="str">
        <f aca="false">IF(O918="","",IF(O918&gt;=30,"Yes","No"))</f>
        <v/>
      </c>
      <c r="BU918" s="36" t="str">
        <f aca="false">IF(O918="","",IF(O918&gt;=75,"Yes","No"))</f>
        <v/>
      </c>
      <c r="BV918" s="36" t="str">
        <f aca="false">IF(O918="","",IF(O918&gt;=100,"Yes","No"))</f>
        <v/>
      </c>
      <c r="BW918" s="36" t="str">
        <f aca="false">IF(O918="","",IF(O918&gt;=150,"Yes","No"))</f>
        <v/>
      </c>
      <c r="BX918" s="36" t="str">
        <f aca="false">IF(O918="","",IF(O918&gt;=200,"Yes","No"))</f>
        <v/>
      </c>
      <c r="BY918" s="36" t="str">
        <f aca="false">IF(Q918="","",IF(Q918&gt;=150000,"Yes","No"))</f>
        <v/>
      </c>
      <c r="BZ918" s="36" t="str">
        <f aca="false">IF(Q918="","",IF(Q918&gt;=200000,"Yes","No"))</f>
        <v/>
      </c>
      <c r="CA918" s="36" t="str">
        <f aca="false">IF(Q918="","",IF(Q918&gt;=250000,"Yes","No"))</f>
        <v/>
      </c>
      <c r="CB918" s="36" t="str">
        <f aca="false">IF(Q918="","",IF(Q918&gt;=300000,"Yes","No"))</f>
        <v/>
      </c>
      <c r="CC918" s="37"/>
      <c r="CD918" s="36" t="str">
        <f aca="true">IF(B918="","",IF(TODAY()-B918&lt;=7,"🟢 0-7d",IF(TODAY()-B918&lt;=30,"🟡 8-30d",IF(TODAY()-B918&lt;=60,"🟠 31-60d","🔴 60d+"))))</f>
        <v/>
      </c>
      <c r="CE918" s="36" t="str">
        <f aca="false">IF(G918="","",IF(G918&lt;&gt;"USA","N/A - Not USA Role",IF(J918="Yes",IF(OR(F918="Intern",F918="New Grad"),"🟡 Possible","🟢 Strong"),IF(J918="No","🔴 Difficult","⚪ Unknown"))))</f>
        <v/>
      </c>
      <c r="CF918" s="37"/>
      <c r="CG918" s="37"/>
      <c r="CH918" s="38"/>
      <c r="CI918" s="38"/>
      <c r="CJ918" s="38"/>
      <c r="CK918" s="38"/>
    </row>
    <row r="919" customFormat="false" ht="15" hidden="false" customHeight="true" outlineLevel="0" collapsed="false">
      <c r="A919" s="26" t="str">
        <f aca="false">IF($C919="","",ROW()-3)</f>
        <v/>
      </c>
      <c r="B919" s="27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9"/>
      <c r="N919" s="29"/>
      <c r="O919" s="30" t="str">
        <f aca="false">IFERROR(IF(M919="","",M919*INDEX('00 - Lists'!$M$2:$M$11,MATCH(L919,'00 - Lists'!$L$2:$L$11,0))/100000),"")</f>
        <v/>
      </c>
      <c r="P919" s="30" t="str">
        <f aca="false">IFERROR(IF(N919="","",N919*INDEX('00 - Lists'!$M$2:$M$11,MATCH(L919,'00 - Lists'!$L$2:$L$11,0))/100000),"")</f>
        <v/>
      </c>
      <c r="Q919" s="31" t="str">
        <f aca="false">IFERROR(IF(M919="","",M919*INDEX('00 - Lists'!$N$2:$N$11,MATCH(L919,'00 - Lists'!$L$2:$L$11,0))),"")</f>
        <v/>
      </c>
      <c r="R919" s="31" t="str">
        <f aca="false">IFERROR(IF(N919="","",N919*INDEX('00 - Lists'!$N$2:$N$11,MATCH(L919,'00 - Lists'!$L$2:$L$11,0))),"")</f>
        <v/>
      </c>
      <c r="S919" s="32" t="str">
        <f aca="false">IF(O919="","",IF(O919&gt;=50,"Yes","No"))</f>
        <v/>
      </c>
      <c r="T919" s="32" t="str">
        <f aca="false">IF(Q919="","",IF(Q919&gt;=100000,"Yes","No"))</f>
        <v/>
      </c>
      <c r="U919" s="28"/>
      <c r="V919" s="28"/>
      <c r="W919" s="28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J919" s="34" t="str">
        <f aca="false">IF(OR($BD919&lt;&gt;"",$BF919&lt;&gt;"",$BH919&lt;&gt;""),"Yes","No")</f>
        <v>No</v>
      </c>
      <c r="BK919" s="35" t="str">
        <f aca="false">IFERROR(IF(BD919="","",BD919*INDEX('00 - Lists'!$M$2:$M$11,MATCH(L919,'00 - Lists'!$L$2:$L$11,0))/100000),"")</f>
        <v/>
      </c>
      <c r="BL919" s="35" t="str">
        <f aca="false">IFERROR(IF(BE919="","",BE919*INDEX('00 - Lists'!$M$2:$M$11,MATCH(L919,'00 - Lists'!$L$2:$L$11,0))/100000),"")</f>
        <v/>
      </c>
      <c r="BM919" s="35" t="str">
        <f aca="false">IFERROR(IF(BF919="","",BF919*INDEX('00 - Lists'!$M$2:$M$11,MATCH(L919,'00 - Lists'!$L$2:$L$11,0))/100000),"")</f>
        <v/>
      </c>
      <c r="BN919" s="35" t="str">
        <f aca="false">IFERROR(IF(BG919="","",BG919*INDEX('00 - Lists'!$M$2:$M$11,MATCH(L919,'00 - Lists'!$L$2:$L$11,0))/100000),"")</f>
        <v/>
      </c>
      <c r="BO919" s="35" t="str">
        <f aca="false">IFERROR(IF(BH919="","",BH919*INDEX('00 - Lists'!$M$2:$M$11,MATCH(L919,'00 - Lists'!$L$2:$L$11,0))/100000),"")</f>
        <v/>
      </c>
      <c r="BP919" s="35" t="str">
        <f aca="false">IFERROR(IF(BI919="","",BI919*INDEX('00 - Lists'!$M$2:$M$11,MATCH(L919,'00 - Lists'!$L$2:$L$11,0))/100000),"")</f>
        <v/>
      </c>
      <c r="BS919" s="36" t="str">
        <f aca="false">IF(O919="","",IF(O919&gt;=20,"Yes","No"))</f>
        <v/>
      </c>
      <c r="BT919" s="36" t="str">
        <f aca="false">IF(O919="","",IF(O919&gt;=30,"Yes","No"))</f>
        <v/>
      </c>
      <c r="BU919" s="36" t="str">
        <f aca="false">IF(O919="","",IF(O919&gt;=75,"Yes","No"))</f>
        <v/>
      </c>
      <c r="BV919" s="36" t="str">
        <f aca="false">IF(O919="","",IF(O919&gt;=100,"Yes","No"))</f>
        <v/>
      </c>
      <c r="BW919" s="36" t="str">
        <f aca="false">IF(O919="","",IF(O919&gt;=150,"Yes","No"))</f>
        <v/>
      </c>
      <c r="BX919" s="36" t="str">
        <f aca="false">IF(O919="","",IF(O919&gt;=200,"Yes","No"))</f>
        <v/>
      </c>
      <c r="BY919" s="36" t="str">
        <f aca="false">IF(Q919="","",IF(Q919&gt;=150000,"Yes","No"))</f>
        <v/>
      </c>
      <c r="BZ919" s="36" t="str">
        <f aca="false">IF(Q919="","",IF(Q919&gt;=200000,"Yes","No"))</f>
        <v/>
      </c>
      <c r="CA919" s="36" t="str">
        <f aca="false">IF(Q919="","",IF(Q919&gt;=250000,"Yes","No"))</f>
        <v/>
      </c>
      <c r="CB919" s="36" t="str">
        <f aca="false">IF(Q919="","",IF(Q919&gt;=300000,"Yes","No"))</f>
        <v/>
      </c>
      <c r="CC919" s="37"/>
      <c r="CD919" s="36" t="str">
        <f aca="true">IF(B919="","",IF(TODAY()-B919&lt;=7,"🟢 0-7d",IF(TODAY()-B919&lt;=30,"🟡 8-30d",IF(TODAY()-B919&lt;=60,"🟠 31-60d","🔴 60d+"))))</f>
        <v/>
      </c>
      <c r="CE919" s="36" t="str">
        <f aca="false">IF(G919="","",IF(G919&lt;&gt;"USA","N/A - Not USA Role",IF(J919="Yes",IF(OR(F919="Intern",F919="New Grad"),"🟡 Possible","🟢 Strong"),IF(J919="No","🔴 Difficult","⚪ Unknown"))))</f>
        <v/>
      </c>
      <c r="CF919" s="37"/>
      <c r="CG919" s="37"/>
      <c r="CH919" s="38"/>
      <c r="CI919" s="38"/>
      <c r="CJ919" s="38"/>
      <c r="CK919" s="38"/>
    </row>
    <row r="920" customFormat="false" ht="15" hidden="false" customHeight="true" outlineLevel="0" collapsed="false">
      <c r="A920" s="26" t="str">
        <f aca="false">IF($C920="","",ROW()-3)</f>
        <v/>
      </c>
      <c r="B920" s="27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9"/>
      <c r="N920" s="29"/>
      <c r="O920" s="30" t="str">
        <f aca="false">IFERROR(IF(M920="","",M920*INDEX('00 - Lists'!$M$2:$M$11,MATCH(L920,'00 - Lists'!$L$2:$L$11,0))/100000),"")</f>
        <v/>
      </c>
      <c r="P920" s="30" t="str">
        <f aca="false">IFERROR(IF(N920="","",N920*INDEX('00 - Lists'!$M$2:$M$11,MATCH(L920,'00 - Lists'!$L$2:$L$11,0))/100000),"")</f>
        <v/>
      </c>
      <c r="Q920" s="31" t="str">
        <f aca="false">IFERROR(IF(M920="","",M920*INDEX('00 - Lists'!$N$2:$N$11,MATCH(L920,'00 - Lists'!$L$2:$L$11,0))),"")</f>
        <v/>
      </c>
      <c r="R920" s="31" t="str">
        <f aca="false">IFERROR(IF(N920="","",N920*INDEX('00 - Lists'!$N$2:$N$11,MATCH(L920,'00 - Lists'!$L$2:$L$11,0))),"")</f>
        <v/>
      </c>
      <c r="S920" s="32" t="str">
        <f aca="false">IF(O920="","",IF(O920&gt;=50,"Yes","No"))</f>
        <v/>
      </c>
      <c r="T920" s="32" t="str">
        <f aca="false">IF(Q920="","",IF(Q920&gt;=100000,"Yes","No"))</f>
        <v/>
      </c>
      <c r="U920" s="28"/>
      <c r="V920" s="28"/>
      <c r="W920" s="28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J920" s="34" t="str">
        <f aca="false">IF(OR($BD920&lt;&gt;"",$BF920&lt;&gt;"",$BH920&lt;&gt;""),"Yes","No")</f>
        <v>No</v>
      </c>
      <c r="BK920" s="35" t="str">
        <f aca="false">IFERROR(IF(BD920="","",BD920*INDEX('00 - Lists'!$M$2:$M$11,MATCH(L920,'00 - Lists'!$L$2:$L$11,0))/100000),"")</f>
        <v/>
      </c>
      <c r="BL920" s="35" t="str">
        <f aca="false">IFERROR(IF(BE920="","",BE920*INDEX('00 - Lists'!$M$2:$M$11,MATCH(L920,'00 - Lists'!$L$2:$L$11,0))/100000),"")</f>
        <v/>
      </c>
      <c r="BM920" s="35" t="str">
        <f aca="false">IFERROR(IF(BF920="","",BF920*INDEX('00 - Lists'!$M$2:$M$11,MATCH(L920,'00 - Lists'!$L$2:$L$11,0))/100000),"")</f>
        <v/>
      </c>
      <c r="BN920" s="35" t="str">
        <f aca="false">IFERROR(IF(BG920="","",BG920*INDEX('00 - Lists'!$M$2:$M$11,MATCH(L920,'00 - Lists'!$L$2:$L$11,0))/100000),"")</f>
        <v/>
      </c>
      <c r="BO920" s="35" t="str">
        <f aca="false">IFERROR(IF(BH920="","",BH920*INDEX('00 - Lists'!$M$2:$M$11,MATCH(L920,'00 - Lists'!$L$2:$L$11,0))/100000),"")</f>
        <v/>
      </c>
      <c r="BP920" s="35" t="str">
        <f aca="false">IFERROR(IF(BI920="","",BI920*INDEX('00 - Lists'!$M$2:$M$11,MATCH(L920,'00 - Lists'!$L$2:$L$11,0))/100000),"")</f>
        <v/>
      </c>
      <c r="BS920" s="36" t="str">
        <f aca="false">IF(O920="","",IF(O920&gt;=20,"Yes","No"))</f>
        <v/>
      </c>
      <c r="BT920" s="36" t="str">
        <f aca="false">IF(O920="","",IF(O920&gt;=30,"Yes","No"))</f>
        <v/>
      </c>
      <c r="BU920" s="36" t="str">
        <f aca="false">IF(O920="","",IF(O920&gt;=75,"Yes","No"))</f>
        <v/>
      </c>
      <c r="BV920" s="36" t="str">
        <f aca="false">IF(O920="","",IF(O920&gt;=100,"Yes","No"))</f>
        <v/>
      </c>
      <c r="BW920" s="36" t="str">
        <f aca="false">IF(O920="","",IF(O920&gt;=150,"Yes","No"))</f>
        <v/>
      </c>
      <c r="BX920" s="36" t="str">
        <f aca="false">IF(O920="","",IF(O920&gt;=200,"Yes","No"))</f>
        <v/>
      </c>
      <c r="BY920" s="36" t="str">
        <f aca="false">IF(Q920="","",IF(Q920&gt;=150000,"Yes","No"))</f>
        <v/>
      </c>
      <c r="BZ920" s="36" t="str">
        <f aca="false">IF(Q920="","",IF(Q920&gt;=200000,"Yes","No"))</f>
        <v/>
      </c>
      <c r="CA920" s="36" t="str">
        <f aca="false">IF(Q920="","",IF(Q920&gt;=250000,"Yes","No"))</f>
        <v/>
      </c>
      <c r="CB920" s="36" t="str">
        <f aca="false">IF(Q920="","",IF(Q920&gt;=300000,"Yes","No"))</f>
        <v/>
      </c>
      <c r="CC920" s="37"/>
      <c r="CD920" s="36" t="str">
        <f aca="true">IF(B920="","",IF(TODAY()-B920&lt;=7,"🟢 0-7d",IF(TODAY()-B920&lt;=30,"🟡 8-30d",IF(TODAY()-B920&lt;=60,"🟠 31-60d","🔴 60d+"))))</f>
        <v/>
      </c>
      <c r="CE920" s="36" t="str">
        <f aca="false">IF(G920="","",IF(G920&lt;&gt;"USA","N/A - Not USA Role",IF(J920="Yes",IF(OR(F920="Intern",F920="New Grad"),"🟡 Possible","🟢 Strong"),IF(J920="No","🔴 Difficult","⚪ Unknown"))))</f>
        <v/>
      </c>
      <c r="CF920" s="37"/>
      <c r="CG920" s="37"/>
      <c r="CH920" s="38"/>
      <c r="CI920" s="38"/>
      <c r="CJ920" s="38"/>
      <c r="CK920" s="38"/>
    </row>
    <row r="921" customFormat="false" ht="15" hidden="false" customHeight="true" outlineLevel="0" collapsed="false">
      <c r="A921" s="26" t="str">
        <f aca="false">IF($C921="","",ROW()-3)</f>
        <v/>
      </c>
      <c r="B921" s="27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9"/>
      <c r="N921" s="29"/>
      <c r="O921" s="30" t="str">
        <f aca="false">IFERROR(IF(M921="","",M921*INDEX('00 - Lists'!$M$2:$M$11,MATCH(L921,'00 - Lists'!$L$2:$L$11,0))/100000),"")</f>
        <v/>
      </c>
      <c r="P921" s="30" t="str">
        <f aca="false">IFERROR(IF(N921="","",N921*INDEX('00 - Lists'!$M$2:$M$11,MATCH(L921,'00 - Lists'!$L$2:$L$11,0))/100000),"")</f>
        <v/>
      </c>
      <c r="Q921" s="31" t="str">
        <f aca="false">IFERROR(IF(M921="","",M921*INDEX('00 - Lists'!$N$2:$N$11,MATCH(L921,'00 - Lists'!$L$2:$L$11,0))),"")</f>
        <v/>
      </c>
      <c r="R921" s="31" t="str">
        <f aca="false">IFERROR(IF(N921="","",N921*INDEX('00 - Lists'!$N$2:$N$11,MATCH(L921,'00 - Lists'!$L$2:$L$11,0))),"")</f>
        <v/>
      </c>
      <c r="S921" s="32" t="str">
        <f aca="false">IF(O921="","",IF(O921&gt;=50,"Yes","No"))</f>
        <v/>
      </c>
      <c r="T921" s="32" t="str">
        <f aca="false">IF(Q921="","",IF(Q921&gt;=100000,"Yes","No"))</f>
        <v/>
      </c>
      <c r="U921" s="28"/>
      <c r="V921" s="28"/>
      <c r="W921" s="28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J921" s="34" t="str">
        <f aca="false">IF(OR($BD921&lt;&gt;"",$BF921&lt;&gt;"",$BH921&lt;&gt;""),"Yes","No")</f>
        <v>No</v>
      </c>
      <c r="BK921" s="35" t="str">
        <f aca="false">IFERROR(IF(BD921="","",BD921*INDEX('00 - Lists'!$M$2:$M$11,MATCH(L921,'00 - Lists'!$L$2:$L$11,0))/100000),"")</f>
        <v/>
      </c>
      <c r="BL921" s="35" t="str">
        <f aca="false">IFERROR(IF(BE921="","",BE921*INDEX('00 - Lists'!$M$2:$M$11,MATCH(L921,'00 - Lists'!$L$2:$L$11,0))/100000),"")</f>
        <v/>
      </c>
      <c r="BM921" s="35" t="str">
        <f aca="false">IFERROR(IF(BF921="","",BF921*INDEX('00 - Lists'!$M$2:$M$11,MATCH(L921,'00 - Lists'!$L$2:$L$11,0))/100000),"")</f>
        <v/>
      </c>
      <c r="BN921" s="35" t="str">
        <f aca="false">IFERROR(IF(BG921="","",BG921*INDEX('00 - Lists'!$M$2:$M$11,MATCH(L921,'00 - Lists'!$L$2:$L$11,0))/100000),"")</f>
        <v/>
      </c>
      <c r="BO921" s="35" t="str">
        <f aca="false">IFERROR(IF(BH921="","",BH921*INDEX('00 - Lists'!$M$2:$M$11,MATCH(L921,'00 - Lists'!$L$2:$L$11,0))/100000),"")</f>
        <v/>
      </c>
      <c r="BP921" s="35" t="str">
        <f aca="false">IFERROR(IF(BI921="","",BI921*INDEX('00 - Lists'!$M$2:$M$11,MATCH(L921,'00 - Lists'!$L$2:$L$11,0))/100000),"")</f>
        <v/>
      </c>
      <c r="BS921" s="36" t="str">
        <f aca="false">IF(O921="","",IF(O921&gt;=20,"Yes","No"))</f>
        <v/>
      </c>
      <c r="BT921" s="36" t="str">
        <f aca="false">IF(O921="","",IF(O921&gt;=30,"Yes","No"))</f>
        <v/>
      </c>
      <c r="BU921" s="36" t="str">
        <f aca="false">IF(O921="","",IF(O921&gt;=75,"Yes","No"))</f>
        <v/>
      </c>
      <c r="BV921" s="36" t="str">
        <f aca="false">IF(O921="","",IF(O921&gt;=100,"Yes","No"))</f>
        <v/>
      </c>
      <c r="BW921" s="36" t="str">
        <f aca="false">IF(O921="","",IF(O921&gt;=150,"Yes","No"))</f>
        <v/>
      </c>
      <c r="BX921" s="36" t="str">
        <f aca="false">IF(O921="","",IF(O921&gt;=200,"Yes","No"))</f>
        <v/>
      </c>
      <c r="BY921" s="36" t="str">
        <f aca="false">IF(Q921="","",IF(Q921&gt;=150000,"Yes","No"))</f>
        <v/>
      </c>
      <c r="BZ921" s="36" t="str">
        <f aca="false">IF(Q921="","",IF(Q921&gt;=200000,"Yes","No"))</f>
        <v/>
      </c>
      <c r="CA921" s="36" t="str">
        <f aca="false">IF(Q921="","",IF(Q921&gt;=250000,"Yes","No"))</f>
        <v/>
      </c>
      <c r="CB921" s="36" t="str">
        <f aca="false">IF(Q921="","",IF(Q921&gt;=300000,"Yes","No"))</f>
        <v/>
      </c>
      <c r="CC921" s="37"/>
      <c r="CD921" s="36" t="str">
        <f aca="true">IF(B921="","",IF(TODAY()-B921&lt;=7,"🟢 0-7d",IF(TODAY()-B921&lt;=30,"🟡 8-30d",IF(TODAY()-B921&lt;=60,"🟠 31-60d","🔴 60d+"))))</f>
        <v/>
      </c>
      <c r="CE921" s="36" t="str">
        <f aca="false">IF(G921="","",IF(G921&lt;&gt;"USA","N/A - Not USA Role",IF(J921="Yes",IF(OR(F921="Intern",F921="New Grad"),"🟡 Possible","🟢 Strong"),IF(J921="No","🔴 Difficult","⚪ Unknown"))))</f>
        <v/>
      </c>
      <c r="CF921" s="37"/>
      <c r="CG921" s="37"/>
      <c r="CH921" s="38"/>
      <c r="CI921" s="38"/>
      <c r="CJ921" s="38"/>
      <c r="CK921" s="38"/>
    </row>
    <row r="922" customFormat="false" ht="15" hidden="false" customHeight="true" outlineLevel="0" collapsed="false">
      <c r="A922" s="26" t="str">
        <f aca="false">IF($C922="","",ROW()-3)</f>
        <v/>
      </c>
      <c r="B922" s="27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9"/>
      <c r="N922" s="29"/>
      <c r="O922" s="30" t="str">
        <f aca="false">IFERROR(IF(M922="","",M922*INDEX('00 - Lists'!$M$2:$M$11,MATCH(L922,'00 - Lists'!$L$2:$L$11,0))/100000),"")</f>
        <v/>
      </c>
      <c r="P922" s="30" t="str">
        <f aca="false">IFERROR(IF(N922="","",N922*INDEX('00 - Lists'!$M$2:$M$11,MATCH(L922,'00 - Lists'!$L$2:$L$11,0))/100000),"")</f>
        <v/>
      </c>
      <c r="Q922" s="31" t="str">
        <f aca="false">IFERROR(IF(M922="","",M922*INDEX('00 - Lists'!$N$2:$N$11,MATCH(L922,'00 - Lists'!$L$2:$L$11,0))),"")</f>
        <v/>
      </c>
      <c r="R922" s="31" t="str">
        <f aca="false">IFERROR(IF(N922="","",N922*INDEX('00 - Lists'!$N$2:$N$11,MATCH(L922,'00 - Lists'!$L$2:$L$11,0))),"")</f>
        <v/>
      </c>
      <c r="S922" s="32" t="str">
        <f aca="false">IF(O922="","",IF(O922&gt;=50,"Yes","No"))</f>
        <v/>
      </c>
      <c r="T922" s="32" t="str">
        <f aca="false">IF(Q922="","",IF(Q922&gt;=100000,"Yes","No"))</f>
        <v/>
      </c>
      <c r="U922" s="28"/>
      <c r="V922" s="28"/>
      <c r="W922" s="28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J922" s="34" t="str">
        <f aca="false">IF(OR($BD922&lt;&gt;"",$BF922&lt;&gt;"",$BH922&lt;&gt;""),"Yes","No")</f>
        <v>No</v>
      </c>
      <c r="BK922" s="35" t="str">
        <f aca="false">IFERROR(IF(BD922="","",BD922*INDEX('00 - Lists'!$M$2:$M$11,MATCH(L922,'00 - Lists'!$L$2:$L$11,0))/100000),"")</f>
        <v/>
      </c>
      <c r="BL922" s="35" t="str">
        <f aca="false">IFERROR(IF(BE922="","",BE922*INDEX('00 - Lists'!$M$2:$M$11,MATCH(L922,'00 - Lists'!$L$2:$L$11,0))/100000),"")</f>
        <v/>
      </c>
      <c r="BM922" s="35" t="str">
        <f aca="false">IFERROR(IF(BF922="","",BF922*INDEX('00 - Lists'!$M$2:$M$11,MATCH(L922,'00 - Lists'!$L$2:$L$11,0))/100000),"")</f>
        <v/>
      </c>
      <c r="BN922" s="35" t="str">
        <f aca="false">IFERROR(IF(BG922="","",BG922*INDEX('00 - Lists'!$M$2:$M$11,MATCH(L922,'00 - Lists'!$L$2:$L$11,0))/100000),"")</f>
        <v/>
      </c>
      <c r="BO922" s="35" t="str">
        <f aca="false">IFERROR(IF(BH922="","",BH922*INDEX('00 - Lists'!$M$2:$M$11,MATCH(L922,'00 - Lists'!$L$2:$L$11,0))/100000),"")</f>
        <v/>
      </c>
      <c r="BP922" s="35" t="str">
        <f aca="false">IFERROR(IF(BI922="","",BI922*INDEX('00 - Lists'!$M$2:$M$11,MATCH(L922,'00 - Lists'!$L$2:$L$11,0))/100000),"")</f>
        <v/>
      </c>
      <c r="BS922" s="36" t="str">
        <f aca="false">IF(O922="","",IF(O922&gt;=20,"Yes","No"))</f>
        <v/>
      </c>
      <c r="BT922" s="36" t="str">
        <f aca="false">IF(O922="","",IF(O922&gt;=30,"Yes","No"))</f>
        <v/>
      </c>
      <c r="BU922" s="36" t="str">
        <f aca="false">IF(O922="","",IF(O922&gt;=75,"Yes","No"))</f>
        <v/>
      </c>
      <c r="BV922" s="36" t="str">
        <f aca="false">IF(O922="","",IF(O922&gt;=100,"Yes","No"))</f>
        <v/>
      </c>
      <c r="BW922" s="36" t="str">
        <f aca="false">IF(O922="","",IF(O922&gt;=150,"Yes","No"))</f>
        <v/>
      </c>
      <c r="BX922" s="36" t="str">
        <f aca="false">IF(O922="","",IF(O922&gt;=200,"Yes","No"))</f>
        <v/>
      </c>
      <c r="BY922" s="36" t="str">
        <f aca="false">IF(Q922="","",IF(Q922&gt;=150000,"Yes","No"))</f>
        <v/>
      </c>
      <c r="BZ922" s="36" t="str">
        <f aca="false">IF(Q922="","",IF(Q922&gt;=200000,"Yes","No"))</f>
        <v/>
      </c>
      <c r="CA922" s="36" t="str">
        <f aca="false">IF(Q922="","",IF(Q922&gt;=250000,"Yes","No"))</f>
        <v/>
      </c>
      <c r="CB922" s="36" t="str">
        <f aca="false">IF(Q922="","",IF(Q922&gt;=300000,"Yes","No"))</f>
        <v/>
      </c>
      <c r="CC922" s="37"/>
      <c r="CD922" s="36" t="str">
        <f aca="true">IF(B922="","",IF(TODAY()-B922&lt;=7,"🟢 0-7d",IF(TODAY()-B922&lt;=30,"🟡 8-30d",IF(TODAY()-B922&lt;=60,"🟠 31-60d","🔴 60d+"))))</f>
        <v/>
      </c>
      <c r="CE922" s="36" t="str">
        <f aca="false">IF(G922="","",IF(G922&lt;&gt;"USA","N/A - Not USA Role",IF(J922="Yes",IF(OR(F922="Intern",F922="New Grad"),"🟡 Possible","🟢 Strong"),IF(J922="No","🔴 Difficult","⚪ Unknown"))))</f>
        <v/>
      </c>
      <c r="CF922" s="37"/>
      <c r="CG922" s="37"/>
      <c r="CH922" s="38"/>
      <c r="CI922" s="38"/>
      <c r="CJ922" s="38"/>
      <c r="CK922" s="38"/>
    </row>
    <row r="923" customFormat="false" ht="15" hidden="false" customHeight="true" outlineLevel="0" collapsed="false">
      <c r="A923" s="26" t="str">
        <f aca="false">IF($C923="","",ROW()-3)</f>
        <v/>
      </c>
      <c r="B923" s="27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9"/>
      <c r="N923" s="29"/>
      <c r="O923" s="30" t="str">
        <f aca="false">IFERROR(IF(M923="","",M923*INDEX('00 - Lists'!$M$2:$M$11,MATCH(L923,'00 - Lists'!$L$2:$L$11,0))/100000),"")</f>
        <v/>
      </c>
      <c r="P923" s="30" t="str">
        <f aca="false">IFERROR(IF(N923="","",N923*INDEX('00 - Lists'!$M$2:$M$11,MATCH(L923,'00 - Lists'!$L$2:$L$11,0))/100000),"")</f>
        <v/>
      </c>
      <c r="Q923" s="31" t="str">
        <f aca="false">IFERROR(IF(M923="","",M923*INDEX('00 - Lists'!$N$2:$N$11,MATCH(L923,'00 - Lists'!$L$2:$L$11,0))),"")</f>
        <v/>
      </c>
      <c r="R923" s="31" t="str">
        <f aca="false">IFERROR(IF(N923="","",N923*INDEX('00 - Lists'!$N$2:$N$11,MATCH(L923,'00 - Lists'!$L$2:$L$11,0))),"")</f>
        <v/>
      </c>
      <c r="S923" s="32" t="str">
        <f aca="false">IF(O923="","",IF(O923&gt;=50,"Yes","No"))</f>
        <v/>
      </c>
      <c r="T923" s="32" t="str">
        <f aca="false">IF(Q923="","",IF(Q923&gt;=100000,"Yes","No"))</f>
        <v/>
      </c>
      <c r="U923" s="28"/>
      <c r="V923" s="28"/>
      <c r="W923" s="28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J923" s="34" t="str">
        <f aca="false">IF(OR($BD923&lt;&gt;"",$BF923&lt;&gt;"",$BH923&lt;&gt;""),"Yes","No")</f>
        <v>No</v>
      </c>
      <c r="BK923" s="35" t="str">
        <f aca="false">IFERROR(IF(BD923="","",BD923*INDEX('00 - Lists'!$M$2:$M$11,MATCH(L923,'00 - Lists'!$L$2:$L$11,0))/100000),"")</f>
        <v/>
      </c>
      <c r="BL923" s="35" t="str">
        <f aca="false">IFERROR(IF(BE923="","",BE923*INDEX('00 - Lists'!$M$2:$M$11,MATCH(L923,'00 - Lists'!$L$2:$L$11,0))/100000),"")</f>
        <v/>
      </c>
      <c r="BM923" s="35" t="str">
        <f aca="false">IFERROR(IF(BF923="","",BF923*INDEX('00 - Lists'!$M$2:$M$11,MATCH(L923,'00 - Lists'!$L$2:$L$11,0))/100000),"")</f>
        <v/>
      </c>
      <c r="BN923" s="35" t="str">
        <f aca="false">IFERROR(IF(BG923="","",BG923*INDEX('00 - Lists'!$M$2:$M$11,MATCH(L923,'00 - Lists'!$L$2:$L$11,0))/100000),"")</f>
        <v/>
      </c>
      <c r="BO923" s="35" t="str">
        <f aca="false">IFERROR(IF(BH923="","",BH923*INDEX('00 - Lists'!$M$2:$M$11,MATCH(L923,'00 - Lists'!$L$2:$L$11,0))/100000),"")</f>
        <v/>
      </c>
      <c r="BP923" s="35" t="str">
        <f aca="false">IFERROR(IF(BI923="","",BI923*INDEX('00 - Lists'!$M$2:$M$11,MATCH(L923,'00 - Lists'!$L$2:$L$11,0))/100000),"")</f>
        <v/>
      </c>
      <c r="BS923" s="36" t="str">
        <f aca="false">IF(O923="","",IF(O923&gt;=20,"Yes","No"))</f>
        <v/>
      </c>
      <c r="BT923" s="36" t="str">
        <f aca="false">IF(O923="","",IF(O923&gt;=30,"Yes","No"))</f>
        <v/>
      </c>
      <c r="BU923" s="36" t="str">
        <f aca="false">IF(O923="","",IF(O923&gt;=75,"Yes","No"))</f>
        <v/>
      </c>
      <c r="BV923" s="36" t="str">
        <f aca="false">IF(O923="","",IF(O923&gt;=100,"Yes","No"))</f>
        <v/>
      </c>
      <c r="BW923" s="36" t="str">
        <f aca="false">IF(O923="","",IF(O923&gt;=150,"Yes","No"))</f>
        <v/>
      </c>
      <c r="BX923" s="36" t="str">
        <f aca="false">IF(O923="","",IF(O923&gt;=200,"Yes","No"))</f>
        <v/>
      </c>
      <c r="BY923" s="36" t="str">
        <f aca="false">IF(Q923="","",IF(Q923&gt;=150000,"Yes","No"))</f>
        <v/>
      </c>
      <c r="BZ923" s="36" t="str">
        <f aca="false">IF(Q923="","",IF(Q923&gt;=200000,"Yes","No"))</f>
        <v/>
      </c>
      <c r="CA923" s="36" t="str">
        <f aca="false">IF(Q923="","",IF(Q923&gt;=250000,"Yes","No"))</f>
        <v/>
      </c>
      <c r="CB923" s="36" t="str">
        <f aca="false">IF(Q923="","",IF(Q923&gt;=300000,"Yes","No"))</f>
        <v/>
      </c>
      <c r="CC923" s="37"/>
      <c r="CD923" s="36" t="str">
        <f aca="true">IF(B923="","",IF(TODAY()-B923&lt;=7,"🟢 0-7d",IF(TODAY()-B923&lt;=30,"🟡 8-30d",IF(TODAY()-B923&lt;=60,"🟠 31-60d","🔴 60d+"))))</f>
        <v/>
      </c>
      <c r="CE923" s="36" t="str">
        <f aca="false">IF(G923="","",IF(G923&lt;&gt;"USA","N/A - Not USA Role",IF(J923="Yes",IF(OR(F923="Intern",F923="New Grad"),"🟡 Possible","🟢 Strong"),IF(J923="No","🔴 Difficult","⚪ Unknown"))))</f>
        <v/>
      </c>
      <c r="CF923" s="37"/>
      <c r="CG923" s="37"/>
      <c r="CH923" s="38"/>
      <c r="CI923" s="38"/>
      <c r="CJ923" s="38"/>
      <c r="CK923" s="38"/>
    </row>
    <row r="924" customFormat="false" ht="15" hidden="false" customHeight="true" outlineLevel="0" collapsed="false">
      <c r="A924" s="26" t="str">
        <f aca="false">IF($C924="","",ROW()-3)</f>
        <v/>
      </c>
      <c r="B924" s="27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9"/>
      <c r="N924" s="29"/>
      <c r="O924" s="30" t="str">
        <f aca="false">IFERROR(IF(M924="","",M924*INDEX('00 - Lists'!$M$2:$M$11,MATCH(L924,'00 - Lists'!$L$2:$L$11,0))/100000),"")</f>
        <v/>
      </c>
      <c r="P924" s="30" t="str">
        <f aca="false">IFERROR(IF(N924="","",N924*INDEX('00 - Lists'!$M$2:$M$11,MATCH(L924,'00 - Lists'!$L$2:$L$11,0))/100000),"")</f>
        <v/>
      </c>
      <c r="Q924" s="31" t="str">
        <f aca="false">IFERROR(IF(M924="","",M924*INDEX('00 - Lists'!$N$2:$N$11,MATCH(L924,'00 - Lists'!$L$2:$L$11,0))),"")</f>
        <v/>
      </c>
      <c r="R924" s="31" t="str">
        <f aca="false">IFERROR(IF(N924="","",N924*INDEX('00 - Lists'!$N$2:$N$11,MATCH(L924,'00 - Lists'!$L$2:$L$11,0))),"")</f>
        <v/>
      </c>
      <c r="S924" s="32" t="str">
        <f aca="false">IF(O924="","",IF(O924&gt;=50,"Yes","No"))</f>
        <v/>
      </c>
      <c r="T924" s="32" t="str">
        <f aca="false">IF(Q924="","",IF(Q924&gt;=100000,"Yes","No"))</f>
        <v/>
      </c>
      <c r="U924" s="28"/>
      <c r="V924" s="28"/>
      <c r="W924" s="28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J924" s="34" t="str">
        <f aca="false">IF(OR($BD924&lt;&gt;"",$BF924&lt;&gt;"",$BH924&lt;&gt;""),"Yes","No")</f>
        <v>No</v>
      </c>
      <c r="BK924" s="35" t="str">
        <f aca="false">IFERROR(IF(BD924="","",BD924*INDEX('00 - Lists'!$M$2:$M$11,MATCH(L924,'00 - Lists'!$L$2:$L$11,0))/100000),"")</f>
        <v/>
      </c>
      <c r="BL924" s="35" t="str">
        <f aca="false">IFERROR(IF(BE924="","",BE924*INDEX('00 - Lists'!$M$2:$M$11,MATCH(L924,'00 - Lists'!$L$2:$L$11,0))/100000),"")</f>
        <v/>
      </c>
      <c r="BM924" s="35" t="str">
        <f aca="false">IFERROR(IF(BF924="","",BF924*INDEX('00 - Lists'!$M$2:$M$11,MATCH(L924,'00 - Lists'!$L$2:$L$11,0))/100000),"")</f>
        <v/>
      </c>
      <c r="BN924" s="35" t="str">
        <f aca="false">IFERROR(IF(BG924="","",BG924*INDEX('00 - Lists'!$M$2:$M$11,MATCH(L924,'00 - Lists'!$L$2:$L$11,0))/100000),"")</f>
        <v/>
      </c>
      <c r="BO924" s="35" t="str">
        <f aca="false">IFERROR(IF(BH924="","",BH924*INDEX('00 - Lists'!$M$2:$M$11,MATCH(L924,'00 - Lists'!$L$2:$L$11,0))/100000),"")</f>
        <v/>
      </c>
      <c r="BP924" s="35" t="str">
        <f aca="false">IFERROR(IF(BI924="","",BI924*INDEX('00 - Lists'!$M$2:$M$11,MATCH(L924,'00 - Lists'!$L$2:$L$11,0))/100000),"")</f>
        <v/>
      </c>
      <c r="BS924" s="36" t="str">
        <f aca="false">IF(O924="","",IF(O924&gt;=20,"Yes","No"))</f>
        <v/>
      </c>
      <c r="BT924" s="36" t="str">
        <f aca="false">IF(O924="","",IF(O924&gt;=30,"Yes","No"))</f>
        <v/>
      </c>
      <c r="BU924" s="36" t="str">
        <f aca="false">IF(O924="","",IF(O924&gt;=75,"Yes","No"))</f>
        <v/>
      </c>
      <c r="BV924" s="36" t="str">
        <f aca="false">IF(O924="","",IF(O924&gt;=100,"Yes","No"))</f>
        <v/>
      </c>
      <c r="BW924" s="36" t="str">
        <f aca="false">IF(O924="","",IF(O924&gt;=150,"Yes","No"))</f>
        <v/>
      </c>
      <c r="BX924" s="36" t="str">
        <f aca="false">IF(O924="","",IF(O924&gt;=200,"Yes","No"))</f>
        <v/>
      </c>
      <c r="BY924" s="36" t="str">
        <f aca="false">IF(Q924="","",IF(Q924&gt;=150000,"Yes","No"))</f>
        <v/>
      </c>
      <c r="BZ924" s="36" t="str">
        <f aca="false">IF(Q924="","",IF(Q924&gt;=200000,"Yes","No"))</f>
        <v/>
      </c>
      <c r="CA924" s="36" t="str">
        <f aca="false">IF(Q924="","",IF(Q924&gt;=250000,"Yes","No"))</f>
        <v/>
      </c>
      <c r="CB924" s="36" t="str">
        <f aca="false">IF(Q924="","",IF(Q924&gt;=300000,"Yes","No"))</f>
        <v/>
      </c>
      <c r="CC924" s="37"/>
      <c r="CD924" s="36" t="str">
        <f aca="true">IF(B924="","",IF(TODAY()-B924&lt;=7,"🟢 0-7d",IF(TODAY()-B924&lt;=30,"🟡 8-30d",IF(TODAY()-B924&lt;=60,"🟠 31-60d","🔴 60d+"))))</f>
        <v/>
      </c>
      <c r="CE924" s="36" t="str">
        <f aca="false">IF(G924="","",IF(G924&lt;&gt;"USA","N/A - Not USA Role",IF(J924="Yes",IF(OR(F924="Intern",F924="New Grad"),"🟡 Possible","🟢 Strong"),IF(J924="No","🔴 Difficult","⚪ Unknown"))))</f>
        <v/>
      </c>
      <c r="CF924" s="37"/>
      <c r="CG924" s="37"/>
      <c r="CH924" s="38"/>
      <c r="CI924" s="38"/>
      <c r="CJ924" s="38"/>
      <c r="CK924" s="38"/>
    </row>
    <row r="925" customFormat="false" ht="15" hidden="false" customHeight="true" outlineLevel="0" collapsed="false">
      <c r="A925" s="26" t="str">
        <f aca="false">IF($C925="","",ROW()-3)</f>
        <v/>
      </c>
      <c r="B925" s="27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9"/>
      <c r="N925" s="29"/>
      <c r="O925" s="30" t="str">
        <f aca="false">IFERROR(IF(M925="","",M925*INDEX('00 - Lists'!$M$2:$M$11,MATCH(L925,'00 - Lists'!$L$2:$L$11,0))/100000),"")</f>
        <v/>
      </c>
      <c r="P925" s="30" t="str">
        <f aca="false">IFERROR(IF(N925="","",N925*INDEX('00 - Lists'!$M$2:$M$11,MATCH(L925,'00 - Lists'!$L$2:$L$11,0))/100000),"")</f>
        <v/>
      </c>
      <c r="Q925" s="31" t="str">
        <f aca="false">IFERROR(IF(M925="","",M925*INDEX('00 - Lists'!$N$2:$N$11,MATCH(L925,'00 - Lists'!$L$2:$L$11,0))),"")</f>
        <v/>
      </c>
      <c r="R925" s="31" t="str">
        <f aca="false">IFERROR(IF(N925="","",N925*INDEX('00 - Lists'!$N$2:$N$11,MATCH(L925,'00 - Lists'!$L$2:$L$11,0))),"")</f>
        <v/>
      </c>
      <c r="S925" s="32" t="str">
        <f aca="false">IF(O925="","",IF(O925&gt;=50,"Yes","No"))</f>
        <v/>
      </c>
      <c r="T925" s="32" t="str">
        <f aca="false">IF(Q925="","",IF(Q925&gt;=100000,"Yes","No"))</f>
        <v/>
      </c>
      <c r="U925" s="28"/>
      <c r="V925" s="28"/>
      <c r="W925" s="28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J925" s="34" t="str">
        <f aca="false">IF(OR($BD925&lt;&gt;"",$BF925&lt;&gt;"",$BH925&lt;&gt;""),"Yes","No")</f>
        <v>No</v>
      </c>
      <c r="BK925" s="35" t="str">
        <f aca="false">IFERROR(IF(BD925="","",BD925*INDEX('00 - Lists'!$M$2:$M$11,MATCH(L925,'00 - Lists'!$L$2:$L$11,0))/100000),"")</f>
        <v/>
      </c>
      <c r="BL925" s="35" t="str">
        <f aca="false">IFERROR(IF(BE925="","",BE925*INDEX('00 - Lists'!$M$2:$M$11,MATCH(L925,'00 - Lists'!$L$2:$L$11,0))/100000),"")</f>
        <v/>
      </c>
      <c r="BM925" s="35" t="str">
        <f aca="false">IFERROR(IF(BF925="","",BF925*INDEX('00 - Lists'!$M$2:$M$11,MATCH(L925,'00 - Lists'!$L$2:$L$11,0))/100000),"")</f>
        <v/>
      </c>
      <c r="BN925" s="35" t="str">
        <f aca="false">IFERROR(IF(BG925="","",BG925*INDEX('00 - Lists'!$M$2:$M$11,MATCH(L925,'00 - Lists'!$L$2:$L$11,0))/100000),"")</f>
        <v/>
      </c>
      <c r="BO925" s="35" t="str">
        <f aca="false">IFERROR(IF(BH925="","",BH925*INDEX('00 - Lists'!$M$2:$M$11,MATCH(L925,'00 - Lists'!$L$2:$L$11,0))/100000),"")</f>
        <v/>
      </c>
      <c r="BP925" s="35" t="str">
        <f aca="false">IFERROR(IF(BI925="","",BI925*INDEX('00 - Lists'!$M$2:$M$11,MATCH(L925,'00 - Lists'!$L$2:$L$11,0))/100000),"")</f>
        <v/>
      </c>
      <c r="BS925" s="36" t="str">
        <f aca="false">IF(O925="","",IF(O925&gt;=20,"Yes","No"))</f>
        <v/>
      </c>
      <c r="BT925" s="36" t="str">
        <f aca="false">IF(O925="","",IF(O925&gt;=30,"Yes","No"))</f>
        <v/>
      </c>
      <c r="BU925" s="36" t="str">
        <f aca="false">IF(O925="","",IF(O925&gt;=75,"Yes","No"))</f>
        <v/>
      </c>
      <c r="BV925" s="36" t="str">
        <f aca="false">IF(O925="","",IF(O925&gt;=100,"Yes","No"))</f>
        <v/>
      </c>
      <c r="BW925" s="36" t="str">
        <f aca="false">IF(O925="","",IF(O925&gt;=150,"Yes","No"))</f>
        <v/>
      </c>
      <c r="BX925" s="36" t="str">
        <f aca="false">IF(O925="","",IF(O925&gt;=200,"Yes","No"))</f>
        <v/>
      </c>
      <c r="BY925" s="36" t="str">
        <f aca="false">IF(Q925="","",IF(Q925&gt;=150000,"Yes","No"))</f>
        <v/>
      </c>
      <c r="BZ925" s="36" t="str">
        <f aca="false">IF(Q925="","",IF(Q925&gt;=200000,"Yes","No"))</f>
        <v/>
      </c>
      <c r="CA925" s="36" t="str">
        <f aca="false">IF(Q925="","",IF(Q925&gt;=250000,"Yes","No"))</f>
        <v/>
      </c>
      <c r="CB925" s="36" t="str">
        <f aca="false">IF(Q925="","",IF(Q925&gt;=300000,"Yes","No"))</f>
        <v/>
      </c>
      <c r="CC925" s="37"/>
      <c r="CD925" s="36" t="str">
        <f aca="true">IF(B925="","",IF(TODAY()-B925&lt;=7,"🟢 0-7d",IF(TODAY()-B925&lt;=30,"🟡 8-30d",IF(TODAY()-B925&lt;=60,"🟠 31-60d","🔴 60d+"))))</f>
        <v/>
      </c>
      <c r="CE925" s="36" t="str">
        <f aca="false">IF(G925="","",IF(G925&lt;&gt;"USA","N/A - Not USA Role",IF(J925="Yes",IF(OR(F925="Intern",F925="New Grad"),"🟡 Possible","🟢 Strong"),IF(J925="No","🔴 Difficult","⚪ Unknown"))))</f>
        <v/>
      </c>
      <c r="CF925" s="37"/>
      <c r="CG925" s="37"/>
      <c r="CH925" s="38"/>
      <c r="CI925" s="38"/>
      <c r="CJ925" s="38"/>
      <c r="CK925" s="38"/>
    </row>
    <row r="926" customFormat="false" ht="15" hidden="false" customHeight="true" outlineLevel="0" collapsed="false">
      <c r="A926" s="26" t="str">
        <f aca="false">IF($C926="","",ROW()-3)</f>
        <v/>
      </c>
      <c r="B926" s="27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9"/>
      <c r="N926" s="29"/>
      <c r="O926" s="30" t="str">
        <f aca="false">IFERROR(IF(M926="","",M926*INDEX('00 - Lists'!$M$2:$M$11,MATCH(L926,'00 - Lists'!$L$2:$L$11,0))/100000),"")</f>
        <v/>
      </c>
      <c r="P926" s="30" t="str">
        <f aca="false">IFERROR(IF(N926="","",N926*INDEX('00 - Lists'!$M$2:$M$11,MATCH(L926,'00 - Lists'!$L$2:$L$11,0))/100000),"")</f>
        <v/>
      </c>
      <c r="Q926" s="31" t="str">
        <f aca="false">IFERROR(IF(M926="","",M926*INDEX('00 - Lists'!$N$2:$N$11,MATCH(L926,'00 - Lists'!$L$2:$L$11,0))),"")</f>
        <v/>
      </c>
      <c r="R926" s="31" t="str">
        <f aca="false">IFERROR(IF(N926="","",N926*INDEX('00 - Lists'!$N$2:$N$11,MATCH(L926,'00 - Lists'!$L$2:$L$11,0))),"")</f>
        <v/>
      </c>
      <c r="S926" s="32" t="str">
        <f aca="false">IF(O926="","",IF(O926&gt;=50,"Yes","No"))</f>
        <v/>
      </c>
      <c r="T926" s="32" t="str">
        <f aca="false">IF(Q926="","",IF(Q926&gt;=100000,"Yes","No"))</f>
        <v/>
      </c>
      <c r="U926" s="28"/>
      <c r="V926" s="28"/>
      <c r="W926" s="28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J926" s="34" t="str">
        <f aca="false">IF(OR($BD926&lt;&gt;"",$BF926&lt;&gt;"",$BH926&lt;&gt;""),"Yes","No")</f>
        <v>No</v>
      </c>
      <c r="BK926" s="35" t="str">
        <f aca="false">IFERROR(IF(BD926="","",BD926*INDEX('00 - Lists'!$M$2:$M$11,MATCH(L926,'00 - Lists'!$L$2:$L$11,0))/100000),"")</f>
        <v/>
      </c>
      <c r="BL926" s="35" t="str">
        <f aca="false">IFERROR(IF(BE926="","",BE926*INDEX('00 - Lists'!$M$2:$M$11,MATCH(L926,'00 - Lists'!$L$2:$L$11,0))/100000),"")</f>
        <v/>
      </c>
      <c r="BM926" s="35" t="str">
        <f aca="false">IFERROR(IF(BF926="","",BF926*INDEX('00 - Lists'!$M$2:$M$11,MATCH(L926,'00 - Lists'!$L$2:$L$11,0))/100000),"")</f>
        <v/>
      </c>
      <c r="BN926" s="35" t="str">
        <f aca="false">IFERROR(IF(BG926="","",BG926*INDEX('00 - Lists'!$M$2:$M$11,MATCH(L926,'00 - Lists'!$L$2:$L$11,0))/100000),"")</f>
        <v/>
      </c>
      <c r="BO926" s="35" t="str">
        <f aca="false">IFERROR(IF(BH926="","",BH926*INDEX('00 - Lists'!$M$2:$M$11,MATCH(L926,'00 - Lists'!$L$2:$L$11,0))/100000),"")</f>
        <v/>
      </c>
      <c r="BP926" s="35" t="str">
        <f aca="false">IFERROR(IF(BI926="","",BI926*INDEX('00 - Lists'!$M$2:$M$11,MATCH(L926,'00 - Lists'!$L$2:$L$11,0))/100000),"")</f>
        <v/>
      </c>
      <c r="BS926" s="36" t="str">
        <f aca="false">IF(O926="","",IF(O926&gt;=20,"Yes","No"))</f>
        <v/>
      </c>
      <c r="BT926" s="36" t="str">
        <f aca="false">IF(O926="","",IF(O926&gt;=30,"Yes","No"))</f>
        <v/>
      </c>
      <c r="BU926" s="36" t="str">
        <f aca="false">IF(O926="","",IF(O926&gt;=75,"Yes","No"))</f>
        <v/>
      </c>
      <c r="BV926" s="36" t="str">
        <f aca="false">IF(O926="","",IF(O926&gt;=100,"Yes","No"))</f>
        <v/>
      </c>
      <c r="BW926" s="36" t="str">
        <f aca="false">IF(O926="","",IF(O926&gt;=150,"Yes","No"))</f>
        <v/>
      </c>
      <c r="BX926" s="36" t="str">
        <f aca="false">IF(O926="","",IF(O926&gt;=200,"Yes","No"))</f>
        <v/>
      </c>
      <c r="BY926" s="36" t="str">
        <f aca="false">IF(Q926="","",IF(Q926&gt;=150000,"Yes","No"))</f>
        <v/>
      </c>
      <c r="BZ926" s="36" t="str">
        <f aca="false">IF(Q926="","",IF(Q926&gt;=200000,"Yes","No"))</f>
        <v/>
      </c>
      <c r="CA926" s="36" t="str">
        <f aca="false">IF(Q926="","",IF(Q926&gt;=250000,"Yes","No"))</f>
        <v/>
      </c>
      <c r="CB926" s="36" t="str">
        <f aca="false">IF(Q926="","",IF(Q926&gt;=300000,"Yes","No"))</f>
        <v/>
      </c>
      <c r="CC926" s="37"/>
      <c r="CD926" s="36" t="str">
        <f aca="true">IF(B926="","",IF(TODAY()-B926&lt;=7,"🟢 0-7d",IF(TODAY()-B926&lt;=30,"🟡 8-30d",IF(TODAY()-B926&lt;=60,"🟠 31-60d","🔴 60d+"))))</f>
        <v/>
      </c>
      <c r="CE926" s="36" t="str">
        <f aca="false">IF(G926="","",IF(G926&lt;&gt;"USA","N/A - Not USA Role",IF(J926="Yes",IF(OR(F926="Intern",F926="New Grad"),"🟡 Possible","🟢 Strong"),IF(J926="No","🔴 Difficult","⚪ Unknown"))))</f>
        <v/>
      </c>
      <c r="CF926" s="37"/>
      <c r="CG926" s="37"/>
      <c r="CH926" s="38"/>
      <c r="CI926" s="38"/>
      <c r="CJ926" s="38"/>
      <c r="CK926" s="38"/>
    </row>
    <row r="927" customFormat="false" ht="15" hidden="false" customHeight="true" outlineLevel="0" collapsed="false">
      <c r="A927" s="26" t="str">
        <f aca="false">IF($C927="","",ROW()-3)</f>
        <v/>
      </c>
      <c r="B927" s="27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9"/>
      <c r="N927" s="29"/>
      <c r="O927" s="30" t="str">
        <f aca="false">IFERROR(IF(M927="","",M927*INDEX('00 - Lists'!$M$2:$M$11,MATCH(L927,'00 - Lists'!$L$2:$L$11,0))/100000),"")</f>
        <v/>
      </c>
      <c r="P927" s="30" t="str">
        <f aca="false">IFERROR(IF(N927="","",N927*INDEX('00 - Lists'!$M$2:$M$11,MATCH(L927,'00 - Lists'!$L$2:$L$11,0))/100000),"")</f>
        <v/>
      </c>
      <c r="Q927" s="31" t="str">
        <f aca="false">IFERROR(IF(M927="","",M927*INDEX('00 - Lists'!$N$2:$N$11,MATCH(L927,'00 - Lists'!$L$2:$L$11,0))),"")</f>
        <v/>
      </c>
      <c r="R927" s="31" t="str">
        <f aca="false">IFERROR(IF(N927="","",N927*INDEX('00 - Lists'!$N$2:$N$11,MATCH(L927,'00 - Lists'!$L$2:$L$11,0))),"")</f>
        <v/>
      </c>
      <c r="S927" s="32" t="str">
        <f aca="false">IF(O927="","",IF(O927&gt;=50,"Yes","No"))</f>
        <v/>
      </c>
      <c r="T927" s="32" t="str">
        <f aca="false">IF(Q927="","",IF(Q927&gt;=100000,"Yes","No"))</f>
        <v/>
      </c>
      <c r="U927" s="28"/>
      <c r="V927" s="28"/>
      <c r="W927" s="28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J927" s="34" t="str">
        <f aca="false">IF(OR($BD927&lt;&gt;"",$BF927&lt;&gt;"",$BH927&lt;&gt;""),"Yes","No")</f>
        <v>No</v>
      </c>
      <c r="BK927" s="35" t="str">
        <f aca="false">IFERROR(IF(BD927="","",BD927*INDEX('00 - Lists'!$M$2:$M$11,MATCH(L927,'00 - Lists'!$L$2:$L$11,0))/100000),"")</f>
        <v/>
      </c>
      <c r="BL927" s="35" t="str">
        <f aca="false">IFERROR(IF(BE927="","",BE927*INDEX('00 - Lists'!$M$2:$M$11,MATCH(L927,'00 - Lists'!$L$2:$L$11,0))/100000),"")</f>
        <v/>
      </c>
      <c r="BM927" s="35" t="str">
        <f aca="false">IFERROR(IF(BF927="","",BF927*INDEX('00 - Lists'!$M$2:$M$11,MATCH(L927,'00 - Lists'!$L$2:$L$11,0))/100000),"")</f>
        <v/>
      </c>
      <c r="BN927" s="35" t="str">
        <f aca="false">IFERROR(IF(BG927="","",BG927*INDEX('00 - Lists'!$M$2:$M$11,MATCH(L927,'00 - Lists'!$L$2:$L$11,0))/100000),"")</f>
        <v/>
      </c>
      <c r="BO927" s="35" t="str">
        <f aca="false">IFERROR(IF(BH927="","",BH927*INDEX('00 - Lists'!$M$2:$M$11,MATCH(L927,'00 - Lists'!$L$2:$L$11,0))/100000),"")</f>
        <v/>
      </c>
      <c r="BP927" s="35" t="str">
        <f aca="false">IFERROR(IF(BI927="","",BI927*INDEX('00 - Lists'!$M$2:$M$11,MATCH(L927,'00 - Lists'!$L$2:$L$11,0))/100000),"")</f>
        <v/>
      </c>
      <c r="BS927" s="36" t="str">
        <f aca="false">IF(O927="","",IF(O927&gt;=20,"Yes","No"))</f>
        <v/>
      </c>
      <c r="BT927" s="36" t="str">
        <f aca="false">IF(O927="","",IF(O927&gt;=30,"Yes","No"))</f>
        <v/>
      </c>
      <c r="BU927" s="36" t="str">
        <f aca="false">IF(O927="","",IF(O927&gt;=75,"Yes","No"))</f>
        <v/>
      </c>
      <c r="BV927" s="36" t="str">
        <f aca="false">IF(O927="","",IF(O927&gt;=100,"Yes","No"))</f>
        <v/>
      </c>
      <c r="BW927" s="36" t="str">
        <f aca="false">IF(O927="","",IF(O927&gt;=150,"Yes","No"))</f>
        <v/>
      </c>
      <c r="BX927" s="36" t="str">
        <f aca="false">IF(O927="","",IF(O927&gt;=200,"Yes","No"))</f>
        <v/>
      </c>
      <c r="BY927" s="36" t="str">
        <f aca="false">IF(Q927="","",IF(Q927&gt;=150000,"Yes","No"))</f>
        <v/>
      </c>
      <c r="BZ927" s="36" t="str">
        <f aca="false">IF(Q927="","",IF(Q927&gt;=200000,"Yes","No"))</f>
        <v/>
      </c>
      <c r="CA927" s="36" t="str">
        <f aca="false">IF(Q927="","",IF(Q927&gt;=250000,"Yes","No"))</f>
        <v/>
      </c>
      <c r="CB927" s="36" t="str">
        <f aca="false">IF(Q927="","",IF(Q927&gt;=300000,"Yes","No"))</f>
        <v/>
      </c>
      <c r="CC927" s="37"/>
      <c r="CD927" s="36" t="str">
        <f aca="true">IF(B927="","",IF(TODAY()-B927&lt;=7,"🟢 0-7d",IF(TODAY()-B927&lt;=30,"🟡 8-30d",IF(TODAY()-B927&lt;=60,"🟠 31-60d","🔴 60d+"))))</f>
        <v/>
      </c>
      <c r="CE927" s="36" t="str">
        <f aca="false">IF(G927="","",IF(G927&lt;&gt;"USA","N/A - Not USA Role",IF(J927="Yes",IF(OR(F927="Intern",F927="New Grad"),"🟡 Possible","🟢 Strong"),IF(J927="No","🔴 Difficult","⚪ Unknown"))))</f>
        <v/>
      </c>
      <c r="CF927" s="37"/>
      <c r="CG927" s="37"/>
      <c r="CH927" s="38"/>
      <c r="CI927" s="38"/>
      <c r="CJ927" s="38"/>
      <c r="CK927" s="38"/>
    </row>
    <row r="928" customFormat="false" ht="15" hidden="false" customHeight="true" outlineLevel="0" collapsed="false">
      <c r="A928" s="26" t="str">
        <f aca="false">IF($C928="","",ROW()-3)</f>
        <v/>
      </c>
      <c r="B928" s="27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9"/>
      <c r="N928" s="29"/>
      <c r="O928" s="30" t="str">
        <f aca="false">IFERROR(IF(M928="","",M928*INDEX('00 - Lists'!$M$2:$M$11,MATCH(L928,'00 - Lists'!$L$2:$L$11,0))/100000),"")</f>
        <v/>
      </c>
      <c r="P928" s="30" t="str">
        <f aca="false">IFERROR(IF(N928="","",N928*INDEX('00 - Lists'!$M$2:$M$11,MATCH(L928,'00 - Lists'!$L$2:$L$11,0))/100000),"")</f>
        <v/>
      </c>
      <c r="Q928" s="31" t="str">
        <f aca="false">IFERROR(IF(M928="","",M928*INDEX('00 - Lists'!$N$2:$N$11,MATCH(L928,'00 - Lists'!$L$2:$L$11,0))),"")</f>
        <v/>
      </c>
      <c r="R928" s="31" t="str">
        <f aca="false">IFERROR(IF(N928="","",N928*INDEX('00 - Lists'!$N$2:$N$11,MATCH(L928,'00 - Lists'!$L$2:$L$11,0))),"")</f>
        <v/>
      </c>
      <c r="S928" s="32" t="str">
        <f aca="false">IF(O928="","",IF(O928&gt;=50,"Yes","No"))</f>
        <v/>
      </c>
      <c r="T928" s="32" t="str">
        <f aca="false">IF(Q928="","",IF(Q928&gt;=100000,"Yes","No"))</f>
        <v/>
      </c>
      <c r="U928" s="28"/>
      <c r="V928" s="28"/>
      <c r="W928" s="28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J928" s="34" t="str">
        <f aca="false">IF(OR($BD928&lt;&gt;"",$BF928&lt;&gt;"",$BH928&lt;&gt;""),"Yes","No")</f>
        <v>No</v>
      </c>
      <c r="BK928" s="35" t="str">
        <f aca="false">IFERROR(IF(BD928="","",BD928*INDEX('00 - Lists'!$M$2:$M$11,MATCH(L928,'00 - Lists'!$L$2:$L$11,0))/100000),"")</f>
        <v/>
      </c>
      <c r="BL928" s="35" t="str">
        <f aca="false">IFERROR(IF(BE928="","",BE928*INDEX('00 - Lists'!$M$2:$M$11,MATCH(L928,'00 - Lists'!$L$2:$L$11,0))/100000),"")</f>
        <v/>
      </c>
      <c r="BM928" s="35" t="str">
        <f aca="false">IFERROR(IF(BF928="","",BF928*INDEX('00 - Lists'!$M$2:$M$11,MATCH(L928,'00 - Lists'!$L$2:$L$11,0))/100000),"")</f>
        <v/>
      </c>
      <c r="BN928" s="35" t="str">
        <f aca="false">IFERROR(IF(BG928="","",BG928*INDEX('00 - Lists'!$M$2:$M$11,MATCH(L928,'00 - Lists'!$L$2:$L$11,0))/100000),"")</f>
        <v/>
      </c>
      <c r="BO928" s="35" t="str">
        <f aca="false">IFERROR(IF(BH928="","",BH928*INDEX('00 - Lists'!$M$2:$M$11,MATCH(L928,'00 - Lists'!$L$2:$L$11,0))/100000),"")</f>
        <v/>
      </c>
      <c r="BP928" s="35" t="str">
        <f aca="false">IFERROR(IF(BI928="","",BI928*INDEX('00 - Lists'!$M$2:$M$11,MATCH(L928,'00 - Lists'!$L$2:$L$11,0))/100000),"")</f>
        <v/>
      </c>
      <c r="BS928" s="36" t="str">
        <f aca="false">IF(O928="","",IF(O928&gt;=20,"Yes","No"))</f>
        <v/>
      </c>
      <c r="BT928" s="36" t="str">
        <f aca="false">IF(O928="","",IF(O928&gt;=30,"Yes","No"))</f>
        <v/>
      </c>
      <c r="BU928" s="36" t="str">
        <f aca="false">IF(O928="","",IF(O928&gt;=75,"Yes","No"))</f>
        <v/>
      </c>
      <c r="BV928" s="36" t="str">
        <f aca="false">IF(O928="","",IF(O928&gt;=100,"Yes","No"))</f>
        <v/>
      </c>
      <c r="BW928" s="36" t="str">
        <f aca="false">IF(O928="","",IF(O928&gt;=150,"Yes","No"))</f>
        <v/>
      </c>
      <c r="BX928" s="36" t="str">
        <f aca="false">IF(O928="","",IF(O928&gt;=200,"Yes","No"))</f>
        <v/>
      </c>
      <c r="BY928" s="36" t="str">
        <f aca="false">IF(Q928="","",IF(Q928&gt;=150000,"Yes","No"))</f>
        <v/>
      </c>
      <c r="BZ928" s="36" t="str">
        <f aca="false">IF(Q928="","",IF(Q928&gt;=200000,"Yes","No"))</f>
        <v/>
      </c>
      <c r="CA928" s="36" t="str">
        <f aca="false">IF(Q928="","",IF(Q928&gt;=250000,"Yes","No"))</f>
        <v/>
      </c>
      <c r="CB928" s="36" t="str">
        <f aca="false">IF(Q928="","",IF(Q928&gt;=300000,"Yes","No"))</f>
        <v/>
      </c>
      <c r="CC928" s="37"/>
      <c r="CD928" s="36" t="str">
        <f aca="true">IF(B928="","",IF(TODAY()-B928&lt;=7,"🟢 0-7d",IF(TODAY()-B928&lt;=30,"🟡 8-30d",IF(TODAY()-B928&lt;=60,"🟠 31-60d","🔴 60d+"))))</f>
        <v/>
      </c>
      <c r="CE928" s="36" t="str">
        <f aca="false">IF(G928="","",IF(G928&lt;&gt;"USA","N/A - Not USA Role",IF(J928="Yes",IF(OR(F928="Intern",F928="New Grad"),"🟡 Possible","🟢 Strong"),IF(J928="No","🔴 Difficult","⚪ Unknown"))))</f>
        <v/>
      </c>
      <c r="CF928" s="37"/>
      <c r="CG928" s="37"/>
      <c r="CH928" s="38"/>
      <c r="CI928" s="38"/>
      <c r="CJ928" s="38"/>
      <c r="CK928" s="38"/>
    </row>
    <row r="929" customFormat="false" ht="15" hidden="false" customHeight="true" outlineLevel="0" collapsed="false">
      <c r="A929" s="26" t="str">
        <f aca="false">IF($C929="","",ROW()-3)</f>
        <v/>
      </c>
      <c r="B929" s="27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9"/>
      <c r="N929" s="29"/>
      <c r="O929" s="30" t="str">
        <f aca="false">IFERROR(IF(M929="","",M929*INDEX('00 - Lists'!$M$2:$M$11,MATCH(L929,'00 - Lists'!$L$2:$L$11,0))/100000),"")</f>
        <v/>
      </c>
      <c r="P929" s="30" t="str">
        <f aca="false">IFERROR(IF(N929="","",N929*INDEX('00 - Lists'!$M$2:$M$11,MATCH(L929,'00 - Lists'!$L$2:$L$11,0))/100000),"")</f>
        <v/>
      </c>
      <c r="Q929" s="31" t="str">
        <f aca="false">IFERROR(IF(M929="","",M929*INDEX('00 - Lists'!$N$2:$N$11,MATCH(L929,'00 - Lists'!$L$2:$L$11,0))),"")</f>
        <v/>
      </c>
      <c r="R929" s="31" t="str">
        <f aca="false">IFERROR(IF(N929="","",N929*INDEX('00 - Lists'!$N$2:$N$11,MATCH(L929,'00 - Lists'!$L$2:$L$11,0))),"")</f>
        <v/>
      </c>
      <c r="S929" s="32" t="str">
        <f aca="false">IF(O929="","",IF(O929&gt;=50,"Yes","No"))</f>
        <v/>
      </c>
      <c r="T929" s="32" t="str">
        <f aca="false">IF(Q929="","",IF(Q929&gt;=100000,"Yes","No"))</f>
        <v/>
      </c>
      <c r="U929" s="28"/>
      <c r="V929" s="28"/>
      <c r="W929" s="28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J929" s="34" t="str">
        <f aca="false">IF(OR($BD929&lt;&gt;"",$BF929&lt;&gt;"",$BH929&lt;&gt;""),"Yes","No")</f>
        <v>No</v>
      </c>
      <c r="BK929" s="35" t="str">
        <f aca="false">IFERROR(IF(BD929="","",BD929*INDEX('00 - Lists'!$M$2:$M$11,MATCH(L929,'00 - Lists'!$L$2:$L$11,0))/100000),"")</f>
        <v/>
      </c>
      <c r="BL929" s="35" t="str">
        <f aca="false">IFERROR(IF(BE929="","",BE929*INDEX('00 - Lists'!$M$2:$M$11,MATCH(L929,'00 - Lists'!$L$2:$L$11,0))/100000),"")</f>
        <v/>
      </c>
      <c r="BM929" s="35" t="str">
        <f aca="false">IFERROR(IF(BF929="","",BF929*INDEX('00 - Lists'!$M$2:$M$11,MATCH(L929,'00 - Lists'!$L$2:$L$11,0))/100000),"")</f>
        <v/>
      </c>
      <c r="BN929" s="35" t="str">
        <f aca="false">IFERROR(IF(BG929="","",BG929*INDEX('00 - Lists'!$M$2:$M$11,MATCH(L929,'00 - Lists'!$L$2:$L$11,0))/100000),"")</f>
        <v/>
      </c>
      <c r="BO929" s="35" t="str">
        <f aca="false">IFERROR(IF(BH929="","",BH929*INDEX('00 - Lists'!$M$2:$M$11,MATCH(L929,'00 - Lists'!$L$2:$L$11,0))/100000),"")</f>
        <v/>
      </c>
      <c r="BP929" s="35" t="str">
        <f aca="false">IFERROR(IF(BI929="","",BI929*INDEX('00 - Lists'!$M$2:$M$11,MATCH(L929,'00 - Lists'!$L$2:$L$11,0))/100000),"")</f>
        <v/>
      </c>
      <c r="BS929" s="36" t="str">
        <f aca="false">IF(O929="","",IF(O929&gt;=20,"Yes","No"))</f>
        <v/>
      </c>
      <c r="BT929" s="36" t="str">
        <f aca="false">IF(O929="","",IF(O929&gt;=30,"Yes","No"))</f>
        <v/>
      </c>
      <c r="BU929" s="36" t="str">
        <f aca="false">IF(O929="","",IF(O929&gt;=75,"Yes","No"))</f>
        <v/>
      </c>
      <c r="BV929" s="36" t="str">
        <f aca="false">IF(O929="","",IF(O929&gt;=100,"Yes","No"))</f>
        <v/>
      </c>
      <c r="BW929" s="36" t="str">
        <f aca="false">IF(O929="","",IF(O929&gt;=150,"Yes","No"))</f>
        <v/>
      </c>
      <c r="BX929" s="36" t="str">
        <f aca="false">IF(O929="","",IF(O929&gt;=200,"Yes","No"))</f>
        <v/>
      </c>
      <c r="BY929" s="36" t="str">
        <f aca="false">IF(Q929="","",IF(Q929&gt;=150000,"Yes","No"))</f>
        <v/>
      </c>
      <c r="BZ929" s="36" t="str">
        <f aca="false">IF(Q929="","",IF(Q929&gt;=200000,"Yes","No"))</f>
        <v/>
      </c>
      <c r="CA929" s="36" t="str">
        <f aca="false">IF(Q929="","",IF(Q929&gt;=250000,"Yes","No"))</f>
        <v/>
      </c>
      <c r="CB929" s="36" t="str">
        <f aca="false">IF(Q929="","",IF(Q929&gt;=300000,"Yes","No"))</f>
        <v/>
      </c>
      <c r="CC929" s="37"/>
      <c r="CD929" s="36" t="str">
        <f aca="true">IF(B929="","",IF(TODAY()-B929&lt;=7,"🟢 0-7d",IF(TODAY()-B929&lt;=30,"🟡 8-30d",IF(TODAY()-B929&lt;=60,"🟠 31-60d","🔴 60d+"))))</f>
        <v/>
      </c>
      <c r="CE929" s="36" t="str">
        <f aca="false">IF(G929="","",IF(G929&lt;&gt;"USA","N/A - Not USA Role",IF(J929="Yes",IF(OR(F929="Intern",F929="New Grad"),"🟡 Possible","🟢 Strong"),IF(J929="No","🔴 Difficult","⚪ Unknown"))))</f>
        <v/>
      </c>
      <c r="CF929" s="37"/>
      <c r="CG929" s="37"/>
      <c r="CH929" s="38"/>
      <c r="CI929" s="38"/>
      <c r="CJ929" s="38"/>
      <c r="CK929" s="38"/>
    </row>
    <row r="930" customFormat="false" ht="15" hidden="false" customHeight="true" outlineLevel="0" collapsed="false">
      <c r="A930" s="26" t="str">
        <f aca="false">IF($C930="","",ROW()-3)</f>
        <v/>
      </c>
      <c r="B930" s="27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9"/>
      <c r="N930" s="29"/>
      <c r="O930" s="30" t="str">
        <f aca="false">IFERROR(IF(M930="","",M930*INDEX('00 - Lists'!$M$2:$M$11,MATCH(L930,'00 - Lists'!$L$2:$L$11,0))/100000),"")</f>
        <v/>
      </c>
      <c r="P930" s="30" t="str">
        <f aca="false">IFERROR(IF(N930="","",N930*INDEX('00 - Lists'!$M$2:$M$11,MATCH(L930,'00 - Lists'!$L$2:$L$11,0))/100000),"")</f>
        <v/>
      </c>
      <c r="Q930" s="31" t="str">
        <f aca="false">IFERROR(IF(M930="","",M930*INDEX('00 - Lists'!$N$2:$N$11,MATCH(L930,'00 - Lists'!$L$2:$L$11,0))),"")</f>
        <v/>
      </c>
      <c r="R930" s="31" t="str">
        <f aca="false">IFERROR(IF(N930="","",N930*INDEX('00 - Lists'!$N$2:$N$11,MATCH(L930,'00 - Lists'!$L$2:$L$11,0))),"")</f>
        <v/>
      </c>
      <c r="S930" s="32" t="str">
        <f aca="false">IF(O930="","",IF(O930&gt;=50,"Yes","No"))</f>
        <v/>
      </c>
      <c r="T930" s="32" t="str">
        <f aca="false">IF(Q930="","",IF(Q930&gt;=100000,"Yes","No"))</f>
        <v/>
      </c>
      <c r="U930" s="28"/>
      <c r="V930" s="28"/>
      <c r="W930" s="28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J930" s="34" t="str">
        <f aca="false">IF(OR($BD930&lt;&gt;"",$BF930&lt;&gt;"",$BH930&lt;&gt;""),"Yes","No")</f>
        <v>No</v>
      </c>
      <c r="BK930" s="35" t="str">
        <f aca="false">IFERROR(IF(BD930="","",BD930*INDEX('00 - Lists'!$M$2:$M$11,MATCH(L930,'00 - Lists'!$L$2:$L$11,0))/100000),"")</f>
        <v/>
      </c>
      <c r="BL930" s="35" t="str">
        <f aca="false">IFERROR(IF(BE930="","",BE930*INDEX('00 - Lists'!$M$2:$M$11,MATCH(L930,'00 - Lists'!$L$2:$L$11,0))/100000),"")</f>
        <v/>
      </c>
      <c r="BM930" s="35" t="str">
        <f aca="false">IFERROR(IF(BF930="","",BF930*INDEX('00 - Lists'!$M$2:$M$11,MATCH(L930,'00 - Lists'!$L$2:$L$11,0))/100000),"")</f>
        <v/>
      </c>
      <c r="BN930" s="35" t="str">
        <f aca="false">IFERROR(IF(BG930="","",BG930*INDEX('00 - Lists'!$M$2:$M$11,MATCH(L930,'00 - Lists'!$L$2:$L$11,0))/100000),"")</f>
        <v/>
      </c>
      <c r="BO930" s="35" t="str">
        <f aca="false">IFERROR(IF(BH930="","",BH930*INDEX('00 - Lists'!$M$2:$M$11,MATCH(L930,'00 - Lists'!$L$2:$L$11,0))/100000),"")</f>
        <v/>
      </c>
      <c r="BP930" s="35" t="str">
        <f aca="false">IFERROR(IF(BI930="","",BI930*INDEX('00 - Lists'!$M$2:$M$11,MATCH(L930,'00 - Lists'!$L$2:$L$11,0))/100000),"")</f>
        <v/>
      </c>
      <c r="BS930" s="36" t="str">
        <f aca="false">IF(O930="","",IF(O930&gt;=20,"Yes","No"))</f>
        <v/>
      </c>
      <c r="BT930" s="36" t="str">
        <f aca="false">IF(O930="","",IF(O930&gt;=30,"Yes","No"))</f>
        <v/>
      </c>
      <c r="BU930" s="36" t="str">
        <f aca="false">IF(O930="","",IF(O930&gt;=75,"Yes","No"))</f>
        <v/>
      </c>
      <c r="BV930" s="36" t="str">
        <f aca="false">IF(O930="","",IF(O930&gt;=100,"Yes","No"))</f>
        <v/>
      </c>
      <c r="BW930" s="36" t="str">
        <f aca="false">IF(O930="","",IF(O930&gt;=150,"Yes","No"))</f>
        <v/>
      </c>
      <c r="BX930" s="36" t="str">
        <f aca="false">IF(O930="","",IF(O930&gt;=200,"Yes","No"))</f>
        <v/>
      </c>
      <c r="BY930" s="36" t="str">
        <f aca="false">IF(Q930="","",IF(Q930&gt;=150000,"Yes","No"))</f>
        <v/>
      </c>
      <c r="BZ930" s="36" t="str">
        <f aca="false">IF(Q930="","",IF(Q930&gt;=200000,"Yes","No"))</f>
        <v/>
      </c>
      <c r="CA930" s="36" t="str">
        <f aca="false">IF(Q930="","",IF(Q930&gt;=250000,"Yes","No"))</f>
        <v/>
      </c>
      <c r="CB930" s="36" t="str">
        <f aca="false">IF(Q930="","",IF(Q930&gt;=300000,"Yes","No"))</f>
        <v/>
      </c>
      <c r="CC930" s="37"/>
      <c r="CD930" s="36" t="str">
        <f aca="true">IF(B930="","",IF(TODAY()-B930&lt;=7,"🟢 0-7d",IF(TODAY()-B930&lt;=30,"🟡 8-30d",IF(TODAY()-B930&lt;=60,"🟠 31-60d","🔴 60d+"))))</f>
        <v/>
      </c>
      <c r="CE930" s="36" t="str">
        <f aca="false">IF(G930="","",IF(G930&lt;&gt;"USA","N/A - Not USA Role",IF(J930="Yes",IF(OR(F930="Intern",F930="New Grad"),"🟡 Possible","🟢 Strong"),IF(J930="No","🔴 Difficult","⚪ Unknown"))))</f>
        <v/>
      </c>
      <c r="CF930" s="37"/>
      <c r="CG930" s="37"/>
      <c r="CH930" s="38"/>
      <c r="CI930" s="38"/>
      <c r="CJ930" s="38"/>
      <c r="CK930" s="38"/>
    </row>
    <row r="931" customFormat="false" ht="15" hidden="false" customHeight="true" outlineLevel="0" collapsed="false">
      <c r="A931" s="26" t="str">
        <f aca="false">IF($C931="","",ROW()-3)</f>
        <v/>
      </c>
      <c r="B931" s="27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9"/>
      <c r="N931" s="29"/>
      <c r="O931" s="30" t="str">
        <f aca="false">IFERROR(IF(M931="","",M931*INDEX('00 - Lists'!$M$2:$M$11,MATCH(L931,'00 - Lists'!$L$2:$L$11,0))/100000),"")</f>
        <v/>
      </c>
      <c r="P931" s="30" t="str">
        <f aca="false">IFERROR(IF(N931="","",N931*INDEX('00 - Lists'!$M$2:$M$11,MATCH(L931,'00 - Lists'!$L$2:$L$11,0))/100000),"")</f>
        <v/>
      </c>
      <c r="Q931" s="31" t="str">
        <f aca="false">IFERROR(IF(M931="","",M931*INDEX('00 - Lists'!$N$2:$N$11,MATCH(L931,'00 - Lists'!$L$2:$L$11,0))),"")</f>
        <v/>
      </c>
      <c r="R931" s="31" t="str">
        <f aca="false">IFERROR(IF(N931="","",N931*INDEX('00 - Lists'!$N$2:$N$11,MATCH(L931,'00 - Lists'!$L$2:$L$11,0))),"")</f>
        <v/>
      </c>
      <c r="S931" s="32" t="str">
        <f aca="false">IF(O931="","",IF(O931&gt;=50,"Yes","No"))</f>
        <v/>
      </c>
      <c r="T931" s="32" t="str">
        <f aca="false">IF(Q931="","",IF(Q931&gt;=100000,"Yes","No"))</f>
        <v/>
      </c>
      <c r="U931" s="28"/>
      <c r="V931" s="28"/>
      <c r="W931" s="28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J931" s="34" t="str">
        <f aca="false">IF(OR($BD931&lt;&gt;"",$BF931&lt;&gt;"",$BH931&lt;&gt;""),"Yes","No")</f>
        <v>No</v>
      </c>
      <c r="BK931" s="35" t="str">
        <f aca="false">IFERROR(IF(BD931="","",BD931*INDEX('00 - Lists'!$M$2:$M$11,MATCH(L931,'00 - Lists'!$L$2:$L$11,0))/100000),"")</f>
        <v/>
      </c>
      <c r="BL931" s="35" t="str">
        <f aca="false">IFERROR(IF(BE931="","",BE931*INDEX('00 - Lists'!$M$2:$M$11,MATCH(L931,'00 - Lists'!$L$2:$L$11,0))/100000),"")</f>
        <v/>
      </c>
      <c r="BM931" s="35" t="str">
        <f aca="false">IFERROR(IF(BF931="","",BF931*INDEX('00 - Lists'!$M$2:$M$11,MATCH(L931,'00 - Lists'!$L$2:$L$11,0))/100000),"")</f>
        <v/>
      </c>
      <c r="BN931" s="35" t="str">
        <f aca="false">IFERROR(IF(BG931="","",BG931*INDEX('00 - Lists'!$M$2:$M$11,MATCH(L931,'00 - Lists'!$L$2:$L$11,0))/100000),"")</f>
        <v/>
      </c>
      <c r="BO931" s="35" t="str">
        <f aca="false">IFERROR(IF(BH931="","",BH931*INDEX('00 - Lists'!$M$2:$M$11,MATCH(L931,'00 - Lists'!$L$2:$L$11,0))/100000),"")</f>
        <v/>
      </c>
      <c r="BP931" s="35" t="str">
        <f aca="false">IFERROR(IF(BI931="","",BI931*INDEX('00 - Lists'!$M$2:$M$11,MATCH(L931,'00 - Lists'!$L$2:$L$11,0))/100000),"")</f>
        <v/>
      </c>
      <c r="BS931" s="36" t="str">
        <f aca="false">IF(O931="","",IF(O931&gt;=20,"Yes","No"))</f>
        <v/>
      </c>
      <c r="BT931" s="36" t="str">
        <f aca="false">IF(O931="","",IF(O931&gt;=30,"Yes","No"))</f>
        <v/>
      </c>
      <c r="BU931" s="36" t="str">
        <f aca="false">IF(O931="","",IF(O931&gt;=75,"Yes","No"))</f>
        <v/>
      </c>
      <c r="BV931" s="36" t="str">
        <f aca="false">IF(O931="","",IF(O931&gt;=100,"Yes","No"))</f>
        <v/>
      </c>
      <c r="BW931" s="36" t="str">
        <f aca="false">IF(O931="","",IF(O931&gt;=150,"Yes","No"))</f>
        <v/>
      </c>
      <c r="BX931" s="36" t="str">
        <f aca="false">IF(O931="","",IF(O931&gt;=200,"Yes","No"))</f>
        <v/>
      </c>
      <c r="BY931" s="36" t="str">
        <f aca="false">IF(Q931="","",IF(Q931&gt;=150000,"Yes","No"))</f>
        <v/>
      </c>
      <c r="BZ931" s="36" t="str">
        <f aca="false">IF(Q931="","",IF(Q931&gt;=200000,"Yes","No"))</f>
        <v/>
      </c>
      <c r="CA931" s="36" t="str">
        <f aca="false">IF(Q931="","",IF(Q931&gt;=250000,"Yes","No"))</f>
        <v/>
      </c>
      <c r="CB931" s="36" t="str">
        <f aca="false">IF(Q931="","",IF(Q931&gt;=300000,"Yes","No"))</f>
        <v/>
      </c>
      <c r="CC931" s="37"/>
      <c r="CD931" s="36" t="str">
        <f aca="true">IF(B931="","",IF(TODAY()-B931&lt;=7,"🟢 0-7d",IF(TODAY()-B931&lt;=30,"🟡 8-30d",IF(TODAY()-B931&lt;=60,"🟠 31-60d","🔴 60d+"))))</f>
        <v/>
      </c>
      <c r="CE931" s="36" t="str">
        <f aca="false">IF(G931="","",IF(G931&lt;&gt;"USA","N/A - Not USA Role",IF(J931="Yes",IF(OR(F931="Intern",F931="New Grad"),"🟡 Possible","🟢 Strong"),IF(J931="No","🔴 Difficult","⚪ Unknown"))))</f>
        <v/>
      </c>
      <c r="CF931" s="37"/>
      <c r="CG931" s="37"/>
      <c r="CH931" s="38"/>
      <c r="CI931" s="38"/>
      <c r="CJ931" s="38"/>
      <c r="CK931" s="38"/>
    </row>
    <row r="932" customFormat="false" ht="15" hidden="false" customHeight="true" outlineLevel="0" collapsed="false">
      <c r="A932" s="26" t="str">
        <f aca="false">IF($C932="","",ROW()-3)</f>
        <v/>
      </c>
      <c r="B932" s="27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9"/>
      <c r="N932" s="29"/>
      <c r="O932" s="30" t="str">
        <f aca="false">IFERROR(IF(M932="","",M932*INDEX('00 - Lists'!$M$2:$M$11,MATCH(L932,'00 - Lists'!$L$2:$L$11,0))/100000),"")</f>
        <v/>
      </c>
      <c r="P932" s="30" t="str">
        <f aca="false">IFERROR(IF(N932="","",N932*INDEX('00 - Lists'!$M$2:$M$11,MATCH(L932,'00 - Lists'!$L$2:$L$11,0))/100000),"")</f>
        <v/>
      </c>
      <c r="Q932" s="31" t="str">
        <f aca="false">IFERROR(IF(M932="","",M932*INDEX('00 - Lists'!$N$2:$N$11,MATCH(L932,'00 - Lists'!$L$2:$L$11,0))),"")</f>
        <v/>
      </c>
      <c r="R932" s="31" t="str">
        <f aca="false">IFERROR(IF(N932="","",N932*INDEX('00 - Lists'!$N$2:$N$11,MATCH(L932,'00 - Lists'!$L$2:$L$11,0))),"")</f>
        <v/>
      </c>
      <c r="S932" s="32" t="str">
        <f aca="false">IF(O932="","",IF(O932&gt;=50,"Yes","No"))</f>
        <v/>
      </c>
      <c r="T932" s="32" t="str">
        <f aca="false">IF(Q932="","",IF(Q932&gt;=100000,"Yes","No"))</f>
        <v/>
      </c>
      <c r="U932" s="28"/>
      <c r="V932" s="28"/>
      <c r="W932" s="28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J932" s="34" t="str">
        <f aca="false">IF(OR($BD932&lt;&gt;"",$BF932&lt;&gt;"",$BH932&lt;&gt;""),"Yes","No")</f>
        <v>No</v>
      </c>
      <c r="BK932" s="35" t="str">
        <f aca="false">IFERROR(IF(BD932="","",BD932*INDEX('00 - Lists'!$M$2:$M$11,MATCH(L932,'00 - Lists'!$L$2:$L$11,0))/100000),"")</f>
        <v/>
      </c>
      <c r="BL932" s="35" t="str">
        <f aca="false">IFERROR(IF(BE932="","",BE932*INDEX('00 - Lists'!$M$2:$M$11,MATCH(L932,'00 - Lists'!$L$2:$L$11,0))/100000),"")</f>
        <v/>
      </c>
      <c r="BM932" s="35" t="str">
        <f aca="false">IFERROR(IF(BF932="","",BF932*INDEX('00 - Lists'!$M$2:$M$11,MATCH(L932,'00 - Lists'!$L$2:$L$11,0))/100000),"")</f>
        <v/>
      </c>
      <c r="BN932" s="35" t="str">
        <f aca="false">IFERROR(IF(BG932="","",BG932*INDEX('00 - Lists'!$M$2:$M$11,MATCH(L932,'00 - Lists'!$L$2:$L$11,0))/100000),"")</f>
        <v/>
      </c>
      <c r="BO932" s="35" t="str">
        <f aca="false">IFERROR(IF(BH932="","",BH932*INDEX('00 - Lists'!$M$2:$M$11,MATCH(L932,'00 - Lists'!$L$2:$L$11,0))/100000),"")</f>
        <v/>
      </c>
      <c r="BP932" s="35" t="str">
        <f aca="false">IFERROR(IF(BI932="","",BI932*INDEX('00 - Lists'!$M$2:$M$11,MATCH(L932,'00 - Lists'!$L$2:$L$11,0))/100000),"")</f>
        <v/>
      </c>
      <c r="BS932" s="36" t="str">
        <f aca="false">IF(O932="","",IF(O932&gt;=20,"Yes","No"))</f>
        <v/>
      </c>
      <c r="BT932" s="36" t="str">
        <f aca="false">IF(O932="","",IF(O932&gt;=30,"Yes","No"))</f>
        <v/>
      </c>
      <c r="BU932" s="36" t="str">
        <f aca="false">IF(O932="","",IF(O932&gt;=75,"Yes","No"))</f>
        <v/>
      </c>
      <c r="BV932" s="36" t="str">
        <f aca="false">IF(O932="","",IF(O932&gt;=100,"Yes","No"))</f>
        <v/>
      </c>
      <c r="BW932" s="36" t="str">
        <f aca="false">IF(O932="","",IF(O932&gt;=150,"Yes","No"))</f>
        <v/>
      </c>
      <c r="BX932" s="36" t="str">
        <f aca="false">IF(O932="","",IF(O932&gt;=200,"Yes","No"))</f>
        <v/>
      </c>
      <c r="BY932" s="36" t="str">
        <f aca="false">IF(Q932="","",IF(Q932&gt;=150000,"Yes","No"))</f>
        <v/>
      </c>
      <c r="BZ932" s="36" t="str">
        <f aca="false">IF(Q932="","",IF(Q932&gt;=200000,"Yes","No"))</f>
        <v/>
      </c>
      <c r="CA932" s="36" t="str">
        <f aca="false">IF(Q932="","",IF(Q932&gt;=250000,"Yes","No"))</f>
        <v/>
      </c>
      <c r="CB932" s="36" t="str">
        <f aca="false">IF(Q932="","",IF(Q932&gt;=300000,"Yes","No"))</f>
        <v/>
      </c>
      <c r="CC932" s="37"/>
      <c r="CD932" s="36" t="str">
        <f aca="true">IF(B932="","",IF(TODAY()-B932&lt;=7,"🟢 0-7d",IF(TODAY()-B932&lt;=30,"🟡 8-30d",IF(TODAY()-B932&lt;=60,"🟠 31-60d","🔴 60d+"))))</f>
        <v/>
      </c>
      <c r="CE932" s="36" t="str">
        <f aca="false">IF(G932="","",IF(G932&lt;&gt;"USA","N/A - Not USA Role",IF(J932="Yes",IF(OR(F932="Intern",F932="New Grad"),"🟡 Possible","🟢 Strong"),IF(J932="No","🔴 Difficult","⚪ Unknown"))))</f>
        <v/>
      </c>
      <c r="CF932" s="37"/>
      <c r="CG932" s="37"/>
      <c r="CH932" s="38"/>
      <c r="CI932" s="38"/>
      <c r="CJ932" s="38"/>
      <c r="CK932" s="38"/>
    </row>
    <row r="933" customFormat="false" ht="15" hidden="false" customHeight="true" outlineLevel="0" collapsed="false">
      <c r="A933" s="26" t="str">
        <f aca="false">IF($C933="","",ROW()-3)</f>
        <v/>
      </c>
      <c r="B933" s="27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9"/>
      <c r="N933" s="29"/>
      <c r="O933" s="30" t="str">
        <f aca="false">IFERROR(IF(M933="","",M933*INDEX('00 - Lists'!$M$2:$M$11,MATCH(L933,'00 - Lists'!$L$2:$L$11,0))/100000),"")</f>
        <v/>
      </c>
      <c r="P933" s="30" t="str">
        <f aca="false">IFERROR(IF(N933="","",N933*INDEX('00 - Lists'!$M$2:$M$11,MATCH(L933,'00 - Lists'!$L$2:$L$11,0))/100000),"")</f>
        <v/>
      </c>
      <c r="Q933" s="31" t="str">
        <f aca="false">IFERROR(IF(M933="","",M933*INDEX('00 - Lists'!$N$2:$N$11,MATCH(L933,'00 - Lists'!$L$2:$L$11,0))),"")</f>
        <v/>
      </c>
      <c r="R933" s="31" t="str">
        <f aca="false">IFERROR(IF(N933="","",N933*INDEX('00 - Lists'!$N$2:$N$11,MATCH(L933,'00 - Lists'!$L$2:$L$11,0))),"")</f>
        <v/>
      </c>
      <c r="S933" s="32" t="str">
        <f aca="false">IF(O933="","",IF(O933&gt;=50,"Yes","No"))</f>
        <v/>
      </c>
      <c r="T933" s="32" t="str">
        <f aca="false">IF(Q933="","",IF(Q933&gt;=100000,"Yes","No"))</f>
        <v/>
      </c>
      <c r="U933" s="28"/>
      <c r="V933" s="28"/>
      <c r="W933" s="28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J933" s="34" t="str">
        <f aca="false">IF(OR($BD933&lt;&gt;"",$BF933&lt;&gt;"",$BH933&lt;&gt;""),"Yes","No")</f>
        <v>No</v>
      </c>
      <c r="BK933" s="35" t="str">
        <f aca="false">IFERROR(IF(BD933="","",BD933*INDEX('00 - Lists'!$M$2:$M$11,MATCH(L933,'00 - Lists'!$L$2:$L$11,0))/100000),"")</f>
        <v/>
      </c>
      <c r="BL933" s="35" t="str">
        <f aca="false">IFERROR(IF(BE933="","",BE933*INDEX('00 - Lists'!$M$2:$M$11,MATCH(L933,'00 - Lists'!$L$2:$L$11,0))/100000),"")</f>
        <v/>
      </c>
      <c r="BM933" s="35" t="str">
        <f aca="false">IFERROR(IF(BF933="","",BF933*INDEX('00 - Lists'!$M$2:$M$11,MATCH(L933,'00 - Lists'!$L$2:$L$11,0))/100000),"")</f>
        <v/>
      </c>
      <c r="BN933" s="35" t="str">
        <f aca="false">IFERROR(IF(BG933="","",BG933*INDEX('00 - Lists'!$M$2:$M$11,MATCH(L933,'00 - Lists'!$L$2:$L$11,0))/100000),"")</f>
        <v/>
      </c>
      <c r="BO933" s="35" t="str">
        <f aca="false">IFERROR(IF(BH933="","",BH933*INDEX('00 - Lists'!$M$2:$M$11,MATCH(L933,'00 - Lists'!$L$2:$L$11,0))/100000),"")</f>
        <v/>
      </c>
      <c r="BP933" s="35" t="str">
        <f aca="false">IFERROR(IF(BI933="","",BI933*INDEX('00 - Lists'!$M$2:$M$11,MATCH(L933,'00 - Lists'!$L$2:$L$11,0))/100000),"")</f>
        <v/>
      </c>
      <c r="BS933" s="36" t="str">
        <f aca="false">IF(O933="","",IF(O933&gt;=20,"Yes","No"))</f>
        <v/>
      </c>
      <c r="BT933" s="36" t="str">
        <f aca="false">IF(O933="","",IF(O933&gt;=30,"Yes","No"))</f>
        <v/>
      </c>
      <c r="BU933" s="36" t="str">
        <f aca="false">IF(O933="","",IF(O933&gt;=75,"Yes","No"))</f>
        <v/>
      </c>
      <c r="BV933" s="36" t="str">
        <f aca="false">IF(O933="","",IF(O933&gt;=100,"Yes","No"))</f>
        <v/>
      </c>
      <c r="BW933" s="36" t="str">
        <f aca="false">IF(O933="","",IF(O933&gt;=150,"Yes","No"))</f>
        <v/>
      </c>
      <c r="BX933" s="36" t="str">
        <f aca="false">IF(O933="","",IF(O933&gt;=200,"Yes","No"))</f>
        <v/>
      </c>
      <c r="BY933" s="36" t="str">
        <f aca="false">IF(Q933="","",IF(Q933&gt;=150000,"Yes","No"))</f>
        <v/>
      </c>
      <c r="BZ933" s="36" t="str">
        <f aca="false">IF(Q933="","",IF(Q933&gt;=200000,"Yes","No"))</f>
        <v/>
      </c>
      <c r="CA933" s="36" t="str">
        <f aca="false">IF(Q933="","",IF(Q933&gt;=250000,"Yes","No"))</f>
        <v/>
      </c>
      <c r="CB933" s="36" t="str">
        <f aca="false">IF(Q933="","",IF(Q933&gt;=300000,"Yes","No"))</f>
        <v/>
      </c>
      <c r="CC933" s="37"/>
      <c r="CD933" s="36" t="str">
        <f aca="true">IF(B933="","",IF(TODAY()-B933&lt;=7,"🟢 0-7d",IF(TODAY()-B933&lt;=30,"🟡 8-30d",IF(TODAY()-B933&lt;=60,"🟠 31-60d","🔴 60d+"))))</f>
        <v/>
      </c>
      <c r="CE933" s="36" t="str">
        <f aca="false">IF(G933="","",IF(G933&lt;&gt;"USA","N/A - Not USA Role",IF(J933="Yes",IF(OR(F933="Intern",F933="New Grad"),"🟡 Possible","🟢 Strong"),IF(J933="No","🔴 Difficult","⚪ Unknown"))))</f>
        <v/>
      </c>
      <c r="CF933" s="37"/>
      <c r="CG933" s="37"/>
      <c r="CH933" s="38"/>
      <c r="CI933" s="38"/>
      <c r="CJ933" s="38"/>
      <c r="CK933" s="38"/>
    </row>
    <row r="934" customFormat="false" ht="15" hidden="false" customHeight="true" outlineLevel="0" collapsed="false">
      <c r="A934" s="26" t="str">
        <f aca="false">IF($C934="","",ROW()-3)</f>
        <v/>
      </c>
      <c r="B934" s="27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9"/>
      <c r="N934" s="29"/>
      <c r="O934" s="30" t="str">
        <f aca="false">IFERROR(IF(M934="","",M934*INDEX('00 - Lists'!$M$2:$M$11,MATCH(L934,'00 - Lists'!$L$2:$L$11,0))/100000),"")</f>
        <v/>
      </c>
      <c r="P934" s="30" t="str">
        <f aca="false">IFERROR(IF(N934="","",N934*INDEX('00 - Lists'!$M$2:$M$11,MATCH(L934,'00 - Lists'!$L$2:$L$11,0))/100000),"")</f>
        <v/>
      </c>
      <c r="Q934" s="31" t="str">
        <f aca="false">IFERROR(IF(M934="","",M934*INDEX('00 - Lists'!$N$2:$N$11,MATCH(L934,'00 - Lists'!$L$2:$L$11,0))),"")</f>
        <v/>
      </c>
      <c r="R934" s="31" t="str">
        <f aca="false">IFERROR(IF(N934="","",N934*INDEX('00 - Lists'!$N$2:$N$11,MATCH(L934,'00 - Lists'!$L$2:$L$11,0))),"")</f>
        <v/>
      </c>
      <c r="S934" s="32" t="str">
        <f aca="false">IF(O934="","",IF(O934&gt;=50,"Yes","No"))</f>
        <v/>
      </c>
      <c r="T934" s="32" t="str">
        <f aca="false">IF(Q934="","",IF(Q934&gt;=100000,"Yes","No"))</f>
        <v/>
      </c>
      <c r="U934" s="28"/>
      <c r="V934" s="28"/>
      <c r="W934" s="28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J934" s="34" t="str">
        <f aca="false">IF(OR($BD934&lt;&gt;"",$BF934&lt;&gt;"",$BH934&lt;&gt;""),"Yes","No")</f>
        <v>No</v>
      </c>
      <c r="BK934" s="35" t="str">
        <f aca="false">IFERROR(IF(BD934="","",BD934*INDEX('00 - Lists'!$M$2:$M$11,MATCH(L934,'00 - Lists'!$L$2:$L$11,0))/100000),"")</f>
        <v/>
      </c>
      <c r="BL934" s="35" t="str">
        <f aca="false">IFERROR(IF(BE934="","",BE934*INDEX('00 - Lists'!$M$2:$M$11,MATCH(L934,'00 - Lists'!$L$2:$L$11,0))/100000),"")</f>
        <v/>
      </c>
      <c r="BM934" s="35" t="str">
        <f aca="false">IFERROR(IF(BF934="","",BF934*INDEX('00 - Lists'!$M$2:$M$11,MATCH(L934,'00 - Lists'!$L$2:$L$11,0))/100000),"")</f>
        <v/>
      </c>
      <c r="BN934" s="35" t="str">
        <f aca="false">IFERROR(IF(BG934="","",BG934*INDEX('00 - Lists'!$M$2:$M$11,MATCH(L934,'00 - Lists'!$L$2:$L$11,0))/100000),"")</f>
        <v/>
      </c>
      <c r="BO934" s="35" t="str">
        <f aca="false">IFERROR(IF(BH934="","",BH934*INDEX('00 - Lists'!$M$2:$M$11,MATCH(L934,'00 - Lists'!$L$2:$L$11,0))/100000),"")</f>
        <v/>
      </c>
      <c r="BP934" s="35" t="str">
        <f aca="false">IFERROR(IF(BI934="","",BI934*INDEX('00 - Lists'!$M$2:$M$11,MATCH(L934,'00 - Lists'!$L$2:$L$11,0))/100000),"")</f>
        <v/>
      </c>
      <c r="BS934" s="36" t="str">
        <f aca="false">IF(O934="","",IF(O934&gt;=20,"Yes","No"))</f>
        <v/>
      </c>
      <c r="BT934" s="36" t="str">
        <f aca="false">IF(O934="","",IF(O934&gt;=30,"Yes","No"))</f>
        <v/>
      </c>
      <c r="BU934" s="36" t="str">
        <f aca="false">IF(O934="","",IF(O934&gt;=75,"Yes","No"))</f>
        <v/>
      </c>
      <c r="BV934" s="36" t="str">
        <f aca="false">IF(O934="","",IF(O934&gt;=100,"Yes","No"))</f>
        <v/>
      </c>
      <c r="BW934" s="36" t="str">
        <f aca="false">IF(O934="","",IF(O934&gt;=150,"Yes","No"))</f>
        <v/>
      </c>
      <c r="BX934" s="36" t="str">
        <f aca="false">IF(O934="","",IF(O934&gt;=200,"Yes","No"))</f>
        <v/>
      </c>
      <c r="BY934" s="36" t="str">
        <f aca="false">IF(Q934="","",IF(Q934&gt;=150000,"Yes","No"))</f>
        <v/>
      </c>
      <c r="BZ934" s="36" t="str">
        <f aca="false">IF(Q934="","",IF(Q934&gt;=200000,"Yes","No"))</f>
        <v/>
      </c>
      <c r="CA934" s="36" t="str">
        <f aca="false">IF(Q934="","",IF(Q934&gt;=250000,"Yes","No"))</f>
        <v/>
      </c>
      <c r="CB934" s="36" t="str">
        <f aca="false">IF(Q934="","",IF(Q934&gt;=300000,"Yes","No"))</f>
        <v/>
      </c>
      <c r="CC934" s="37"/>
      <c r="CD934" s="36" t="str">
        <f aca="true">IF(B934="","",IF(TODAY()-B934&lt;=7,"🟢 0-7d",IF(TODAY()-B934&lt;=30,"🟡 8-30d",IF(TODAY()-B934&lt;=60,"🟠 31-60d","🔴 60d+"))))</f>
        <v/>
      </c>
      <c r="CE934" s="36" t="str">
        <f aca="false">IF(G934="","",IF(G934&lt;&gt;"USA","N/A - Not USA Role",IF(J934="Yes",IF(OR(F934="Intern",F934="New Grad"),"🟡 Possible","🟢 Strong"),IF(J934="No","🔴 Difficult","⚪ Unknown"))))</f>
        <v/>
      </c>
      <c r="CF934" s="37"/>
      <c r="CG934" s="37"/>
      <c r="CH934" s="38"/>
      <c r="CI934" s="38"/>
      <c r="CJ934" s="38"/>
      <c r="CK934" s="38"/>
    </row>
    <row r="935" customFormat="false" ht="15" hidden="false" customHeight="true" outlineLevel="0" collapsed="false">
      <c r="A935" s="26" t="str">
        <f aca="false">IF($C935="","",ROW()-3)</f>
        <v/>
      </c>
      <c r="B935" s="27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9"/>
      <c r="N935" s="29"/>
      <c r="O935" s="30" t="str">
        <f aca="false">IFERROR(IF(M935="","",M935*INDEX('00 - Lists'!$M$2:$M$11,MATCH(L935,'00 - Lists'!$L$2:$L$11,0))/100000),"")</f>
        <v/>
      </c>
      <c r="P935" s="30" t="str">
        <f aca="false">IFERROR(IF(N935="","",N935*INDEX('00 - Lists'!$M$2:$M$11,MATCH(L935,'00 - Lists'!$L$2:$L$11,0))/100000),"")</f>
        <v/>
      </c>
      <c r="Q935" s="31" t="str">
        <f aca="false">IFERROR(IF(M935="","",M935*INDEX('00 - Lists'!$N$2:$N$11,MATCH(L935,'00 - Lists'!$L$2:$L$11,0))),"")</f>
        <v/>
      </c>
      <c r="R935" s="31" t="str">
        <f aca="false">IFERROR(IF(N935="","",N935*INDEX('00 - Lists'!$N$2:$N$11,MATCH(L935,'00 - Lists'!$L$2:$L$11,0))),"")</f>
        <v/>
      </c>
      <c r="S935" s="32" t="str">
        <f aca="false">IF(O935="","",IF(O935&gt;=50,"Yes","No"))</f>
        <v/>
      </c>
      <c r="T935" s="32" t="str">
        <f aca="false">IF(Q935="","",IF(Q935&gt;=100000,"Yes","No"))</f>
        <v/>
      </c>
      <c r="U935" s="28"/>
      <c r="V935" s="28"/>
      <c r="W935" s="28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J935" s="34" t="str">
        <f aca="false">IF(OR($BD935&lt;&gt;"",$BF935&lt;&gt;"",$BH935&lt;&gt;""),"Yes","No")</f>
        <v>No</v>
      </c>
      <c r="BK935" s="35" t="str">
        <f aca="false">IFERROR(IF(BD935="","",BD935*INDEX('00 - Lists'!$M$2:$M$11,MATCH(L935,'00 - Lists'!$L$2:$L$11,0))/100000),"")</f>
        <v/>
      </c>
      <c r="BL935" s="35" t="str">
        <f aca="false">IFERROR(IF(BE935="","",BE935*INDEX('00 - Lists'!$M$2:$M$11,MATCH(L935,'00 - Lists'!$L$2:$L$11,0))/100000),"")</f>
        <v/>
      </c>
      <c r="BM935" s="35" t="str">
        <f aca="false">IFERROR(IF(BF935="","",BF935*INDEX('00 - Lists'!$M$2:$M$11,MATCH(L935,'00 - Lists'!$L$2:$L$11,0))/100000),"")</f>
        <v/>
      </c>
      <c r="BN935" s="35" t="str">
        <f aca="false">IFERROR(IF(BG935="","",BG935*INDEX('00 - Lists'!$M$2:$M$11,MATCH(L935,'00 - Lists'!$L$2:$L$11,0))/100000),"")</f>
        <v/>
      </c>
      <c r="BO935" s="35" t="str">
        <f aca="false">IFERROR(IF(BH935="","",BH935*INDEX('00 - Lists'!$M$2:$M$11,MATCH(L935,'00 - Lists'!$L$2:$L$11,0))/100000),"")</f>
        <v/>
      </c>
      <c r="BP935" s="35" t="str">
        <f aca="false">IFERROR(IF(BI935="","",BI935*INDEX('00 - Lists'!$M$2:$M$11,MATCH(L935,'00 - Lists'!$L$2:$L$11,0))/100000),"")</f>
        <v/>
      </c>
      <c r="BS935" s="36" t="str">
        <f aca="false">IF(O935="","",IF(O935&gt;=20,"Yes","No"))</f>
        <v/>
      </c>
      <c r="BT935" s="36" t="str">
        <f aca="false">IF(O935="","",IF(O935&gt;=30,"Yes","No"))</f>
        <v/>
      </c>
      <c r="BU935" s="36" t="str">
        <f aca="false">IF(O935="","",IF(O935&gt;=75,"Yes","No"))</f>
        <v/>
      </c>
      <c r="BV935" s="36" t="str">
        <f aca="false">IF(O935="","",IF(O935&gt;=100,"Yes","No"))</f>
        <v/>
      </c>
      <c r="BW935" s="36" t="str">
        <f aca="false">IF(O935="","",IF(O935&gt;=150,"Yes","No"))</f>
        <v/>
      </c>
      <c r="BX935" s="36" t="str">
        <f aca="false">IF(O935="","",IF(O935&gt;=200,"Yes","No"))</f>
        <v/>
      </c>
      <c r="BY935" s="36" t="str">
        <f aca="false">IF(Q935="","",IF(Q935&gt;=150000,"Yes","No"))</f>
        <v/>
      </c>
      <c r="BZ935" s="36" t="str">
        <f aca="false">IF(Q935="","",IF(Q935&gt;=200000,"Yes","No"))</f>
        <v/>
      </c>
      <c r="CA935" s="36" t="str">
        <f aca="false">IF(Q935="","",IF(Q935&gt;=250000,"Yes","No"))</f>
        <v/>
      </c>
      <c r="CB935" s="36" t="str">
        <f aca="false">IF(Q935="","",IF(Q935&gt;=300000,"Yes","No"))</f>
        <v/>
      </c>
      <c r="CC935" s="37"/>
      <c r="CD935" s="36" t="str">
        <f aca="true">IF(B935="","",IF(TODAY()-B935&lt;=7,"🟢 0-7d",IF(TODAY()-B935&lt;=30,"🟡 8-30d",IF(TODAY()-B935&lt;=60,"🟠 31-60d","🔴 60d+"))))</f>
        <v/>
      </c>
      <c r="CE935" s="36" t="str">
        <f aca="false">IF(G935="","",IF(G935&lt;&gt;"USA","N/A - Not USA Role",IF(J935="Yes",IF(OR(F935="Intern",F935="New Grad"),"🟡 Possible","🟢 Strong"),IF(J935="No","🔴 Difficult","⚪ Unknown"))))</f>
        <v/>
      </c>
      <c r="CF935" s="37"/>
      <c r="CG935" s="37"/>
      <c r="CH935" s="38"/>
      <c r="CI935" s="38"/>
      <c r="CJ935" s="38"/>
      <c r="CK935" s="38"/>
    </row>
    <row r="936" customFormat="false" ht="15" hidden="false" customHeight="true" outlineLevel="0" collapsed="false">
      <c r="A936" s="26" t="str">
        <f aca="false">IF($C936="","",ROW()-3)</f>
        <v/>
      </c>
      <c r="B936" s="27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9"/>
      <c r="N936" s="29"/>
      <c r="O936" s="30" t="str">
        <f aca="false">IFERROR(IF(M936="","",M936*INDEX('00 - Lists'!$M$2:$M$11,MATCH(L936,'00 - Lists'!$L$2:$L$11,0))/100000),"")</f>
        <v/>
      </c>
      <c r="P936" s="30" t="str">
        <f aca="false">IFERROR(IF(N936="","",N936*INDEX('00 - Lists'!$M$2:$M$11,MATCH(L936,'00 - Lists'!$L$2:$L$11,0))/100000),"")</f>
        <v/>
      </c>
      <c r="Q936" s="31" t="str">
        <f aca="false">IFERROR(IF(M936="","",M936*INDEX('00 - Lists'!$N$2:$N$11,MATCH(L936,'00 - Lists'!$L$2:$L$11,0))),"")</f>
        <v/>
      </c>
      <c r="R936" s="31" t="str">
        <f aca="false">IFERROR(IF(N936="","",N936*INDEX('00 - Lists'!$N$2:$N$11,MATCH(L936,'00 - Lists'!$L$2:$L$11,0))),"")</f>
        <v/>
      </c>
      <c r="S936" s="32" t="str">
        <f aca="false">IF(O936="","",IF(O936&gt;=50,"Yes","No"))</f>
        <v/>
      </c>
      <c r="T936" s="32" t="str">
        <f aca="false">IF(Q936="","",IF(Q936&gt;=100000,"Yes","No"))</f>
        <v/>
      </c>
      <c r="U936" s="28"/>
      <c r="V936" s="28"/>
      <c r="W936" s="28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J936" s="34" t="str">
        <f aca="false">IF(OR($BD936&lt;&gt;"",$BF936&lt;&gt;"",$BH936&lt;&gt;""),"Yes","No")</f>
        <v>No</v>
      </c>
      <c r="BK936" s="35" t="str">
        <f aca="false">IFERROR(IF(BD936="","",BD936*INDEX('00 - Lists'!$M$2:$M$11,MATCH(L936,'00 - Lists'!$L$2:$L$11,0))/100000),"")</f>
        <v/>
      </c>
      <c r="BL936" s="35" t="str">
        <f aca="false">IFERROR(IF(BE936="","",BE936*INDEX('00 - Lists'!$M$2:$M$11,MATCH(L936,'00 - Lists'!$L$2:$L$11,0))/100000),"")</f>
        <v/>
      </c>
      <c r="BM936" s="35" t="str">
        <f aca="false">IFERROR(IF(BF936="","",BF936*INDEX('00 - Lists'!$M$2:$M$11,MATCH(L936,'00 - Lists'!$L$2:$L$11,0))/100000),"")</f>
        <v/>
      </c>
      <c r="BN936" s="35" t="str">
        <f aca="false">IFERROR(IF(BG936="","",BG936*INDEX('00 - Lists'!$M$2:$M$11,MATCH(L936,'00 - Lists'!$L$2:$L$11,0))/100000),"")</f>
        <v/>
      </c>
      <c r="BO936" s="35" t="str">
        <f aca="false">IFERROR(IF(BH936="","",BH936*INDEX('00 - Lists'!$M$2:$M$11,MATCH(L936,'00 - Lists'!$L$2:$L$11,0))/100000),"")</f>
        <v/>
      </c>
      <c r="BP936" s="35" t="str">
        <f aca="false">IFERROR(IF(BI936="","",BI936*INDEX('00 - Lists'!$M$2:$M$11,MATCH(L936,'00 - Lists'!$L$2:$L$11,0))/100000),"")</f>
        <v/>
      </c>
      <c r="BS936" s="36" t="str">
        <f aca="false">IF(O936="","",IF(O936&gt;=20,"Yes","No"))</f>
        <v/>
      </c>
      <c r="BT936" s="36" t="str">
        <f aca="false">IF(O936="","",IF(O936&gt;=30,"Yes","No"))</f>
        <v/>
      </c>
      <c r="BU936" s="36" t="str">
        <f aca="false">IF(O936="","",IF(O936&gt;=75,"Yes","No"))</f>
        <v/>
      </c>
      <c r="BV936" s="36" t="str">
        <f aca="false">IF(O936="","",IF(O936&gt;=100,"Yes","No"))</f>
        <v/>
      </c>
      <c r="BW936" s="36" t="str">
        <f aca="false">IF(O936="","",IF(O936&gt;=150,"Yes","No"))</f>
        <v/>
      </c>
      <c r="BX936" s="36" t="str">
        <f aca="false">IF(O936="","",IF(O936&gt;=200,"Yes","No"))</f>
        <v/>
      </c>
      <c r="BY936" s="36" t="str">
        <f aca="false">IF(Q936="","",IF(Q936&gt;=150000,"Yes","No"))</f>
        <v/>
      </c>
      <c r="BZ936" s="36" t="str">
        <f aca="false">IF(Q936="","",IF(Q936&gt;=200000,"Yes","No"))</f>
        <v/>
      </c>
      <c r="CA936" s="36" t="str">
        <f aca="false">IF(Q936="","",IF(Q936&gt;=250000,"Yes","No"))</f>
        <v/>
      </c>
      <c r="CB936" s="36" t="str">
        <f aca="false">IF(Q936="","",IF(Q936&gt;=300000,"Yes","No"))</f>
        <v/>
      </c>
      <c r="CC936" s="37"/>
      <c r="CD936" s="36" t="str">
        <f aca="true">IF(B936="","",IF(TODAY()-B936&lt;=7,"🟢 0-7d",IF(TODAY()-B936&lt;=30,"🟡 8-30d",IF(TODAY()-B936&lt;=60,"🟠 31-60d","🔴 60d+"))))</f>
        <v/>
      </c>
      <c r="CE936" s="36" t="str">
        <f aca="false">IF(G936="","",IF(G936&lt;&gt;"USA","N/A - Not USA Role",IF(J936="Yes",IF(OR(F936="Intern",F936="New Grad"),"🟡 Possible","🟢 Strong"),IF(J936="No","🔴 Difficult","⚪ Unknown"))))</f>
        <v/>
      </c>
      <c r="CF936" s="37"/>
      <c r="CG936" s="37"/>
      <c r="CH936" s="38"/>
      <c r="CI936" s="38"/>
      <c r="CJ936" s="38"/>
      <c r="CK936" s="38"/>
    </row>
    <row r="937" customFormat="false" ht="15" hidden="false" customHeight="true" outlineLevel="0" collapsed="false">
      <c r="A937" s="26" t="str">
        <f aca="false">IF($C937="","",ROW()-3)</f>
        <v/>
      </c>
      <c r="B937" s="27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9"/>
      <c r="N937" s="29"/>
      <c r="O937" s="30" t="str">
        <f aca="false">IFERROR(IF(M937="","",M937*INDEX('00 - Lists'!$M$2:$M$11,MATCH(L937,'00 - Lists'!$L$2:$L$11,0))/100000),"")</f>
        <v/>
      </c>
      <c r="P937" s="30" t="str">
        <f aca="false">IFERROR(IF(N937="","",N937*INDEX('00 - Lists'!$M$2:$M$11,MATCH(L937,'00 - Lists'!$L$2:$L$11,0))/100000),"")</f>
        <v/>
      </c>
      <c r="Q937" s="31" t="str">
        <f aca="false">IFERROR(IF(M937="","",M937*INDEX('00 - Lists'!$N$2:$N$11,MATCH(L937,'00 - Lists'!$L$2:$L$11,0))),"")</f>
        <v/>
      </c>
      <c r="R937" s="31" t="str">
        <f aca="false">IFERROR(IF(N937="","",N937*INDEX('00 - Lists'!$N$2:$N$11,MATCH(L937,'00 - Lists'!$L$2:$L$11,0))),"")</f>
        <v/>
      </c>
      <c r="S937" s="32" t="str">
        <f aca="false">IF(O937="","",IF(O937&gt;=50,"Yes","No"))</f>
        <v/>
      </c>
      <c r="T937" s="32" t="str">
        <f aca="false">IF(Q937="","",IF(Q937&gt;=100000,"Yes","No"))</f>
        <v/>
      </c>
      <c r="U937" s="28"/>
      <c r="V937" s="28"/>
      <c r="W937" s="28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J937" s="34" t="str">
        <f aca="false">IF(OR($BD937&lt;&gt;"",$BF937&lt;&gt;"",$BH937&lt;&gt;""),"Yes","No")</f>
        <v>No</v>
      </c>
      <c r="BK937" s="35" t="str">
        <f aca="false">IFERROR(IF(BD937="","",BD937*INDEX('00 - Lists'!$M$2:$M$11,MATCH(L937,'00 - Lists'!$L$2:$L$11,0))/100000),"")</f>
        <v/>
      </c>
      <c r="BL937" s="35" t="str">
        <f aca="false">IFERROR(IF(BE937="","",BE937*INDEX('00 - Lists'!$M$2:$M$11,MATCH(L937,'00 - Lists'!$L$2:$L$11,0))/100000),"")</f>
        <v/>
      </c>
      <c r="BM937" s="35" t="str">
        <f aca="false">IFERROR(IF(BF937="","",BF937*INDEX('00 - Lists'!$M$2:$M$11,MATCH(L937,'00 - Lists'!$L$2:$L$11,0))/100000),"")</f>
        <v/>
      </c>
      <c r="BN937" s="35" t="str">
        <f aca="false">IFERROR(IF(BG937="","",BG937*INDEX('00 - Lists'!$M$2:$M$11,MATCH(L937,'00 - Lists'!$L$2:$L$11,0))/100000),"")</f>
        <v/>
      </c>
      <c r="BO937" s="35" t="str">
        <f aca="false">IFERROR(IF(BH937="","",BH937*INDEX('00 - Lists'!$M$2:$M$11,MATCH(L937,'00 - Lists'!$L$2:$L$11,0))/100000),"")</f>
        <v/>
      </c>
      <c r="BP937" s="35" t="str">
        <f aca="false">IFERROR(IF(BI937="","",BI937*INDEX('00 - Lists'!$M$2:$M$11,MATCH(L937,'00 - Lists'!$L$2:$L$11,0))/100000),"")</f>
        <v/>
      </c>
      <c r="BS937" s="36" t="str">
        <f aca="false">IF(O937="","",IF(O937&gt;=20,"Yes","No"))</f>
        <v/>
      </c>
      <c r="BT937" s="36" t="str">
        <f aca="false">IF(O937="","",IF(O937&gt;=30,"Yes","No"))</f>
        <v/>
      </c>
      <c r="BU937" s="36" t="str">
        <f aca="false">IF(O937="","",IF(O937&gt;=75,"Yes","No"))</f>
        <v/>
      </c>
      <c r="BV937" s="36" t="str">
        <f aca="false">IF(O937="","",IF(O937&gt;=100,"Yes","No"))</f>
        <v/>
      </c>
      <c r="BW937" s="36" t="str">
        <f aca="false">IF(O937="","",IF(O937&gt;=150,"Yes","No"))</f>
        <v/>
      </c>
      <c r="BX937" s="36" t="str">
        <f aca="false">IF(O937="","",IF(O937&gt;=200,"Yes","No"))</f>
        <v/>
      </c>
      <c r="BY937" s="36" t="str">
        <f aca="false">IF(Q937="","",IF(Q937&gt;=150000,"Yes","No"))</f>
        <v/>
      </c>
      <c r="BZ937" s="36" t="str">
        <f aca="false">IF(Q937="","",IF(Q937&gt;=200000,"Yes","No"))</f>
        <v/>
      </c>
      <c r="CA937" s="36" t="str">
        <f aca="false">IF(Q937="","",IF(Q937&gt;=250000,"Yes","No"))</f>
        <v/>
      </c>
      <c r="CB937" s="36" t="str">
        <f aca="false">IF(Q937="","",IF(Q937&gt;=300000,"Yes","No"))</f>
        <v/>
      </c>
      <c r="CC937" s="37"/>
      <c r="CD937" s="36" t="str">
        <f aca="true">IF(B937="","",IF(TODAY()-B937&lt;=7,"🟢 0-7d",IF(TODAY()-B937&lt;=30,"🟡 8-30d",IF(TODAY()-B937&lt;=60,"🟠 31-60d","🔴 60d+"))))</f>
        <v/>
      </c>
      <c r="CE937" s="36" t="str">
        <f aca="false">IF(G937="","",IF(G937&lt;&gt;"USA","N/A - Not USA Role",IF(J937="Yes",IF(OR(F937="Intern",F937="New Grad"),"🟡 Possible","🟢 Strong"),IF(J937="No","🔴 Difficult","⚪ Unknown"))))</f>
        <v/>
      </c>
      <c r="CF937" s="37"/>
      <c r="CG937" s="37"/>
      <c r="CH937" s="38"/>
      <c r="CI937" s="38"/>
      <c r="CJ937" s="38"/>
      <c r="CK937" s="38"/>
    </row>
    <row r="938" customFormat="false" ht="15" hidden="false" customHeight="true" outlineLevel="0" collapsed="false">
      <c r="A938" s="26" t="str">
        <f aca="false">IF($C938="","",ROW()-3)</f>
        <v/>
      </c>
      <c r="B938" s="27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9"/>
      <c r="N938" s="29"/>
      <c r="O938" s="30" t="str">
        <f aca="false">IFERROR(IF(M938="","",M938*INDEX('00 - Lists'!$M$2:$M$11,MATCH(L938,'00 - Lists'!$L$2:$L$11,0))/100000),"")</f>
        <v/>
      </c>
      <c r="P938" s="30" t="str">
        <f aca="false">IFERROR(IF(N938="","",N938*INDEX('00 - Lists'!$M$2:$M$11,MATCH(L938,'00 - Lists'!$L$2:$L$11,0))/100000),"")</f>
        <v/>
      </c>
      <c r="Q938" s="31" t="str">
        <f aca="false">IFERROR(IF(M938="","",M938*INDEX('00 - Lists'!$N$2:$N$11,MATCH(L938,'00 - Lists'!$L$2:$L$11,0))),"")</f>
        <v/>
      </c>
      <c r="R938" s="31" t="str">
        <f aca="false">IFERROR(IF(N938="","",N938*INDEX('00 - Lists'!$N$2:$N$11,MATCH(L938,'00 - Lists'!$L$2:$L$11,0))),"")</f>
        <v/>
      </c>
      <c r="S938" s="32" t="str">
        <f aca="false">IF(O938="","",IF(O938&gt;=50,"Yes","No"))</f>
        <v/>
      </c>
      <c r="T938" s="32" t="str">
        <f aca="false">IF(Q938="","",IF(Q938&gt;=100000,"Yes","No"))</f>
        <v/>
      </c>
      <c r="U938" s="28"/>
      <c r="V938" s="28"/>
      <c r="W938" s="28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J938" s="34" t="str">
        <f aca="false">IF(OR($BD938&lt;&gt;"",$BF938&lt;&gt;"",$BH938&lt;&gt;""),"Yes","No")</f>
        <v>No</v>
      </c>
      <c r="BK938" s="35" t="str">
        <f aca="false">IFERROR(IF(BD938="","",BD938*INDEX('00 - Lists'!$M$2:$M$11,MATCH(L938,'00 - Lists'!$L$2:$L$11,0))/100000),"")</f>
        <v/>
      </c>
      <c r="BL938" s="35" t="str">
        <f aca="false">IFERROR(IF(BE938="","",BE938*INDEX('00 - Lists'!$M$2:$M$11,MATCH(L938,'00 - Lists'!$L$2:$L$11,0))/100000),"")</f>
        <v/>
      </c>
      <c r="BM938" s="35" t="str">
        <f aca="false">IFERROR(IF(BF938="","",BF938*INDEX('00 - Lists'!$M$2:$M$11,MATCH(L938,'00 - Lists'!$L$2:$L$11,0))/100000),"")</f>
        <v/>
      </c>
      <c r="BN938" s="35" t="str">
        <f aca="false">IFERROR(IF(BG938="","",BG938*INDEX('00 - Lists'!$M$2:$M$11,MATCH(L938,'00 - Lists'!$L$2:$L$11,0))/100000),"")</f>
        <v/>
      </c>
      <c r="BO938" s="35" t="str">
        <f aca="false">IFERROR(IF(BH938="","",BH938*INDEX('00 - Lists'!$M$2:$M$11,MATCH(L938,'00 - Lists'!$L$2:$L$11,0))/100000),"")</f>
        <v/>
      </c>
      <c r="BP938" s="35" t="str">
        <f aca="false">IFERROR(IF(BI938="","",BI938*INDEX('00 - Lists'!$M$2:$M$11,MATCH(L938,'00 - Lists'!$L$2:$L$11,0))/100000),"")</f>
        <v/>
      </c>
      <c r="BS938" s="36" t="str">
        <f aca="false">IF(O938="","",IF(O938&gt;=20,"Yes","No"))</f>
        <v/>
      </c>
      <c r="BT938" s="36" t="str">
        <f aca="false">IF(O938="","",IF(O938&gt;=30,"Yes","No"))</f>
        <v/>
      </c>
      <c r="BU938" s="36" t="str">
        <f aca="false">IF(O938="","",IF(O938&gt;=75,"Yes","No"))</f>
        <v/>
      </c>
      <c r="BV938" s="36" t="str">
        <f aca="false">IF(O938="","",IF(O938&gt;=100,"Yes","No"))</f>
        <v/>
      </c>
      <c r="BW938" s="36" t="str">
        <f aca="false">IF(O938="","",IF(O938&gt;=150,"Yes","No"))</f>
        <v/>
      </c>
      <c r="BX938" s="36" t="str">
        <f aca="false">IF(O938="","",IF(O938&gt;=200,"Yes","No"))</f>
        <v/>
      </c>
      <c r="BY938" s="36" t="str">
        <f aca="false">IF(Q938="","",IF(Q938&gt;=150000,"Yes","No"))</f>
        <v/>
      </c>
      <c r="BZ938" s="36" t="str">
        <f aca="false">IF(Q938="","",IF(Q938&gt;=200000,"Yes","No"))</f>
        <v/>
      </c>
      <c r="CA938" s="36" t="str">
        <f aca="false">IF(Q938="","",IF(Q938&gt;=250000,"Yes","No"))</f>
        <v/>
      </c>
      <c r="CB938" s="36" t="str">
        <f aca="false">IF(Q938="","",IF(Q938&gt;=300000,"Yes","No"))</f>
        <v/>
      </c>
      <c r="CC938" s="37"/>
      <c r="CD938" s="36" t="str">
        <f aca="true">IF(B938="","",IF(TODAY()-B938&lt;=7,"🟢 0-7d",IF(TODAY()-B938&lt;=30,"🟡 8-30d",IF(TODAY()-B938&lt;=60,"🟠 31-60d","🔴 60d+"))))</f>
        <v/>
      </c>
      <c r="CE938" s="36" t="str">
        <f aca="false">IF(G938="","",IF(G938&lt;&gt;"USA","N/A - Not USA Role",IF(J938="Yes",IF(OR(F938="Intern",F938="New Grad"),"🟡 Possible","🟢 Strong"),IF(J938="No","🔴 Difficult","⚪ Unknown"))))</f>
        <v/>
      </c>
      <c r="CF938" s="37"/>
      <c r="CG938" s="37"/>
      <c r="CH938" s="38"/>
      <c r="CI938" s="38"/>
      <c r="CJ938" s="38"/>
      <c r="CK938" s="38"/>
    </row>
    <row r="939" customFormat="false" ht="15" hidden="false" customHeight="true" outlineLevel="0" collapsed="false">
      <c r="A939" s="26" t="str">
        <f aca="false">IF($C939="","",ROW()-3)</f>
        <v/>
      </c>
      <c r="B939" s="27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9"/>
      <c r="N939" s="29"/>
      <c r="O939" s="30" t="str">
        <f aca="false">IFERROR(IF(M939="","",M939*INDEX('00 - Lists'!$M$2:$M$11,MATCH(L939,'00 - Lists'!$L$2:$L$11,0))/100000),"")</f>
        <v/>
      </c>
      <c r="P939" s="30" t="str">
        <f aca="false">IFERROR(IF(N939="","",N939*INDEX('00 - Lists'!$M$2:$M$11,MATCH(L939,'00 - Lists'!$L$2:$L$11,0))/100000),"")</f>
        <v/>
      </c>
      <c r="Q939" s="31" t="str">
        <f aca="false">IFERROR(IF(M939="","",M939*INDEX('00 - Lists'!$N$2:$N$11,MATCH(L939,'00 - Lists'!$L$2:$L$11,0))),"")</f>
        <v/>
      </c>
      <c r="R939" s="31" t="str">
        <f aca="false">IFERROR(IF(N939="","",N939*INDEX('00 - Lists'!$N$2:$N$11,MATCH(L939,'00 - Lists'!$L$2:$L$11,0))),"")</f>
        <v/>
      </c>
      <c r="S939" s="32" t="str">
        <f aca="false">IF(O939="","",IF(O939&gt;=50,"Yes","No"))</f>
        <v/>
      </c>
      <c r="T939" s="32" t="str">
        <f aca="false">IF(Q939="","",IF(Q939&gt;=100000,"Yes","No"))</f>
        <v/>
      </c>
      <c r="U939" s="28"/>
      <c r="V939" s="28"/>
      <c r="W939" s="28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J939" s="34" t="str">
        <f aca="false">IF(OR($BD939&lt;&gt;"",$BF939&lt;&gt;"",$BH939&lt;&gt;""),"Yes","No")</f>
        <v>No</v>
      </c>
      <c r="BK939" s="35" t="str">
        <f aca="false">IFERROR(IF(BD939="","",BD939*INDEX('00 - Lists'!$M$2:$M$11,MATCH(L939,'00 - Lists'!$L$2:$L$11,0))/100000),"")</f>
        <v/>
      </c>
      <c r="BL939" s="35" t="str">
        <f aca="false">IFERROR(IF(BE939="","",BE939*INDEX('00 - Lists'!$M$2:$M$11,MATCH(L939,'00 - Lists'!$L$2:$L$11,0))/100000),"")</f>
        <v/>
      </c>
      <c r="BM939" s="35" t="str">
        <f aca="false">IFERROR(IF(BF939="","",BF939*INDEX('00 - Lists'!$M$2:$M$11,MATCH(L939,'00 - Lists'!$L$2:$L$11,0))/100000),"")</f>
        <v/>
      </c>
      <c r="BN939" s="35" t="str">
        <f aca="false">IFERROR(IF(BG939="","",BG939*INDEX('00 - Lists'!$M$2:$M$11,MATCH(L939,'00 - Lists'!$L$2:$L$11,0))/100000),"")</f>
        <v/>
      </c>
      <c r="BO939" s="35" t="str">
        <f aca="false">IFERROR(IF(BH939="","",BH939*INDEX('00 - Lists'!$M$2:$M$11,MATCH(L939,'00 - Lists'!$L$2:$L$11,0))/100000),"")</f>
        <v/>
      </c>
      <c r="BP939" s="35" t="str">
        <f aca="false">IFERROR(IF(BI939="","",BI939*INDEX('00 - Lists'!$M$2:$M$11,MATCH(L939,'00 - Lists'!$L$2:$L$11,0))/100000),"")</f>
        <v/>
      </c>
      <c r="BS939" s="36" t="str">
        <f aca="false">IF(O939="","",IF(O939&gt;=20,"Yes","No"))</f>
        <v/>
      </c>
      <c r="BT939" s="36" t="str">
        <f aca="false">IF(O939="","",IF(O939&gt;=30,"Yes","No"))</f>
        <v/>
      </c>
      <c r="BU939" s="36" t="str">
        <f aca="false">IF(O939="","",IF(O939&gt;=75,"Yes","No"))</f>
        <v/>
      </c>
      <c r="BV939" s="36" t="str">
        <f aca="false">IF(O939="","",IF(O939&gt;=100,"Yes","No"))</f>
        <v/>
      </c>
      <c r="BW939" s="36" t="str">
        <f aca="false">IF(O939="","",IF(O939&gt;=150,"Yes","No"))</f>
        <v/>
      </c>
      <c r="BX939" s="36" t="str">
        <f aca="false">IF(O939="","",IF(O939&gt;=200,"Yes","No"))</f>
        <v/>
      </c>
      <c r="BY939" s="36" t="str">
        <f aca="false">IF(Q939="","",IF(Q939&gt;=150000,"Yes","No"))</f>
        <v/>
      </c>
      <c r="BZ939" s="36" t="str">
        <f aca="false">IF(Q939="","",IF(Q939&gt;=200000,"Yes","No"))</f>
        <v/>
      </c>
      <c r="CA939" s="36" t="str">
        <f aca="false">IF(Q939="","",IF(Q939&gt;=250000,"Yes","No"))</f>
        <v/>
      </c>
      <c r="CB939" s="36" t="str">
        <f aca="false">IF(Q939="","",IF(Q939&gt;=300000,"Yes","No"))</f>
        <v/>
      </c>
      <c r="CC939" s="37"/>
      <c r="CD939" s="36" t="str">
        <f aca="true">IF(B939="","",IF(TODAY()-B939&lt;=7,"🟢 0-7d",IF(TODAY()-B939&lt;=30,"🟡 8-30d",IF(TODAY()-B939&lt;=60,"🟠 31-60d","🔴 60d+"))))</f>
        <v/>
      </c>
      <c r="CE939" s="36" t="str">
        <f aca="false">IF(G939="","",IF(G939&lt;&gt;"USA","N/A - Not USA Role",IF(J939="Yes",IF(OR(F939="Intern",F939="New Grad"),"🟡 Possible","🟢 Strong"),IF(J939="No","🔴 Difficult","⚪ Unknown"))))</f>
        <v/>
      </c>
      <c r="CF939" s="37"/>
      <c r="CG939" s="37"/>
      <c r="CH939" s="38"/>
      <c r="CI939" s="38"/>
      <c r="CJ939" s="38"/>
      <c r="CK939" s="38"/>
    </row>
    <row r="940" customFormat="false" ht="15" hidden="false" customHeight="true" outlineLevel="0" collapsed="false">
      <c r="A940" s="26" t="str">
        <f aca="false">IF($C940="","",ROW()-3)</f>
        <v/>
      </c>
      <c r="B940" s="27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9"/>
      <c r="N940" s="29"/>
      <c r="O940" s="30" t="str">
        <f aca="false">IFERROR(IF(M940="","",M940*INDEX('00 - Lists'!$M$2:$M$11,MATCH(L940,'00 - Lists'!$L$2:$L$11,0))/100000),"")</f>
        <v/>
      </c>
      <c r="P940" s="30" t="str">
        <f aca="false">IFERROR(IF(N940="","",N940*INDEX('00 - Lists'!$M$2:$M$11,MATCH(L940,'00 - Lists'!$L$2:$L$11,0))/100000),"")</f>
        <v/>
      </c>
      <c r="Q940" s="31" t="str">
        <f aca="false">IFERROR(IF(M940="","",M940*INDEX('00 - Lists'!$N$2:$N$11,MATCH(L940,'00 - Lists'!$L$2:$L$11,0))),"")</f>
        <v/>
      </c>
      <c r="R940" s="31" t="str">
        <f aca="false">IFERROR(IF(N940="","",N940*INDEX('00 - Lists'!$N$2:$N$11,MATCH(L940,'00 - Lists'!$L$2:$L$11,0))),"")</f>
        <v/>
      </c>
      <c r="S940" s="32" t="str">
        <f aca="false">IF(O940="","",IF(O940&gt;=50,"Yes","No"))</f>
        <v/>
      </c>
      <c r="T940" s="32" t="str">
        <f aca="false">IF(Q940="","",IF(Q940&gt;=100000,"Yes","No"))</f>
        <v/>
      </c>
      <c r="U940" s="28"/>
      <c r="V940" s="28"/>
      <c r="W940" s="28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J940" s="34" t="str">
        <f aca="false">IF(OR($BD940&lt;&gt;"",$BF940&lt;&gt;"",$BH940&lt;&gt;""),"Yes","No")</f>
        <v>No</v>
      </c>
      <c r="BK940" s="35" t="str">
        <f aca="false">IFERROR(IF(BD940="","",BD940*INDEX('00 - Lists'!$M$2:$M$11,MATCH(L940,'00 - Lists'!$L$2:$L$11,0))/100000),"")</f>
        <v/>
      </c>
      <c r="BL940" s="35" t="str">
        <f aca="false">IFERROR(IF(BE940="","",BE940*INDEX('00 - Lists'!$M$2:$M$11,MATCH(L940,'00 - Lists'!$L$2:$L$11,0))/100000),"")</f>
        <v/>
      </c>
      <c r="BM940" s="35" t="str">
        <f aca="false">IFERROR(IF(BF940="","",BF940*INDEX('00 - Lists'!$M$2:$M$11,MATCH(L940,'00 - Lists'!$L$2:$L$11,0))/100000),"")</f>
        <v/>
      </c>
      <c r="BN940" s="35" t="str">
        <f aca="false">IFERROR(IF(BG940="","",BG940*INDEX('00 - Lists'!$M$2:$M$11,MATCH(L940,'00 - Lists'!$L$2:$L$11,0))/100000),"")</f>
        <v/>
      </c>
      <c r="BO940" s="35" t="str">
        <f aca="false">IFERROR(IF(BH940="","",BH940*INDEX('00 - Lists'!$M$2:$M$11,MATCH(L940,'00 - Lists'!$L$2:$L$11,0))/100000),"")</f>
        <v/>
      </c>
      <c r="BP940" s="35" t="str">
        <f aca="false">IFERROR(IF(BI940="","",BI940*INDEX('00 - Lists'!$M$2:$M$11,MATCH(L940,'00 - Lists'!$L$2:$L$11,0))/100000),"")</f>
        <v/>
      </c>
      <c r="BS940" s="36" t="str">
        <f aca="false">IF(O940="","",IF(O940&gt;=20,"Yes","No"))</f>
        <v/>
      </c>
      <c r="BT940" s="36" t="str">
        <f aca="false">IF(O940="","",IF(O940&gt;=30,"Yes","No"))</f>
        <v/>
      </c>
      <c r="BU940" s="36" t="str">
        <f aca="false">IF(O940="","",IF(O940&gt;=75,"Yes","No"))</f>
        <v/>
      </c>
      <c r="BV940" s="36" t="str">
        <f aca="false">IF(O940="","",IF(O940&gt;=100,"Yes","No"))</f>
        <v/>
      </c>
      <c r="BW940" s="36" t="str">
        <f aca="false">IF(O940="","",IF(O940&gt;=150,"Yes","No"))</f>
        <v/>
      </c>
      <c r="BX940" s="36" t="str">
        <f aca="false">IF(O940="","",IF(O940&gt;=200,"Yes","No"))</f>
        <v/>
      </c>
      <c r="BY940" s="36" t="str">
        <f aca="false">IF(Q940="","",IF(Q940&gt;=150000,"Yes","No"))</f>
        <v/>
      </c>
      <c r="BZ940" s="36" t="str">
        <f aca="false">IF(Q940="","",IF(Q940&gt;=200000,"Yes","No"))</f>
        <v/>
      </c>
      <c r="CA940" s="36" t="str">
        <f aca="false">IF(Q940="","",IF(Q940&gt;=250000,"Yes","No"))</f>
        <v/>
      </c>
      <c r="CB940" s="36" t="str">
        <f aca="false">IF(Q940="","",IF(Q940&gt;=300000,"Yes","No"))</f>
        <v/>
      </c>
      <c r="CC940" s="37"/>
      <c r="CD940" s="36" t="str">
        <f aca="true">IF(B940="","",IF(TODAY()-B940&lt;=7,"🟢 0-7d",IF(TODAY()-B940&lt;=30,"🟡 8-30d",IF(TODAY()-B940&lt;=60,"🟠 31-60d","🔴 60d+"))))</f>
        <v/>
      </c>
      <c r="CE940" s="36" t="str">
        <f aca="false">IF(G940="","",IF(G940&lt;&gt;"USA","N/A - Not USA Role",IF(J940="Yes",IF(OR(F940="Intern",F940="New Grad"),"🟡 Possible","🟢 Strong"),IF(J940="No","🔴 Difficult","⚪ Unknown"))))</f>
        <v/>
      </c>
      <c r="CF940" s="37"/>
      <c r="CG940" s="37"/>
      <c r="CH940" s="38"/>
      <c r="CI940" s="38"/>
      <c r="CJ940" s="38"/>
      <c r="CK940" s="38"/>
    </row>
    <row r="941" customFormat="false" ht="15" hidden="false" customHeight="true" outlineLevel="0" collapsed="false">
      <c r="A941" s="26" t="str">
        <f aca="false">IF($C941="","",ROW()-3)</f>
        <v/>
      </c>
      <c r="B941" s="27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9"/>
      <c r="N941" s="29"/>
      <c r="O941" s="30" t="str">
        <f aca="false">IFERROR(IF(M941="","",M941*INDEX('00 - Lists'!$M$2:$M$11,MATCH(L941,'00 - Lists'!$L$2:$L$11,0))/100000),"")</f>
        <v/>
      </c>
      <c r="P941" s="30" t="str">
        <f aca="false">IFERROR(IF(N941="","",N941*INDEX('00 - Lists'!$M$2:$M$11,MATCH(L941,'00 - Lists'!$L$2:$L$11,0))/100000),"")</f>
        <v/>
      </c>
      <c r="Q941" s="31" t="str">
        <f aca="false">IFERROR(IF(M941="","",M941*INDEX('00 - Lists'!$N$2:$N$11,MATCH(L941,'00 - Lists'!$L$2:$L$11,0))),"")</f>
        <v/>
      </c>
      <c r="R941" s="31" t="str">
        <f aca="false">IFERROR(IF(N941="","",N941*INDEX('00 - Lists'!$N$2:$N$11,MATCH(L941,'00 - Lists'!$L$2:$L$11,0))),"")</f>
        <v/>
      </c>
      <c r="S941" s="32" t="str">
        <f aca="false">IF(O941="","",IF(O941&gt;=50,"Yes","No"))</f>
        <v/>
      </c>
      <c r="T941" s="32" t="str">
        <f aca="false">IF(Q941="","",IF(Q941&gt;=100000,"Yes","No"))</f>
        <v/>
      </c>
      <c r="U941" s="28"/>
      <c r="V941" s="28"/>
      <c r="W941" s="28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J941" s="34" t="str">
        <f aca="false">IF(OR($BD941&lt;&gt;"",$BF941&lt;&gt;"",$BH941&lt;&gt;""),"Yes","No")</f>
        <v>No</v>
      </c>
      <c r="BK941" s="35" t="str">
        <f aca="false">IFERROR(IF(BD941="","",BD941*INDEX('00 - Lists'!$M$2:$M$11,MATCH(L941,'00 - Lists'!$L$2:$L$11,0))/100000),"")</f>
        <v/>
      </c>
      <c r="BL941" s="35" t="str">
        <f aca="false">IFERROR(IF(BE941="","",BE941*INDEX('00 - Lists'!$M$2:$M$11,MATCH(L941,'00 - Lists'!$L$2:$L$11,0))/100000),"")</f>
        <v/>
      </c>
      <c r="BM941" s="35" t="str">
        <f aca="false">IFERROR(IF(BF941="","",BF941*INDEX('00 - Lists'!$M$2:$M$11,MATCH(L941,'00 - Lists'!$L$2:$L$11,0))/100000),"")</f>
        <v/>
      </c>
      <c r="BN941" s="35" t="str">
        <f aca="false">IFERROR(IF(BG941="","",BG941*INDEX('00 - Lists'!$M$2:$M$11,MATCH(L941,'00 - Lists'!$L$2:$L$11,0))/100000),"")</f>
        <v/>
      </c>
      <c r="BO941" s="35" t="str">
        <f aca="false">IFERROR(IF(BH941="","",BH941*INDEX('00 - Lists'!$M$2:$M$11,MATCH(L941,'00 - Lists'!$L$2:$L$11,0))/100000),"")</f>
        <v/>
      </c>
      <c r="BP941" s="35" t="str">
        <f aca="false">IFERROR(IF(BI941="","",BI941*INDEX('00 - Lists'!$M$2:$M$11,MATCH(L941,'00 - Lists'!$L$2:$L$11,0))/100000),"")</f>
        <v/>
      </c>
      <c r="BS941" s="36" t="str">
        <f aca="false">IF(O941="","",IF(O941&gt;=20,"Yes","No"))</f>
        <v/>
      </c>
      <c r="BT941" s="36" t="str">
        <f aca="false">IF(O941="","",IF(O941&gt;=30,"Yes","No"))</f>
        <v/>
      </c>
      <c r="BU941" s="36" t="str">
        <f aca="false">IF(O941="","",IF(O941&gt;=75,"Yes","No"))</f>
        <v/>
      </c>
      <c r="BV941" s="36" t="str">
        <f aca="false">IF(O941="","",IF(O941&gt;=100,"Yes","No"))</f>
        <v/>
      </c>
      <c r="BW941" s="36" t="str">
        <f aca="false">IF(O941="","",IF(O941&gt;=150,"Yes","No"))</f>
        <v/>
      </c>
      <c r="BX941" s="36" t="str">
        <f aca="false">IF(O941="","",IF(O941&gt;=200,"Yes","No"))</f>
        <v/>
      </c>
      <c r="BY941" s="36" t="str">
        <f aca="false">IF(Q941="","",IF(Q941&gt;=150000,"Yes","No"))</f>
        <v/>
      </c>
      <c r="BZ941" s="36" t="str">
        <f aca="false">IF(Q941="","",IF(Q941&gt;=200000,"Yes","No"))</f>
        <v/>
      </c>
      <c r="CA941" s="36" t="str">
        <f aca="false">IF(Q941="","",IF(Q941&gt;=250000,"Yes","No"))</f>
        <v/>
      </c>
      <c r="CB941" s="36" t="str">
        <f aca="false">IF(Q941="","",IF(Q941&gt;=300000,"Yes","No"))</f>
        <v/>
      </c>
      <c r="CC941" s="37"/>
      <c r="CD941" s="36" t="str">
        <f aca="true">IF(B941="","",IF(TODAY()-B941&lt;=7,"🟢 0-7d",IF(TODAY()-B941&lt;=30,"🟡 8-30d",IF(TODAY()-B941&lt;=60,"🟠 31-60d","🔴 60d+"))))</f>
        <v/>
      </c>
      <c r="CE941" s="36" t="str">
        <f aca="false">IF(G941="","",IF(G941&lt;&gt;"USA","N/A - Not USA Role",IF(J941="Yes",IF(OR(F941="Intern",F941="New Grad"),"🟡 Possible","🟢 Strong"),IF(J941="No","🔴 Difficult","⚪ Unknown"))))</f>
        <v/>
      </c>
      <c r="CF941" s="37"/>
      <c r="CG941" s="37"/>
      <c r="CH941" s="38"/>
      <c r="CI941" s="38"/>
      <c r="CJ941" s="38"/>
      <c r="CK941" s="38"/>
    </row>
    <row r="942" customFormat="false" ht="15" hidden="false" customHeight="true" outlineLevel="0" collapsed="false">
      <c r="A942" s="26" t="str">
        <f aca="false">IF($C942="","",ROW()-3)</f>
        <v/>
      </c>
      <c r="B942" s="27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9"/>
      <c r="N942" s="29"/>
      <c r="O942" s="30" t="str">
        <f aca="false">IFERROR(IF(M942="","",M942*INDEX('00 - Lists'!$M$2:$M$11,MATCH(L942,'00 - Lists'!$L$2:$L$11,0))/100000),"")</f>
        <v/>
      </c>
      <c r="P942" s="30" t="str">
        <f aca="false">IFERROR(IF(N942="","",N942*INDEX('00 - Lists'!$M$2:$M$11,MATCH(L942,'00 - Lists'!$L$2:$L$11,0))/100000),"")</f>
        <v/>
      </c>
      <c r="Q942" s="31" t="str">
        <f aca="false">IFERROR(IF(M942="","",M942*INDEX('00 - Lists'!$N$2:$N$11,MATCH(L942,'00 - Lists'!$L$2:$L$11,0))),"")</f>
        <v/>
      </c>
      <c r="R942" s="31" t="str">
        <f aca="false">IFERROR(IF(N942="","",N942*INDEX('00 - Lists'!$N$2:$N$11,MATCH(L942,'00 - Lists'!$L$2:$L$11,0))),"")</f>
        <v/>
      </c>
      <c r="S942" s="32" t="str">
        <f aca="false">IF(O942="","",IF(O942&gt;=50,"Yes","No"))</f>
        <v/>
      </c>
      <c r="T942" s="32" t="str">
        <f aca="false">IF(Q942="","",IF(Q942&gt;=100000,"Yes","No"))</f>
        <v/>
      </c>
      <c r="U942" s="28"/>
      <c r="V942" s="28"/>
      <c r="W942" s="28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J942" s="34" t="str">
        <f aca="false">IF(OR($BD942&lt;&gt;"",$BF942&lt;&gt;"",$BH942&lt;&gt;""),"Yes","No")</f>
        <v>No</v>
      </c>
      <c r="BK942" s="35" t="str">
        <f aca="false">IFERROR(IF(BD942="","",BD942*INDEX('00 - Lists'!$M$2:$M$11,MATCH(L942,'00 - Lists'!$L$2:$L$11,0))/100000),"")</f>
        <v/>
      </c>
      <c r="BL942" s="35" t="str">
        <f aca="false">IFERROR(IF(BE942="","",BE942*INDEX('00 - Lists'!$M$2:$M$11,MATCH(L942,'00 - Lists'!$L$2:$L$11,0))/100000),"")</f>
        <v/>
      </c>
      <c r="BM942" s="35" t="str">
        <f aca="false">IFERROR(IF(BF942="","",BF942*INDEX('00 - Lists'!$M$2:$M$11,MATCH(L942,'00 - Lists'!$L$2:$L$11,0))/100000),"")</f>
        <v/>
      </c>
      <c r="BN942" s="35" t="str">
        <f aca="false">IFERROR(IF(BG942="","",BG942*INDEX('00 - Lists'!$M$2:$M$11,MATCH(L942,'00 - Lists'!$L$2:$L$11,0))/100000),"")</f>
        <v/>
      </c>
      <c r="BO942" s="35" t="str">
        <f aca="false">IFERROR(IF(BH942="","",BH942*INDEX('00 - Lists'!$M$2:$M$11,MATCH(L942,'00 - Lists'!$L$2:$L$11,0))/100000),"")</f>
        <v/>
      </c>
      <c r="BP942" s="35" t="str">
        <f aca="false">IFERROR(IF(BI942="","",BI942*INDEX('00 - Lists'!$M$2:$M$11,MATCH(L942,'00 - Lists'!$L$2:$L$11,0))/100000),"")</f>
        <v/>
      </c>
      <c r="BS942" s="36" t="str">
        <f aca="false">IF(O942="","",IF(O942&gt;=20,"Yes","No"))</f>
        <v/>
      </c>
      <c r="BT942" s="36" t="str">
        <f aca="false">IF(O942="","",IF(O942&gt;=30,"Yes","No"))</f>
        <v/>
      </c>
      <c r="BU942" s="36" t="str">
        <f aca="false">IF(O942="","",IF(O942&gt;=75,"Yes","No"))</f>
        <v/>
      </c>
      <c r="BV942" s="36" t="str">
        <f aca="false">IF(O942="","",IF(O942&gt;=100,"Yes","No"))</f>
        <v/>
      </c>
      <c r="BW942" s="36" t="str">
        <f aca="false">IF(O942="","",IF(O942&gt;=150,"Yes","No"))</f>
        <v/>
      </c>
      <c r="BX942" s="36" t="str">
        <f aca="false">IF(O942="","",IF(O942&gt;=200,"Yes","No"))</f>
        <v/>
      </c>
      <c r="BY942" s="36" t="str">
        <f aca="false">IF(Q942="","",IF(Q942&gt;=150000,"Yes","No"))</f>
        <v/>
      </c>
      <c r="BZ942" s="36" t="str">
        <f aca="false">IF(Q942="","",IF(Q942&gt;=200000,"Yes","No"))</f>
        <v/>
      </c>
      <c r="CA942" s="36" t="str">
        <f aca="false">IF(Q942="","",IF(Q942&gt;=250000,"Yes","No"))</f>
        <v/>
      </c>
      <c r="CB942" s="36" t="str">
        <f aca="false">IF(Q942="","",IF(Q942&gt;=300000,"Yes","No"))</f>
        <v/>
      </c>
      <c r="CC942" s="37"/>
      <c r="CD942" s="36" t="str">
        <f aca="true">IF(B942="","",IF(TODAY()-B942&lt;=7,"🟢 0-7d",IF(TODAY()-B942&lt;=30,"🟡 8-30d",IF(TODAY()-B942&lt;=60,"🟠 31-60d","🔴 60d+"))))</f>
        <v/>
      </c>
      <c r="CE942" s="36" t="str">
        <f aca="false">IF(G942="","",IF(G942&lt;&gt;"USA","N/A - Not USA Role",IF(J942="Yes",IF(OR(F942="Intern",F942="New Grad"),"🟡 Possible","🟢 Strong"),IF(J942="No","🔴 Difficult","⚪ Unknown"))))</f>
        <v/>
      </c>
      <c r="CF942" s="37"/>
      <c r="CG942" s="37"/>
      <c r="CH942" s="38"/>
      <c r="CI942" s="38"/>
      <c r="CJ942" s="38"/>
      <c r="CK942" s="38"/>
    </row>
    <row r="943" customFormat="false" ht="15" hidden="false" customHeight="true" outlineLevel="0" collapsed="false">
      <c r="A943" s="26" t="str">
        <f aca="false">IF($C943="","",ROW()-3)</f>
        <v/>
      </c>
      <c r="B943" s="27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9"/>
      <c r="N943" s="29"/>
      <c r="O943" s="30" t="str">
        <f aca="false">IFERROR(IF(M943="","",M943*INDEX('00 - Lists'!$M$2:$M$11,MATCH(L943,'00 - Lists'!$L$2:$L$11,0))/100000),"")</f>
        <v/>
      </c>
      <c r="P943" s="30" t="str">
        <f aca="false">IFERROR(IF(N943="","",N943*INDEX('00 - Lists'!$M$2:$M$11,MATCH(L943,'00 - Lists'!$L$2:$L$11,0))/100000),"")</f>
        <v/>
      </c>
      <c r="Q943" s="31" t="str">
        <f aca="false">IFERROR(IF(M943="","",M943*INDEX('00 - Lists'!$N$2:$N$11,MATCH(L943,'00 - Lists'!$L$2:$L$11,0))),"")</f>
        <v/>
      </c>
      <c r="R943" s="31" t="str">
        <f aca="false">IFERROR(IF(N943="","",N943*INDEX('00 - Lists'!$N$2:$N$11,MATCH(L943,'00 - Lists'!$L$2:$L$11,0))),"")</f>
        <v/>
      </c>
      <c r="S943" s="32" t="str">
        <f aca="false">IF(O943="","",IF(O943&gt;=50,"Yes","No"))</f>
        <v/>
      </c>
      <c r="T943" s="32" t="str">
        <f aca="false">IF(Q943="","",IF(Q943&gt;=100000,"Yes","No"))</f>
        <v/>
      </c>
      <c r="U943" s="28"/>
      <c r="V943" s="28"/>
      <c r="W943" s="28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J943" s="34" t="str">
        <f aca="false">IF(OR($BD943&lt;&gt;"",$BF943&lt;&gt;"",$BH943&lt;&gt;""),"Yes","No")</f>
        <v>No</v>
      </c>
      <c r="BK943" s="35" t="str">
        <f aca="false">IFERROR(IF(BD943="","",BD943*INDEX('00 - Lists'!$M$2:$M$11,MATCH(L943,'00 - Lists'!$L$2:$L$11,0))/100000),"")</f>
        <v/>
      </c>
      <c r="BL943" s="35" t="str">
        <f aca="false">IFERROR(IF(BE943="","",BE943*INDEX('00 - Lists'!$M$2:$M$11,MATCH(L943,'00 - Lists'!$L$2:$L$11,0))/100000),"")</f>
        <v/>
      </c>
      <c r="BM943" s="35" t="str">
        <f aca="false">IFERROR(IF(BF943="","",BF943*INDEX('00 - Lists'!$M$2:$M$11,MATCH(L943,'00 - Lists'!$L$2:$L$11,0))/100000),"")</f>
        <v/>
      </c>
      <c r="BN943" s="35" t="str">
        <f aca="false">IFERROR(IF(BG943="","",BG943*INDEX('00 - Lists'!$M$2:$M$11,MATCH(L943,'00 - Lists'!$L$2:$L$11,0))/100000),"")</f>
        <v/>
      </c>
      <c r="BO943" s="35" t="str">
        <f aca="false">IFERROR(IF(BH943="","",BH943*INDEX('00 - Lists'!$M$2:$M$11,MATCH(L943,'00 - Lists'!$L$2:$L$11,0))/100000),"")</f>
        <v/>
      </c>
      <c r="BP943" s="35" t="str">
        <f aca="false">IFERROR(IF(BI943="","",BI943*INDEX('00 - Lists'!$M$2:$M$11,MATCH(L943,'00 - Lists'!$L$2:$L$11,0))/100000),"")</f>
        <v/>
      </c>
      <c r="BS943" s="36" t="str">
        <f aca="false">IF(O943="","",IF(O943&gt;=20,"Yes","No"))</f>
        <v/>
      </c>
      <c r="BT943" s="36" t="str">
        <f aca="false">IF(O943="","",IF(O943&gt;=30,"Yes","No"))</f>
        <v/>
      </c>
      <c r="BU943" s="36" t="str">
        <f aca="false">IF(O943="","",IF(O943&gt;=75,"Yes","No"))</f>
        <v/>
      </c>
      <c r="BV943" s="36" t="str">
        <f aca="false">IF(O943="","",IF(O943&gt;=100,"Yes","No"))</f>
        <v/>
      </c>
      <c r="BW943" s="36" t="str">
        <f aca="false">IF(O943="","",IF(O943&gt;=150,"Yes","No"))</f>
        <v/>
      </c>
      <c r="BX943" s="36" t="str">
        <f aca="false">IF(O943="","",IF(O943&gt;=200,"Yes","No"))</f>
        <v/>
      </c>
      <c r="BY943" s="36" t="str">
        <f aca="false">IF(Q943="","",IF(Q943&gt;=150000,"Yes","No"))</f>
        <v/>
      </c>
      <c r="BZ943" s="36" t="str">
        <f aca="false">IF(Q943="","",IF(Q943&gt;=200000,"Yes","No"))</f>
        <v/>
      </c>
      <c r="CA943" s="36" t="str">
        <f aca="false">IF(Q943="","",IF(Q943&gt;=250000,"Yes","No"))</f>
        <v/>
      </c>
      <c r="CB943" s="36" t="str">
        <f aca="false">IF(Q943="","",IF(Q943&gt;=300000,"Yes","No"))</f>
        <v/>
      </c>
      <c r="CC943" s="37"/>
      <c r="CD943" s="36" t="str">
        <f aca="true">IF(B943="","",IF(TODAY()-B943&lt;=7,"🟢 0-7d",IF(TODAY()-B943&lt;=30,"🟡 8-30d",IF(TODAY()-B943&lt;=60,"🟠 31-60d","🔴 60d+"))))</f>
        <v/>
      </c>
      <c r="CE943" s="36" t="str">
        <f aca="false">IF(G943="","",IF(G943&lt;&gt;"USA","N/A - Not USA Role",IF(J943="Yes",IF(OR(F943="Intern",F943="New Grad"),"🟡 Possible","🟢 Strong"),IF(J943="No","🔴 Difficult","⚪ Unknown"))))</f>
        <v/>
      </c>
      <c r="CF943" s="37"/>
      <c r="CG943" s="37"/>
      <c r="CH943" s="38"/>
      <c r="CI943" s="38"/>
      <c r="CJ943" s="38"/>
      <c r="CK943" s="38"/>
    </row>
    <row r="944" customFormat="false" ht="15" hidden="false" customHeight="true" outlineLevel="0" collapsed="false">
      <c r="A944" s="26" t="str">
        <f aca="false">IF($C944="","",ROW()-3)</f>
        <v/>
      </c>
      <c r="B944" s="27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9"/>
      <c r="N944" s="29"/>
      <c r="O944" s="30" t="str">
        <f aca="false">IFERROR(IF(M944="","",M944*INDEX('00 - Lists'!$M$2:$M$11,MATCH(L944,'00 - Lists'!$L$2:$L$11,0))/100000),"")</f>
        <v/>
      </c>
      <c r="P944" s="30" t="str">
        <f aca="false">IFERROR(IF(N944="","",N944*INDEX('00 - Lists'!$M$2:$M$11,MATCH(L944,'00 - Lists'!$L$2:$L$11,0))/100000),"")</f>
        <v/>
      </c>
      <c r="Q944" s="31" t="str">
        <f aca="false">IFERROR(IF(M944="","",M944*INDEX('00 - Lists'!$N$2:$N$11,MATCH(L944,'00 - Lists'!$L$2:$L$11,0))),"")</f>
        <v/>
      </c>
      <c r="R944" s="31" t="str">
        <f aca="false">IFERROR(IF(N944="","",N944*INDEX('00 - Lists'!$N$2:$N$11,MATCH(L944,'00 - Lists'!$L$2:$L$11,0))),"")</f>
        <v/>
      </c>
      <c r="S944" s="32" t="str">
        <f aca="false">IF(O944="","",IF(O944&gt;=50,"Yes","No"))</f>
        <v/>
      </c>
      <c r="T944" s="32" t="str">
        <f aca="false">IF(Q944="","",IF(Q944&gt;=100000,"Yes","No"))</f>
        <v/>
      </c>
      <c r="U944" s="28"/>
      <c r="V944" s="28"/>
      <c r="W944" s="28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J944" s="34" t="str">
        <f aca="false">IF(OR($BD944&lt;&gt;"",$BF944&lt;&gt;"",$BH944&lt;&gt;""),"Yes","No")</f>
        <v>No</v>
      </c>
      <c r="BK944" s="35" t="str">
        <f aca="false">IFERROR(IF(BD944="","",BD944*INDEX('00 - Lists'!$M$2:$M$11,MATCH(L944,'00 - Lists'!$L$2:$L$11,0))/100000),"")</f>
        <v/>
      </c>
      <c r="BL944" s="35" t="str">
        <f aca="false">IFERROR(IF(BE944="","",BE944*INDEX('00 - Lists'!$M$2:$M$11,MATCH(L944,'00 - Lists'!$L$2:$L$11,0))/100000),"")</f>
        <v/>
      </c>
      <c r="BM944" s="35" t="str">
        <f aca="false">IFERROR(IF(BF944="","",BF944*INDEX('00 - Lists'!$M$2:$M$11,MATCH(L944,'00 - Lists'!$L$2:$L$11,0))/100000),"")</f>
        <v/>
      </c>
      <c r="BN944" s="35" t="str">
        <f aca="false">IFERROR(IF(BG944="","",BG944*INDEX('00 - Lists'!$M$2:$M$11,MATCH(L944,'00 - Lists'!$L$2:$L$11,0))/100000),"")</f>
        <v/>
      </c>
      <c r="BO944" s="35" t="str">
        <f aca="false">IFERROR(IF(BH944="","",BH944*INDEX('00 - Lists'!$M$2:$M$11,MATCH(L944,'00 - Lists'!$L$2:$L$11,0))/100000),"")</f>
        <v/>
      </c>
      <c r="BP944" s="35" t="str">
        <f aca="false">IFERROR(IF(BI944="","",BI944*INDEX('00 - Lists'!$M$2:$M$11,MATCH(L944,'00 - Lists'!$L$2:$L$11,0))/100000),"")</f>
        <v/>
      </c>
      <c r="BS944" s="36" t="str">
        <f aca="false">IF(O944="","",IF(O944&gt;=20,"Yes","No"))</f>
        <v/>
      </c>
      <c r="BT944" s="36" t="str">
        <f aca="false">IF(O944="","",IF(O944&gt;=30,"Yes","No"))</f>
        <v/>
      </c>
      <c r="BU944" s="36" t="str">
        <f aca="false">IF(O944="","",IF(O944&gt;=75,"Yes","No"))</f>
        <v/>
      </c>
      <c r="BV944" s="36" t="str">
        <f aca="false">IF(O944="","",IF(O944&gt;=100,"Yes","No"))</f>
        <v/>
      </c>
      <c r="BW944" s="36" t="str">
        <f aca="false">IF(O944="","",IF(O944&gt;=150,"Yes","No"))</f>
        <v/>
      </c>
      <c r="BX944" s="36" t="str">
        <f aca="false">IF(O944="","",IF(O944&gt;=200,"Yes","No"))</f>
        <v/>
      </c>
      <c r="BY944" s="36" t="str">
        <f aca="false">IF(Q944="","",IF(Q944&gt;=150000,"Yes","No"))</f>
        <v/>
      </c>
      <c r="BZ944" s="36" t="str">
        <f aca="false">IF(Q944="","",IF(Q944&gt;=200000,"Yes","No"))</f>
        <v/>
      </c>
      <c r="CA944" s="36" t="str">
        <f aca="false">IF(Q944="","",IF(Q944&gt;=250000,"Yes","No"))</f>
        <v/>
      </c>
      <c r="CB944" s="36" t="str">
        <f aca="false">IF(Q944="","",IF(Q944&gt;=300000,"Yes","No"))</f>
        <v/>
      </c>
      <c r="CC944" s="37"/>
      <c r="CD944" s="36" t="str">
        <f aca="true">IF(B944="","",IF(TODAY()-B944&lt;=7,"🟢 0-7d",IF(TODAY()-B944&lt;=30,"🟡 8-30d",IF(TODAY()-B944&lt;=60,"🟠 31-60d","🔴 60d+"))))</f>
        <v/>
      </c>
      <c r="CE944" s="36" t="str">
        <f aca="false">IF(G944="","",IF(G944&lt;&gt;"USA","N/A - Not USA Role",IF(J944="Yes",IF(OR(F944="Intern",F944="New Grad"),"🟡 Possible","🟢 Strong"),IF(J944="No","🔴 Difficult","⚪ Unknown"))))</f>
        <v/>
      </c>
      <c r="CF944" s="37"/>
      <c r="CG944" s="37"/>
      <c r="CH944" s="38"/>
      <c r="CI944" s="38"/>
      <c r="CJ944" s="38"/>
      <c r="CK944" s="38"/>
    </row>
    <row r="945" customFormat="false" ht="15" hidden="false" customHeight="true" outlineLevel="0" collapsed="false">
      <c r="A945" s="26" t="str">
        <f aca="false">IF($C945="","",ROW()-3)</f>
        <v/>
      </c>
      <c r="B945" s="27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9"/>
      <c r="N945" s="29"/>
      <c r="O945" s="30" t="str">
        <f aca="false">IFERROR(IF(M945="","",M945*INDEX('00 - Lists'!$M$2:$M$11,MATCH(L945,'00 - Lists'!$L$2:$L$11,0))/100000),"")</f>
        <v/>
      </c>
      <c r="P945" s="30" t="str">
        <f aca="false">IFERROR(IF(N945="","",N945*INDEX('00 - Lists'!$M$2:$M$11,MATCH(L945,'00 - Lists'!$L$2:$L$11,0))/100000),"")</f>
        <v/>
      </c>
      <c r="Q945" s="31" t="str">
        <f aca="false">IFERROR(IF(M945="","",M945*INDEX('00 - Lists'!$N$2:$N$11,MATCH(L945,'00 - Lists'!$L$2:$L$11,0))),"")</f>
        <v/>
      </c>
      <c r="R945" s="31" t="str">
        <f aca="false">IFERROR(IF(N945="","",N945*INDEX('00 - Lists'!$N$2:$N$11,MATCH(L945,'00 - Lists'!$L$2:$L$11,0))),"")</f>
        <v/>
      </c>
      <c r="S945" s="32" t="str">
        <f aca="false">IF(O945="","",IF(O945&gt;=50,"Yes","No"))</f>
        <v/>
      </c>
      <c r="T945" s="32" t="str">
        <f aca="false">IF(Q945="","",IF(Q945&gt;=100000,"Yes","No"))</f>
        <v/>
      </c>
      <c r="U945" s="28"/>
      <c r="V945" s="28"/>
      <c r="W945" s="28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J945" s="34" t="str">
        <f aca="false">IF(OR($BD945&lt;&gt;"",$BF945&lt;&gt;"",$BH945&lt;&gt;""),"Yes","No")</f>
        <v>No</v>
      </c>
      <c r="BK945" s="35" t="str">
        <f aca="false">IFERROR(IF(BD945="","",BD945*INDEX('00 - Lists'!$M$2:$M$11,MATCH(L945,'00 - Lists'!$L$2:$L$11,0))/100000),"")</f>
        <v/>
      </c>
      <c r="BL945" s="35" t="str">
        <f aca="false">IFERROR(IF(BE945="","",BE945*INDEX('00 - Lists'!$M$2:$M$11,MATCH(L945,'00 - Lists'!$L$2:$L$11,0))/100000),"")</f>
        <v/>
      </c>
      <c r="BM945" s="35" t="str">
        <f aca="false">IFERROR(IF(BF945="","",BF945*INDEX('00 - Lists'!$M$2:$M$11,MATCH(L945,'00 - Lists'!$L$2:$L$11,0))/100000),"")</f>
        <v/>
      </c>
      <c r="BN945" s="35" t="str">
        <f aca="false">IFERROR(IF(BG945="","",BG945*INDEX('00 - Lists'!$M$2:$M$11,MATCH(L945,'00 - Lists'!$L$2:$L$11,0))/100000),"")</f>
        <v/>
      </c>
      <c r="BO945" s="35" t="str">
        <f aca="false">IFERROR(IF(BH945="","",BH945*INDEX('00 - Lists'!$M$2:$M$11,MATCH(L945,'00 - Lists'!$L$2:$L$11,0))/100000),"")</f>
        <v/>
      </c>
      <c r="BP945" s="35" t="str">
        <f aca="false">IFERROR(IF(BI945="","",BI945*INDEX('00 - Lists'!$M$2:$M$11,MATCH(L945,'00 - Lists'!$L$2:$L$11,0))/100000),"")</f>
        <v/>
      </c>
      <c r="BS945" s="36" t="str">
        <f aca="false">IF(O945="","",IF(O945&gt;=20,"Yes","No"))</f>
        <v/>
      </c>
      <c r="BT945" s="36" t="str">
        <f aca="false">IF(O945="","",IF(O945&gt;=30,"Yes","No"))</f>
        <v/>
      </c>
      <c r="BU945" s="36" t="str">
        <f aca="false">IF(O945="","",IF(O945&gt;=75,"Yes","No"))</f>
        <v/>
      </c>
      <c r="BV945" s="36" t="str">
        <f aca="false">IF(O945="","",IF(O945&gt;=100,"Yes","No"))</f>
        <v/>
      </c>
      <c r="BW945" s="36" t="str">
        <f aca="false">IF(O945="","",IF(O945&gt;=150,"Yes","No"))</f>
        <v/>
      </c>
      <c r="BX945" s="36" t="str">
        <f aca="false">IF(O945="","",IF(O945&gt;=200,"Yes","No"))</f>
        <v/>
      </c>
      <c r="BY945" s="36" t="str">
        <f aca="false">IF(Q945="","",IF(Q945&gt;=150000,"Yes","No"))</f>
        <v/>
      </c>
      <c r="BZ945" s="36" t="str">
        <f aca="false">IF(Q945="","",IF(Q945&gt;=200000,"Yes","No"))</f>
        <v/>
      </c>
      <c r="CA945" s="36" t="str">
        <f aca="false">IF(Q945="","",IF(Q945&gt;=250000,"Yes","No"))</f>
        <v/>
      </c>
      <c r="CB945" s="36" t="str">
        <f aca="false">IF(Q945="","",IF(Q945&gt;=300000,"Yes","No"))</f>
        <v/>
      </c>
      <c r="CC945" s="37"/>
      <c r="CD945" s="36" t="str">
        <f aca="true">IF(B945="","",IF(TODAY()-B945&lt;=7,"🟢 0-7d",IF(TODAY()-B945&lt;=30,"🟡 8-30d",IF(TODAY()-B945&lt;=60,"🟠 31-60d","🔴 60d+"))))</f>
        <v/>
      </c>
      <c r="CE945" s="36" t="str">
        <f aca="false">IF(G945="","",IF(G945&lt;&gt;"USA","N/A - Not USA Role",IF(J945="Yes",IF(OR(F945="Intern",F945="New Grad"),"🟡 Possible","🟢 Strong"),IF(J945="No","🔴 Difficult","⚪ Unknown"))))</f>
        <v/>
      </c>
      <c r="CF945" s="37"/>
      <c r="CG945" s="37"/>
      <c r="CH945" s="38"/>
      <c r="CI945" s="38"/>
      <c r="CJ945" s="38"/>
      <c r="CK945" s="38"/>
    </row>
    <row r="946" customFormat="false" ht="15" hidden="false" customHeight="true" outlineLevel="0" collapsed="false">
      <c r="A946" s="26" t="str">
        <f aca="false">IF($C946="","",ROW()-3)</f>
        <v/>
      </c>
      <c r="B946" s="27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9"/>
      <c r="N946" s="29"/>
      <c r="O946" s="30" t="str">
        <f aca="false">IFERROR(IF(M946="","",M946*INDEX('00 - Lists'!$M$2:$M$11,MATCH(L946,'00 - Lists'!$L$2:$L$11,0))/100000),"")</f>
        <v/>
      </c>
      <c r="P946" s="30" t="str">
        <f aca="false">IFERROR(IF(N946="","",N946*INDEX('00 - Lists'!$M$2:$M$11,MATCH(L946,'00 - Lists'!$L$2:$L$11,0))/100000),"")</f>
        <v/>
      </c>
      <c r="Q946" s="31" t="str">
        <f aca="false">IFERROR(IF(M946="","",M946*INDEX('00 - Lists'!$N$2:$N$11,MATCH(L946,'00 - Lists'!$L$2:$L$11,0))),"")</f>
        <v/>
      </c>
      <c r="R946" s="31" t="str">
        <f aca="false">IFERROR(IF(N946="","",N946*INDEX('00 - Lists'!$N$2:$N$11,MATCH(L946,'00 - Lists'!$L$2:$L$11,0))),"")</f>
        <v/>
      </c>
      <c r="S946" s="32" t="str">
        <f aca="false">IF(O946="","",IF(O946&gt;=50,"Yes","No"))</f>
        <v/>
      </c>
      <c r="T946" s="32" t="str">
        <f aca="false">IF(Q946="","",IF(Q946&gt;=100000,"Yes","No"))</f>
        <v/>
      </c>
      <c r="U946" s="28"/>
      <c r="V946" s="28"/>
      <c r="W946" s="28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J946" s="34" t="str">
        <f aca="false">IF(OR($BD946&lt;&gt;"",$BF946&lt;&gt;"",$BH946&lt;&gt;""),"Yes","No")</f>
        <v>No</v>
      </c>
      <c r="BK946" s="35" t="str">
        <f aca="false">IFERROR(IF(BD946="","",BD946*INDEX('00 - Lists'!$M$2:$M$11,MATCH(L946,'00 - Lists'!$L$2:$L$11,0))/100000),"")</f>
        <v/>
      </c>
      <c r="BL946" s="35" t="str">
        <f aca="false">IFERROR(IF(BE946="","",BE946*INDEX('00 - Lists'!$M$2:$M$11,MATCH(L946,'00 - Lists'!$L$2:$L$11,0))/100000),"")</f>
        <v/>
      </c>
      <c r="BM946" s="35" t="str">
        <f aca="false">IFERROR(IF(BF946="","",BF946*INDEX('00 - Lists'!$M$2:$M$11,MATCH(L946,'00 - Lists'!$L$2:$L$11,0))/100000),"")</f>
        <v/>
      </c>
      <c r="BN946" s="35" t="str">
        <f aca="false">IFERROR(IF(BG946="","",BG946*INDEX('00 - Lists'!$M$2:$M$11,MATCH(L946,'00 - Lists'!$L$2:$L$11,0))/100000),"")</f>
        <v/>
      </c>
      <c r="BO946" s="35" t="str">
        <f aca="false">IFERROR(IF(BH946="","",BH946*INDEX('00 - Lists'!$M$2:$M$11,MATCH(L946,'00 - Lists'!$L$2:$L$11,0))/100000),"")</f>
        <v/>
      </c>
      <c r="BP946" s="35" t="str">
        <f aca="false">IFERROR(IF(BI946="","",BI946*INDEX('00 - Lists'!$M$2:$M$11,MATCH(L946,'00 - Lists'!$L$2:$L$11,0))/100000),"")</f>
        <v/>
      </c>
      <c r="BS946" s="36" t="str">
        <f aca="false">IF(O946="","",IF(O946&gt;=20,"Yes","No"))</f>
        <v/>
      </c>
      <c r="BT946" s="36" t="str">
        <f aca="false">IF(O946="","",IF(O946&gt;=30,"Yes","No"))</f>
        <v/>
      </c>
      <c r="BU946" s="36" t="str">
        <f aca="false">IF(O946="","",IF(O946&gt;=75,"Yes","No"))</f>
        <v/>
      </c>
      <c r="BV946" s="36" t="str">
        <f aca="false">IF(O946="","",IF(O946&gt;=100,"Yes","No"))</f>
        <v/>
      </c>
      <c r="BW946" s="36" t="str">
        <f aca="false">IF(O946="","",IF(O946&gt;=150,"Yes","No"))</f>
        <v/>
      </c>
      <c r="BX946" s="36" t="str">
        <f aca="false">IF(O946="","",IF(O946&gt;=200,"Yes","No"))</f>
        <v/>
      </c>
      <c r="BY946" s="36" t="str">
        <f aca="false">IF(Q946="","",IF(Q946&gt;=150000,"Yes","No"))</f>
        <v/>
      </c>
      <c r="BZ946" s="36" t="str">
        <f aca="false">IF(Q946="","",IF(Q946&gt;=200000,"Yes","No"))</f>
        <v/>
      </c>
      <c r="CA946" s="36" t="str">
        <f aca="false">IF(Q946="","",IF(Q946&gt;=250000,"Yes","No"))</f>
        <v/>
      </c>
      <c r="CB946" s="36" t="str">
        <f aca="false">IF(Q946="","",IF(Q946&gt;=300000,"Yes","No"))</f>
        <v/>
      </c>
      <c r="CC946" s="37"/>
      <c r="CD946" s="36" t="str">
        <f aca="true">IF(B946="","",IF(TODAY()-B946&lt;=7,"🟢 0-7d",IF(TODAY()-B946&lt;=30,"🟡 8-30d",IF(TODAY()-B946&lt;=60,"🟠 31-60d","🔴 60d+"))))</f>
        <v/>
      </c>
      <c r="CE946" s="36" t="str">
        <f aca="false">IF(G946="","",IF(G946&lt;&gt;"USA","N/A - Not USA Role",IF(J946="Yes",IF(OR(F946="Intern",F946="New Grad"),"🟡 Possible","🟢 Strong"),IF(J946="No","🔴 Difficult","⚪ Unknown"))))</f>
        <v/>
      </c>
      <c r="CF946" s="37"/>
      <c r="CG946" s="37"/>
      <c r="CH946" s="38"/>
      <c r="CI946" s="38"/>
      <c r="CJ946" s="38"/>
      <c r="CK946" s="38"/>
    </row>
    <row r="947" customFormat="false" ht="15" hidden="false" customHeight="true" outlineLevel="0" collapsed="false">
      <c r="A947" s="26" t="str">
        <f aca="false">IF($C947="","",ROW()-3)</f>
        <v/>
      </c>
      <c r="B947" s="27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9"/>
      <c r="N947" s="29"/>
      <c r="O947" s="30" t="str">
        <f aca="false">IFERROR(IF(M947="","",M947*INDEX('00 - Lists'!$M$2:$M$11,MATCH(L947,'00 - Lists'!$L$2:$L$11,0))/100000),"")</f>
        <v/>
      </c>
      <c r="P947" s="30" t="str">
        <f aca="false">IFERROR(IF(N947="","",N947*INDEX('00 - Lists'!$M$2:$M$11,MATCH(L947,'00 - Lists'!$L$2:$L$11,0))/100000),"")</f>
        <v/>
      </c>
      <c r="Q947" s="31" t="str">
        <f aca="false">IFERROR(IF(M947="","",M947*INDEX('00 - Lists'!$N$2:$N$11,MATCH(L947,'00 - Lists'!$L$2:$L$11,0))),"")</f>
        <v/>
      </c>
      <c r="R947" s="31" t="str">
        <f aca="false">IFERROR(IF(N947="","",N947*INDEX('00 - Lists'!$N$2:$N$11,MATCH(L947,'00 - Lists'!$L$2:$L$11,0))),"")</f>
        <v/>
      </c>
      <c r="S947" s="32" t="str">
        <f aca="false">IF(O947="","",IF(O947&gt;=50,"Yes","No"))</f>
        <v/>
      </c>
      <c r="T947" s="32" t="str">
        <f aca="false">IF(Q947="","",IF(Q947&gt;=100000,"Yes","No"))</f>
        <v/>
      </c>
      <c r="U947" s="28"/>
      <c r="V947" s="28"/>
      <c r="W947" s="28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J947" s="34" t="str">
        <f aca="false">IF(OR($BD947&lt;&gt;"",$BF947&lt;&gt;"",$BH947&lt;&gt;""),"Yes","No")</f>
        <v>No</v>
      </c>
      <c r="BK947" s="35" t="str">
        <f aca="false">IFERROR(IF(BD947="","",BD947*INDEX('00 - Lists'!$M$2:$M$11,MATCH(L947,'00 - Lists'!$L$2:$L$11,0))/100000),"")</f>
        <v/>
      </c>
      <c r="BL947" s="35" t="str">
        <f aca="false">IFERROR(IF(BE947="","",BE947*INDEX('00 - Lists'!$M$2:$M$11,MATCH(L947,'00 - Lists'!$L$2:$L$11,0))/100000),"")</f>
        <v/>
      </c>
      <c r="BM947" s="35" t="str">
        <f aca="false">IFERROR(IF(BF947="","",BF947*INDEX('00 - Lists'!$M$2:$M$11,MATCH(L947,'00 - Lists'!$L$2:$L$11,0))/100000),"")</f>
        <v/>
      </c>
      <c r="BN947" s="35" t="str">
        <f aca="false">IFERROR(IF(BG947="","",BG947*INDEX('00 - Lists'!$M$2:$M$11,MATCH(L947,'00 - Lists'!$L$2:$L$11,0))/100000),"")</f>
        <v/>
      </c>
      <c r="BO947" s="35" t="str">
        <f aca="false">IFERROR(IF(BH947="","",BH947*INDEX('00 - Lists'!$M$2:$M$11,MATCH(L947,'00 - Lists'!$L$2:$L$11,0))/100000),"")</f>
        <v/>
      </c>
      <c r="BP947" s="35" t="str">
        <f aca="false">IFERROR(IF(BI947="","",BI947*INDEX('00 - Lists'!$M$2:$M$11,MATCH(L947,'00 - Lists'!$L$2:$L$11,0))/100000),"")</f>
        <v/>
      </c>
      <c r="BS947" s="36" t="str">
        <f aca="false">IF(O947="","",IF(O947&gt;=20,"Yes","No"))</f>
        <v/>
      </c>
      <c r="BT947" s="36" t="str">
        <f aca="false">IF(O947="","",IF(O947&gt;=30,"Yes","No"))</f>
        <v/>
      </c>
      <c r="BU947" s="36" t="str">
        <f aca="false">IF(O947="","",IF(O947&gt;=75,"Yes","No"))</f>
        <v/>
      </c>
      <c r="BV947" s="36" t="str">
        <f aca="false">IF(O947="","",IF(O947&gt;=100,"Yes","No"))</f>
        <v/>
      </c>
      <c r="BW947" s="36" t="str">
        <f aca="false">IF(O947="","",IF(O947&gt;=150,"Yes","No"))</f>
        <v/>
      </c>
      <c r="BX947" s="36" t="str">
        <f aca="false">IF(O947="","",IF(O947&gt;=200,"Yes","No"))</f>
        <v/>
      </c>
      <c r="BY947" s="36" t="str">
        <f aca="false">IF(Q947="","",IF(Q947&gt;=150000,"Yes","No"))</f>
        <v/>
      </c>
      <c r="BZ947" s="36" t="str">
        <f aca="false">IF(Q947="","",IF(Q947&gt;=200000,"Yes","No"))</f>
        <v/>
      </c>
      <c r="CA947" s="36" t="str">
        <f aca="false">IF(Q947="","",IF(Q947&gt;=250000,"Yes","No"))</f>
        <v/>
      </c>
      <c r="CB947" s="36" t="str">
        <f aca="false">IF(Q947="","",IF(Q947&gt;=300000,"Yes","No"))</f>
        <v/>
      </c>
      <c r="CC947" s="37"/>
      <c r="CD947" s="36" t="str">
        <f aca="true">IF(B947="","",IF(TODAY()-B947&lt;=7,"🟢 0-7d",IF(TODAY()-B947&lt;=30,"🟡 8-30d",IF(TODAY()-B947&lt;=60,"🟠 31-60d","🔴 60d+"))))</f>
        <v/>
      </c>
      <c r="CE947" s="36" t="str">
        <f aca="false">IF(G947="","",IF(G947&lt;&gt;"USA","N/A - Not USA Role",IF(J947="Yes",IF(OR(F947="Intern",F947="New Grad"),"🟡 Possible","🟢 Strong"),IF(J947="No","🔴 Difficult","⚪ Unknown"))))</f>
        <v/>
      </c>
      <c r="CF947" s="37"/>
      <c r="CG947" s="37"/>
      <c r="CH947" s="38"/>
      <c r="CI947" s="38"/>
      <c r="CJ947" s="38"/>
      <c r="CK947" s="38"/>
    </row>
    <row r="948" customFormat="false" ht="15" hidden="false" customHeight="true" outlineLevel="0" collapsed="false">
      <c r="A948" s="26" t="str">
        <f aca="false">IF($C948="","",ROW()-3)</f>
        <v/>
      </c>
      <c r="B948" s="27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9"/>
      <c r="N948" s="29"/>
      <c r="O948" s="30" t="str">
        <f aca="false">IFERROR(IF(M948="","",M948*INDEX('00 - Lists'!$M$2:$M$11,MATCH(L948,'00 - Lists'!$L$2:$L$11,0))/100000),"")</f>
        <v/>
      </c>
      <c r="P948" s="30" t="str">
        <f aca="false">IFERROR(IF(N948="","",N948*INDEX('00 - Lists'!$M$2:$M$11,MATCH(L948,'00 - Lists'!$L$2:$L$11,0))/100000),"")</f>
        <v/>
      </c>
      <c r="Q948" s="31" t="str">
        <f aca="false">IFERROR(IF(M948="","",M948*INDEX('00 - Lists'!$N$2:$N$11,MATCH(L948,'00 - Lists'!$L$2:$L$11,0))),"")</f>
        <v/>
      </c>
      <c r="R948" s="31" t="str">
        <f aca="false">IFERROR(IF(N948="","",N948*INDEX('00 - Lists'!$N$2:$N$11,MATCH(L948,'00 - Lists'!$L$2:$L$11,0))),"")</f>
        <v/>
      </c>
      <c r="S948" s="32" t="str">
        <f aca="false">IF(O948="","",IF(O948&gt;=50,"Yes","No"))</f>
        <v/>
      </c>
      <c r="T948" s="32" t="str">
        <f aca="false">IF(Q948="","",IF(Q948&gt;=100000,"Yes","No"))</f>
        <v/>
      </c>
      <c r="U948" s="28"/>
      <c r="V948" s="28"/>
      <c r="W948" s="28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J948" s="34" t="str">
        <f aca="false">IF(OR($BD948&lt;&gt;"",$BF948&lt;&gt;"",$BH948&lt;&gt;""),"Yes","No")</f>
        <v>No</v>
      </c>
      <c r="BK948" s="35" t="str">
        <f aca="false">IFERROR(IF(BD948="","",BD948*INDEX('00 - Lists'!$M$2:$M$11,MATCH(L948,'00 - Lists'!$L$2:$L$11,0))/100000),"")</f>
        <v/>
      </c>
      <c r="BL948" s="35" t="str">
        <f aca="false">IFERROR(IF(BE948="","",BE948*INDEX('00 - Lists'!$M$2:$M$11,MATCH(L948,'00 - Lists'!$L$2:$L$11,0))/100000),"")</f>
        <v/>
      </c>
      <c r="BM948" s="35" t="str">
        <f aca="false">IFERROR(IF(BF948="","",BF948*INDEX('00 - Lists'!$M$2:$M$11,MATCH(L948,'00 - Lists'!$L$2:$L$11,0))/100000),"")</f>
        <v/>
      </c>
      <c r="BN948" s="35" t="str">
        <f aca="false">IFERROR(IF(BG948="","",BG948*INDEX('00 - Lists'!$M$2:$M$11,MATCH(L948,'00 - Lists'!$L$2:$L$11,0))/100000),"")</f>
        <v/>
      </c>
      <c r="BO948" s="35" t="str">
        <f aca="false">IFERROR(IF(BH948="","",BH948*INDEX('00 - Lists'!$M$2:$M$11,MATCH(L948,'00 - Lists'!$L$2:$L$11,0))/100000),"")</f>
        <v/>
      </c>
      <c r="BP948" s="35" t="str">
        <f aca="false">IFERROR(IF(BI948="","",BI948*INDEX('00 - Lists'!$M$2:$M$11,MATCH(L948,'00 - Lists'!$L$2:$L$11,0))/100000),"")</f>
        <v/>
      </c>
      <c r="BS948" s="36" t="str">
        <f aca="false">IF(O948="","",IF(O948&gt;=20,"Yes","No"))</f>
        <v/>
      </c>
      <c r="BT948" s="36" t="str">
        <f aca="false">IF(O948="","",IF(O948&gt;=30,"Yes","No"))</f>
        <v/>
      </c>
      <c r="BU948" s="36" t="str">
        <f aca="false">IF(O948="","",IF(O948&gt;=75,"Yes","No"))</f>
        <v/>
      </c>
      <c r="BV948" s="36" t="str">
        <f aca="false">IF(O948="","",IF(O948&gt;=100,"Yes","No"))</f>
        <v/>
      </c>
      <c r="BW948" s="36" t="str">
        <f aca="false">IF(O948="","",IF(O948&gt;=150,"Yes","No"))</f>
        <v/>
      </c>
      <c r="BX948" s="36" t="str">
        <f aca="false">IF(O948="","",IF(O948&gt;=200,"Yes","No"))</f>
        <v/>
      </c>
      <c r="BY948" s="36" t="str">
        <f aca="false">IF(Q948="","",IF(Q948&gt;=150000,"Yes","No"))</f>
        <v/>
      </c>
      <c r="BZ948" s="36" t="str">
        <f aca="false">IF(Q948="","",IF(Q948&gt;=200000,"Yes","No"))</f>
        <v/>
      </c>
      <c r="CA948" s="36" t="str">
        <f aca="false">IF(Q948="","",IF(Q948&gt;=250000,"Yes","No"))</f>
        <v/>
      </c>
      <c r="CB948" s="36" t="str">
        <f aca="false">IF(Q948="","",IF(Q948&gt;=300000,"Yes","No"))</f>
        <v/>
      </c>
      <c r="CC948" s="37"/>
      <c r="CD948" s="36" t="str">
        <f aca="true">IF(B948="","",IF(TODAY()-B948&lt;=7,"🟢 0-7d",IF(TODAY()-B948&lt;=30,"🟡 8-30d",IF(TODAY()-B948&lt;=60,"🟠 31-60d","🔴 60d+"))))</f>
        <v/>
      </c>
      <c r="CE948" s="36" t="str">
        <f aca="false">IF(G948="","",IF(G948&lt;&gt;"USA","N/A - Not USA Role",IF(J948="Yes",IF(OR(F948="Intern",F948="New Grad"),"🟡 Possible","🟢 Strong"),IF(J948="No","🔴 Difficult","⚪ Unknown"))))</f>
        <v/>
      </c>
      <c r="CF948" s="37"/>
      <c r="CG948" s="37"/>
      <c r="CH948" s="38"/>
      <c r="CI948" s="38"/>
      <c r="CJ948" s="38"/>
      <c r="CK948" s="38"/>
    </row>
    <row r="949" customFormat="false" ht="15" hidden="false" customHeight="true" outlineLevel="0" collapsed="false">
      <c r="A949" s="26" t="str">
        <f aca="false">IF($C949="","",ROW()-3)</f>
        <v/>
      </c>
      <c r="B949" s="27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9"/>
      <c r="N949" s="29"/>
      <c r="O949" s="30" t="str">
        <f aca="false">IFERROR(IF(M949="","",M949*INDEX('00 - Lists'!$M$2:$M$11,MATCH(L949,'00 - Lists'!$L$2:$L$11,0))/100000),"")</f>
        <v/>
      </c>
      <c r="P949" s="30" t="str">
        <f aca="false">IFERROR(IF(N949="","",N949*INDEX('00 - Lists'!$M$2:$M$11,MATCH(L949,'00 - Lists'!$L$2:$L$11,0))/100000),"")</f>
        <v/>
      </c>
      <c r="Q949" s="31" t="str">
        <f aca="false">IFERROR(IF(M949="","",M949*INDEX('00 - Lists'!$N$2:$N$11,MATCH(L949,'00 - Lists'!$L$2:$L$11,0))),"")</f>
        <v/>
      </c>
      <c r="R949" s="31" t="str">
        <f aca="false">IFERROR(IF(N949="","",N949*INDEX('00 - Lists'!$N$2:$N$11,MATCH(L949,'00 - Lists'!$L$2:$L$11,0))),"")</f>
        <v/>
      </c>
      <c r="S949" s="32" t="str">
        <f aca="false">IF(O949="","",IF(O949&gt;=50,"Yes","No"))</f>
        <v/>
      </c>
      <c r="T949" s="32" t="str">
        <f aca="false">IF(Q949="","",IF(Q949&gt;=100000,"Yes","No"))</f>
        <v/>
      </c>
      <c r="U949" s="28"/>
      <c r="V949" s="28"/>
      <c r="W949" s="28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J949" s="34" t="str">
        <f aca="false">IF(OR($BD949&lt;&gt;"",$BF949&lt;&gt;"",$BH949&lt;&gt;""),"Yes","No")</f>
        <v>No</v>
      </c>
      <c r="BK949" s="35" t="str">
        <f aca="false">IFERROR(IF(BD949="","",BD949*INDEX('00 - Lists'!$M$2:$M$11,MATCH(L949,'00 - Lists'!$L$2:$L$11,0))/100000),"")</f>
        <v/>
      </c>
      <c r="BL949" s="35" t="str">
        <f aca="false">IFERROR(IF(BE949="","",BE949*INDEX('00 - Lists'!$M$2:$M$11,MATCH(L949,'00 - Lists'!$L$2:$L$11,0))/100000),"")</f>
        <v/>
      </c>
      <c r="BM949" s="35" t="str">
        <f aca="false">IFERROR(IF(BF949="","",BF949*INDEX('00 - Lists'!$M$2:$M$11,MATCH(L949,'00 - Lists'!$L$2:$L$11,0))/100000),"")</f>
        <v/>
      </c>
      <c r="BN949" s="35" t="str">
        <f aca="false">IFERROR(IF(BG949="","",BG949*INDEX('00 - Lists'!$M$2:$M$11,MATCH(L949,'00 - Lists'!$L$2:$L$11,0))/100000),"")</f>
        <v/>
      </c>
      <c r="BO949" s="35" t="str">
        <f aca="false">IFERROR(IF(BH949="","",BH949*INDEX('00 - Lists'!$M$2:$M$11,MATCH(L949,'00 - Lists'!$L$2:$L$11,0))/100000),"")</f>
        <v/>
      </c>
      <c r="BP949" s="35" t="str">
        <f aca="false">IFERROR(IF(BI949="","",BI949*INDEX('00 - Lists'!$M$2:$M$11,MATCH(L949,'00 - Lists'!$L$2:$L$11,0))/100000),"")</f>
        <v/>
      </c>
      <c r="BS949" s="36" t="str">
        <f aca="false">IF(O949="","",IF(O949&gt;=20,"Yes","No"))</f>
        <v/>
      </c>
      <c r="BT949" s="36" t="str">
        <f aca="false">IF(O949="","",IF(O949&gt;=30,"Yes","No"))</f>
        <v/>
      </c>
      <c r="BU949" s="36" t="str">
        <f aca="false">IF(O949="","",IF(O949&gt;=75,"Yes","No"))</f>
        <v/>
      </c>
      <c r="BV949" s="36" t="str">
        <f aca="false">IF(O949="","",IF(O949&gt;=100,"Yes","No"))</f>
        <v/>
      </c>
      <c r="BW949" s="36" t="str">
        <f aca="false">IF(O949="","",IF(O949&gt;=150,"Yes","No"))</f>
        <v/>
      </c>
      <c r="BX949" s="36" t="str">
        <f aca="false">IF(O949="","",IF(O949&gt;=200,"Yes","No"))</f>
        <v/>
      </c>
      <c r="BY949" s="36" t="str">
        <f aca="false">IF(Q949="","",IF(Q949&gt;=150000,"Yes","No"))</f>
        <v/>
      </c>
      <c r="BZ949" s="36" t="str">
        <f aca="false">IF(Q949="","",IF(Q949&gt;=200000,"Yes","No"))</f>
        <v/>
      </c>
      <c r="CA949" s="36" t="str">
        <f aca="false">IF(Q949="","",IF(Q949&gt;=250000,"Yes","No"))</f>
        <v/>
      </c>
      <c r="CB949" s="36" t="str">
        <f aca="false">IF(Q949="","",IF(Q949&gt;=300000,"Yes","No"))</f>
        <v/>
      </c>
      <c r="CC949" s="37"/>
      <c r="CD949" s="36" t="str">
        <f aca="true">IF(B949="","",IF(TODAY()-B949&lt;=7,"🟢 0-7d",IF(TODAY()-B949&lt;=30,"🟡 8-30d",IF(TODAY()-B949&lt;=60,"🟠 31-60d","🔴 60d+"))))</f>
        <v/>
      </c>
      <c r="CE949" s="36" t="str">
        <f aca="false">IF(G949="","",IF(G949&lt;&gt;"USA","N/A - Not USA Role",IF(J949="Yes",IF(OR(F949="Intern",F949="New Grad"),"🟡 Possible","🟢 Strong"),IF(J949="No","🔴 Difficult","⚪ Unknown"))))</f>
        <v/>
      </c>
      <c r="CF949" s="37"/>
      <c r="CG949" s="37"/>
      <c r="CH949" s="38"/>
      <c r="CI949" s="38"/>
      <c r="CJ949" s="38"/>
      <c r="CK949" s="38"/>
    </row>
    <row r="950" customFormat="false" ht="15" hidden="false" customHeight="true" outlineLevel="0" collapsed="false">
      <c r="A950" s="26" t="str">
        <f aca="false">IF($C950="","",ROW()-3)</f>
        <v/>
      </c>
      <c r="B950" s="27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9"/>
      <c r="N950" s="29"/>
      <c r="O950" s="30" t="str">
        <f aca="false">IFERROR(IF(M950="","",M950*INDEX('00 - Lists'!$M$2:$M$11,MATCH(L950,'00 - Lists'!$L$2:$L$11,0))/100000),"")</f>
        <v/>
      </c>
      <c r="P950" s="30" t="str">
        <f aca="false">IFERROR(IF(N950="","",N950*INDEX('00 - Lists'!$M$2:$M$11,MATCH(L950,'00 - Lists'!$L$2:$L$11,0))/100000),"")</f>
        <v/>
      </c>
      <c r="Q950" s="31" t="str">
        <f aca="false">IFERROR(IF(M950="","",M950*INDEX('00 - Lists'!$N$2:$N$11,MATCH(L950,'00 - Lists'!$L$2:$L$11,0))),"")</f>
        <v/>
      </c>
      <c r="R950" s="31" t="str">
        <f aca="false">IFERROR(IF(N950="","",N950*INDEX('00 - Lists'!$N$2:$N$11,MATCH(L950,'00 - Lists'!$L$2:$L$11,0))),"")</f>
        <v/>
      </c>
      <c r="S950" s="32" t="str">
        <f aca="false">IF(O950="","",IF(O950&gt;=50,"Yes","No"))</f>
        <v/>
      </c>
      <c r="T950" s="32" t="str">
        <f aca="false">IF(Q950="","",IF(Q950&gt;=100000,"Yes","No"))</f>
        <v/>
      </c>
      <c r="U950" s="28"/>
      <c r="V950" s="28"/>
      <c r="W950" s="28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J950" s="34" t="str">
        <f aca="false">IF(OR($BD950&lt;&gt;"",$BF950&lt;&gt;"",$BH950&lt;&gt;""),"Yes","No")</f>
        <v>No</v>
      </c>
      <c r="BK950" s="35" t="str">
        <f aca="false">IFERROR(IF(BD950="","",BD950*INDEX('00 - Lists'!$M$2:$M$11,MATCH(L950,'00 - Lists'!$L$2:$L$11,0))/100000),"")</f>
        <v/>
      </c>
      <c r="BL950" s="35" t="str">
        <f aca="false">IFERROR(IF(BE950="","",BE950*INDEX('00 - Lists'!$M$2:$M$11,MATCH(L950,'00 - Lists'!$L$2:$L$11,0))/100000),"")</f>
        <v/>
      </c>
      <c r="BM950" s="35" t="str">
        <f aca="false">IFERROR(IF(BF950="","",BF950*INDEX('00 - Lists'!$M$2:$M$11,MATCH(L950,'00 - Lists'!$L$2:$L$11,0))/100000),"")</f>
        <v/>
      </c>
      <c r="BN950" s="35" t="str">
        <f aca="false">IFERROR(IF(BG950="","",BG950*INDEX('00 - Lists'!$M$2:$M$11,MATCH(L950,'00 - Lists'!$L$2:$L$11,0))/100000),"")</f>
        <v/>
      </c>
      <c r="BO950" s="35" t="str">
        <f aca="false">IFERROR(IF(BH950="","",BH950*INDEX('00 - Lists'!$M$2:$M$11,MATCH(L950,'00 - Lists'!$L$2:$L$11,0))/100000),"")</f>
        <v/>
      </c>
      <c r="BP950" s="35" t="str">
        <f aca="false">IFERROR(IF(BI950="","",BI950*INDEX('00 - Lists'!$M$2:$M$11,MATCH(L950,'00 - Lists'!$L$2:$L$11,0))/100000),"")</f>
        <v/>
      </c>
      <c r="BS950" s="36" t="str">
        <f aca="false">IF(O950="","",IF(O950&gt;=20,"Yes","No"))</f>
        <v/>
      </c>
      <c r="BT950" s="36" t="str">
        <f aca="false">IF(O950="","",IF(O950&gt;=30,"Yes","No"))</f>
        <v/>
      </c>
      <c r="BU950" s="36" t="str">
        <f aca="false">IF(O950="","",IF(O950&gt;=75,"Yes","No"))</f>
        <v/>
      </c>
      <c r="BV950" s="36" t="str">
        <f aca="false">IF(O950="","",IF(O950&gt;=100,"Yes","No"))</f>
        <v/>
      </c>
      <c r="BW950" s="36" t="str">
        <f aca="false">IF(O950="","",IF(O950&gt;=150,"Yes","No"))</f>
        <v/>
      </c>
      <c r="BX950" s="36" t="str">
        <f aca="false">IF(O950="","",IF(O950&gt;=200,"Yes","No"))</f>
        <v/>
      </c>
      <c r="BY950" s="36" t="str">
        <f aca="false">IF(Q950="","",IF(Q950&gt;=150000,"Yes","No"))</f>
        <v/>
      </c>
      <c r="BZ950" s="36" t="str">
        <f aca="false">IF(Q950="","",IF(Q950&gt;=200000,"Yes","No"))</f>
        <v/>
      </c>
      <c r="CA950" s="36" t="str">
        <f aca="false">IF(Q950="","",IF(Q950&gt;=250000,"Yes","No"))</f>
        <v/>
      </c>
      <c r="CB950" s="36" t="str">
        <f aca="false">IF(Q950="","",IF(Q950&gt;=300000,"Yes","No"))</f>
        <v/>
      </c>
      <c r="CC950" s="37"/>
      <c r="CD950" s="36" t="str">
        <f aca="true">IF(B950="","",IF(TODAY()-B950&lt;=7,"🟢 0-7d",IF(TODAY()-B950&lt;=30,"🟡 8-30d",IF(TODAY()-B950&lt;=60,"🟠 31-60d","🔴 60d+"))))</f>
        <v/>
      </c>
      <c r="CE950" s="36" t="str">
        <f aca="false">IF(G950="","",IF(G950&lt;&gt;"USA","N/A - Not USA Role",IF(J950="Yes",IF(OR(F950="Intern",F950="New Grad"),"🟡 Possible","🟢 Strong"),IF(J950="No","🔴 Difficult","⚪ Unknown"))))</f>
        <v/>
      </c>
      <c r="CF950" s="37"/>
      <c r="CG950" s="37"/>
      <c r="CH950" s="38"/>
      <c r="CI950" s="38"/>
      <c r="CJ950" s="38"/>
      <c r="CK950" s="38"/>
    </row>
    <row r="951" customFormat="false" ht="15" hidden="false" customHeight="true" outlineLevel="0" collapsed="false">
      <c r="A951" s="26" t="str">
        <f aca="false">IF($C951="","",ROW()-3)</f>
        <v/>
      </c>
      <c r="B951" s="27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9"/>
      <c r="N951" s="29"/>
      <c r="O951" s="30" t="str">
        <f aca="false">IFERROR(IF(M951="","",M951*INDEX('00 - Lists'!$M$2:$M$11,MATCH(L951,'00 - Lists'!$L$2:$L$11,0))/100000),"")</f>
        <v/>
      </c>
      <c r="P951" s="30" t="str">
        <f aca="false">IFERROR(IF(N951="","",N951*INDEX('00 - Lists'!$M$2:$M$11,MATCH(L951,'00 - Lists'!$L$2:$L$11,0))/100000),"")</f>
        <v/>
      </c>
      <c r="Q951" s="31" t="str">
        <f aca="false">IFERROR(IF(M951="","",M951*INDEX('00 - Lists'!$N$2:$N$11,MATCH(L951,'00 - Lists'!$L$2:$L$11,0))),"")</f>
        <v/>
      </c>
      <c r="R951" s="31" t="str">
        <f aca="false">IFERROR(IF(N951="","",N951*INDEX('00 - Lists'!$N$2:$N$11,MATCH(L951,'00 - Lists'!$L$2:$L$11,0))),"")</f>
        <v/>
      </c>
      <c r="S951" s="32" t="str">
        <f aca="false">IF(O951="","",IF(O951&gt;=50,"Yes","No"))</f>
        <v/>
      </c>
      <c r="T951" s="32" t="str">
        <f aca="false">IF(Q951="","",IF(Q951&gt;=100000,"Yes","No"))</f>
        <v/>
      </c>
      <c r="U951" s="28"/>
      <c r="V951" s="28"/>
      <c r="W951" s="28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J951" s="34" t="str">
        <f aca="false">IF(OR($BD951&lt;&gt;"",$BF951&lt;&gt;"",$BH951&lt;&gt;""),"Yes","No")</f>
        <v>No</v>
      </c>
      <c r="BK951" s="35" t="str">
        <f aca="false">IFERROR(IF(BD951="","",BD951*INDEX('00 - Lists'!$M$2:$M$11,MATCH(L951,'00 - Lists'!$L$2:$L$11,0))/100000),"")</f>
        <v/>
      </c>
      <c r="BL951" s="35" t="str">
        <f aca="false">IFERROR(IF(BE951="","",BE951*INDEX('00 - Lists'!$M$2:$M$11,MATCH(L951,'00 - Lists'!$L$2:$L$11,0))/100000),"")</f>
        <v/>
      </c>
      <c r="BM951" s="35" t="str">
        <f aca="false">IFERROR(IF(BF951="","",BF951*INDEX('00 - Lists'!$M$2:$M$11,MATCH(L951,'00 - Lists'!$L$2:$L$11,0))/100000),"")</f>
        <v/>
      </c>
      <c r="BN951" s="35" t="str">
        <f aca="false">IFERROR(IF(BG951="","",BG951*INDEX('00 - Lists'!$M$2:$M$11,MATCH(L951,'00 - Lists'!$L$2:$L$11,0))/100000),"")</f>
        <v/>
      </c>
      <c r="BO951" s="35" t="str">
        <f aca="false">IFERROR(IF(BH951="","",BH951*INDEX('00 - Lists'!$M$2:$M$11,MATCH(L951,'00 - Lists'!$L$2:$L$11,0))/100000),"")</f>
        <v/>
      </c>
      <c r="BP951" s="35" t="str">
        <f aca="false">IFERROR(IF(BI951="","",BI951*INDEX('00 - Lists'!$M$2:$M$11,MATCH(L951,'00 - Lists'!$L$2:$L$11,0))/100000),"")</f>
        <v/>
      </c>
      <c r="BS951" s="36" t="str">
        <f aca="false">IF(O951="","",IF(O951&gt;=20,"Yes","No"))</f>
        <v/>
      </c>
      <c r="BT951" s="36" t="str">
        <f aca="false">IF(O951="","",IF(O951&gt;=30,"Yes","No"))</f>
        <v/>
      </c>
      <c r="BU951" s="36" t="str">
        <f aca="false">IF(O951="","",IF(O951&gt;=75,"Yes","No"))</f>
        <v/>
      </c>
      <c r="BV951" s="36" t="str">
        <f aca="false">IF(O951="","",IF(O951&gt;=100,"Yes","No"))</f>
        <v/>
      </c>
      <c r="BW951" s="36" t="str">
        <f aca="false">IF(O951="","",IF(O951&gt;=150,"Yes","No"))</f>
        <v/>
      </c>
      <c r="BX951" s="36" t="str">
        <f aca="false">IF(O951="","",IF(O951&gt;=200,"Yes","No"))</f>
        <v/>
      </c>
      <c r="BY951" s="36" t="str">
        <f aca="false">IF(Q951="","",IF(Q951&gt;=150000,"Yes","No"))</f>
        <v/>
      </c>
      <c r="BZ951" s="36" t="str">
        <f aca="false">IF(Q951="","",IF(Q951&gt;=200000,"Yes","No"))</f>
        <v/>
      </c>
      <c r="CA951" s="36" t="str">
        <f aca="false">IF(Q951="","",IF(Q951&gt;=250000,"Yes","No"))</f>
        <v/>
      </c>
      <c r="CB951" s="36" t="str">
        <f aca="false">IF(Q951="","",IF(Q951&gt;=300000,"Yes","No"))</f>
        <v/>
      </c>
      <c r="CC951" s="37"/>
      <c r="CD951" s="36" t="str">
        <f aca="true">IF(B951="","",IF(TODAY()-B951&lt;=7,"🟢 0-7d",IF(TODAY()-B951&lt;=30,"🟡 8-30d",IF(TODAY()-B951&lt;=60,"🟠 31-60d","🔴 60d+"))))</f>
        <v/>
      </c>
      <c r="CE951" s="36" t="str">
        <f aca="false">IF(G951="","",IF(G951&lt;&gt;"USA","N/A - Not USA Role",IF(J951="Yes",IF(OR(F951="Intern",F951="New Grad"),"🟡 Possible","🟢 Strong"),IF(J951="No","🔴 Difficult","⚪ Unknown"))))</f>
        <v/>
      </c>
      <c r="CF951" s="37"/>
      <c r="CG951" s="37"/>
      <c r="CH951" s="38"/>
      <c r="CI951" s="38"/>
      <c r="CJ951" s="38"/>
      <c r="CK951" s="38"/>
    </row>
    <row r="952" customFormat="false" ht="15" hidden="false" customHeight="true" outlineLevel="0" collapsed="false">
      <c r="A952" s="26" t="str">
        <f aca="false">IF($C952="","",ROW()-3)</f>
        <v/>
      </c>
      <c r="B952" s="27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9"/>
      <c r="N952" s="29"/>
      <c r="O952" s="30" t="str">
        <f aca="false">IFERROR(IF(M952="","",M952*INDEX('00 - Lists'!$M$2:$M$11,MATCH(L952,'00 - Lists'!$L$2:$L$11,0))/100000),"")</f>
        <v/>
      </c>
      <c r="P952" s="30" t="str">
        <f aca="false">IFERROR(IF(N952="","",N952*INDEX('00 - Lists'!$M$2:$M$11,MATCH(L952,'00 - Lists'!$L$2:$L$11,0))/100000),"")</f>
        <v/>
      </c>
      <c r="Q952" s="31" t="str">
        <f aca="false">IFERROR(IF(M952="","",M952*INDEX('00 - Lists'!$N$2:$N$11,MATCH(L952,'00 - Lists'!$L$2:$L$11,0))),"")</f>
        <v/>
      </c>
      <c r="R952" s="31" t="str">
        <f aca="false">IFERROR(IF(N952="","",N952*INDEX('00 - Lists'!$N$2:$N$11,MATCH(L952,'00 - Lists'!$L$2:$L$11,0))),"")</f>
        <v/>
      </c>
      <c r="S952" s="32" t="str">
        <f aca="false">IF(O952="","",IF(O952&gt;=50,"Yes","No"))</f>
        <v/>
      </c>
      <c r="T952" s="32" t="str">
        <f aca="false">IF(Q952="","",IF(Q952&gt;=100000,"Yes","No"))</f>
        <v/>
      </c>
      <c r="U952" s="28"/>
      <c r="V952" s="28"/>
      <c r="W952" s="28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J952" s="34" t="str">
        <f aca="false">IF(OR($BD952&lt;&gt;"",$BF952&lt;&gt;"",$BH952&lt;&gt;""),"Yes","No")</f>
        <v>No</v>
      </c>
      <c r="BK952" s="35" t="str">
        <f aca="false">IFERROR(IF(BD952="","",BD952*INDEX('00 - Lists'!$M$2:$M$11,MATCH(L952,'00 - Lists'!$L$2:$L$11,0))/100000),"")</f>
        <v/>
      </c>
      <c r="BL952" s="35" t="str">
        <f aca="false">IFERROR(IF(BE952="","",BE952*INDEX('00 - Lists'!$M$2:$M$11,MATCH(L952,'00 - Lists'!$L$2:$L$11,0))/100000),"")</f>
        <v/>
      </c>
      <c r="BM952" s="35" t="str">
        <f aca="false">IFERROR(IF(BF952="","",BF952*INDEX('00 - Lists'!$M$2:$M$11,MATCH(L952,'00 - Lists'!$L$2:$L$11,0))/100000),"")</f>
        <v/>
      </c>
      <c r="BN952" s="35" t="str">
        <f aca="false">IFERROR(IF(BG952="","",BG952*INDEX('00 - Lists'!$M$2:$M$11,MATCH(L952,'00 - Lists'!$L$2:$L$11,0))/100000),"")</f>
        <v/>
      </c>
      <c r="BO952" s="35" t="str">
        <f aca="false">IFERROR(IF(BH952="","",BH952*INDEX('00 - Lists'!$M$2:$M$11,MATCH(L952,'00 - Lists'!$L$2:$L$11,0))/100000),"")</f>
        <v/>
      </c>
      <c r="BP952" s="35" t="str">
        <f aca="false">IFERROR(IF(BI952="","",BI952*INDEX('00 - Lists'!$M$2:$M$11,MATCH(L952,'00 - Lists'!$L$2:$L$11,0))/100000),"")</f>
        <v/>
      </c>
      <c r="BS952" s="36" t="str">
        <f aca="false">IF(O952="","",IF(O952&gt;=20,"Yes","No"))</f>
        <v/>
      </c>
      <c r="BT952" s="36" t="str">
        <f aca="false">IF(O952="","",IF(O952&gt;=30,"Yes","No"))</f>
        <v/>
      </c>
      <c r="BU952" s="36" t="str">
        <f aca="false">IF(O952="","",IF(O952&gt;=75,"Yes","No"))</f>
        <v/>
      </c>
      <c r="BV952" s="36" t="str">
        <f aca="false">IF(O952="","",IF(O952&gt;=100,"Yes","No"))</f>
        <v/>
      </c>
      <c r="BW952" s="36" t="str">
        <f aca="false">IF(O952="","",IF(O952&gt;=150,"Yes","No"))</f>
        <v/>
      </c>
      <c r="BX952" s="36" t="str">
        <f aca="false">IF(O952="","",IF(O952&gt;=200,"Yes","No"))</f>
        <v/>
      </c>
      <c r="BY952" s="36" t="str">
        <f aca="false">IF(Q952="","",IF(Q952&gt;=150000,"Yes","No"))</f>
        <v/>
      </c>
      <c r="BZ952" s="36" t="str">
        <f aca="false">IF(Q952="","",IF(Q952&gt;=200000,"Yes","No"))</f>
        <v/>
      </c>
      <c r="CA952" s="36" t="str">
        <f aca="false">IF(Q952="","",IF(Q952&gt;=250000,"Yes","No"))</f>
        <v/>
      </c>
      <c r="CB952" s="36" t="str">
        <f aca="false">IF(Q952="","",IF(Q952&gt;=300000,"Yes","No"))</f>
        <v/>
      </c>
      <c r="CC952" s="37"/>
      <c r="CD952" s="36" t="str">
        <f aca="true">IF(B952="","",IF(TODAY()-B952&lt;=7,"🟢 0-7d",IF(TODAY()-B952&lt;=30,"🟡 8-30d",IF(TODAY()-B952&lt;=60,"🟠 31-60d","🔴 60d+"))))</f>
        <v/>
      </c>
      <c r="CE952" s="36" t="str">
        <f aca="false">IF(G952="","",IF(G952&lt;&gt;"USA","N/A - Not USA Role",IF(J952="Yes",IF(OR(F952="Intern",F952="New Grad"),"🟡 Possible","🟢 Strong"),IF(J952="No","🔴 Difficult","⚪ Unknown"))))</f>
        <v/>
      </c>
      <c r="CF952" s="37"/>
      <c r="CG952" s="37"/>
      <c r="CH952" s="38"/>
      <c r="CI952" s="38"/>
      <c r="CJ952" s="38"/>
      <c r="CK952" s="38"/>
    </row>
    <row r="953" customFormat="false" ht="15" hidden="false" customHeight="true" outlineLevel="0" collapsed="false">
      <c r="A953" s="26" t="str">
        <f aca="false">IF($C953="","",ROW()-3)</f>
        <v/>
      </c>
      <c r="B953" s="27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9"/>
      <c r="N953" s="29"/>
      <c r="O953" s="30" t="str">
        <f aca="false">IFERROR(IF(M953="","",M953*INDEX('00 - Lists'!$M$2:$M$11,MATCH(L953,'00 - Lists'!$L$2:$L$11,0))/100000),"")</f>
        <v/>
      </c>
      <c r="P953" s="30" t="str">
        <f aca="false">IFERROR(IF(N953="","",N953*INDEX('00 - Lists'!$M$2:$M$11,MATCH(L953,'00 - Lists'!$L$2:$L$11,0))/100000),"")</f>
        <v/>
      </c>
      <c r="Q953" s="31" t="str">
        <f aca="false">IFERROR(IF(M953="","",M953*INDEX('00 - Lists'!$N$2:$N$11,MATCH(L953,'00 - Lists'!$L$2:$L$11,0))),"")</f>
        <v/>
      </c>
      <c r="R953" s="31" t="str">
        <f aca="false">IFERROR(IF(N953="","",N953*INDEX('00 - Lists'!$N$2:$N$11,MATCH(L953,'00 - Lists'!$L$2:$L$11,0))),"")</f>
        <v/>
      </c>
      <c r="S953" s="32" t="str">
        <f aca="false">IF(O953="","",IF(O953&gt;=50,"Yes","No"))</f>
        <v/>
      </c>
      <c r="T953" s="32" t="str">
        <f aca="false">IF(Q953="","",IF(Q953&gt;=100000,"Yes","No"))</f>
        <v/>
      </c>
      <c r="U953" s="28"/>
      <c r="V953" s="28"/>
      <c r="W953" s="28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J953" s="34" t="str">
        <f aca="false">IF(OR($BD953&lt;&gt;"",$BF953&lt;&gt;"",$BH953&lt;&gt;""),"Yes","No")</f>
        <v>No</v>
      </c>
      <c r="BK953" s="35" t="str">
        <f aca="false">IFERROR(IF(BD953="","",BD953*INDEX('00 - Lists'!$M$2:$M$11,MATCH(L953,'00 - Lists'!$L$2:$L$11,0))/100000),"")</f>
        <v/>
      </c>
      <c r="BL953" s="35" t="str">
        <f aca="false">IFERROR(IF(BE953="","",BE953*INDEX('00 - Lists'!$M$2:$M$11,MATCH(L953,'00 - Lists'!$L$2:$L$11,0))/100000),"")</f>
        <v/>
      </c>
      <c r="BM953" s="35" t="str">
        <f aca="false">IFERROR(IF(BF953="","",BF953*INDEX('00 - Lists'!$M$2:$M$11,MATCH(L953,'00 - Lists'!$L$2:$L$11,0))/100000),"")</f>
        <v/>
      </c>
      <c r="BN953" s="35" t="str">
        <f aca="false">IFERROR(IF(BG953="","",BG953*INDEX('00 - Lists'!$M$2:$M$11,MATCH(L953,'00 - Lists'!$L$2:$L$11,0))/100000),"")</f>
        <v/>
      </c>
      <c r="BO953" s="35" t="str">
        <f aca="false">IFERROR(IF(BH953="","",BH953*INDEX('00 - Lists'!$M$2:$M$11,MATCH(L953,'00 - Lists'!$L$2:$L$11,0))/100000),"")</f>
        <v/>
      </c>
      <c r="BP953" s="35" t="str">
        <f aca="false">IFERROR(IF(BI953="","",BI953*INDEX('00 - Lists'!$M$2:$M$11,MATCH(L953,'00 - Lists'!$L$2:$L$11,0))/100000),"")</f>
        <v/>
      </c>
      <c r="BS953" s="36" t="str">
        <f aca="false">IF(O953="","",IF(O953&gt;=20,"Yes","No"))</f>
        <v/>
      </c>
      <c r="BT953" s="36" t="str">
        <f aca="false">IF(O953="","",IF(O953&gt;=30,"Yes","No"))</f>
        <v/>
      </c>
      <c r="BU953" s="36" t="str">
        <f aca="false">IF(O953="","",IF(O953&gt;=75,"Yes","No"))</f>
        <v/>
      </c>
      <c r="BV953" s="36" t="str">
        <f aca="false">IF(O953="","",IF(O953&gt;=100,"Yes","No"))</f>
        <v/>
      </c>
      <c r="BW953" s="36" t="str">
        <f aca="false">IF(O953="","",IF(O953&gt;=150,"Yes","No"))</f>
        <v/>
      </c>
      <c r="BX953" s="36" t="str">
        <f aca="false">IF(O953="","",IF(O953&gt;=200,"Yes","No"))</f>
        <v/>
      </c>
      <c r="BY953" s="36" t="str">
        <f aca="false">IF(Q953="","",IF(Q953&gt;=150000,"Yes","No"))</f>
        <v/>
      </c>
      <c r="BZ953" s="36" t="str">
        <f aca="false">IF(Q953="","",IF(Q953&gt;=200000,"Yes","No"))</f>
        <v/>
      </c>
      <c r="CA953" s="36" t="str">
        <f aca="false">IF(Q953="","",IF(Q953&gt;=250000,"Yes","No"))</f>
        <v/>
      </c>
      <c r="CB953" s="36" t="str">
        <f aca="false">IF(Q953="","",IF(Q953&gt;=300000,"Yes","No"))</f>
        <v/>
      </c>
      <c r="CC953" s="37"/>
      <c r="CD953" s="36" t="str">
        <f aca="true">IF(B953="","",IF(TODAY()-B953&lt;=7,"🟢 0-7d",IF(TODAY()-B953&lt;=30,"🟡 8-30d",IF(TODAY()-B953&lt;=60,"🟠 31-60d","🔴 60d+"))))</f>
        <v/>
      </c>
      <c r="CE953" s="36" t="str">
        <f aca="false">IF(G953="","",IF(G953&lt;&gt;"USA","N/A - Not USA Role",IF(J953="Yes",IF(OR(F953="Intern",F953="New Grad"),"🟡 Possible","🟢 Strong"),IF(J953="No","🔴 Difficult","⚪ Unknown"))))</f>
        <v/>
      </c>
      <c r="CF953" s="37"/>
      <c r="CG953" s="37"/>
      <c r="CH953" s="38"/>
      <c r="CI953" s="38"/>
      <c r="CJ953" s="38"/>
      <c r="CK953" s="38"/>
    </row>
    <row r="954" customFormat="false" ht="15" hidden="false" customHeight="true" outlineLevel="0" collapsed="false">
      <c r="A954" s="26" t="str">
        <f aca="false">IF($C954="","",ROW()-3)</f>
        <v/>
      </c>
      <c r="B954" s="27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9"/>
      <c r="N954" s="29"/>
      <c r="O954" s="30" t="str">
        <f aca="false">IFERROR(IF(M954="","",M954*INDEX('00 - Lists'!$M$2:$M$11,MATCH(L954,'00 - Lists'!$L$2:$L$11,0))/100000),"")</f>
        <v/>
      </c>
      <c r="P954" s="30" t="str">
        <f aca="false">IFERROR(IF(N954="","",N954*INDEX('00 - Lists'!$M$2:$M$11,MATCH(L954,'00 - Lists'!$L$2:$L$11,0))/100000),"")</f>
        <v/>
      </c>
      <c r="Q954" s="31" t="str">
        <f aca="false">IFERROR(IF(M954="","",M954*INDEX('00 - Lists'!$N$2:$N$11,MATCH(L954,'00 - Lists'!$L$2:$L$11,0))),"")</f>
        <v/>
      </c>
      <c r="R954" s="31" t="str">
        <f aca="false">IFERROR(IF(N954="","",N954*INDEX('00 - Lists'!$N$2:$N$11,MATCH(L954,'00 - Lists'!$L$2:$L$11,0))),"")</f>
        <v/>
      </c>
      <c r="S954" s="32" t="str">
        <f aca="false">IF(O954="","",IF(O954&gt;=50,"Yes","No"))</f>
        <v/>
      </c>
      <c r="T954" s="32" t="str">
        <f aca="false">IF(Q954="","",IF(Q954&gt;=100000,"Yes","No"))</f>
        <v/>
      </c>
      <c r="U954" s="28"/>
      <c r="V954" s="28"/>
      <c r="W954" s="28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J954" s="34" t="str">
        <f aca="false">IF(OR($BD954&lt;&gt;"",$BF954&lt;&gt;"",$BH954&lt;&gt;""),"Yes","No")</f>
        <v>No</v>
      </c>
      <c r="BK954" s="35" t="str">
        <f aca="false">IFERROR(IF(BD954="","",BD954*INDEX('00 - Lists'!$M$2:$M$11,MATCH(L954,'00 - Lists'!$L$2:$L$11,0))/100000),"")</f>
        <v/>
      </c>
      <c r="BL954" s="35" t="str">
        <f aca="false">IFERROR(IF(BE954="","",BE954*INDEX('00 - Lists'!$M$2:$M$11,MATCH(L954,'00 - Lists'!$L$2:$L$11,0))/100000),"")</f>
        <v/>
      </c>
      <c r="BM954" s="35" t="str">
        <f aca="false">IFERROR(IF(BF954="","",BF954*INDEX('00 - Lists'!$M$2:$M$11,MATCH(L954,'00 - Lists'!$L$2:$L$11,0))/100000),"")</f>
        <v/>
      </c>
      <c r="BN954" s="35" t="str">
        <f aca="false">IFERROR(IF(BG954="","",BG954*INDEX('00 - Lists'!$M$2:$M$11,MATCH(L954,'00 - Lists'!$L$2:$L$11,0))/100000),"")</f>
        <v/>
      </c>
      <c r="BO954" s="35" t="str">
        <f aca="false">IFERROR(IF(BH954="","",BH954*INDEX('00 - Lists'!$M$2:$M$11,MATCH(L954,'00 - Lists'!$L$2:$L$11,0))/100000),"")</f>
        <v/>
      </c>
      <c r="BP954" s="35" t="str">
        <f aca="false">IFERROR(IF(BI954="","",BI954*INDEX('00 - Lists'!$M$2:$M$11,MATCH(L954,'00 - Lists'!$L$2:$L$11,0))/100000),"")</f>
        <v/>
      </c>
      <c r="BS954" s="36" t="str">
        <f aca="false">IF(O954="","",IF(O954&gt;=20,"Yes","No"))</f>
        <v/>
      </c>
      <c r="BT954" s="36" t="str">
        <f aca="false">IF(O954="","",IF(O954&gt;=30,"Yes","No"))</f>
        <v/>
      </c>
      <c r="BU954" s="36" t="str">
        <f aca="false">IF(O954="","",IF(O954&gt;=75,"Yes","No"))</f>
        <v/>
      </c>
      <c r="BV954" s="36" t="str">
        <f aca="false">IF(O954="","",IF(O954&gt;=100,"Yes","No"))</f>
        <v/>
      </c>
      <c r="BW954" s="36" t="str">
        <f aca="false">IF(O954="","",IF(O954&gt;=150,"Yes","No"))</f>
        <v/>
      </c>
      <c r="BX954" s="36" t="str">
        <f aca="false">IF(O954="","",IF(O954&gt;=200,"Yes","No"))</f>
        <v/>
      </c>
      <c r="BY954" s="36" t="str">
        <f aca="false">IF(Q954="","",IF(Q954&gt;=150000,"Yes","No"))</f>
        <v/>
      </c>
      <c r="BZ954" s="36" t="str">
        <f aca="false">IF(Q954="","",IF(Q954&gt;=200000,"Yes","No"))</f>
        <v/>
      </c>
      <c r="CA954" s="36" t="str">
        <f aca="false">IF(Q954="","",IF(Q954&gt;=250000,"Yes","No"))</f>
        <v/>
      </c>
      <c r="CB954" s="36" t="str">
        <f aca="false">IF(Q954="","",IF(Q954&gt;=300000,"Yes","No"))</f>
        <v/>
      </c>
      <c r="CC954" s="37"/>
      <c r="CD954" s="36" t="str">
        <f aca="true">IF(B954="","",IF(TODAY()-B954&lt;=7,"🟢 0-7d",IF(TODAY()-B954&lt;=30,"🟡 8-30d",IF(TODAY()-B954&lt;=60,"🟠 31-60d","🔴 60d+"))))</f>
        <v/>
      </c>
      <c r="CE954" s="36" t="str">
        <f aca="false">IF(G954="","",IF(G954&lt;&gt;"USA","N/A - Not USA Role",IF(J954="Yes",IF(OR(F954="Intern",F954="New Grad"),"🟡 Possible","🟢 Strong"),IF(J954="No","🔴 Difficult","⚪ Unknown"))))</f>
        <v/>
      </c>
      <c r="CF954" s="37"/>
      <c r="CG954" s="37"/>
      <c r="CH954" s="38"/>
      <c r="CI954" s="38"/>
      <c r="CJ954" s="38"/>
      <c r="CK954" s="38"/>
    </row>
    <row r="955" customFormat="false" ht="15" hidden="false" customHeight="true" outlineLevel="0" collapsed="false">
      <c r="A955" s="26" t="str">
        <f aca="false">IF($C955="","",ROW()-3)</f>
        <v/>
      </c>
      <c r="B955" s="27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9"/>
      <c r="N955" s="29"/>
      <c r="O955" s="30" t="str">
        <f aca="false">IFERROR(IF(M955="","",M955*INDEX('00 - Lists'!$M$2:$M$11,MATCH(L955,'00 - Lists'!$L$2:$L$11,0))/100000),"")</f>
        <v/>
      </c>
      <c r="P955" s="30" t="str">
        <f aca="false">IFERROR(IF(N955="","",N955*INDEX('00 - Lists'!$M$2:$M$11,MATCH(L955,'00 - Lists'!$L$2:$L$11,0))/100000),"")</f>
        <v/>
      </c>
      <c r="Q955" s="31" t="str">
        <f aca="false">IFERROR(IF(M955="","",M955*INDEX('00 - Lists'!$N$2:$N$11,MATCH(L955,'00 - Lists'!$L$2:$L$11,0))),"")</f>
        <v/>
      </c>
      <c r="R955" s="31" t="str">
        <f aca="false">IFERROR(IF(N955="","",N955*INDEX('00 - Lists'!$N$2:$N$11,MATCH(L955,'00 - Lists'!$L$2:$L$11,0))),"")</f>
        <v/>
      </c>
      <c r="S955" s="32" t="str">
        <f aca="false">IF(O955="","",IF(O955&gt;=50,"Yes","No"))</f>
        <v/>
      </c>
      <c r="T955" s="32" t="str">
        <f aca="false">IF(Q955="","",IF(Q955&gt;=100000,"Yes","No"))</f>
        <v/>
      </c>
      <c r="U955" s="28"/>
      <c r="V955" s="28"/>
      <c r="W955" s="28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J955" s="34" t="str">
        <f aca="false">IF(OR($BD955&lt;&gt;"",$BF955&lt;&gt;"",$BH955&lt;&gt;""),"Yes","No")</f>
        <v>No</v>
      </c>
      <c r="BK955" s="35" t="str">
        <f aca="false">IFERROR(IF(BD955="","",BD955*INDEX('00 - Lists'!$M$2:$M$11,MATCH(L955,'00 - Lists'!$L$2:$L$11,0))/100000),"")</f>
        <v/>
      </c>
      <c r="BL955" s="35" t="str">
        <f aca="false">IFERROR(IF(BE955="","",BE955*INDEX('00 - Lists'!$M$2:$M$11,MATCH(L955,'00 - Lists'!$L$2:$L$11,0))/100000),"")</f>
        <v/>
      </c>
      <c r="BM955" s="35" t="str">
        <f aca="false">IFERROR(IF(BF955="","",BF955*INDEX('00 - Lists'!$M$2:$M$11,MATCH(L955,'00 - Lists'!$L$2:$L$11,0))/100000),"")</f>
        <v/>
      </c>
      <c r="BN955" s="35" t="str">
        <f aca="false">IFERROR(IF(BG955="","",BG955*INDEX('00 - Lists'!$M$2:$M$11,MATCH(L955,'00 - Lists'!$L$2:$L$11,0))/100000),"")</f>
        <v/>
      </c>
      <c r="BO955" s="35" t="str">
        <f aca="false">IFERROR(IF(BH955="","",BH955*INDEX('00 - Lists'!$M$2:$M$11,MATCH(L955,'00 - Lists'!$L$2:$L$11,0))/100000),"")</f>
        <v/>
      </c>
      <c r="BP955" s="35" t="str">
        <f aca="false">IFERROR(IF(BI955="","",BI955*INDEX('00 - Lists'!$M$2:$M$11,MATCH(L955,'00 - Lists'!$L$2:$L$11,0))/100000),"")</f>
        <v/>
      </c>
      <c r="BS955" s="36" t="str">
        <f aca="false">IF(O955="","",IF(O955&gt;=20,"Yes","No"))</f>
        <v/>
      </c>
      <c r="BT955" s="36" t="str">
        <f aca="false">IF(O955="","",IF(O955&gt;=30,"Yes","No"))</f>
        <v/>
      </c>
      <c r="BU955" s="36" t="str">
        <f aca="false">IF(O955="","",IF(O955&gt;=75,"Yes","No"))</f>
        <v/>
      </c>
      <c r="BV955" s="36" t="str">
        <f aca="false">IF(O955="","",IF(O955&gt;=100,"Yes","No"))</f>
        <v/>
      </c>
      <c r="BW955" s="36" t="str">
        <f aca="false">IF(O955="","",IF(O955&gt;=150,"Yes","No"))</f>
        <v/>
      </c>
      <c r="BX955" s="36" t="str">
        <f aca="false">IF(O955="","",IF(O955&gt;=200,"Yes","No"))</f>
        <v/>
      </c>
      <c r="BY955" s="36" t="str">
        <f aca="false">IF(Q955="","",IF(Q955&gt;=150000,"Yes","No"))</f>
        <v/>
      </c>
      <c r="BZ955" s="36" t="str">
        <f aca="false">IF(Q955="","",IF(Q955&gt;=200000,"Yes","No"))</f>
        <v/>
      </c>
      <c r="CA955" s="36" t="str">
        <f aca="false">IF(Q955="","",IF(Q955&gt;=250000,"Yes","No"))</f>
        <v/>
      </c>
      <c r="CB955" s="36" t="str">
        <f aca="false">IF(Q955="","",IF(Q955&gt;=300000,"Yes","No"))</f>
        <v/>
      </c>
      <c r="CC955" s="37"/>
      <c r="CD955" s="36" t="str">
        <f aca="true">IF(B955="","",IF(TODAY()-B955&lt;=7,"🟢 0-7d",IF(TODAY()-B955&lt;=30,"🟡 8-30d",IF(TODAY()-B955&lt;=60,"🟠 31-60d","🔴 60d+"))))</f>
        <v/>
      </c>
      <c r="CE955" s="36" t="str">
        <f aca="false">IF(G955="","",IF(G955&lt;&gt;"USA","N/A - Not USA Role",IF(J955="Yes",IF(OR(F955="Intern",F955="New Grad"),"🟡 Possible","🟢 Strong"),IF(J955="No","🔴 Difficult","⚪ Unknown"))))</f>
        <v/>
      </c>
      <c r="CF955" s="37"/>
      <c r="CG955" s="37"/>
      <c r="CH955" s="38"/>
      <c r="CI955" s="38"/>
      <c r="CJ955" s="38"/>
      <c r="CK955" s="38"/>
    </row>
    <row r="956" customFormat="false" ht="15" hidden="false" customHeight="true" outlineLevel="0" collapsed="false">
      <c r="A956" s="26" t="str">
        <f aca="false">IF($C956="","",ROW()-3)</f>
        <v/>
      </c>
      <c r="B956" s="27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9"/>
      <c r="N956" s="29"/>
      <c r="O956" s="30" t="str">
        <f aca="false">IFERROR(IF(M956="","",M956*INDEX('00 - Lists'!$M$2:$M$11,MATCH(L956,'00 - Lists'!$L$2:$L$11,0))/100000),"")</f>
        <v/>
      </c>
      <c r="P956" s="30" t="str">
        <f aca="false">IFERROR(IF(N956="","",N956*INDEX('00 - Lists'!$M$2:$M$11,MATCH(L956,'00 - Lists'!$L$2:$L$11,0))/100000),"")</f>
        <v/>
      </c>
      <c r="Q956" s="31" t="str">
        <f aca="false">IFERROR(IF(M956="","",M956*INDEX('00 - Lists'!$N$2:$N$11,MATCH(L956,'00 - Lists'!$L$2:$L$11,0))),"")</f>
        <v/>
      </c>
      <c r="R956" s="31" t="str">
        <f aca="false">IFERROR(IF(N956="","",N956*INDEX('00 - Lists'!$N$2:$N$11,MATCH(L956,'00 - Lists'!$L$2:$L$11,0))),"")</f>
        <v/>
      </c>
      <c r="S956" s="32" t="str">
        <f aca="false">IF(O956="","",IF(O956&gt;=50,"Yes","No"))</f>
        <v/>
      </c>
      <c r="T956" s="32" t="str">
        <f aca="false">IF(Q956="","",IF(Q956&gt;=100000,"Yes","No"))</f>
        <v/>
      </c>
      <c r="U956" s="28"/>
      <c r="V956" s="28"/>
      <c r="W956" s="28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J956" s="34" t="str">
        <f aca="false">IF(OR($BD956&lt;&gt;"",$BF956&lt;&gt;"",$BH956&lt;&gt;""),"Yes","No")</f>
        <v>No</v>
      </c>
      <c r="BK956" s="35" t="str">
        <f aca="false">IFERROR(IF(BD956="","",BD956*INDEX('00 - Lists'!$M$2:$M$11,MATCH(L956,'00 - Lists'!$L$2:$L$11,0))/100000),"")</f>
        <v/>
      </c>
      <c r="BL956" s="35" t="str">
        <f aca="false">IFERROR(IF(BE956="","",BE956*INDEX('00 - Lists'!$M$2:$M$11,MATCH(L956,'00 - Lists'!$L$2:$L$11,0))/100000),"")</f>
        <v/>
      </c>
      <c r="BM956" s="35" t="str">
        <f aca="false">IFERROR(IF(BF956="","",BF956*INDEX('00 - Lists'!$M$2:$M$11,MATCH(L956,'00 - Lists'!$L$2:$L$11,0))/100000),"")</f>
        <v/>
      </c>
      <c r="BN956" s="35" t="str">
        <f aca="false">IFERROR(IF(BG956="","",BG956*INDEX('00 - Lists'!$M$2:$M$11,MATCH(L956,'00 - Lists'!$L$2:$L$11,0))/100000),"")</f>
        <v/>
      </c>
      <c r="BO956" s="35" t="str">
        <f aca="false">IFERROR(IF(BH956="","",BH956*INDEX('00 - Lists'!$M$2:$M$11,MATCH(L956,'00 - Lists'!$L$2:$L$11,0))/100000),"")</f>
        <v/>
      </c>
      <c r="BP956" s="35" t="str">
        <f aca="false">IFERROR(IF(BI956="","",BI956*INDEX('00 - Lists'!$M$2:$M$11,MATCH(L956,'00 - Lists'!$L$2:$L$11,0))/100000),"")</f>
        <v/>
      </c>
      <c r="BS956" s="36" t="str">
        <f aca="false">IF(O956="","",IF(O956&gt;=20,"Yes","No"))</f>
        <v/>
      </c>
      <c r="BT956" s="36" t="str">
        <f aca="false">IF(O956="","",IF(O956&gt;=30,"Yes","No"))</f>
        <v/>
      </c>
      <c r="BU956" s="36" t="str">
        <f aca="false">IF(O956="","",IF(O956&gt;=75,"Yes","No"))</f>
        <v/>
      </c>
      <c r="BV956" s="36" t="str">
        <f aca="false">IF(O956="","",IF(O956&gt;=100,"Yes","No"))</f>
        <v/>
      </c>
      <c r="BW956" s="36" t="str">
        <f aca="false">IF(O956="","",IF(O956&gt;=150,"Yes","No"))</f>
        <v/>
      </c>
      <c r="BX956" s="36" t="str">
        <f aca="false">IF(O956="","",IF(O956&gt;=200,"Yes","No"))</f>
        <v/>
      </c>
      <c r="BY956" s="36" t="str">
        <f aca="false">IF(Q956="","",IF(Q956&gt;=150000,"Yes","No"))</f>
        <v/>
      </c>
      <c r="BZ956" s="36" t="str">
        <f aca="false">IF(Q956="","",IF(Q956&gt;=200000,"Yes","No"))</f>
        <v/>
      </c>
      <c r="CA956" s="36" t="str">
        <f aca="false">IF(Q956="","",IF(Q956&gt;=250000,"Yes","No"))</f>
        <v/>
      </c>
      <c r="CB956" s="36" t="str">
        <f aca="false">IF(Q956="","",IF(Q956&gt;=300000,"Yes","No"))</f>
        <v/>
      </c>
      <c r="CC956" s="37"/>
      <c r="CD956" s="36" t="str">
        <f aca="true">IF(B956="","",IF(TODAY()-B956&lt;=7,"🟢 0-7d",IF(TODAY()-B956&lt;=30,"🟡 8-30d",IF(TODAY()-B956&lt;=60,"🟠 31-60d","🔴 60d+"))))</f>
        <v/>
      </c>
      <c r="CE956" s="36" t="str">
        <f aca="false">IF(G956="","",IF(G956&lt;&gt;"USA","N/A - Not USA Role",IF(J956="Yes",IF(OR(F956="Intern",F956="New Grad"),"🟡 Possible","🟢 Strong"),IF(J956="No","🔴 Difficult","⚪ Unknown"))))</f>
        <v/>
      </c>
      <c r="CF956" s="37"/>
      <c r="CG956" s="37"/>
      <c r="CH956" s="38"/>
      <c r="CI956" s="38"/>
      <c r="CJ956" s="38"/>
      <c r="CK956" s="38"/>
    </row>
    <row r="957" customFormat="false" ht="15" hidden="false" customHeight="true" outlineLevel="0" collapsed="false">
      <c r="A957" s="26" t="str">
        <f aca="false">IF($C957="","",ROW()-3)</f>
        <v/>
      </c>
      <c r="B957" s="27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9"/>
      <c r="N957" s="29"/>
      <c r="O957" s="30" t="str">
        <f aca="false">IFERROR(IF(M957="","",M957*INDEX('00 - Lists'!$M$2:$M$11,MATCH(L957,'00 - Lists'!$L$2:$L$11,0))/100000),"")</f>
        <v/>
      </c>
      <c r="P957" s="30" t="str">
        <f aca="false">IFERROR(IF(N957="","",N957*INDEX('00 - Lists'!$M$2:$M$11,MATCH(L957,'00 - Lists'!$L$2:$L$11,0))/100000),"")</f>
        <v/>
      </c>
      <c r="Q957" s="31" t="str">
        <f aca="false">IFERROR(IF(M957="","",M957*INDEX('00 - Lists'!$N$2:$N$11,MATCH(L957,'00 - Lists'!$L$2:$L$11,0))),"")</f>
        <v/>
      </c>
      <c r="R957" s="31" t="str">
        <f aca="false">IFERROR(IF(N957="","",N957*INDEX('00 - Lists'!$N$2:$N$11,MATCH(L957,'00 - Lists'!$L$2:$L$11,0))),"")</f>
        <v/>
      </c>
      <c r="S957" s="32" t="str">
        <f aca="false">IF(O957="","",IF(O957&gt;=50,"Yes","No"))</f>
        <v/>
      </c>
      <c r="T957" s="32" t="str">
        <f aca="false">IF(Q957="","",IF(Q957&gt;=100000,"Yes","No"))</f>
        <v/>
      </c>
      <c r="U957" s="28"/>
      <c r="V957" s="28"/>
      <c r="W957" s="28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J957" s="34" t="str">
        <f aca="false">IF(OR($BD957&lt;&gt;"",$BF957&lt;&gt;"",$BH957&lt;&gt;""),"Yes","No")</f>
        <v>No</v>
      </c>
      <c r="BK957" s="35" t="str">
        <f aca="false">IFERROR(IF(BD957="","",BD957*INDEX('00 - Lists'!$M$2:$M$11,MATCH(L957,'00 - Lists'!$L$2:$L$11,0))/100000),"")</f>
        <v/>
      </c>
      <c r="BL957" s="35" t="str">
        <f aca="false">IFERROR(IF(BE957="","",BE957*INDEX('00 - Lists'!$M$2:$M$11,MATCH(L957,'00 - Lists'!$L$2:$L$11,0))/100000),"")</f>
        <v/>
      </c>
      <c r="BM957" s="35" t="str">
        <f aca="false">IFERROR(IF(BF957="","",BF957*INDEX('00 - Lists'!$M$2:$M$11,MATCH(L957,'00 - Lists'!$L$2:$L$11,0))/100000),"")</f>
        <v/>
      </c>
      <c r="BN957" s="35" t="str">
        <f aca="false">IFERROR(IF(BG957="","",BG957*INDEX('00 - Lists'!$M$2:$M$11,MATCH(L957,'00 - Lists'!$L$2:$L$11,0))/100000),"")</f>
        <v/>
      </c>
      <c r="BO957" s="35" t="str">
        <f aca="false">IFERROR(IF(BH957="","",BH957*INDEX('00 - Lists'!$M$2:$M$11,MATCH(L957,'00 - Lists'!$L$2:$L$11,0))/100000),"")</f>
        <v/>
      </c>
      <c r="BP957" s="35" t="str">
        <f aca="false">IFERROR(IF(BI957="","",BI957*INDEX('00 - Lists'!$M$2:$M$11,MATCH(L957,'00 - Lists'!$L$2:$L$11,0))/100000),"")</f>
        <v/>
      </c>
      <c r="BS957" s="36" t="str">
        <f aca="false">IF(O957="","",IF(O957&gt;=20,"Yes","No"))</f>
        <v/>
      </c>
      <c r="BT957" s="36" t="str">
        <f aca="false">IF(O957="","",IF(O957&gt;=30,"Yes","No"))</f>
        <v/>
      </c>
      <c r="BU957" s="36" t="str">
        <f aca="false">IF(O957="","",IF(O957&gt;=75,"Yes","No"))</f>
        <v/>
      </c>
      <c r="BV957" s="36" t="str">
        <f aca="false">IF(O957="","",IF(O957&gt;=100,"Yes","No"))</f>
        <v/>
      </c>
      <c r="BW957" s="36" t="str">
        <f aca="false">IF(O957="","",IF(O957&gt;=150,"Yes","No"))</f>
        <v/>
      </c>
      <c r="BX957" s="36" t="str">
        <f aca="false">IF(O957="","",IF(O957&gt;=200,"Yes","No"))</f>
        <v/>
      </c>
      <c r="BY957" s="36" t="str">
        <f aca="false">IF(Q957="","",IF(Q957&gt;=150000,"Yes","No"))</f>
        <v/>
      </c>
      <c r="BZ957" s="36" t="str">
        <f aca="false">IF(Q957="","",IF(Q957&gt;=200000,"Yes","No"))</f>
        <v/>
      </c>
      <c r="CA957" s="36" t="str">
        <f aca="false">IF(Q957="","",IF(Q957&gt;=250000,"Yes","No"))</f>
        <v/>
      </c>
      <c r="CB957" s="36" t="str">
        <f aca="false">IF(Q957="","",IF(Q957&gt;=300000,"Yes","No"))</f>
        <v/>
      </c>
      <c r="CC957" s="37"/>
      <c r="CD957" s="36" t="str">
        <f aca="true">IF(B957="","",IF(TODAY()-B957&lt;=7,"🟢 0-7d",IF(TODAY()-B957&lt;=30,"🟡 8-30d",IF(TODAY()-B957&lt;=60,"🟠 31-60d","🔴 60d+"))))</f>
        <v/>
      </c>
      <c r="CE957" s="36" t="str">
        <f aca="false">IF(G957="","",IF(G957&lt;&gt;"USA","N/A - Not USA Role",IF(J957="Yes",IF(OR(F957="Intern",F957="New Grad"),"🟡 Possible","🟢 Strong"),IF(J957="No","🔴 Difficult","⚪ Unknown"))))</f>
        <v/>
      </c>
      <c r="CF957" s="37"/>
      <c r="CG957" s="37"/>
      <c r="CH957" s="38"/>
      <c r="CI957" s="38"/>
      <c r="CJ957" s="38"/>
      <c r="CK957" s="38"/>
    </row>
    <row r="958" customFormat="false" ht="15" hidden="false" customHeight="true" outlineLevel="0" collapsed="false">
      <c r="A958" s="26" t="str">
        <f aca="false">IF($C958="","",ROW()-3)</f>
        <v/>
      </c>
      <c r="B958" s="27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9"/>
      <c r="N958" s="29"/>
      <c r="O958" s="30" t="str">
        <f aca="false">IFERROR(IF(M958="","",M958*INDEX('00 - Lists'!$M$2:$M$11,MATCH(L958,'00 - Lists'!$L$2:$L$11,0))/100000),"")</f>
        <v/>
      </c>
      <c r="P958" s="30" t="str">
        <f aca="false">IFERROR(IF(N958="","",N958*INDEX('00 - Lists'!$M$2:$M$11,MATCH(L958,'00 - Lists'!$L$2:$L$11,0))/100000),"")</f>
        <v/>
      </c>
      <c r="Q958" s="31" t="str">
        <f aca="false">IFERROR(IF(M958="","",M958*INDEX('00 - Lists'!$N$2:$N$11,MATCH(L958,'00 - Lists'!$L$2:$L$11,0))),"")</f>
        <v/>
      </c>
      <c r="R958" s="31" t="str">
        <f aca="false">IFERROR(IF(N958="","",N958*INDEX('00 - Lists'!$N$2:$N$11,MATCH(L958,'00 - Lists'!$L$2:$L$11,0))),"")</f>
        <v/>
      </c>
      <c r="S958" s="32" t="str">
        <f aca="false">IF(O958="","",IF(O958&gt;=50,"Yes","No"))</f>
        <v/>
      </c>
      <c r="T958" s="32" t="str">
        <f aca="false">IF(Q958="","",IF(Q958&gt;=100000,"Yes","No"))</f>
        <v/>
      </c>
      <c r="U958" s="28"/>
      <c r="V958" s="28"/>
      <c r="W958" s="28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J958" s="34" t="str">
        <f aca="false">IF(OR($BD958&lt;&gt;"",$BF958&lt;&gt;"",$BH958&lt;&gt;""),"Yes","No")</f>
        <v>No</v>
      </c>
      <c r="BK958" s="35" t="str">
        <f aca="false">IFERROR(IF(BD958="","",BD958*INDEX('00 - Lists'!$M$2:$M$11,MATCH(L958,'00 - Lists'!$L$2:$L$11,0))/100000),"")</f>
        <v/>
      </c>
      <c r="BL958" s="35" t="str">
        <f aca="false">IFERROR(IF(BE958="","",BE958*INDEX('00 - Lists'!$M$2:$M$11,MATCH(L958,'00 - Lists'!$L$2:$L$11,0))/100000),"")</f>
        <v/>
      </c>
      <c r="BM958" s="35" t="str">
        <f aca="false">IFERROR(IF(BF958="","",BF958*INDEX('00 - Lists'!$M$2:$M$11,MATCH(L958,'00 - Lists'!$L$2:$L$11,0))/100000),"")</f>
        <v/>
      </c>
      <c r="BN958" s="35" t="str">
        <f aca="false">IFERROR(IF(BG958="","",BG958*INDEX('00 - Lists'!$M$2:$M$11,MATCH(L958,'00 - Lists'!$L$2:$L$11,0))/100000),"")</f>
        <v/>
      </c>
      <c r="BO958" s="35" t="str">
        <f aca="false">IFERROR(IF(BH958="","",BH958*INDEX('00 - Lists'!$M$2:$M$11,MATCH(L958,'00 - Lists'!$L$2:$L$11,0))/100000),"")</f>
        <v/>
      </c>
      <c r="BP958" s="35" t="str">
        <f aca="false">IFERROR(IF(BI958="","",BI958*INDEX('00 - Lists'!$M$2:$M$11,MATCH(L958,'00 - Lists'!$L$2:$L$11,0))/100000),"")</f>
        <v/>
      </c>
      <c r="BS958" s="36" t="str">
        <f aca="false">IF(O958="","",IF(O958&gt;=20,"Yes","No"))</f>
        <v/>
      </c>
      <c r="BT958" s="36" t="str">
        <f aca="false">IF(O958="","",IF(O958&gt;=30,"Yes","No"))</f>
        <v/>
      </c>
      <c r="BU958" s="36" t="str">
        <f aca="false">IF(O958="","",IF(O958&gt;=75,"Yes","No"))</f>
        <v/>
      </c>
      <c r="BV958" s="36" t="str">
        <f aca="false">IF(O958="","",IF(O958&gt;=100,"Yes","No"))</f>
        <v/>
      </c>
      <c r="BW958" s="36" t="str">
        <f aca="false">IF(O958="","",IF(O958&gt;=150,"Yes","No"))</f>
        <v/>
      </c>
      <c r="BX958" s="36" t="str">
        <f aca="false">IF(O958="","",IF(O958&gt;=200,"Yes","No"))</f>
        <v/>
      </c>
      <c r="BY958" s="36" t="str">
        <f aca="false">IF(Q958="","",IF(Q958&gt;=150000,"Yes","No"))</f>
        <v/>
      </c>
      <c r="BZ958" s="36" t="str">
        <f aca="false">IF(Q958="","",IF(Q958&gt;=200000,"Yes","No"))</f>
        <v/>
      </c>
      <c r="CA958" s="36" t="str">
        <f aca="false">IF(Q958="","",IF(Q958&gt;=250000,"Yes","No"))</f>
        <v/>
      </c>
      <c r="CB958" s="36" t="str">
        <f aca="false">IF(Q958="","",IF(Q958&gt;=300000,"Yes","No"))</f>
        <v/>
      </c>
      <c r="CC958" s="37"/>
      <c r="CD958" s="36" t="str">
        <f aca="true">IF(B958="","",IF(TODAY()-B958&lt;=7,"🟢 0-7d",IF(TODAY()-B958&lt;=30,"🟡 8-30d",IF(TODAY()-B958&lt;=60,"🟠 31-60d","🔴 60d+"))))</f>
        <v/>
      </c>
      <c r="CE958" s="36" t="str">
        <f aca="false">IF(G958="","",IF(G958&lt;&gt;"USA","N/A - Not USA Role",IF(J958="Yes",IF(OR(F958="Intern",F958="New Grad"),"🟡 Possible","🟢 Strong"),IF(J958="No","🔴 Difficult","⚪ Unknown"))))</f>
        <v/>
      </c>
      <c r="CF958" s="37"/>
      <c r="CG958" s="37"/>
      <c r="CH958" s="38"/>
      <c r="CI958" s="38"/>
      <c r="CJ958" s="38"/>
      <c r="CK958" s="38"/>
    </row>
    <row r="959" customFormat="false" ht="15" hidden="false" customHeight="true" outlineLevel="0" collapsed="false">
      <c r="A959" s="26" t="str">
        <f aca="false">IF($C959="","",ROW()-3)</f>
        <v/>
      </c>
      <c r="B959" s="27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9"/>
      <c r="N959" s="29"/>
      <c r="O959" s="30" t="str">
        <f aca="false">IFERROR(IF(M959="","",M959*INDEX('00 - Lists'!$M$2:$M$11,MATCH(L959,'00 - Lists'!$L$2:$L$11,0))/100000),"")</f>
        <v/>
      </c>
      <c r="P959" s="30" t="str">
        <f aca="false">IFERROR(IF(N959="","",N959*INDEX('00 - Lists'!$M$2:$M$11,MATCH(L959,'00 - Lists'!$L$2:$L$11,0))/100000),"")</f>
        <v/>
      </c>
      <c r="Q959" s="31" t="str">
        <f aca="false">IFERROR(IF(M959="","",M959*INDEX('00 - Lists'!$N$2:$N$11,MATCH(L959,'00 - Lists'!$L$2:$L$11,0))),"")</f>
        <v/>
      </c>
      <c r="R959" s="31" t="str">
        <f aca="false">IFERROR(IF(N959="","",N959*INDEX('00 - Lists'!$N$2:$N$11,MATCH(L959,'00 - Lists'!$L$2:$L$11,0))),"")</f>
        <v/>
      </c>
      <c r="S959" s="32" t="str">
        <f aca="false">IF(O959="","",IF(O959&gt;=50,"Yes","No"))</f>
        <v/>
      </c>
      <c r="T959" s="32" t="str">
        <f aca="false">IF(Q959="","",IF(Q959&gt;=100000,"Yes","No"))</f>
        <v/>
      </c>
      <c r="U959" s="28"/>
      <c r="V959" s="28"/>
      <c r="W959" s="28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J959" s="34" t="str">
        <f aca="false">IF(OR($BD959&lt;&gt;"",$BF959&lt;&gt;"",$BH959&lt;&gt;""),"Yes","No")</f>
        <v>No</v>
      </c>
      <c r="BK959" s="35" t="str">
        <f aca="false">IFERROR(IF(BD959="","",BD959*INDEX('00 - Lists'!$M$2:$M$11,MATCH(L959,'00 - Lists'!$L$2:$L$11,0))/100000),"")</f>
        <v/>
      </c>
      <c r="BL959" s="35" t="str">
        <f aca="false">IFERROR(IF(BE959="","",BE959*INDEX('00 - Lists'!$M$2:$M$11,MATCH(L959,'00 - Lists'!$L$2:$L$11,0))/100000),"")</f>
        <v/>
      </c>
      <c r="BM959" s="35" t="str">
        <f aca="false">IFERROR(IF(BF959="","",BF959*INDEX('00 - Lists'!$M$2:$M$11,MATCH(L959,'00 - Lists'!$L$2:$L$11,0))/100000),"")</f>
        <v/>
      </c>
      <c r="BN959" s="35" t="str">
        <f aca="false">IFERROR(IF(BG959="","",BG959*INDEX('00 - Lists'!$M$2:$M$11,MATCH(L959,'00 - Lists'!$L$2:$L$11,0))/100000),"")</f>
        <v/>
      </c>
      <c r="BO959" s="35" t="str">
        <f aca="false">IFERROR(IF(BH959="","",BH959*INDEX('00 - Lists'!$M$2:$M$11,MATCH(L959,'00 - Lists'!$L$2:$L$11,0))/100000),"")</f>
        <v/>
      </c>
      <c r="BP959" s="35" t="str">
        <f aca="false">IFERROR(IF(BI959="","",BI959*INDEX('00 - Lists'!$M$2:$M$11,MATCH(L959,'00 - Lists'!$L$2:$L$11,0))/100000),"")</f>
        <v/>
      </c>
      <c r="BS959" s="36" t="str">
        <f aca="false">IF(O959="","",IF(O959&gt;=20,"Yes","No"))</f>
        <v/>
      </c>
      <c r="BT959" s="36" t="str">
        <f aca="false">IF(O959="","",IF(O959&gt;=30,"Yes","No"))</f>
        <v/>
      </c>
      <c r="BU959" s="36" t="str">
        <f aca="false">IF(O959="","",IF(O959&gt;=75,"Yes","No"))</f>
        <v/>
      </c>
      <c r="BV959" s="36" t="str">
        <f aca="false">IF(O959="","",IF(O959&gt;=100,"Yes","No"))</f>
        <v/>
      </c>
      <c r="BW959" s="36" t="str">
        <f aca="false">IF(O959="","",IF(O959&gt;=150,"Yes","No"))</f>
        <v/>
      </c>
      <c r="BX959" s="36" t="str">
        <f aca="false">IF(O959="","",IF(O959&gt;=200,"Yes","No"))</f>
        <v/>
      </c>
      <c r="BY959" s="36" t="str">
        <f aca="false">IF(Q959="","",IF(Q959&gt;=150000,"Yes","No"))</f>
        <v/>
      </c>
      <c r="BZ959" s="36" t="str">
        <f aca="false">IF(Q959="","",IF(Q959&gt;=200000,"Yes","No"))</f>
        <v/>
      </c>
      <c r="CA959" s="36" t="str">
        <f aca="false">IF(Q959="","",IF(Q959&gt;=250000,"Yes","No"))</f>
        <v/>
      </c>
      <c r="CB959" s="36" t="str">
        <f aca="false">IF(Q959="","",IF(Q959&gt;=300000,"Yes","No"))</f>
        <v/>
      </c>
      <c r="CC959" s="37"/>
      <c r="CD959" s="36" t="str">
        <f aca="true">IF(B959="","",IF(TODAY()-B959&lt;=7,"🟢 0-7d",IF(TODAY()-B959&lt;=30,"🟡 8-30d",IF(TODAY()-B959&lt;=60,"🟠 31-60d","🔴 60d+"))))</f>
        <v/>
      </c>
      <c r="CE959" s="36" t="str">
        <f aca="false">IF(G959="","",IF(G959&lt;&gt;"USA","N/A - Not USA Role",IF(J959="Yes",IF(OR(F959="Intern",F959="New Grad"),"🟡 Possible","🟢 Strong"),IF(J959="No","🔴 Difficult","⚪ Unknown"))))</f>
        <v/>
      </c>
      <c r="CF959" s="37"/>
      <c r="CG959" s="37"/>
      <c r="CH959" s="38"/>
      <c r="CI959" s="38"/>
      <c r="CJ959" s="38"/>
      <c r="CK959" s="38"/>
    </row>
    <row r="960" customFormat="false" ht="15" hidden="false" customHeight="true" outlineLevel="0" collapsed="false">
      <c r="A960" s="26" t="str">
        <f aca="false">IF($C960="","",ROW()-3)</f>
        <v/>
      </c>
      <c r="B960" s="27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9"/>
      <c r="N960" s="29"/>
      <c r="O960" s="30" t="str">
        <f aca="false">IFERROR(IF(M960="","",M960*INDEX('00 - Lists'!$M$2:$M$11,MATCH(L960,'00 - Lists'!$L$2:$L$11,0))/100000),"")</f>
        <v/>
      </c>
      <c r="P960" s="30" t="str">
        <f aca="false">IFERROR(IF(N960="","",N960*INDEX('00 - Lists'!$M$2:$M$11,MATCH(L960,'00 - Lists'!$L$2:$L$11,0))/100000),"")</f>
        <v/>
      </c>
      <c r="Q960" s="31" t="str">
        <f aca="false">IFERROR(IF(M960="","",M960*INDEX('00 - Lists'!$N$2:$N$11,MATCH(L960,'00 - Lists'!$L$2:$L$11,0))),"")</f>
        <v/>
      </c>
      <c r="R960" s="31" t="str">
        <f aca="false">IFERROR(IF(N960="","",N960*INDEX('00 - Lists'!$N$2:$N$11,MATCH(L960,'00 - Lists'!$L$2:$L$11,0))),"")</f>
        <v/>
      </c>
      <c r="S960" s="32" t="str">
        <f aca="false">IF(O960="","",IF(O960&gt;=50,"Yes","No"))</f>
        <v/>
      </c>
      <c r="T960" s="32" t="str">
        <f aca="false">IF(Q960="","",IF(Q960&gt;=100000,"Yes","No"))</f>
        <v/>
      </c>
      <c r="U960" s="28"/>
      <c r="V960" s="28"/>
      <c r="W960" s="28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J960" s="34" t="str">
        <f aca="false">IF(OR($BD960&lt;&gt;"",$BF960&lt;&gt;"",$BH960&lt;&gt;""),"Yes","No")</f>
        <v>No</v>
      </c>
      <c r="BK960" s="35" t="str">
        <f aca="false">IFERROR(IF(BD960="","",BD960*INDEX('00 - Lists'!$M$2:$M$11,MATCH(L960,'00 - Lists'!$L$2:$L$11,0))/100000),"")</f>
        <v/>
      </c>
      <c r="BL960" s="35" t="str">
        <f aca="false">IFERROR(IF(BE960="","",BE960*INDEX('00 - Lists'!$M$2:$M$11,MATCH(L960,'00 - Lists'!$L$2:$L$11,0))/100000),"")</f>
        <v/>
      </c>
      <c r="BM960" s="35" t="str">
        <f aca="false">IFERROR(IF(BF960="","",BF960*INDEX('00 - Lists'!$M$2:$M$11,MATCH(L960,'00 - Lists'!$L$2:$L$11,0))/100000),"")</f>
        <v/>
      </c>
      <c r="BN960" s="35" t="str">
        <f aca="false">IFERROR(IF(BG960="","",BG960*INDEX('00 - Lists'!$M$2:$M$11,MATCH(L960,'00 - Lists'!$L$2:$L$11,0))/100000),"")</f>
        <v/>
      </c>
      <c r="BO960" s="35" t="str">
        <f aca="false">IFERROR(IF(BH960="","",BH960*INDEX('00 - Lists'!$M$2:$M$11,MATCH(L960,'00 - Lists'!$L$2:$L$11,0))/100000),"")</f>
        <v/>
      </c>
      <c r="BP960" s="35" t="str">
        <f aca="false">IFERROR(IF(BI960="","",BI960*INDEX('00 - Lists'!$M$2:$M$11,MATCH(L960,'00 - Lists'!$L$2:$L$11,0))/100000),"")</f>
        <v/>
      </c>
      <c r="BS960" s="36" t="str">
        <f aca="false">IF(O960="","",IF(O960&gt;=20,"Yes","No"))</f>
        <v/>
      </c>
      <c r="BT960" s="36" t="str">
        <f aca="false">IF(O960="","",IF(O960&gt;=30,"Yes","No"))</f>
        <v/>
      </c>
      <c r="BU960" s="36" t="str">
        <f aca="false">IF(O960="","",IF(O960&gt;=75,"Yes","No"))</f>
        <v/>
      </c>
      <c r="BV960" s="36" t="str">
        <f aca="false">IF(O960="","",IF(O960&gt;=100,"Yes","No"))</f>
        <v/>
      </c>
      <c r="BW960" s="36" t="str">
        <f aca="false">IF(O960="","",IF(O960&gt;=150,"Yes","No"))</f>
        <v/>
      </c>
      <c r="BX960" s="36" t="str">
        <f aca="false">IF(O960="","",IF(O960&gt;=200,"Yes","No"))</f>
        <v/>
      </c>
      <c r="BY960" s="36" t="str">
        <f aca="false">IF(Q960="","",IF(Q960&gt;=150000,"Yes","No"))</f>
        <v/>
      </c>
      <c r="BZ960" s="36" t="str">
        <f aca="false">IF(Q960="","",IF(Q960&gt;=200000,"Yes","No"))</f>
        <v/>
      </c>
      <c r="CA960" s="36" t="str">
        <f aca="false">IF(Q960="","",IF(Q960&gt;=250000,"Yes","No"))</f>
        <v/>
      </c>
      <c r="CB960" s="36" t="str">
        <f aca="false">IF(Q960="","",IF(Q960&gt;=300000,"Yes","No"))</f>
        <v/>
      </c>
      <c r="CC960" s="37"/>
      <c r="CD960" s="36" t="str">
        <f aca="true">IF(B960="","",IF(TODAY()-B960&lt;=7,"🟢 0-7d",IF(TODAY()-B960&lt;=30,"🟡 8-30d",IF(TODAY()-B960&lt;=60,"🟠 31-60d","🔴 60d+"))))</f>
        <v/>
      </c>
      <c r="CE960" s="36" t="str">
        <f aca="false">IF(G960="","",IF(G960&lt;&gt;"USA","N/A - Not USA Role",IF(J960="Yes",IF(OR(F960="Intern",F960="New Grad"),"🟡 Possible","🟢 Strong"),IF(J960="No","🔴 Difficult","⚪ Unknown"))))</f>
        <v/>
      </c>
      <c r="CF960" s="37"/>
      <c r="CG960" s="37"/>
      <c r="CH960" s="38"/>
      <c r="CI960" s="38"/>
      <c r="CJ960" s="38"/>
      <c r="CK960" s="38"/>
    </row>
    <row r="961" customFormat="false" ht="15" hidden="false" customHeight="true" outlineLevel="0" collapsed="false">
      <c r="A961" s="26" t="str">
        <f aca="false">IF($C961="","",ROW()-3)</f>
        <v/>
      </c>
      <c r="B961" s="27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9"/>
      <c r="N961" s="29"/>
      <c r="O961" s="30" t="str">
        <f aca="false">IFERROR(IF(M961="","",M961*INDEX('00 - Lists'!$M$2:$M$11,MATCH(L961,'00 - Lists'!$L$2:$L$11,0))/100000),"")</f>
        <v/>
      </c>
      <c r="P961" s="30" t="str">
        <f aca="false">IFERROR(IF(N961="","",N961*INDEX('00 - Lists'!$M$2:$M$11,MATCH(L961,'00 - Lists'!$L$2:$L$11,0))/100000),"")</f>
        <v/>
      </c>
      <c r="Q961" s="31" t="str">
        <f aca="false">IFERROR(IF(M961="","",M961*INDEX('00 - Lists'!$N$2:$N$11,MATCH(L961,'00 - Lists'!$L$2:$L$11,0))),"")</f>
        <v/>
      </c>
      <c r="R961" s="31" t="str">
        <f aca="false">IFERROR(IF(N961="","",N961*INDEX('00 - Lists'!$N$2:$N$11,MATCH(L961,'00 - Lists'!$L$2:$L$11,0))),"")</f>
        <v/>
      </c>
      <c r="S961" s="32" t="str">
        <f aca="false">IF(O961="","",IF(O961&gt;=50,"Yes","No"))</f>
        <v/>
      </c>
      <c r="T961" s="32" t="str">
        <f aca="false">IF(Q961="","",IF(Q961&gt;=100000,"Yes","No"))</f>
        <v/>
      </c>
      <c r="U961" s="28"/>
      <c r="V961" s="28"/>
      <c r="W961" s="28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J961" s="34" t="str">
        <f aca="false">IF(OR($BD961&lt;&gt;"",$BF961&lt;&gt;"",$BH961&lt;&gt;""),"Yes","No")</f>
        <v>No</v>
      </c>
      <c r="BK961" s="35" t="str">
        <f aca="false">IFERROR(IF(BD961="","",BD961*INDEX('00 - Lists'!$M$2:$M$11,MATCH(L961,'00 - Lists'!$L$2:$L$11,0))/100000),"")</f>
        <v/>
      </c>
      <c r="BL961" s="35" t="str">
        <f aca="false">IFERROR(IF(BE961="","",BE961*INDEX('00 - Lists'!$M$2:$M$11,MATCH(L961,'00 - Lists'!$L$2:$L$11,0))/100000),"")</f>
        <v/>
      </c>
      <c r="BM961" s="35" t="str">
        <f aca="false">IFERROR(IF(BF961="","",BF961*INDEX('00 - Lists'!$M$2:$M$11,MATCH(L961,'00 - Lists'!$L$2:$L$11,0))/100000),"")</f>
        <v/>
      </c>
      <c r="BN961" s="35" t="str">
        <f aca="false">IFERROR(IF(BG961="","",BG961*INDEX('00 - Lists'!$M$2:$M$11,MATCH(L961,'00 - Lists'!$L$2:$L$11,0))/100000),"")</f>
        <v/>
      </c>
      <c r="BO961" s="35" t="str">
        <f aca="false">IFERROR(IF(BH961="","",BH961*INDEX('00 - Lists'!$M$2:$M$11,MATCH(L961,'00 - Lists'!$L$2:$L$11,0))/100000),"")</f>
        <v/>
      </c>
      <c r="BP961" s="35" t="str">
        <f aca="false">IFERROR(IF(BI961="","",BI961*INDEX('00 - Lists'!$M$2:$M$11,MATCH(L961,'00 - Lists'!$L$2:$L$11,0))/100000),"")</f>
        <v/>
      </c>
      <c r="BS961" s="36" t="str">
        <f aca="false">IF(O961="","",IF(O961&gt;=20,"Yes","No"))</f>
        <v/>
      </c>
      <c r="BT961" s="36" t="str">
        <f aca="false">IF(O961="","",IF(O961&gt;=30,"Yes","No"))</f>
        <v/>
      </c>
      <c r="BU961" s="36" t="str">
        <f aca="false">IF(O961="","",IF(O961&gt;=75,"Yes","No"))</f>
        <v/>
      </c>
      <c r="BV961" s="36" t="str">
        <f aca="false">IF(O961="","",IF(O961&gt;=100,"Yes","No"))</f>
        <v/>
      </c>
      <c r="BW961" s="36" t="str">
        <f aca="false">IF(O961="","",IF(O961&gt;=150,"Yes","No"))</f>
        <v/>
      </c>
      <c r="BX961" s="36" t="str">
        <f aca="false">IF(O961="","",IF(O961&gt;=200,"Yes","No"))</f>
        <v/>
      </c>
      <c r="BY961" s="36" t="str">
        <f aca="false">IF(Q961="","",IF(Q961&gt;=150000,"Yes","No"))</f>
        <v/>
      </c>
      <c r="BZ961" s="36" t="str">
        <f aca="false">IF(Q961="","",IF(Q961&gt;=200000,"Yes","No"))</f>
        <v/>
      </c>
      <c r="CA961" s="36" t="str">
        <f aca="false">IF(Q961="","",IF(Q961&gt;=250000,"Yes","No"))</f>
        <v/>
      </c>
      <c r="CB961" s="36" t="str">
        <f aca="false">IF(Q961="","",IF(Q961&gt;=300000,"Yes","No"))</f>
        <v/>
      </c>
      <c r="CC961" s="37"/>
      <c r="CD961" s="36" t="str">
        <f aca="true">IF(B961="","",IF(TODAY()-B961&lt;=7,"🟢 0-7d",IF(TODAY()-B961&lt;=30,"🟡 8-30d",IF(TODAY()-B961&lt;=60,"🟠 31-60d","🔴 60d+"))))</f>
        <v/>
      </c>
      <c r="CE961" s="36" t="str">
        <f aca="false">IF(G961="","",IF(G961&lt;&gt;"USA","N/A - Not USA Role",IF(J961="Yes",IF(OR(F961="Intern",F961="New Grad"),"🟡 Possible","🟢 Strong"),IF(J961="No","🔴 Difficult","⚪ Unknown"))))</f>
        <v/>
      </c>
      <c r="CF961" s="37"/>
      <c r="CG961" s="37"/>
      <c r="CH961" s="38"/>
      <c r="CI961" s="38"/>
      <c r="CJ961" s="38"/>
      <c r="CK961" s="38"/>
    </row>
    <row r="962" customFormat="false" ht="15" hidden="false" customHeight="true" outlineLevel="0" collapsed="false">
      <c r="A962" s="26" t="str">
        <f aca="false">IF($C962="","",ROW()-3)</f>
        <v/>
      </c>
      <c r="B962" s="27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9"/>
      <c r="N962" s="29"/>
      <c r="O962" s="30" t="str">
        <f aca="false">IFERROR(IF(M962="","",M962*INDEX('00 - Lists'!$M$2:$M$11,MATCH(L962,'00 - Lists'!$L$2:$L$11,0))/100000),"")</f>
        <v/>
      </c>
      <c r="P962" s="30" t="str">
        <f aca="false">IFERROR(IF(N962="","",N962*INDEX('00 - Lists'!$M$2:$M$11,MATCH(L962,'00 - Lists'!$L$2:$L$11,0))/100000),"")</f>
        <v/>
      </c>
      <c r="Q962" s="31" t="str">
        <f aca="false">IFERROR(IF(M962="","",M962*INDEX('00 - Lists'!$N$2:$N$11,MATCH(L962,'00 - Lists'!$L$2:$L$11,0))),"")</f>
        <v/>
      </c>
      <c r="R962" s="31" t="str">
        <f aca="false">IFERROR(IF(N962="","",N962*INDEX('00 - Lists'!$N$2:$N$11,MATCH(L962,'00 - Lists'!$L$2:$L$11,0))),"")</f>
        <v/>
      </c>
      <c r="S962" s="32" t="str">
        <f aca="false">IF(O962="","",IF(O962&gt;=50,"Yes","No"))</f>
        <v/>
      </c>
      <c r="T962" s="32" t="str">
        <f aca="false">IF(Q962="","",IF(Q962&gt;=100000,"Yes","No"))</f>
        <v/>
      </c>
      <c r="U962" s="28"/>
      <c r="V962" s="28"/>
      <c r="W962" s="28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J962" s="34" t="str">
        <f aca="false">IF(OR($BD962&lt;&gt;"",$BF962&lt;&gt;"",$BH962&lt;&gt;""),"Yes","No")</f>
        <v>No</v>
      </c>
      <c r="BK962" s="35" t="str">
        <f aca="false">IFERROR(IF(BD962="","",BD962*INDEX('00 - Lists'!$M$2:$M$11,MATCH(L962,'00 - Lists'!$L$2:$L$11,0))/100000),"")</f>
        <v/>
      </c>
      <c r="BL962" s="35" t="str">
        <f aca="false">IFERROR(IF(BE962="","",BE962*INDEX('00 - Lists'!$M$2:$M$11,MATCH(L962,'00 - Lists'!$L$2:$L$11,0))/100000),"")</f>
        <v/>
      </c>
      <c r="BM962" s="35" t="str">
        <f aca="false">IFERROR(IF(BF962="","",BF962*INDEX('00 - Lists'!$M$2:$M$11,MATCH(L962,'00 - Lists'!$L$2:$L$11,0))/100000),"")</f>
        <v/>
      </c>
      <c r="BN962" s="35" t="str">
        <f aca="false">IFERROR(IF(BG962="","",BG962*INDEX('00 - Lists'!$M$2:$M$11,MATCH(L962,'00 - Lists'!$L$2:$L$11,0))/100000),"")</f>
        <v/>
      </c>
      <c r="BO962" s="35" t="str">
        <f aca="false">IFERROR(IF(BH962="","",BH962*INDEX('00 - Lists'!$M$2:$M$11,MATCH(L962,'00 - Lists'!$L$2:$L$11,0))/100000),"")</f>
        <v/>
      </c>
      <c r="BP962" s="35" t="str">
        <f aca="false">IFERROR(IF(BI962="","",BI962*INDEX('00 - Lists'!$M$2:$M$11,MATCH(L962,'00 - Lists'!$L$2:$L$11,0))/100000),"")</f>
        <v/>
      </c>
      <c r="BS962" s="36" t="str">
        <f aca="false">IF(O962="","",IF(O962&gt;=20,"Yes","No"))</f>
        <v/>
      </c>
      <c r="BT962" s="36" t="str">
        <f aca="false">IF(O962="","",IF(O962&gt;=30,"Yes","No"))</f>
        <v/>
      </c>
      <c r="BU962" s="36" t="str">
        <f aca="false">IF(O962="","",IF(O962&gt;=75,"Yes","No"))</f>
        <v/>
      </c>
      <c r="BV962" s="36" t="str">
        <f aca="false">IF(O962="","",IF(O962&gt;=100,"Yes","No"))</f>
        <v/>
      </c>
      <c r="BW962" s="36" t="str">
        <f aca="false">IF(O962="","",IF(O962&gt;=150,"Yes","No"))</f>
        <v/>
      </c>
      <c r="BX962" s="36" t="str">
        <f aca="false">IF(O962="","",IF(O962&gt;=200,"Yes","No"))</f>
        <v/>
      </c>
      <c r="BY962" s="36" t="str">
        <f aca="false">IF(Q962="","",IF(Q962&gt;=150000,"Yes","No"))</f>
        <v/>
      </c>
      <c r="BZ962" s="36" t="str">
        <f aca="false">IF(Q962="","",IF(Q962&gt;=200000,"Yes","No"))</f>
        <v/>
      </c>
      <c r="CA962" s="36" t="str">
        <f aca="false">IF(Q962="","",IF(Q962&gt;=250000,"Yes","No"))</f>
        <v/>
      </c>
      <c r="CB962" s="36" t="str">
        <f aca="false">IF(Q962="","",IF(Q962&gt;=300000,"Yes","No"))</f>
        <v/>
      </c>
      <c r="CC962" s="37"/>
      <c r="CD962" s="36" t="str">
        <f aca="true">IF(B962="","",IF(TODAY()-B962&lt;=7,"🟢 0-7d",IF(TODAY()-B962&lt;=30,"🟡 8-30d",IF(TODAY()-B962&lt;=60,"🟠 31-60d","🔴 60d+"))))</f>
        <v/>
      </c>
      <c r="CE962" s="36" t="str">
        <f aca="false">IF(G962="","",IF(G962&lt;&gt;"USA","N/A - Not USA Role",IF(J962="Yes",IF(OR(F962="Intern",F962="New Grad"),"🟡 Possible","🟢 Strong"),IF(J962="No","🔴 Difficult","⚪ Unknown"))))</f>
        <v/>
      </c>
      <c r="CF962" s="37"/>
      <c r="CG962" s="37"/>
      <c r="CH962" s="38"/>
      <c r="CI962" s="38"/>
      <c r="CJ962" s="38"/>
      <c r="CK962" s="38"/>
    </row>
    <row r="963" customFormat="false" ht="15" hidden="false" customHeight="true" outlineLevel="0" collapsed="false">
      <c r="A963" s="26" t="str">
        <f aca="false">IF($C963="","",ROW()-3)</f>
        <v/>
      </c>
      <c r="B963" s="27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9"/>
      <c r="N963" s="29"/>
      <c r="O963" s="30" t="str">
        <f aca="false">IFERROR(IF(M963="","",M963*INDEX('00 - Lists'!$M$2:$M$11,MATCH(L963,'00 - Lists'!$L$2:$L$11,0))/100000),"")</f>
        <v/>
      </c>
      <c r="P963" s="30" t="str">
        <f aca="false">IFERROR(IF(N963="","",N963*INDEX('00 - Lists'!$M$2:$M$11,MATCH(L963,'00 - Lists'!$L$2:$L$11,0))/100000),"")</f>
        <v/>
      </c>
      <c r="Q963" s="31" t="str">
        <f aca="false">IFERROR(IF(M963="","",M963*INDEX('00 - Lists'!$N$2:$N$11,MATCH(L963,'00 - Lists'!$L$2:$L$11,0))),"")</f>
        <v/>
      </c>
      <c r="R963" s="31" t="str">
        <f aca="false">IFERROR(IF(N963="","",N963*INDEX('00 - Lists'!$N$2:$N$11,MATCH(L963,'00 - Lists'!$L$2:$L$11,0))),"")</f>
        <v/>
      </c>
      <c r="S963" s="32" t="str">
        <f aca="false">IF(O963="","",IF(O963&gt;=50,"Yes","No"))</f>
        <v/>
      </c>
      <c r="T963" s="32" t="str">
        <f aca="false">IF(Q963="","",IF(Q963&gt;=100000,"Yes","No"))</f>
        <v/>
      </c>
      <c r="U963" s="28"/>
      <c r="V963" s="28"/>
      <c r="W963" s="28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J963" s="34" t="str">
        <f aca="false">IF(OR($BD963&lt;&gt;"",$BF963&lt;&gt;"",$BH963&lt;&gt;""),"Yes","No")</f>
        <v>No</v>
      </c>
      <c r="BK963" s="35" t="str">
        <f aca="false">IFERROR(IF(BD963="","",BD963*INDEX('00 - Lists'!$M$2:$M$11,MATCH(L963,'00 - Lists'!$L$2:$L$11,0))/100000),"")</f>
        <v/>
      </c>
      <c r="BL963" s="35" t="str">
        <f aca="false">IFERROR(IF(BE963="","",BE963*INDEX('00 - Lists'!$M$2:$M$11,MATCH(L963,'00 - Lists'!$L$2:$L$11,0))/100000),"")</f>
        <v/>
      </c>
      <c r="BM963" s="35" t="str">
        <f aca="false">IFERROR(IF(BF963="","",BF963*INDEX('00 - Lists'!$M$2:$M$11,MATCH(L963,'00 - Lists'!$L$2:$L$11,0))/100000),"")</f>
        <v/>
      </c>
      <c r="BN963" s="35" t="str">
        <f aca="false">IFERROR(IF(BG963="","",BG963*INDEX('00 - Lists'!$M$2:$M$11,MATCH(L963,'00 - Lists'!$L$2:$L$11,0))/100000),"")</f>
        <v/>
      </c>
      <c r="BO963" s="35" t="str">
        <f aca="false">IFERROR(IF(BH963="","",BH963*INDEX('00 - Lists'!$M$2:$M$11,MATCH(L963,'00 - Lists'!$L$2:$L$11,0))/100000),"")</f>
        <v/>
      </c>
      <c r="BP963" s="35" t="str">
        <f aca="false">IFERROR(IF(BI963="","",BI963*INDEX('00 - Lists'!$M$2:$M$11,MATCH(L963,'00 - Lists'!$L$2:$L$11,0))/100000),"")</f>
        <v/>
      </c>
      <c r="BS963" s="36" t="str">
        <f aca="false">IF(O963="","",IF(O963&gt;=20,"Yes","No"))</f>
        <v/>
      </c>
      <c r="BT963" s="36" t="str">
        <f aca="false">IF(O963="","",IF(O963&gt;=30,"Yes","No"))</f>
        <v/>
      </c>
      <c r="BU963" s="36" t="str">
        <f aca="false">IF(O963="","",IF(O963&gt;=75,"Yes","No"))</f>
        <v/>
      </c>
      <c r="BV963" s="36" t="str">
        <f aca="false">IF(O963="","",IF(O963&gt;=100,"Yes","No"))</f>
        <v/>
      </c>
      <c r="BW963" s="36" t="str">
        <f aca="false">IF(O963="","",IF(O963&gt;=150,"Yes","No"))</f>
        <v/>
      </c>
      <c r="BX963" s="36" t="str">
        <f aca="false">IF(O963="","",IF(O963&gt;=200,"Yes","No"))</f>
        <v/>
      </c>
      <c r="BY963" s="36" t="str">
        <f aca="false">IF(Q963="","",IF(Q963&gt;=150000,"Yes","No"))</f>
        <v/>
      </c>
      <c r="BZ963" s="36" t="str">
        <f aca="false">IF(Q963="","",IF(Q963&gt;=200000,"Yes","No"))</f>
        <v/>
      </c>
      <c r="CA963" s="36" t="str">
        <f aca="false">IF(Q963="","",IF(Q963&gt;=250000,"Yes","No"))</f>
        <v/>
      </c>
      <c r="CB963" s="36" t="str">
        <f aca="false">IF(Q963="","",IF(Q963&gt;=300000,"Yes","No"))</f>
        <v/>
      </c>
      <c r="CC963" s="37"/>
      <c r="CD963" s="36" t="str">
        <f aca="true">IF(B963="","",IF(TODAY()-B963&lt;=7,"🟢 0-7d",IF(TODAY()-B963&lt;=30,"🟡 8-30d",IF(TODAY()-B963&lt;=60,"🟠 31-60d","🔴 60d+"))))</f>
        <v/>
      </c>
      <c r="CE963" s="36" t="str">
        <f aca="false">IF(G963="","",IF(G963&lt;&gt;"USA","N/A - Not USA Role",IF(J963="Yes",IF(OR(F963="Intern",F963="New Grad"),"🟡 Possible","🟢 Strong"),IF(J963="No","🔴 Difficult","⚪ Unknown"))))</f>
        <v/>
      </c>
      <c r="CF963" s="37"/>
      <c r="CG963" s="37"/>
      <c r="CH963" s="38"/>
      <c r="CI963" s="38"/>
      <c r="CJ963" s="38"/>
      <c r="CK963" s="38"/>
    </row>
    <row r="964" customFormat="false" ht="15" hidden="false" customHeight="true" outlineLevel="0" collapsed="false">
      <c r="A964" s="26" t="str">
        <f aca="false">IF($C964="","",ROW()-3)</f>
        <v/>
      </c>
      <c r="B964" s="27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9"/>
      <c r="N964" s="29"/>
      <c r="O964" s="30" t="str">
        <f aca="false">IFERROR(IF(M964="","",M964*INDEX('00 - Lists'!$M$2:$M$11,MATCH(L964,'00 - Lists'!$L$2:$L$11,0))/100000),"")</f>
        <v/>
      </c>
      <c r="P964" s="30" t="str">
        <f aca="false">IFERROR(IF(N964="","",N964*INDEX('00 - Lists'!$M$2:$M$11,MATCH(L964,'00 - Lists'!$L$2:$L$11,0))/100000),"")</f>
        <v/>
      </c>
      <c r="Q964" s="31" t="str">
        <f aca="false">IFERROR(IF(M964="","",M964*INDEX('00 - Lists'!$N$2:$N$11,MATCH(L964,'00 - Lists'!$L$2:$L$11,0))),"")</f>
        <v/>
      </c>
      <c r="R964" s="31" t="str">
        <f aca="false">IFERROR(IF(N964="","",N964*INDEX('00 - Lists'!$N$2:$N$11,MATCH(L964,'00 - Lists'!$L$2:$L$11,0))),"")</f>
        <v/>
      </c>
      <c r="S964" s="32" t="str">
        <f aca="false">IF(O964="","",IF(O964&gt;=50,"Yes","No"))</f>
        <v/>
      </c>
      <c r="T964" s="32" t="str">
        <f aca="false">IF(Q964="","",IF(Q964&gt;=100000,"Yes","No"))</f>
        <v/>
      </c>
      <c r="U964" s="28"/>
      <c r="V964" s="28"/>
      <c r="W964" s="28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J964" s="34" t="str">
        <f aca="false">IF(OR($BD964&lt;&gt;"",$BF964&lt;&gt;"",$BH964&lt;&gt;""),"Yes","No")</f>
        <v>No</v>
      </c>
      <c r="BK964" s="35" t="str">
        <f aca="false">IFERROR(IF(BD964="","",BD964*INDEX('00 - Lists'!$M$2:$M$11,MATCH(L964,'00 - Lists'!$L$2:$L$11,0))/100000),"")</f>
        <v/>
      </c>
      <c r="BL964" s="35" t="str">
        <f aca="false">IFERROR(IF(BE964="","",BE964*INDEX('00 - Lists'!$M$2:$M$11,MATCH(L964,'00 - Lists'!$L$2:$L$11,0))/100000),"")</f>
        <v/>
      </c>
      <c r="BM964" s="35" t="str">
        <f aca="false">IFERROR(IF(BF964="","",BF964*INDEX('00 - Lists'!$M$2:$M$11,MATCH(L964,'00 - Lists'!$L$2:$L$11,0))/100000),"")</f>
        <v/>
      </c>
      <c r="BN964" s="35" t="str">
        <f aca="false">IFERROR(IF(BG964="","",BG964*INDEX('00 - Lists'!$M$2:$M$11,MATCH(L964,'00 - Lists'!$L$2:$L$11,0))/100000),"")</f>
        <v/>
      </c>
      <c r="BO964" s="35" t="str">
        <f aca="false">IFERROR(IF(BH964="","",BH964*INDEX('00 - Lists'!$M$2:$M$11,MATCH(L964,'00 - Lists'!$L$2:$L$11,0))/100000),"")</f>
        <v/>
      </c>
      <c r="BP964" s="35" t="str">
        <f aca="false">IFERROR(IF(BI964="","",BI964*INDEX('00 - Lists'!$M$2:$M$11,MATCH(L964,'00 - Lists'!$L$2:$L$11,0))/100000),"")</f>
        <v/>
      </c>
      <c r="BS964" s="36" t="str">
        <f aca="false">IF(O964="","",IF(O964&gt;=20,"Yes","No"))</f>
        <v/>
      </c>
      <c r="BT964" s="36" t="str">
        <f aca="false">IF(O964="","",IF(O964&gt;=30,"Yes","No"))</f>
        <v/>
      </c>
      <c r="BU964" s="36" t="str">
        <f aca="false">IF(O964="","",IF(O964&gt;=75,"Yes","No"))</f>
        <v/>
      </c>
      <c r="BV964" s="36" t="str">
        <f aca="false">IF(O964="","",IF(O964&gt;=100,"Yes","No"))</f>
        <v/>
      </c>
      <c r="BW964" s="36" t="str">
        <f aca="false">IF(O964="","",IF(O964&gt;=150,"Yes","No"))</f>
        <v/>
      </c>
      <c r="BX964" s="36" t="str">
        <f aca="false">IF(O964="","",IF(O964&gt;=200,"Yes","No"))</f>
        <v/>
      </c>
      <c r="BY964" s="36" t="str">
        <f aca="false">IF(Q964="","",IF(Q964&gt;=150000,"Yes","No"))</f>
        <v/>
      </c>
      <c r="BZ964" s="36" t="str">
        <f aca="false">IF(Q964="","",IF(Q964&gt;=200000,"Yes","No"))</f>
        <v/>
      </c>
      <c r="CA964" s="36" t="str">
        <f aca="false">IF(Q964="","",IF(Q964&gt;=250000,"Yes","No"))</f>
        <v/>
      </c>
      <c r="CB964" s="36" t="str">
        <f aca="false">IF(Q964="","",IF(Q964&gt;=300000,"Yes","No"))</f>
        <v/>
      </c>
      <c r="CC964" s="37"/>
      <c r="CD964" s="36" t="str">
        <f aca="true">IF(B964="","",IF(TODAY()-B964&lt;=7,"🟢 0-7d",IF(TODAY()-B964&lt;=30,"🟡 8-30d",IF(TODAY()-B964&lt;=60,"🟠 31-60d","🔴 60d+"))))</f>
        <v/>
      </c>
      <c r="CE964" s="36" t="str">
        <f aca="false">IF(G964="","",IF(G964&lt;&gt;"USA","N/A - Not USA Role",IF(J964="Yes",IF(OR(F964="Intern",F964="New Grad"),"🟡 Possible","🟢 Strong"),IF(J964="No","🔴 Difficult","⚪ Unknown"))))</f>
        <v/>
      </c>
      <c r="CF964" s="37"/>
      <c r="CG964" s="37"/>
      <c r="CH964" s="38"/>
      <c r="CI964" s="38"/>
      <c r="CJ964" s="38"/>
      <c r="CK964" s="38"/>
    </row>
    <row r="965" customFormat="false" ht="15" hidden="false" customHeight="true" outlineLevel="0" collapsed="false">
      <c r="A965" s="26" t="str">
        <f aca="false">IF($C965="","",ROW()-3)</f>
        <v/>
      </c>
      <c r="B965" s="27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9"/>
      <c r="N965" s="29"/>
      <c r="O965" s="30" t="str">
        <f aca="false">IFERROR(IF(M965="","",M965*INDEX('00 - Lists'!$M$2:$M$11,MATCH(L965,'00 - Lists'!$L$2:$L$11,0))/100000),"")</f>
        <v/>
      </c>
      <c r="P965" s="30" t="str">
        <f aca="false">IFERROR(IF(N965="","",N965*INDEX('00 - Lists'!$M$2:$M$11,MATCH(L965,'00 - Lists'!$L$2:$L$11,0))/100000),"")</f>
        <v/>
      </c>
      <c r="Q965" s="31" t="str">
        <f aca="false">IFERROR(IF(M965="","",M965*INDEX('00 - Lists'!$N$2:$N$11,MATCH(L965,'00 - Lists'!$L$2:$L$11,0))),"")</f>
        <v/>
      </c>
      <c r="R965" s="31" t="str">
        <f aca="false">IFERROR(IF(N965="","",N965*INDEX('00 - Lists'!$N$2:$N$11,MATCH(L965,'00 - Lists'!$L$2:$L$11,0))),"")</f>
        <v/>
      </c>
      <c r="S965" s="32" t="str">
        <f aca="false">IF(O965="","",IF(O965&gt;=50,"Yes","No"))</f>
        <v/>
      </c>
      <c r="T965" s="32" t="str">
        <f aca="false">IF(Q965="","",IF(Q965&gt;=100000,"Yes","No"))</f>
        <v/>
      </c>
      <c r="U965" s="28"/>
      <c r="V965" s="28"/>
      <c r="W965" s="28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J965" s="34" t="str">
        <f aca="false">IF(OR($BD965&lt;&gt;"",$BF965&lt;&gt;"",$BH965&lt;&gt;""),"Yes","No")</f>
        <v>No</v>
      </c>
      <c r="BK965" s="35" t="str">
        <f aca="false">IFERROR(IF(BD965="","",BD965*INDEX('00 - Lists'!$M$2:$M$11,MATCH(L965,'00 - Lists'!$L$2:$L$11,0))/100000),"")</f>
        <v/>
      </c>
      <c r="BL965" s="35" t="str">
        <f aca="false">IFERROR(IF(BE965="","",BE965*INDEX('00 - Lists'!$M$2:$M$11,MATCH(L965,'00 - Lists'!$L$2:$L$11,0))/100000),"")</f>
        <v/>
      </c>
      <c r="BM965" s="35" t="str">
        <f aca="false">IFERROR(IF(BF965="","",BF965*INDEX('00 - Lists'!$M$2:$M$11,MATCH(L965,'00 - Lists'!$L$2:$L$11,0))/100000),"")</f>
        <v/>
      </c>
      <c r="BN965" s="35" t="str">
        <f aca="false">IFERROR(IF(BG965="","",BG965*INDEX('00 - Lists'!$M$2:$M$11,MATCH(L965,'00 - Lists'!$L$2:$L$11,0))/100000),"")</f>
        <v/>
      </c>
      <c r="BO965" s="35" t="str">
        <f aca="false">IFERROR(IF(BH965="","",BH965*INDEX('00 - Lists'!$M$2:$M$11,MATCH(L965,'00 - Lists'!$L$2:$L$11,0))/100000),"")</f>
        <v/>
      </c>
      <c r="BP965" s="35" t="str">
        <f aca="false">IFERROR(IF(BI965="","",BI965*INDEX('00 - Lists'!$M$2:$M$11,MATCH(L965,'00 - Lists'!$L$2:$L$11,0))/100000),"")</f>
        <v/>
      </c>
      <c r="BS965" s="36" t="str">
        <f aca="false">IF(O965="","",IF(O965&gt;=20,"Yes","No"))</f>
        <v/>
      </c>
      <c r="BT965" s="36" t="str">
        <f aca="false">IF(O965="","",IF(O965&gt;=30,"Yes","No"))</f>
        <v/>
      </c>
      <c r="BU965" s="36" t="str">
        <f aca="false">IF(O965="","",IF(O965&gt;=75,"Yes","No"))</f>
        <v/>
      </c>
      <c r="BV965" s="36" t="str">
        <f aca="false">IF(O965="","",IF(O965&gt;=100,"Yes","No"))</f>
        <v/>
      </c>
      <c r="BW965" s="36" t="str">
        <f aca="false">IF(O965="","",IF(O965&gt;=150,"Yes","No"))</f>
        <v/>
      </c>
      <c r="BX965" s="36" t="str">
        <f aca="false">IF(O965="","",IF(O965&gt;=200,"Yes","No"))</f>
        <v/>
      </c>
      <c r="BY965" s="36" t="str">
        <f aca="false">IF(Q965="","",IF(Q965&gt;=150000,"Yes","No"))</f>
        <v/>
      </c>
      <c r="BZ965" s="36" t="str">
        <f aca="false">IF(Q965="","",IF(Q965&gt;=200000,"Yes","No"))</f>
        <v/>
      </c>
      <c r="CA965" s="36" t="str">
        <f aca="false">IF(Q965="","",IF(Q965&gt;=250000,"Yes","No"))</f>
        <v/>
      </c>
      <c r="CB965" s="36" t="str">
        <f aca="false">IF(Q965="","",IF(Q965&gt;=300000,"Yes","No"))</f>
        <v/>
      </c>
      <c r="CC965" s="37"/>
      <c r="CD965" s="36" t="str">
        <f aca="true">IF(B965="","",IF(TODAY()-B965&lt;=7,"🟢 0-7d",IF(TODAY()-B965&lt;=30,"🟡 8-30d",IF(TODAY()-B965&lt;=60,"🟠 31-60d","🔴 60d+"))))</f>
        <v/>
      </c>
      <c r="CE965" s="36" t="str">
        <f aca="false">IF(G965="","",IF(G965&lt;&gt;"USA","N/A - Not USA Role",IF(J965="Yes",IF(OR(F965="Intern",F965="New Grad"),"🟡 Possible","🟢 Strong"),IF(J965="No","🔴 Difficult","⚪ Unknown"))))</f>
        <v/>
      </c>
      <c r="CF965" s="37"/>
      <c r="CG965" s="37"/>
      <c r="CH965" s="38"/>
      <c r="CI965" s="38"/>
      <c r="CJ965" s="38"/>
      <c r="CK965" s="38"/>
    </row>
    <row r="966" customFormat="false" ht="15" hidden="false" customHeight="true" outlineLevel="0" collapsed="false">
      <c r="A966" s="26" t="str">
        <f aca="false">IF($C966="","",ROW()-3)</f>
        <v/>
      </c>
      <c r="B966" s="27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9"/>
      <c r="N966" s="29"/>
      <c r="O966" s="30" t="str">
        <f aca="false">IFERROR(IF(M966="","",M966*INDEX('00 - Lists'!$M$2:$M$11,MATCH(L966,'00 - Lists'!$L$2:$L$11,0))/100000),"")</f>
        <v/>
      </c>
      <c r="P966" s="30" t="str">
        <f aca="false">IFERROR(IF(N966="","",N966*INDEX('00 - Lists'!$M$2:$M$11,MATCH(L966,'00 - Lists'!$L$2:$L$11,0))/100000),"")</f>
        <v/>
      </c>
      <c r="Q966" s="31" t="str">
        <f aca="false">IFERROR(IF(M966="","",M966*INDEX('00 - Lists'!$N$2:$N$11,MATCH(L966,'00 - Lists'!$L$2:$L$11,0))),"")</f>
        <v/>
      </c>
      <c r="R966" s="31" t="str">
        <f aca="false">IFERROR(IF(N966="","",N966*INDEX('00 - Lists'!$N$2:$N$11,MATCH(L966,'00 - Lists'!$L$2:$L$11,0))),"")</f>
        <v/>
      </c>
      <c r="S966" s="32" t="str">
        <f aca="false">IF(O966="","",IF(O966&gt;=50,"Yes","No"))</f>
        <v/>
      </c>
      <c r="T966" s="32" t="str">
        <f aca="false">IF(Q966="","",IF(Q966&gt;=100000,"Yes","No"))</f>
        <v/>
      </c>
      <c r="U966" s="28"/>
      <c r="V966" s="28"/>
      <c r="W966" s="28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J966" s="34" t="str">
        <f aca="false">IF(OR($BD966&lt;&gt;"",$BF966&lt;&gt;"",$BH966&lt;&gt;""),"Yes","No")</f>
        <v>No</v>
      </c>
      <c r="BK966" s="35" t="str">
        <f aca="false">IFERROR(IF(BD966="","",BD966*INDEX('00 - Lists'!$M$2:$M$11,MATCH(L966,'00 - Lists'!$L$2:$L$11,0))/100000),"")</f>
        <v/>
      </c>
      <c r="BL966" s="35" t="str">
        <f aca="false">IFERROR(IF(BE966="","",BE966*INDEX('00 - Lists'!$M$2:$M$11,MATCH(L966,'00 - Lists'!$L$2:$L$11,0))/100000),"")</f>
        <v/>
      </c>
      <c r="BM966" s="35" t="str">
        <f aca="false">IFERROR(IF(BF966="","",BF966*INDEX('00 - Lists'!$M$2:$M$11,MATCH(L966,'00 - Lists'!$L$2:$L$11,0))/100000),"")</f>
        <v/>
      </c>
      <c r="BN966" s="35" t="str">
        <f aca="false">IFERROR(IF(BG966="","",BG966*INDEX('00 - Lists'!$M$2:$M$11,MATCH(L966,'00 - Lists'!$L$2:$L$11,0))/100000),"")</f>
        <v/>
      </c>
      <c r="BO966" s="35" t="str">
        <f aca="false">IFERROR(IF(BH966="","",BH966*INDEX('00 - Lists'!$M$2:$M$11,MATCH(L966,'00 - Lists'!$L$2:$L$11,0))/100000),"")</f>
        <v/>
      </c>
      <c r="BP966" s="35" t="str">
        <f aca="false">IFERROR(IF(BI966="","",BI966*INDEX('00 - Lists'!$M$2:$M$11,MATCH(L966,'00 - Lists'!$L$2:$L$11,0))/100000),"")</f>
        <v/>
      </c>
      <c r="BS966" s="36" t="str">
        <f aca="false">IF(O966="","",IF(O966&gt;=20,"Yes","No"))</f>
        <v/>
      </c>
      <c r="BT966" s="36" t="str">
        <f aca="false">IF(O966="","",IF(O966&gt;=30,"Yes","No"))</f>
        <v/>
      </c>
      <c r="BU966" s="36" t="str">
        <f aca="false">IF(O966="","",IF(O966&gt;=75,"Yes","No"))</f>
        <v/>
      </c>
      <c r="BV966" s="36" t="str">
        <f aca="false">IF(O966="","",IF(O966&gt;=100,"Yes","No"))</f>
        <v/>
      </c>
      <c r="BW966" s="36" t="str">
        <f aca="false">IF(O966="","",IF(O966&gt;=150,"Yes","No"))</f>
        <v/>
      </c>
      <c r="BX966" s="36" t="str">
        <f aca="false">IF(O966="","",IF(O966&gt;=200,"Yes","No"))</f>
        <v/>
      </c>
      <c r="BY966" s="36" t="str">
        <f aca="false">IF(Q966="","",IF(Q966&gt;=150000,"Yes","No"))</f>
        <v/>
      </c>
      <c r="BZ966" s="36" t="str">
        <f aca="false">IF(Q966="","",IF(Q966&gt;=200000,"Yes","No"))</f>
        <v/>
      </c>
      <c r="CA966" s="36" t="str">
        <f aca="false">IF(Q966="","",IF(Q966&gt;=250000,"Yes","No"))</f>
        <v/>
      </c>
      <c r="CB966" s="36" t="str">
        <f aca="false">IF(Q966="","",IF(Q966&gt;=300000,"Yes","No"))</f>
        <v/>
      </c>
      <c r="CC966" s="37"/>
      <c r="CD966" s="36" t="str">
        <f aca="true">IF(B966="","",IF(TODAY()-B966&lt;=7,"🟢 0-7d",IF(TODAY()-B966&lt;=30,"🟡 8-30d",IF(TODAY()-B966&lt;=60,"🟠 31-60d","🔴 60d+"))))</f>
        <v/>
      </c>
      <c r="CE966" s="36" t="str">
        <f aca="false">IF(G966="","",IF(G966&lt;&gt;"USA","N/A - Not USA Role",IF(J966="Yes",IF(OR(F966="Intern",F966="New Grad"),"🟡 Possible","🟢 Strong"),IF(J966="No","🔴 Difficult","⚪ Unknown"))))</f>
        <v/>
      </c>
      <c r="CF966" s="37"/>
      <c r="CG966" s="37"/>
      <c r="CH966" s="38"/>
      <c r="CI966" s="38"/>
      <c r="CJ966" s="38"/>
      <c r="CK966" s="38"/>
    </row>
    <row r="967" customFormat="false" ht="15" hidden="false" customHeight="true" outlineLevel="0" collapsed="false">
      <c r="A967" s="26" t="str">
        <f aca="false">IF($C967="","",ROW()-3)</f>
        <v/>
      </c>
      <c r="B967" s="27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9"/>
      <c r="N967" s="29"/>
      <c r="O967" s="30" t="str">
        <f aca="false">IFERROR(IF(M967="","",M967*INDEX('00 - Lists'!$M$2:$M$11,MATCH(L967,'00 - Lists'!$L$2:$L$11,0))/100000),"")</f>
        <v/>
      </c>
      <c r="P967" s="30" t="str">
        <f aca="false">IFERROR(IF(N967="","",N967*INDEX('00 - Lists'!$M$2:$M$11,MATCH(L967,'00 - Lists'!$L$2:$L$11,0))/100000),"")</f>
        <v/>
      </c>
      <c r="Q967" s="31" t="str">
        <f aca="false">IFERROR(IF(M967="","",M967*INDEX('00 - Lists'!$N$2:$N$11,MATCH(L967,'00 - Lists'!$L$2:$L$11,0))),"")</f>
        <v/>
      </c>
      <c r="R967" s="31" t="str">
        <f aca="false">IFERROR(IF(N967="","",N967*INDEX('00 - Lists'!$N$2:$N$11,MATCH(L967,'00 - Lists'!$L$2:$L$11,0))),"")</f>
        <v/>
      </c>
      <c r="S967" s="32" t="str">
        <f aca="false">IF(O967="","",IF(O967&gt;=50,"Yes","No"))</f>
        <v/>
      </c>
      <c r="T967" s="32" t="str">
        <f aca="false">IF(Q967="","",IF(Q967&gt;=100000,"Yes","No"))</f>
        <v/>
      </c>
      <c r="U967" s="28"/>
      <c r="V967" s="28"/>
      <c r="W967" s="28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J967" s="34" t="str">
        <f aca="false">IF(OR($BD967&lt;&gt;"",$BF967&lt;&gt;"",$BH967&lt;&gt;""),"Yes","No")</f>
        <v>No</v>
      </c>
      <c r="BK967" s="35" t="str">
        <f aca="false">IFERROR(IF(BD967="","",BD967*INDEX('00 - Lists'!$M$2:$M$11,MATCH(L967,'00 - Lists'!$L$2:$L$11,0))/100000),"")</f>
        <v/>
      </c>
      <c r="BL967" s="35" t="str">
        <f aca="false">IFERROR(IF(BE967="","",BE967*INDEX('00 - Lists'!$M$2:$M$11,MATCH(L967,'00 - Lists'!$L$2:$L$11,0))/100000),"")</f>
        <v/>
      </c>
      <c r="BM967" s="35" t="str">
        <f aca="false">IFERROR(IF(BF967="","",BF967*INDEX('00 - Lists'!$M$2:$M$11,MATCH(L967,'00 - Lists'!$L$2:$L$11,0))/100000),"")</f>
        <v/>
      </c>
      <c r="BN967" s="35" t="str">
        <f aca="false">IFERROR(IF(BG967="","",BG967*INDEX('00 - Lists'!$M$2:$M$11,MATCH(L967,'00 - Lists'!$L$2:$L$11,0))/100000),"")</f>
        <v/>
      </c>
      <c r="BO967" s="35" t="str">
        <f aca="false">IFERROR(IF(BH967="","",BH967*INDEX('00 - Lists'!$M$2:$M$11,MATCH(L967,'00 - Lists'!$L$2:$L$11,0))/100000),"")</f>
        <v/>
      </c>
      <c r="BP967" s="35" t="str">
        <f aca="false">IFERROR(IF(BI967="","",BI967*INDEX('00 - Lists'!$M$2:$M$11,MATCH(L967,'00 - Lists'!$L$2:$L$11,0))/100000),"")</f>
        <v/>
      </c>
      <c r="BS967" s="36" t="str">
        <f aca="false">IF(O967="","",IF(O967&gt;=20,"Yes","No"))</f>
        <v/>
      </c>
      <c r="BT967" s="36" t="str">
        <f aca="false">IF(O967="","",IF(O967&gt;=30,"Yes","No"))</f>
        <v/>
      </c>
      <c r="BU967" s="36" t="str">
        <f aca="false">IF(O967="","",IF(O967&gt;=75,"Yes","No"))</f>
        <v/>
      </c>
      <c r="BV967" s="36" t="str">
        <f aca="false">IF(O967="","",IF(O967&gt;=100,"Yes","No"))</f>
        <v/>
      </c>
      <c r="BW967" s="36" t="str">
        <f aca="false">IF(O967="","",IF(O967&gt;=150,"Yes","No"))</f>
        <v/>
      </c>
      <c r="BX967" s="36" t="str">
        <f aca="false">IF(O967="","",IF(O967&gt;=200,"Yes","No"))</f>
        <v/>
      </c>
      <c r="BY967" s="36" t="str">
        <f aca="false">IF(Q967="","",IF(Q967&gt;=150000,"Yes","No"))</f>
        <v/>
      </c>
      <c r="BZ967" s="36" t="str">
        <f aca="false">IF(Q967="","",IF(Q967&gt;=200000,"Yes","No"))</f>
        <v/>
      </c>
      <c r="CA967" s="36" t="str">
        <f aca="false">IF(Q967="","",IF(Q967&gt;=250000,"Yes","No"))</f>
        <v/>
      </c>
      <c r="CB967" s="36" t="str">
        <f aca="false">IF(Q967="","",IF(Q967&gt;=300000,"Yes","No"))</f>
        <v/>
      </c>
      <c r="CC967" s="37"/>
      <c r="CD967" s="36" t="str">
        <f aca="true">IF(B967="","",IF(TODAY()-B967&lt;=7,"🟢 0-7d",IF(TODAY()-B967&lt;=30,"🟡 8-30d",IF(TODAY()-B967&lt;=60,"🟠 31-60d","🔴 60d+"))))</f>
        <v/>
      </c>
      <c r="CE967" s="36" t="str">
        <f aca="false">IF(G967="","",IF(G967&lt;&gt;"USA","N/A - Not USA Role",IF(J967="Yes",IF(OR(F967="Intern",F967="New Grad"),"🟡 Possible","🟢 Strong"),IF(J967="No","🔴 Difficult","⚪ Unknown"))))</f>
        <v/>
      </c>
      <c r="CF967" s="37"/>
      <c r="CG967" s="37"/>
      <c r="CH967" s="38"/>
      <c r="CI967" s="38"/>
      <c r="CJ967" s="38"/>
      <c r="CK967" s="38"/>
    </row>
    <row r="968" customFormat="false" ht="15" hidden="false" customHeight="true" outlineLevel="0" collapsed="false">
      <c r="A968" s="26" t="str">
        <f aca="false">IF($C968="","",ROW()-3)</f>
        <v/>
      </c>
      <c r="B968" s="27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9"/>
      <c r="N968" s="29"/>
      <c r="O968" s="30" t="str">
        <f aca="false">IFERROR(IF(M968="","",M968*INDEX('00 - Lists'!$M$2:$M$11,MATCH(L968,'00 - Lists'!$L$2:$L$11,0))/100000),"")</f>
        <v/>
      </c>
      <c r="P968" s="30" t="str">
        <f aca="false">IFERROR(IF(N968="","",N968*INDEX('00 - Lists'!$M$2:$M$11,MATCH(L968,'00 - Lists'!$L$2:$L$11,0))/100000),"")</f>
        <v/>
      </c>
      <c r="Q968" s="31" t="str">
        <f aca="false">IFERROR(IF(M968="","",M968*INDEX('00 - Lists'!$N$2:$N$11,MATCH(L968,'00 - Lists'!$L$2:$L$11,0))),"")</f>
        <v/>
      </c>
      <c r="R968" s="31" t="str">
        <f aca="false">IFERROR(IF(N968="","",N968*INDEX('00 - Lists'!$N$2:$N$11,MATCH(L968,'00 - Lists'!$L$2:$L$11,0))),"")</f>
        <v/>
      </c>
      <c r="S968" s="32" t="str">
        <f aca="false">IF(O968="","",IF(O968&gt;=50,"Yes","No"))</f>
        <v/>
      </c>
      <c r="T968" s="32" t="str">
        <f aca="false">IF(Q968="","",IF(Q968&gt;=100000,"Yes","No"))</f>
        <v/>
      </c>
      <c r="U968" s="28"/>
      <c r="V968" s="28"/>
      <c r="W968" s="28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J968" s="34" t="str">
        <f aca="false">IF(OR($BD968&lt;&gt;"",$BF968&lt;&gt;"",$BH968&lt;&gt;""),"Yes","No")</f>
        <v>No</v>
      </c>
      <c r="BK968" s="35" t="str">
        <f aca="false">IFERROR(IF(BD968="","",BD968*INDEX('00 - Lists'!$M$2:$M$11,MATCH(L968,'00 - Lists'!$L$2:$L$11,0))/100000),"")</f>
        <v/>
      </c>
      <c r="BL968" s="35" t="str">
        <f aca="false">IFERROR(IF(BE968="","",BE968*INDEX('00 - Lists'!$M$2:$M$11,MATCH(L968,'00 - Lists'!$L$2:$L$11,0))/100000),"")</f>
        <v/>
      </c>
      <c r="BM968" s="35" t="str">
        <f aca="false">IFERROR(IF(BF968="","",BF968*INDEX('00 - Lists'!$M$2:$M$11,MATCH(L968,'00 - Lists'!$L$2:$L$11,0))/100000),"")</f>
        <v/>
      </c>
      <c r="BN968" s="35" t="str">
        <f aca="false">IFERROR(IF(BG968="","",BG968*INDEX('00 - Lists'!$M$2:$M$11,MATCH(L968,'00 - Lists'!$L$2:$L$11,0))/100000),"")</f>
        <v/>
      </c>
      <c r="BO968" s="35" t="str">
        <f aca="false">IFERROR(IF(BH968="","",BH968*INDEX('00 - Lists'!$M$2:$M$11,MATCH(L968,'00 - Lists'!$L$2:$L$11,0))/100000),"")</f>
        <v/>
      </c>
      <c r="BP968" s="35" t="str">
        <f aca="false">IFERROR(IF(BI968="","",BI968*INDEX('00 - Lists'!$M$2:$M$11,MATCH(L968,'00 - Lists'!$L$2:$L$11,0))/100000),"")</f>
        <v/>
      </c>
      <c r="BS968" s="36" t="str">
        <f aca="false">IF(O968="","",IF(O968&gt;=20,"Yes","No"))</f>
        <v/>
      </c>
      <c r="BT968" s="36" t="str">
        <f aca="false">IF(O968="","",IF(O968&gt;=30,"Yes","No"))</f>
        <v/>
      </c>
      <c r="BU968" s="36" t="str">
        <f aca="false">IF(O968="","",IF(O968&gt;=75,"Yes","No"))</f>
        <v/>
      </c>
      <c r="BV968" s="36" t="str">
        <f aca="false">IF(O968="","",IF(O968&gt;=100,"Yes","No"))</f>
        <v/>
      </c>
      <c r="BW968" s="36" t="str">
        <f aca="false">IF(O968="","",IF(O968&gt;=150,"Yes","No"))</f>
        <v/>
      </c>
      <c r="BX968" s="36" t="str">
        <f aca="false">IF(O968="","",IF(O968&gt;=200,"Yes","No"))</f>
        <v/>
      </c>
      <c r="BY968" s="36" t="str">
        <f aca="false">IF(Q968="","",IF(Q968&gt;=150000,"Yes","No"))</f>
        <v/>
      </c>
      <c r="BZ968" s="36" t="str">
        <f aca="false">IF(Q968="","",IF(Q968&gt;=200000,"Yes","No"))</f>
        <v/>
      </c>
      <c r="CA968" s="36" t="str">
        <f aca="false">IF(Q968="","",IF(Q968&gt;=250000,"Yes","No"))</f>
        <v/>
      </c>
      <c r="CB968" s="36" t="str">
        <f aca="false">IF(Q968="","",IF(Q968&gt;=300000,"Yes","No"))</f>
        <v/>
      </c>
      <c r="CC968" s="37"/>
      <c r="CD968" s="36" t="str">
        <f aca="true">IF(B968="","",IF(TODAY()-B968&lt;=7,"🟢 0-7d",IF(TODAY()-B968&lt;=30,"🟡 8-30d",IF(TODAY()-B968&lt;=60,"🟠 31-60d","🔴 60d+"))))</f>
        <v/>
      </c>
      <c r="CE968" s="36" t="str">
        <f aca="false">IF(G968="","",IF(G968&lt;&gt;"USA","N/A - Not USA Role",IF(J968="Yes",IF(OR(F968="Intern",F968="New Grad"),"🟡 Possible","🟢 Strong"),IF(J968="No","🔴 Difficult","⚪ Unknown"))))</f>
        <v/>
      </c>
      <c r="CF968" s="37"/>
      <c r="CG968" s="37"/>
      <c r="CH968" s="38"/>
      <c r="CI968" s="38"/>
      <c r="CJ968" s="38"/>
      <c r="CK968" s="38"/>
    </row>
    <row r="969" customFormat="false" ht="15" hidden="false" customHeight="true" outlineLevel="0" collapsed="false">
      <c r="A969" s="26" t="str">
        <f aca="false">IF($C969="","",ROW()-3)</f>
        <v/>
      </c>
      <c r="B969" s="27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9"/>
      <c r="N969" s="29"/>
      <c r="O969" s="30" t="str">
        <f aca="false">IFERROR(IF(M969="","",M969*INDEX('00 - Lists'!$M$2:$M$11,MATCH(L969,'00 - Lists'!$L$2:$L$11,0))/100000),"")</f>
        <v/>
      </c>
      <c r="P969" s="30" t="str">
        <f aca="false">IFERROR(IF(N969="","",N969*INDEX('00 - Lists'!$M$2:$M$11,MATCH(L969,'00 - Lists'!$L$2:$L$11,0))/100000),"")</f>
        <v/>
      </c>
      <c r="Q969" s="31" t="str">
        <f aca="false">IFERROR(IF(M969="","",M969*INDEX('00 - Lists'!$N$2:$N$11,MATCH(L969,'00 - Lists'!$L$2:$L$11,0))),"")</f>
        <v/>
      </c>
      <c r="R969" s="31" t="str">
        <f aca="false">IFERROR(IF(N969="","",N969*INDEX('00 - Lists'!$N$2:$N$11,MATCH(L969,'00 - Lists'!$L$2:$L$11,0))),"")</f>
        <v/>
      </c>
      <c r="S969" s="32" t="str">
        <f aca="false">IF(O969="","",IF(O969&gt;=50,"Yes","No"))</f>
        <v/>
      </c>
      <c r="T969" s="32" t="str">
        <f aca="false">IF(Q969="","",IF(Q969&gt;=100000,"Yes","No"))</f>
        <v/>
      </c>
      <c r="U969" s="28"/>
      <c r="V969" s="28"/>
      <c r="W969" s="28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J969" s="34" t="str">
        <f aca="false">IF(OR($BD969&lt;&gt;"",$BF969&lt;&gt;"",$BH969&lt;&gt;""),"Yes","No")</f>
        <v>No</v>
      </c>
      <c r="BK969" s="35" t="str">
        <f aca="false">IFERROR(IF(BD969="","",BD969*INDEX('00 - Lists'!$M$2:$M$11,MATCH(L969,'00 - Lists'!$L$2:$L$11,0))/100000),"")</f>
        <v/>
      </c>
      <c r="BL969" s="35" t="str">
        <f aca="false">IFERROR(IF(BE969="","",BE969*INDEX('00 - Lists'!$M$2:$M$11,MATCH(L969,'00 - Lists'!$L$2:$L$11,0))/100000),"")</f>
        <v/>
      </c>
      <c r="BM969" s="35" t="str">
        <f aca="false">IFERROR(IF(BF969="","",BF969*INDEX('00 - Lists'!$M$2:$M$11,MATCH(L969,'00 - Lists'!$L$2:$L$11,0))/100000),"")</f>
        <v/>
      </c>
      <c r="BN969" s="35" t="str">
        <f aca="false">IFERROR(IF(BG969="","",BG969*INDEX('00 - Lists'!$M$2:$M$11,MATCH(L969,'00 - Lists'!$L$2:$L$11,0))/100000),"")</f>
        <v/>
      </c>
      <c r="BO969" s="35" t="str">
        <f aca="false">IFERROR(IF(BH969="","",BH969*INDEX('00 - Lists'!$M$2:$M$11,MATCH(L969,'00 - Lists'!$L$2:$L$11,0))/100000),"")</f>
        <v/>
      </c>
      <c r="BP969" s="35" t="str">
        <f aca="false">IFERROR(IF(BI969="","",BI969*INDEX('00 - Lists'!$M$2:$M$11,MATCH(L969,'00 - Lists'!$L$2:$L$11,0))/100000),"")</f>
        <v/>
      </c>
      <c r="BS969" s="36" t="str">
        <f aca="false">IF(O969="","",IF(O969&gt;=20,"Yes","No"))</f>
        <v/>
      </c>
      <c r="BT969" s="36" t="str">
        <f aca="false">IF(O969="","",IF(O969&gt;=30,"Yes","No"))</f>
        <v/>
      </c>
      <c r="BU969" s="36" t="str">
        <f aca="false">IF(O969="","",IF(O969&gt;=75,"Yes","No"))</f>
        <v/>
      </c>
      <c r="BV969" s="36" t="str">
        <f aca="false">IF(O969="","",IF(O969&gt;=100,"Yes","No"))</f>
        <v/>
      </c>
      <c r="BW969" s="36" t="str">
        <f aca="false">IF(O969="","",IF(O969&gt;=150,"Yes","No"))</f>
        <v/>
      </c>
      <c r="BX969" s="36" t="str">
        <f aca="false">IF(O969="","",IF(O969&gt;=200,"Yes","No"))</f>
        <v/>
      </c>
      <c r="BY969" s="36" t="str">
        <f aca="false">IF(Q969="","",IF(Q969&gt;=150000,"Yes","No"))</f>
        <v/>
      </c>
      <c r="BZ969" s="36" t="str">
        <f aca="false">IF(Q969="","",IF(Q969&gt;=200000,"Yes","No"))</f>
        <v/>
      </c>
      <c r="CA969" s="36" t="str">
        <f aca="false">IF(Q969="","",IF(Q969&gt;=250000,"Yes","No"))</f>
        <v/>
      </c>
      <c r="CB969" s="36" t="str">
        <f aca="false">IF(Q969="","",IF(Q969&gt;=300000,"Yes","No"))</f>
        <v/>
      </c>
      <c r="CC969" s="37"/>
      <c r="CD969" s="36" t="str">
        <f aca="true">IF(B969="","",IF(TODAY()-B969&lt;=7,"🟢 0-7d",IF(TODAY()-B969&lt;=30,"🟡 8-30d",IF(TODAY()-B969&lt;=60,"🟠 31-60d","🔴 60d+"))))</f>
        <v/>
      </c>
      <c r="CE969" s="36" t="str">
        <f aca="false">IF(G969="","",IF(G969&lt;&gt;"USA","N/A - Not USA Role",IF(J969="Yes",IF(OR(F969="Intern",F969="New Grad"),"🟡 Possible","🟢 Strong"),IF(J969="No","🔴 Difficult","⚪ Unknown"))))</f>
        <v/>
      </c>
      <c r="CF969" s="37"/>
      <c r="CG969" s="37"/>
      <c r="CH969" s="38"/>
      <c r="CI969" s="38"/>
      <c r="CJ969" s="38"/>
      <c r="CK969" s="38"/>
    </row>
    <row r="970" customFormat="false" ht="15" hidden="false" customHeight="true" outlineLevel="0" collapsed="false">
      <c r="A970" s="26" t="str">
        <f aca="false">IF($C970="","",ROW()-3)</f>
        <v/>
      </c>
      <c r="B970" s="27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9"/>
      <c r="N970" s="29"/>
      <c r="O970" s="30" t="str">
        <f aca="false">IFERROR(IF(M970="","",M970*INDEX('00 - Lists'!$M$2:$M$11,MATCH(L970,'00 - Lists'!$L$2:$L$11,0))/100000),"")</f>
        <v/>
      </c>
      <c r="P970" s="30" t="str">
        <f aca="false">IFERROR(IF(N970="","",N970*INDEX('00 - Lists'!$M$2:$M$11,MATCH(L970,'00 - Lists'!$L$2:$L$11,0))/100000),"")</f>
        <v/>
      </c>
      <c r="Q970" s="31" t="str">
        <f aca="false">IFERROR(IF(M970="","",M970*INDEX('00 - Lists'!$N$2:$N$11,MATCH(L970,'00 - Lists'!$L$2:$L$11,0))),"")</f>
        <v/>
      </c>
      <c r="R970" s="31" t="str">
        <f aca="false">IFERROR(IF(N970="","",N970*INDEX('00 - Lists'!$N$2:$N$11,MATCH(L970,'00 - Lists'!$L$2:$L$11,0))),"")</f>
        <v/>
      </c>
      <c r="S970" s="32" t="str">
        <f aca="false">IF(O970="","",IF(O970&gt;=50,"Yes","No"))</f>
        <v/>
      </c>
      <c r="T970" s="32" t="str">
        <f aca="false">IF(Q970="","",IF(Q970&gt;=100000,"Yes","No"))</f>
        <v/>
      </c>
      <c r="U970" s="28"/>
      <c r="V970" s="28"/>
      <c r="W970" s="28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J970" s="34" t="str">
        <f aca="false">IF(OR($BD970&lt;&gt;"",$BF970&lt;&gt;"",$BH970&lt;&gt;""),"Yes","No")</f>
        <v>No</v>
      </c>
      <c r="BK970" s="35" t="str">
        <f aca="false">IFERROR(IF(BD970="","",BD970*INDEX('00 - Lists'!$M$2:$M$11,MATCH(L970,'00 - Lists'!$L$2:$L$11,0))/100000),"")</f>
        <v/>
      </c>
      <c r="BL970" s="35" t="str">
        <f aca="false">IFERROR(IF(BE970="","",BE970*INDEX('00 - Lists'!$M$2:$M$11,MATCH(L970,'00 - Lists'!$L$2:$L$11,0))/100000),"")</f>
        <v/>
      </c>
      <c r="BM970" s="35" t="str">
        <f aca="false">IFERROR(IF(BF970="","",BF970*INDEX('00 - Lists'!$M$2:$M$11,MATCH(L970,'00 - Lists'!$L$2:$L$11,0))/100000),"")</f>
        <v/>
      </c>
      <c r="BN970" s="35" t="str">
        <f aca="false">IFERROR(IF(BG970="","",BG970*INDEX('00 - Lists'!$M$2:$M$11,MATCH(L970,'00 - Lists'!$L$2:$L$11,0))/100000),"")</f>
        <v/>
      </c>
      <c r="BO970" s="35" t="str">
        <f aca="false">IFERROR(IF(BH970="","",BH970*INDEX('00 - Lists'!$M$2:$M$11,MATCH(L970,'00 - Lists'!$L$2:$L$11,0))/100000),"")</f>
        <v/>
      </c>
      <c r="BP970" s="35" t="str">
        <f aca="false">IFERROR(IF(BI970="","",BI970*INDEX('00 - Lists'!$M$2:$M$11,MATCH(L970,'00 - Lists'!$L$2:$L$11,0))/100000),"")</f>
        <v/>
      </c>
      <c r="BS970" s="36" t="str">
        <f aca="false">IF(O970="","",IF(O970&gt;=20,"Yes","No"))</f>
        <v/>
      </c>
      <c r="BT970" s="36" t="str">
        <f aca="false">IF(O970="","",IF(O970&gt;=30,"Yes","No"))</f>
        <v/>
      </c>
      <c r="BU970" s="36" t="str">
        <f aca="false">IF(O970="","",IF(O970&gt;=75,"Yes","No"))</f>
        <v/>
      </c>
      <c r="BV970" s="36" t="str">
        <f aca="false">IF(O970="","",IF(O970&gt;=100,"Yes","No"))</f>
        <v/>
      </c>
      <c r="BW970" s="36" t="str">
        <f aca="false">IF(O970="","",IF(O970&gt;=150,"Yes","No"))</f>
        <v/>
      </c>
      <c r="BX970" s="36" t="str">
        <f aca="false">IF(O970="","",IF(O970&gt;=200,"Yes","No"))</f>
        <v/>
      </c>
      <c r="BY970" s="36" t="str">
        <f aca="false">IF(Q970="","",IF(Q970&gt;=150000,"Yes","No"))</f>
        <v/>
      </c>
      <c r="BZ970" s="36" t="str">
        <f aca="false">IF(Q970="","",IF(Q970&gt;=200000,"Yes","No"))</f>
        <v/>
      </c>
      <c r="CA970" s="36" t="str">
        <f aca="false">IF(Q970="","",IF(Q970&gt;=250000,"Yes","No"))</f>
        <v/>
      </c>
      <c r="CB970" s="36" t="str">
        <f aca="false">IF(Q970="","",IF(Q970&gt;=300000,"Yes","No"))</f>
        <v/>
      </c>
      <c r="CC970" s="37"/>
      <c r="CD970" s="36" t="str">
        <f aca="true">IF(B970="","",IF(TODAY()-B970&lt;=7,"🟢 0-7d",IF(TODAY()-B970&lt;=30,"🟡 8-30d",IF(TODAY()-B970&lt;=60,"🟠 31-60d","🔴 60d+"))))</f>
        <v/>
      </c>
      <c r="CE970" s="36" t="str">
        <f aca="false">IF(G970="","",IF(G970&lt;&gt;"USA","N/A - Not USA Role",IF(J970="Yes",IF(OR(F970="Intern",F970="New Grad"),"🟡 Possible","🟢 Strong"),IF(J970="No","🔴 Difficult","⚪ Unknown"))))</f>
        <v/>
      </c>
      <c r="CF970" s="37"/>
      <c r="CG970" s="37"/>
      <c r="CH970" s="38"/>
      <c r="CI970" s="38"/>
      <c r="CJ970" s="38"/>
      <c r="CK970" s="38"/>
    </row>
    <row r="971" customFormat="false" ht="15" hidden="false" customHeight="true" outlineLevel="0" collapsed="false">
      <c r="A971" s="26" t="str">
        <f aca="false">IF($C971="","",ROW()-3)</f>
        <v/>
      </c>
      <c r="B971" s="27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9"/>
      <c r="N971" s="29"/>
      <c r="O971" s="30" t="str">
        <f aca="false">IFERROR(IF(M971="","",M971*INDEX('00 - Lists'!$M$2:$M$11,MATCH(L971,'00 - Lists'!$L$2:$L$11,0))/100000),"")</f>
        <v/>
      </c>
      <c r="P971" s="30" t="str">
        <f aca="false">IFERROR(IF(N971="","",N971*INDEX('00 - Lists'!$M$2:$M$11,MATCH(L971,'00 - Lists'!$L$2:$L$11,0))/100000),"")</f>
        <v/>
      </c>
      <c r="Q971" s="31" t="str">
        <f aca="false">IFERROR(IF(M971="","",M971*INDEX('00 - Lists'!$N$2:$N$11,MATCH(L971,'00 - Lists'!$L$2:$L$11,0))),"")</f>
        <v/>
      </c>
      <c r="R971" s="31" t="str">
        <f aca="false">IFERROR(IF(N971="","",N971*INDEX('00 - Lists'!$N$2:$N$11,MATCH(L971,'00 - Lists'!$L$2:$L$11,0))),"")</f>
        <v/>
      </c>
      <c r="S971" s="32" t="str">
        <f aca="false">IF(O971="","",IF(O971&gt;=50,"Yes","No"))</f>
        <v/>
      </c>
      <c r="T971" s="32" t="str">
        <f aca="false">IF(Q971="","",IF(Q971&gt;=100000,"Yes","No"))</f>
        <v/>
      </c>
      <c r="U971" s="28"/>
      <c r="V971" s="28"/>
      <c r="W971" s="28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J971" s="34" t="str">
        <f aca="false">IF(OR($BD971&lt;&gt;"",$BF971&lt;&gt;"",$BH971&lt;&gt;""),"Yes","No")</f>
        <v>No</v>
      </c>
      <c r="BK971" s="35" t="str">
        <f aca="false">IFERROR(IF(BD971="","",BD971*INDEX('00 - Lists'!$M$2:$M$11,MATCH(L971,'00 - Lists'!$L$2:$L$11,0))/100000),"")</f>
        <v/>
      </c>
      <c r="BL971" s="35" t="str">
        <f aca="false">IFERROR(IF(BE971="","",BE971*INDEX('00 - Lists'!$M$2:$M$11,MATCH(L971,'00 - Lists'!$L$2:$L$11,0))/100000),"")</f>
        <v/>
      </c>
      <c r="BM971" s="35" t="str">
        <f aca="false">IFERROR(IF(BF971="","",BF971*INDEX('00 - Lists'!$M$2:$M$11,MATCH(L971,'00 - Lists'!$L$2:$L$11,0))/100000),"")</f>
        <v/>
      </c>
      <c r="BN971" s="35" t="str">
        <f aca="false">IFERROR(IF(BG971="","",BG971*INDEX('00 - Lists'!$M$2:$M$11,MATCH(L971,'00 - Lists'!$L$2:$L$11,0))/100000),"")</f>
        <v/>
      </c>
      <c r="BO971" s="35" t="str">
        <f aca="false">IFERROR(IF(BH971="","",BH971*INDEX('00 - Lists'!$M$2:$M$11,MATCH(L971,'00 - Lists'!$L$2:$L$11,0))/100000),"")</f>
        <v/>
      </c>
      <c r="BP971" s="35" t="str">
        <f aca="false">IFERROR(IF(BI971="","",BI971*INDEX('00 - Lists'!$M$2:$M$11,MATCH(L971,'00 - Lists'!$L$2:$L$11,0))/100000),"")</f>
        <v/>
      </c>
      <c r="BS971" s="36" t="str">
        <f aca="false">IF(O971="","",IF(O971&gt;=20,"Yes","No"))</f>
        <v/>
      </c>
      <c r="BT971" s="36" t="str">
        <f aca="false">IF(O971="","",IF(O971&gt;=30,"Yes","No"))</f>
        <v/>
      </c>
      <c r="BU971" s="36" t="str">
        <f aca="false">IF(O971="","",IF(O971&gt;=75,"Yes","No"))</f>
        <v/>
      </c>
      <c r="BV971" s="36" t="str">
        <f aca="false">IF(O971="","",IF(O971&gt;=100,"Yes","No"))</f>
        <v/>
      </c>
      <c r="BW971" s="36" t="str">
        <f aca="false">IF(O971="","",IF(O971&gt;=150,"Yes","No"))</f>
        <v/>
      </c>
      <c r="BX971" s="36" t="str">
        <f aca="false">IF(O971="","",IF(O971&gt;=200,"Yes","No"))</f>
        <v/>
      </c>
      <c r="BY971" s="36" t="str">
        <f aca="false">IF(Q971="","",IF(Q971&gt;=150000,"Yes","No"))</f>
        <v/>
      </c>
      <c r="BZ971" s="36" t="str">
        <f aca="false">IF(Q971="","",IF(Q971&gt;=200000,"Yes","No"))</f>
        <v/>
      </c>
      <c r="CA971" s="36" t="str">
        <f aca="false">IF(Q971="","",IF(Q971&gt;=250000,"Yes","No"))</f>
        <v/>
      </c>
      <c r="CB971" s="36" t="str">
        <f aca="false">IF(Q971="","",IF(Q971&gt;=300000,"Yes","No"))</f>
        <v/>
      </c>
      <c r="CC971" s="37"/>
      <c r="CD971" s="36" t="str">
        <f aca="true">IF(B971="","",IF(TODAY()-B971&lt;=7,"🟢 0-7d",IF(TODAY()-B971&lt;=30,"🟡 8-30d",IF(TODAY()-B971&lt;=60,"🟠 31-60d","🔴 60d+"))))</f>
        <v/>
      </c>
      <c r="CE971" s="36" t="str">
        <f aca="false">IF(G971="","",IF(G971&lt;&gt;"USA","N/A - Not USA Role",IF(J971="Yes",IF(OR(F971="Intern",F971="New Grad"),"🟡 Possible","🟢 Strong"),IF(J971="No","🔴 Difficult","⚪ Unknown"))))</f>
        <v/>
      </c>
      <c r="CF971" s="37"/>
      <c r="CG971" s="37"/>
      <c r="CH971" s="38"/>
      <c r="CI971" s="38"/>
      <c r="CJ971" s="38"/>
      <c r="CK971" s="38"/>
    </row>
    <row r="972" customFormat="false" ht="15" hidden="false" customHeight="true" outlineLevel="0" collapsed="false">
      <c r="A972" s="26" t="str">
        <f aca="false">IF($C972="","",ROW()-3)</f>
        <v/>
      </c>
      <c r="B972" s="27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9"/>
      <c r="N972" s="29"/>
      <c r="O972" s="30" t="str">
        <f aca="false">IFERROR(IF(M972="","",M972*INDEX('00 - Lists'!$M$2:$M$11,MATCH(L972,'00 - Lists'!$L$2:$L$11,0))/100000),"")</f>
        <v/>
      </c>
      <c r="P972" s="30" t="str">
        <f aca="false">IFERROR(IF(N972="","",N972*INDEX('00 - Lists'!$M$2:$M$11,MATCH(L972,'00 - Lists'!$L$2:$L$11,0))/100000),"")</f>
        <v/>
      </c>
      <c r="Q972" s="31" t="str">
        <f aca="false">IFERROR(IF(M972="","",M972*INDEX('00 - Lists'!$N$2:$N$11,MATCH(L972,'00 - Lists'!$L$2:$L$11,0))),"")</f>
        <v/>
      </c>
      <c r="R972" s="31" t="str">
        <f aca="false">IFERROR(IF(N972="","",N972*INDEX('00 - Lists'!$N$2:$N$11,MATCH(L972,'00 - Lists'!$L$2:$L$11,0))),"")</f>
        <v/>
      </c>
      <c r="S972" s="32" t="str">
        <f aca="false">IF(O972="","",IF(O972&gt;=50,"Yes","No"))</f>
        <v/>
      </c>
      <c r="T972" s="32" t="str">
        <f aca="false">IF(Q972="","",IF(Q972&gt;=100000,"Yes","No"))</f>
        <v/>
      </c>
      <c r="U972" s="28"/>
      <c r="V972" s="28"/>
      <c r="W972" s="28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J972" s="34" t="str">
        <f aca="false">IF(OR($BD972&lt;&gt;"",$BF972&lt;&gt;"",$BH972&lt;&gt;""),"Yes","No")</f>
        <v>No</v>
      </c>
      <c r="BK972" s="35" t="str">
        <f aca="false">IFERROR(IF(BD972="","",BD972*INDEX('00 - Lists'!$M$2:$M$11,MATCH(L972,'00 - Lists'!$L$2:$L$11,0))/100000),"")</f>
        <v/>
      </c>
      <c r="BL972" s="35" t="str">
        <f aca="false">IFERROR(IF(BE972="","",BE972*INDEX('00 - Lists'!$M$2:$M$11,MATCH(L972,'00 - Lists'!$L$2:$L$11,0))/100000),"")</f>
        <v/>
      </c>
      <c r="BM972" s="35" t="str">
        <f aca="false">IFERROR(IF(BF972="","",BF972*INDEX('00 - Lists'!$M$2:$M$11,MATCH(L972,'00 - Lists'!$L$2:$L$11,0))/100000),"")</f>
        <v/>
      </c>
      <c r="BN972" s="35" t="str">
        <f aca="false">IFERROR(IF(BG972="","",BG972*INDEX('00 - Lists'!$M$2:$M$11,MATCH(L972,'00 - Lists'!$L$2:$L$11,0))/100000),"")</f>
        <v/>
      </c>
      <c r="BO972" s="35" t="str">
        <f aca="false">IFERROR(IF(BH972="","",BH972*INDEX('00 - Lists'!$M$2:$M$11,MATCH(L972,'00 - Lists'!$L$2:$L$11,0))/100000),"")</f>
        <v/>
      </c>
      <c r="BP972" s="35" t="str">
        <f aca="false">IFERROR(IF(BI972="","",BI972*INDEX('00 - Lists'!$M$2:$M$11,MATCH(L972,'00 - Lists'!$L$2:$L$11,0))/100000),"")</f>
        <v/>
      </c>
      <c r="BS972" s="36" t="str">
        <f aca="false">IF(O972="","",IF(O972&gt;=20,"Yes","No"))</f>
        <v/>
      </c>
      <c r="BT972" s="36" t="str">
        <f aca="false">IF(O972="","",IF(O972&gt;=30,"Yes","No"))</f>
        <v/>
      </c>
      <c r="BU972" s="36" t="str">
        <f aca="false">IF(O972="","",IF(O972&gt;=75,"Yes","No"))</f>
        <v/>
      </c>
      <c r="BV972" s="36" t="str">
        <f aca="false">IF(O972="","",IF(O972&gt;=100,"Yes","No"))</f>
        <v/>
      </c>
      <c r="BW972" s="36" t="str">
        <f aca="false">IF(O972="","",IF(O972&gt;=150,"Yes","No"))</f>
        <v/>
      </c>
      <c r="BX972" s="36" t="str">
        <f aca="false">IF(O972="","",IF(O972&gt;=200,"Yes","No"))</f>
        <v/>
      </c>
      <c r="BY972" s="36" t="str">
        <f aca="false">IF(Q972="","",IF(Q972&gt;=150000,"Yes","No"))</f>
        <v/>
      </c>
      <c r="BZ972" s="36" t="str">
        <f aca="false">IF(Q972="","",IF(Q972&gt;=200000,"Yes","No"))</f>
        <v/>
      </c>
      <c r="CA972" s="36" t="str">
        <f aca="false">IF(Q972="","",IF(Q972&gt;=250000,"Yes","No"))</f>
        <v/>
      </c>
      <c r="CB972" s="36" t="str">
        <f aca="false">IF(Q972="","",IF(Q972&gt;=300000,"Yes","No"))</f>
        <v/>
      </c>
      <c r="CC972" s="37"/>
      <c r="CD972" s="36" t="str">
        <f aca="true">IF(B972="","",IF(TODAY()-B972&lt;=7,"🟢 0-7d",IF(TODAY()-B972&lt;=30,"🟡 8-30d",IF(TODAY()-B972&lt;=60,"🟠 31-60d","🔴 60d+"))))</f>
        <v/>
      </c>
      <c r="CE972" s="36" t="str">
        <f aca="false">IF(G972="","",IF(G972&lt;&gt;"USA","N/A - Not USA Role",IF(J972="Yes",IF(OR(F972="Intern",F972="New Grad"),"🟡 Possible","🟢 Strong"),IF(J972="No","🔴 Difficult","⚪ Unknown"))))</f>
        <v/>
      </c>
      <c r="CF972" s="37"/>
      <c r="CG972" s="37"/>
      <c r="CH972" s="38"/>
      <c r="CI972" s="38"/>
      <c r="CJ972" s="38"/>
      <c r="CK972" s="38"/>
    </row>
    <row r="973" customFormat="false" ht="15" hidden="false" customHeight="true" outlineLevel="0" collapsed="false">
      <c r="A973" s="26" t="str">
        <f aca="false">IF($C973="","",ROW()-3)</f>
        <v/>
      </c>
      <c r="B973" s="27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9"/>
      <c r="N973" s="29"/>
      <c r="O973" s="30" t="str">
        <f aca="false">IFERROR(IF(M973="","",M973*INDEX('00 - Lists'!$M$2:$M$11,MATCH(L973,'00 - Lists'!$L$2:$L$11,0))/100000),"")</f>
        <v/>
      </c>
      <c r="P973" s="30" t="str">
        <f aca="false">IFERROR(IF(N973="","",N973*INDEX('00 - Lists'!$M$2:$M$11,MATCH(L973,'00 - Lists'!$L$2:$L$11,0))/100000),"")</f>
        <v/>
      </c>
      <c r="Q973" s="31" t="str">
        <f aca="false">IFERROR(IF(M973="","",M973*INDEX('00 - Lists'!$N$2:$N$11,MATCH(L973,'00 - Lists'!$L$2:$L$11,0))),"")</f>
        <v/>
      </c>
      <c r="R973" s="31" t="str">
        <f aca="false">IFERROR(IF(N973="","",N973*INDEX('00 - Lists'!$N$2:$N$11,MATCH(L973,'00 - Lists'!$L$2:$L$11,0))),"")</f>
        <v/>
      </c>
      <c r="S973" s="32" t="str">
        <f aca="false">IF(O973="","",IF(O973&gt;=50,"Yes","No"))</f>
        <v/>
      </c>
      <c r="T973" s="32" t="str">
        <f aca="false">IF(Q973="","",IF(Q973&gt;=100000,"Yes","No"))</f>
        <v/>
      </c>
      <c r="U973" s="28"/>
      <c r="V973" s="28"/>
      <c r="W973" s="28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J973" s="34" t="str">
        <f aca="false">IF(OR($BD973&lt;&gt;"",$BF973&lt;&gt;"",$BH973&lt;&gt;""),"Yes","No")</f>
        <v>No</v>
      </c>
      <c r="BK973" s="35" t="str">
        <f aca="false">IFERROR(IF(BD973="","",BD973*INDEX('00 - Lists'!$M$2:$M$11,MATCH(L973,'00 - Lists'!$L$2:$L$11,0))/100000),"")</f>
        <v/>
      </c>
      <c r="BL973" s="35" t="str">
        <f aca="false">IFERROR(IF(BE973="","",BE973*INDEX('00 - Lists'!$M$2:$M$11,MATCH(L973,'00 - Lists'!$L$2:$L$11,0))/100000),"")</f>
        <v/>
      </c>
      <c r="BM973" s="35" t="str">
        <f aca="false">IFERROR(IF(BF973="","",BF973*INDEX('00 - Lists'!$M$2:$M$11,MATCH(L973,'00 - Lists'!$L$2:$L$11,0))/100000),"")</f>
        <v/>
      </c>
      <c r="BN973" s="35" t="str">
        <f aca="false">IFERROR(IF(BG973="","",BG973*INDEX('00 - Lists'!$M$2:$M$11,MATCH(L973,'00 - Lists'!$L$2:$L$11,0))/100000),"")</f>
        <v/>
      </c>
      <c r="BO973" s="35" t="str">
        <f aca="false">IFERROR(IF(BH973="","",BH973*INDEX('00 - Lists'!$M$2:$M$11,MATCH(L973,'00 - Lists'!$L$2:$L$11,0))/100000),"")</f>
        <v/>
      </c>
      <c r="BP973" s="35" t="str">
        <f aca="false">IFERROR(IF(BI973="","",BI973*INDEX('00 - Lists'!$M$2:$M$11,MATCH(L973,'00 - Lists'!$L$2:$L$11,0))/100000),"")</f>
        <v/>
      </c>
      <c r="BS973" s="36" t="str">
        <f aca="false">IF(O973="","",IF(O973&gt;=20,"Yes","No"))</f>
        <v/>
      </c>
      <c r="BT973" s="36" t="str">
        <f aca="false">IF(O973="","",IF(O973&gt;=30,"Yes","No"))</f>
        <v/>
      </c>
      <c r="BU973" s="36" t="str">
        <f aca="false">IF(O973="","",IF(O973&gt;=75,"Yes","No"))</f>
        <v/>
      </c>
      <c r="BV973" s="36" t="str">
        <f aca="false">IF(O973="","",IF(O973&gt;=100,"Yes","No"))</f>
        <v/>
      </c>
      <c r="BW973" s="36" t="str">
        <f aca="false">IF(O973="","",IF(O973&gt;=150,"Yes","No"))</f>
        <v/>
      </c>
      <c r="BX973" s="36" t="str">
        <f aca="false">IF(O973="","",IF(O973&gt;=200,"Yes","No"))</f>
        <v/>
      </c>
      <c r="BY973" s="36" t="str">
        <f aca="false">IF(Q973="","",IF(Q973&gt;=150000,"Yes","No"))</f>
        <v/>
      </c>
      <c r="BZ973" s="36" t="str">
        <f aca="false">IF(Q973="","",IF(Q973&gt;=200000,"Yes","No"))</f>
        <v/>
      </c>
      <c r="CA973" s="36" t="str">
        <f aca="false">IF(Q973="","",IF(Q973&gt;=250000,"Yes","No"))</f>
        <v/>
      </c>
      <c r="CB973" s="36" t="str">
        <f aca="false">IF(Q973="","",IF(Q973&gt;=300000,"Yes","No"))</f>
        <v/>
      </c>
      <c r="CC973" s="37"/>
      <c r="CD973" s="36" t="str">
        <f aca="true">IF(B973="","",IF(TODAY()-B973&lt;=7,"🟢 0-7d",IF(TODAY()-B973&lt;=30,"🟡 8-30d",IF(TODAY()-B973&lt;=60,"🟠 31-60d","🔴 60d+"))))</f>
        <v/>
      </c>
      <c r="CE973" s="36" t="str">
        <f aca="false">IF(G973="","",IF(G973&lt;&gt;"USA","N/A - Not USA Role",IF(J973="Yes",IF(OR(F973="Intern",F973="New Grad"),"🟡 Possible","🟢 Strong"),IF(J973="No","🔴 Difficult","⚪ Unknown"))))</f>
        <v/>
      </c>
      <c r="CF973" s="37"/>
      <c r="CG973" s="37"/>
      <c r="CH973" s="38"/>
      <c r="CI973" s="38"/>
      <c r="CJ973" s="38"/>
      <c r="CK973" s="38"/>
    </row>
    <row r="974" customFormat="false" ht="15" hidden="false" customHeight="true" outlineLevel="0" collapsed="false">
      <c r="A974" s="26" t="str">
        <f aca="false">IF($C974="","",ROW()-3)</f>
        <v/>
      </c>
      <c r="B974" s="27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9"/>
      <c r="N974" s="29"/>
      <c r="O974" s="30" t="str">
        <f aca="false">IFERROR(IF(M974="","",M974*INDEX('00 - Lists'!$M$2:$M$11,MATCH(L974,'00 - Lists'!$L$2:$L$11,0))/100000),"")</f>
        <v/>
      </c>
      <c r="P974" s="30" t="str">
        <f aca="false">IFERROR(IF(N974="","",N974*INDEX('00 - Lists'!$M$2:$M$11,MATCH(L974,'00 - Lists'!$L$2:$L$11,0))/100000),"")</f>
        <v/>
      </c>
      <c r="Q974" s="31" t="str">
        <f aca="false">IFERROR(IF(M974="","",M974*INDEX('00 - Lists'!$N$2:$N$11,MATCH(L974,'00 - Lists'!$L$2:$L$11,0))),"")</f>
        <v/>
      </c>
      <c r="R974" s="31" t="str">
        <f aca="false">IFERROR(IF(N974="","",N974*INDEX('00 - Lists'!$N$2:$N$11,MATCH(L974,'00 - Lists'!$L$2:$L$11,0))),"")</f>
        <v/>
      </c>
      <c r="S974" s="32" t="str">
        <f aca="false">IF(O974="","",IF(O974&gt;=50,"Yes","No"))</f>
        <v/>
      </c>
      <c r="T974" s="32" t="str">
        <f aca="false">IF(Q974="","",IF(Q974&gt;=100000,"Yes","No"))</f>
        <v/>
      </c>
      <c r="U974" s="28"/>
      <c r="V974" s="28"/>
      <c r="W974" s="28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J974" s="34" t="str">
        <f aca="false">IF(OR($BD974&lt;&gt;"",$BF974&lt;&gt;"",$BH974&lt;&gt;""),"Yes","No")</f>
        <v>No</v>
      </c>
      <c r="BK974" s="35" t="str">
        <f aca="false">IFERROR(IF(BD974="","",BD974*INDEX('00 - Lists'!$M$2:$M$11,MATCH(L974,'00 - Lists'!$L$2:$L$11,0))/100000),"")</f>
        <v/>
      </c>
      <c r="BL974" s="35" t="str">
        <f aca="false">IFERROR(IF(BE974="","",BE974*INDEX('00 - Lists'!$M$2:$M$11,MATCH(L974,'00 - Lists'!$L$2:$L$11,0))/100000),"")</f>
        <v/>
      </c>
      <c r="BM974" s="35" t="str">
        <f aca="false">IFERROR(IF(BF974="","",BF974*INDEX('00 - Lists'!$M$2:$M$11,MATCH(L974,'00 - Lists'!$L$2:$L$11,0))/100000),"")</f>
        <v/>
      </c>
      <c r="BN974" s="35" t="str">
        <f aca="false">IFERROR(IF(BG974="","",BG974*INDEX('00 - Lists'!$M$2:$M$11,MATCH(L974,'00 - Lists'!$L$2:$L$11,0))/100000),"")</f>
        <v/>
      </c>
      <c r="BO974" s="35" t="str">
        <f aca="false">IFERROR(IF(BH974="","",BH974*INDEX('00 - Lists'!$M$2:$M$11,MATCH(L974,'00 - Lists'!$L$2:$L$11,0))/100000),"")</f>
        <v/>
      </c>
      <c r="BP974" s="35" t="str">
        <f aca="false">IFERROR(IF(BI974="","",BI974*INDEX('00 - Lists'!$M$2:$M$11,MATCH(L974,'00 - Lists'!$L$2:$L$11,0))/100000),"")</f>
        <v/>
      </c>
      <c r="BS974" s="36" t="str">
        <f aca="false">IF(O974="","",IF(O974&gt;=20,"Yes","No"))</f>
        <v/>
      </c>
      <c r="BT974" s="36" t="str">
        <f aca="false">IF(O974="","",IF(O974&gt;=30,"Yes","No"))</f>
        <v/>
      </c>
      <c r="BU974" s="36" t="str">
        <f aca="false">IF(O974="","",IF(O974&gt;=75,"Yes","No"))</f>
        <v/>
      </c>
      <c r="BV974" s="36" t="str">
        <f aca="false">IF(O974="","",IF(O974&gt;=100,"Yes","No"))</f>
        <v/>
      </c>
      <c r="BW974" s="36" t="str">
        <f aca="false">IF(O974="","",IF(O974&gt;=150,"Yes","No"))</f>
        <v/>
      </c>
      <c r="BX974" s="36" t="str">
        <f aca="false">IF(O974="","",IF(O974&gt;=200,"Yes","No"))</f>
        <v/>
      </c>
      <c r="BY974" s="36" t="str">
        <f aca="false">IF(Q974="","",IF(Q974&gt;=150000,"Yes","No"))</f>
        <v/>
      </c>
      <c r="BZ974" s="36" t="str">
        <f aca="false">IF(Q974="","",IF(Q974&gt;=200000,"Yes","No"))</f>
        <v/>
      </c>
      <c r="CA974" s="36" t="str">
        <f aca="false">IF(Q974="","",IF(Q974&gt;=250000,"Yes","No"))</f>
        <v/>
      </c>
      <c r="CB974" s="36" t="str">
        <f aca="false">IF(Q974="","",IF(Q974&gt;=300000,"Yes","No"))</f>
        <v/>
      </c>
      <c r="CC974" s="37"/>
      <c r="CD974" s="36" t="str">
        <f aca="true">IF(B974="","",IF(TODAY()-B974&lt;=7,"🟢 0-7d",IF(TODAY()-B974&lt;=30,"🟡 8-30d",IF(TODAY()-B974&lt;=60,"🟠 31-60d","🔴 60d+"))))</f>
        <v/>
      </c>
      <c r="CE974" s="36" t="str">
        <f aca="false">IF(G974="","",IF(G974&lt;&gt;"USA","N/A - Not USA Role",IF(J974="Yes",IF(OR(F974="Intern",F974="New Grad"),"🟡 Possible","🟢 Strong"),IF(J974="No","🔴 Difficult","⚪ Unknown"))))</f>
        <v/>
      </c>
      <c r="CF974" s="37"/>
      <c r="CG974" s="37"/>
      <c r="CH974" s="38"/>
      <c r="CI974" s="38"/>
      <c r="CJ974" s="38"/>
      <c r="CK974" s="38"/>
    </row>
    <row r="975" customFormat="false" ht="15" hidden="false" customHeight="true" outlineLevel="0" collapsed="false">
      <c r="A975" s="26" t="str">
        <f aca="false">IF($C975="","",ROW()-3)</f>
        <v/>
      </c>
      <c r="B975" s="27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9"/>
      <c r="N975" s="29"/>
      <c r="O975" s="30" t="str">
        <f aca="false">IFERROR(IF(M975="","",M975*INDEX('00 - Lists'!$M$2:$M$11,MATCH(L975,'00 - Lists'!$L$2:$L$11,0))/100000),"")</f>
        <v/>
      </c>
      <c r="P975" s="30" t="str">
        <f aca="false">IFERROR(IF(N975="","",N975*INDEX('00 - Lists'!$M$2:$M$11,MATCH(L975,'00 - Lists'!$L$2:$L$11,0))/100000),"")</f>
        <v/>
      </c>
      <c r="Q975" s="31" t="str">
        <f aca="false">IFERROR(IF(M975="","",M975*INDEX('00 - Lists'!$N$2:$N$11,MATCH(L975,'00 - Lists'!$L$2:$L$11,0))),"")</f>
        <v/>
      </c>
      <c r="R975" s="31" t="str">
        <f aca="false">IFERROR(IF(N975="","",N975*INDEX('00 - Lists'!$N$2:$N$11,MATCH(L975,'00 - Lists'!$L$2:$L$11,0))),"")</f>
        <v/>
      </c>
      <c r="S975" s="32" t="str">
        <f aca="false">IF(O975="","",IF(O975&gt;=50,"Yes","No"))</f>
        <v/>
      </c>
      <c r="T975" s="32" t="str">
        <f aca="false">IF(Q975="","",IF(Q975&gt;=100000,"Yes","No"))</f>
        <v/>
      </c>
      <c r="U975" s="28"/>
      <c r="V975" s="28"/>
      <c r="W975" s="28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J975" s="34" t="str">
        <f aca="false">IF(OR($BD975&lt;&gt;"",$BF975&lt;&gt;"",$BH975&lt;&gt;""),"Yes","No")</f>
        <v>No</v>
      </c>
      <c r="BK975" s="35" t="str">
        <f aca="false">IFERROR(IF(BD975="","",BD975*INDEX('00 - Lists'!$M$2:$M$11,MATCH(L975,'00 - Lists'!$L$2:$L$11,0))/100000),"")</f>
        <v/>
      </c>
      <c r="BL975" s="35" t="str">
        <f aca="false">IFERROR(IF(BE975="","",BE975*INDEX('00 - Lists'!$M$2:$M$11,MATCH(L975,'00 - Lists'!$L$2:$L$11,0))/100000),"")</f>
        <v/>
      </c>
      <c r="BM975" s="35" t="str">
        <f aca="false">IFERROR(IF(BF975="","",BF975*INDEX('00 - Lists'!$M$2:$M$11,MATCH(L975,'00 - Lists'!$L$2:$L$11,0))/100000),"")</f>
        <v/>
      </c>
      <c r="BN975" s="35" t="str">
        <f aca="false">IFERROR(IF(BG975="","",BG975*INDEX('00 - Lists'!$M$2:$M$11,MATCH(L975,'00 - Lists'!$L$2:$L$11,0))/100000),"")</f>
        <v/>
      </c>
      <c r="BO975" s="35" t="str">
        <f aca="false">IFERROR(IF(BH975="","",BH975*INDEX('00 - Lists'!$M$2:$M$11,MATCH(L975,'00 - Lists'!$L$2:$L$11,0))/100000),"")</f>
        <v/>
      </c>
      <c r="BP975" s="35" t="str">
        <f aca="false">IFERROR(IF(BI975="","",BI975*INDEX('00 - Lists'!$M$2:$M$11,MATCH(L975,'00 - Lists'!$L$2:$L$11,0))/100000),"")</f>
        <v/>
      </c>
      <c r="BS975" s="36" t="str">
        <f aca="false">IF(O975="","",IF(O975&gt;=20,"Yes","No"))</f>
        <v/>
      </c>
      <c r="BT975" s="36" t="str">
        <f aca="false">IF(O975="","",IF(O975&gt;=30,"Yes","No"))</f>
        <v/>
      </c>
      <c r="BU975" s="36" t="str">
        <f aca="false">IF(O975="","",IF(O975&gt;=75,"Yes","No"))</f>
        <v/>
      </c>
      <c r="BV975" s="36" t="str">
        <f aca="false">IF(O975="","",IF(O975&gt;=100,"Yes","No"))</f>
        <v/>
      </c>
      <c r="BW975" s="36" t="str">
        <f aca="false">IF(O975="","",IF(O975&gt;=150,"Yes","No"))</f>
        <v/>
      </c>
      <c r="BX975" s="36" t="str">
        <f aca="false">IF(O975="","",IF(O975&gt;=200,"Yes","No"))</f>
        <v/>
      </c>
      <c r="BY975" s="36" t="str">
        <f aca="false">IF(Q975="","",IF(Q975&gt;=150000,"Yes","No"))</f>
        <v/>
      </c>
      <c r="BZ975" s="36" t="str">
        <f aca="false">IF(Q975="","",IF(Q975&gt;=200000,"Yes","No"))</f>
        <v/>
      </c>
      <c r="CA975" s="36" t="str">
        <f aca="false">IF(Q975="","",IF(Q975&gt;=250000,"Yes","No"))</f>
        <v/>
      </c>
      <c r="CB975" s="36" t="str">
        <f aca="false">IF(Q975="","",IF(Q975&gt;=300000,"Yes","No"))</f>
        <v/>
      </c>
      <c r="CC975" s="37"/>
      <c r="CD975" s="36" t="str">
        <f aca="true">IF(B975="","",IF(TODAY()-B975&lt;=7,"🟢 0-7d",IF(TODAY()-B975&lt;=30,"🟡 8-30d",IF(TODAY()-B975&lt;=60,"🟠 31-60d","🔴 60d+"))))</f>
        <v/>
      </c>
      <c r="CE975" s="36" t="str">
        <f aca="false">IF(G975="","",IF(G975&lt;&gt;"USA","N/A - Not USA Role",IF(J975="Yes",IF(OR(F975="Intern",F975="New Grad"),"🟡 Possible","🟢 Strong"),IF(J975="No","🔴 Difficult","⚪ Unknown"))))</f>
        <v/>
      </c>
      <c r="CF975" s="37"/>
      <c r="CG975" s="37"/>
      <c r="CH975" s="38"/>
      <c r="CI975" s="38"/>
      <c r="CJ975" s="38"/>
      <c r="CK975" s="38"/>
    </row>
    <row r="976" customFormat="false" ht="15" hidden="false" customHeight="true" outlineLevel="0" collapsed="false">
      <c r="A976" s="26" t="str">
        <f aca="false">IF($C976="","",ROW()-3)</f>
        <v/>
      </c>
      <c r="B976" s="27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9"/>
      <c r="N976" s="29"/>
      <c r="O976" s="30" t="str">
        <f aca="false">IFERROR(IF(M976="","",M976*INDEX('00 - Lists'!$M$2:$M$11,MATCH(L976,'00 - Lists'!$L$2:$L$11,0))/100000),"")</f>
        <v/>
      </c>
      <c r="P976" s="30" t="str">
        <f aca="false">IFERROR(IF(N976="","",N976*INDEX('00 - Lists'!$M$2:$M$11,MATCH(L976,'00 - Lists'!$L$2:$L$11,0))/100000),"")</f>
        <v/>
      </c>
      <c r="Q976" s="31" t="str">
        <f aca="false">IFERROR(IF(M976="","",M976*INDEX('00 - Lists'!$N$2:$N$11,MATCH(L976,'00 - Lists'!$L$2:$L$11,0))),"")</f>
        <v/>
      </c>
      <c r="R976" s="31" t="str">
        <f aca="false">IFERROR(IF(N976="","",N976*INDEX('00 - Lists'!$N$2:$N$11,MATCH(L976,'00 - Lists'!$L$2:$L$11,0))),"")</f>
        <v/>
      </c>
      <c r="S976" s="32" t="str">
        <f aca="false">IF(O976="","",IF(O976&gt;=50,"Yes","No"))</f>
        <v/>
      </c>
      <c r="T976" s="32" t="str">
        <f aca="false">IF(Q976="","",IF(Q976&gt;=100000,"Yes","No"))</f>
        <v/>
      </c>
      <c r="U976" s="28"/>
      <c r="V976" s="28"/>
      <c r="W976" s="28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J976" s="34" t="str">
        <f aca="false">IF(OR($BD976&lt;&gt;"",$BF976&lt;&gt;"",$BH976&lt;&gt;""),"Yes","No")</f>
        <v>No</v>
      </c>
      <c r="BK976" s="35" t="str">
        <f aca="false">IFERROR(IF(BD976="","",BD976*INDEX('00 - Lists'!$M$2:$M$11,MATCH(L976,'00 - Lists'!$L$2:$L$11,0))/100000),"")</f>
        <v/>
      </c>
      <c r="BL976" s="35" t="str">
        <f aca="false">IFERROR(IF(BE976="","",BE976*INDEX('00 - Lists'!$M$2:$M$11,MATCH(L976,'00 - Lists'!$L$2:$L$11,0))/100000),"")</f>
        <v/>
      </c>
      <c r="BM976" s="35" t="str">
        <f aca="false">IFERROR(IF(BF976="","",BF976*INDEX('00 - Lists'!$M$2:$M$11,MATCH(L976,'00 - Lists'!$L$2:$L$11,0))/100000),"")</f>
        <v/>
      </c>
      <c r="BN976" s="35" t="str">
        <f aca="false">IFERROR(IF(BG976="","",BG976*INDEX('00 - Lists'!$M$2:$M$11,MATCH(L976,'00 - Lists'!$L$2:$L$11,0))/100000),"")</f>
        <v/>
      </c>
      <c r="BO976" s="35" t="str">
        <f aca="false">IFERROR(IF(BH976="","",BH976*INDEX('00 - Lists'!$M$2:$M$11,MATCH(L976,'00 - Lists'!$L$2:$L$11,0))/100000),"")</f>
        <v/>
      </c>
      <c r="BP976" s="35" t="str">
        <f aca="false">IFERROR(IF(BI976="","",BI976*INDEX('00 - Lists'!$M$2:$M$11,MATCH(L976,'00 - Lists'!$L$2:$L$11,0))/100000),"")</f>
        <v/>
      </c>
      <c r="BS976" s="36" t="str">
        <f aca="false">IF(O976="","",IF(O976&gt;=20,"Yes","No"))</f>
        <v/>
      </c>
      <c r="BT976" s="36" t="str">
        <f aca="false">IF(O976="","",IF(O976&gt;=30,"Yes","No"))</f>
        <v/>
      </c>
      <c r="BU976" s="36" t="str">
        <f aca="false">IF(O976="","",IF(O976&gt;=75,"Yes","No"))</f>
        <v/>
      </c>
      <c r="BV976" s="36" t="str">
        <f aca="false">IF(O976="","",IF(O976&gt;=100,"Yes","No"))</f>
        <v/>
      </c>
      <c r="BW976" s="36" t="str">
        <f aca="false">IF(O976="","",IF(O976&gt;=150,"Yes","No"))</f>
        <v/>
      </c>
      <c r="BX976" s="36" t="str">
        <f aca="false">IF(O976="","",IF(O976&gt;=200,"Yes","No"))</f>
        <v/>
      </c>
      <c r="BY976" s="36" t="str">
        <f aca="false">IF(Q976="","",IF(Q976&gt;=150000,"Yes","No"))</f>
        <v/>
      </c>
      <c r="BZ976" s="36" t="str">
        <f aca="false">IF(Q976="","",IF(Q976&gt;=200000,"Yes","No"))</f>
        <v/>
      </c>
      <c r="CA976" s="36" t="str">
        <f aca="false">IF(Q976="","",IF(Q976&gt;=250000,"Yes","No"))</f>
        <v/>
      </c>
      <c r="CB976" s="36" t="str">
        <f aca="false">IF(Q976="","",IF(Q976&gt;=300000,"Yes","No"))</f>
        <v/>
      </c>
      <c r="CC976" s="37"/>
      <c r="CD976" s="36" t="str">
        <f aca="true">IF(B976="","",IF(TODAY()-B976&lt;=7,"🟢 0-7d",IF(TODAY()-B976&lt;=30,"🟡 8-30d",IF(TODAY()-B976&lt;=60,"🟠 31-60d","🔴 60d+"))))</f>
        <v/>
      </c>
      <c r="CE976" s="36" t="str">
        <f aca="false">IF(G976="","",IF(G976&lt;&gt;"USA","N/A - Not USA Role",IF(J976="Yes",IF(OR(F976="Intern",F976="New Grad"),"🟡 Possible","🟢 Strong"),IF(J976="No","🔴 Difficult","⚪ Unknown"))))</f>
        <v/>
      </c>
      <c r="CF976" s="37"/>
      <c r="CG976" s="37"/>
      <c r="CH976" s="38"/>
      <c r="CI976" s="38"/>
      <c r="CJ976" s="38"/>
      <c r="CK976" s="38"/>
    </row>
    <row r="977" customFormat="false" ht="15" hidden="false" customHeight="true" outlineLevel="0" collapsed="false">
      <c r="A977" s="26" t="str">
        <f aca="false">IF($C977="","",ROW()-3)</f>
        <v/>
      </c>
      <c r="B977" s="27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9"/>
      <c r="N977" s="29"/>
      <c r="O977" s="30" t="str">
        <f aca="false">IFERROR(IF(M977="","",M977*INDEX('00 - Lists'!$M$2:$M$11,MATCH(L977,'00 - Lists'!$L$2:$L$11,0))/100000),"")</f>
        <v/>
      </c>
      <c r="P977" s="30" t="str">
        <f aca="false">IFERROR(IF(N977="","",N977*INDEX('00 - Lists'!$M$2:$M$11,MATCH(L977,'00 - Lists'!$L$2:$L$11,0))/100000),"")</f>
        <v/>
      </c>
      <c r="Q977" s="31" t="str">
        <f aca="false">IFERROR(IF(M977="","",M977*INDEX('00 - Lists'!$N$2:$N$11,MATCH(L977,'00 - Lists'!$L$2:$L$11,0))),"")</f>
        <v/>
      </c>
      <c r="R977" s="31" t="str">
        <f aca="false">IFERROR(IF(N977="","",N977*INDEX('00 - Lists'!$N$2:$N$11,MATCH(L977,'00 - Lists'!$L$2:$L$11,0))),"")</f>
        <v/>
      </c>
      <c r="S977" s="32" t="str">
        <f aca="false">IF(O977="","",IF(O977&gt;=50,"Yes","No"))</f>
        <v/>
      </c>
      <c r="T977" s="32" t="str">
        <f aca="false">IF(Q977="","",IF(Q977&gt;=100000,"Yes","No"))</f>
        <v/>
      </c>
      <c r="U977" s="28"/>
      <c r="V977" s="28"/>
      <c r="W977" s="28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J977" s="34" t="str">
        <f aca="false">IF(OR($BD977&lt;&gt;"",$BF977&lt;&gt;"",$BH977&lt;&gt;""),"Yes","No")</f>
        <v>No</v>
      </c>
      <c r="BK977" s="35" t="str">
        <f aca="false">IFERROR(IF(BD977="","",BD977*INDEX('00 - Lists'!$M$2:$M$11,MATCH(L977,'00 - Lists'!$L$2:$L$11,0))/100000),"")</f>
        <v/>
      </c>
      <c r="BL977" s="35" t="str">
        <f aca="false">IFERROR(IF(BE977="","",BE977*INDEX('00 - Lists'!$M$2:$M$11,MATCH(L977,'00 - Lists'!$L$2:$L$11,0))/100000),"")</f>
        <v/>
      </c>
      <c r="BM977" s="35" t="str">
        <f aca="false">IFERROR(IF(BF977="","",BF977*INDEX('00 - Lists'!$M$2:$M$11,MATCH(L977,'00 - Lists'!$L$2:$L$11,0))/100000),"")</f>
        <v/>
      </c>
      <c r="BN977" s="35" t="str">
        <f aca="false">IFERROR(IF(BG977="","",BG977*INDEX('00 - Lists'!$M$2:$M$11,MATCH(L977,'00 - Lists'!$L$2:$L$11,0))/100000),"")</f>
        <v/>
      </c>
      <c r="BO977" s="35" t="str">
        <f aca="false">IFERROR(IF(BH977="","",BH977*INDEX('00 - Lists'!$M$2:$M$11,MATCH(L977,'00 - Lists'!$L$2:$L$11,0))/100000),"")</f>
        <v/>
      </c>
      <c r="BP977" s="35" t="str">
        <f aca="false">IFERROR(IF(BI977="","",BI977*INDEX('00 - Lists'!$M$2:$M$11,MATCH(L977,'00 - Lists'!$L$2:$L$11,0))/100000),"")</f>
        <v/>
      </c>
      <c r="BS977" s="36" t="str">
        <f aca="false">IF(O977="","",IF(O977&gt;=20,"Yes","No"))</f>
        <v/>
      </c>
      <c r="BT977" s="36" t="str">
        <f aca="false">IF(O977="","",IF(O977&gt;=30,"Yes","No"))</f>
        <v/>
      </c>
      <c r="BU977" s="36" t="str">
        <f aca="false">IF(O977="","",IF(O977&gt;=75,"Yes","No"))</f>
        <v/>
      </c>
      <c r="BV977" s="36" t="str">
        <f aca="false">IF(O977="","",IF(O977&gt;=100,"Yes","No"))</f>
        <v/>
      </c>
      <c r="BW977" s="36" t="str">
        <f aca="false">IF(O977="","",IF(O977&gt;=150,"Yes","No"))</f>
        <v/>
      </c>
      <c r="BX977" s="36" t="str">
        <f aca="false">IF(O977="","",IF(O977&gt;=200,"Yes","No"))</f>
        <v/>
      </c>
      <c r="BY977" s="36" t="str">
        <f aca="false">IF(Q977="","",IF(Q977&gt;=150000,"Yes","No"))</f>
        <v/>
      </c>
      <c r="BZ977" s="36" t="str">
        <f aca="false">IF(Q977="","",IF(Q977&gt;=200000,"Yes","No"))</f>
        <v/>
      </c>
      <c r="CA977" s="36" t="str">
        <f aca="false">IF(Q977="","",IF(Q977&gt;=250000,"Yes","No"))</f>
        <v/>
      </c>
      <c r="CB977" s="36" t="str">
        <f aca="false">IF(Q977="","",IF(Q977&gt;=300000,"Yes","No"))</f>
        <v/>
      </c>
      <c r="CC977" s="37"/>
      <c r="CD977" s="36" t="str">
        <f aca="true">IF(B977="","",IF(TODAY()-B977&lt;=7,"🟢 0-7d",IF(TODAY()-B977&lt;=30,"🟡 8-30d",IF(TODAY()-B977&lt;=60,"🟠 31-60d","🔴 60d+"))))</f>
        <v/>
      </c>
      <c r="CE977" s="36" t="str">
        <f aca="false">IF(G977="","",IF(G977&lt;&gt;"USA","N/A - Not USA Role",IF(J977="Yes",IF(OR(F977="Intern",F977="New Grad"),"🟡 Possible","🟢 Strong"),IF(J977="No","🔴 Difficult","⚪ Unknown"))))</f>
        <v/>
      </c>
      <c r="CF977" s="37"/>
      <c r="CG977" s="37"/>
      <c r="CH977" s="38"/>
      <c r="CI977" s="38"/>
      <c r="CJ977" s="38"/>
      <c r="CK977" s="38"/>
    </row>
    <row r="978" customFormat="false" ht="15" hidden="false" customHeight="true" outlineLevel="0" collapsed="false">
      <c r="A978" s="26" t="str">
        <f aca="false">IF($C978="","",ROW()-3)</f>
        <v/>
      </c>
      <c r="B978" s="27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9"/>
      <c r="N978" s="29"/>
      <c r="O978" s="30" t="str">
        <f aca="false">IFERROR(IF(M978="","",M978*INDEX('00 - Lists'!$M$2:$M$11,MATCH(L978,'00 - Lists'!$L$2:$L$11,0))/100000),"")</f>
        <v/>
      </c>
      <c r="P978" s="30" t="str">
        <f aca="false">IFERROR(IF(N978="","",N978*INDEX('00 - Lists'!$M$2:$M$11,MATCH(L978,'00 - Lists'!$L$2:$L$11,0))/100000),"")</f>
        <v/>
      </c>
      <c r="Q978" s="31" t="str">
        <f aca="false">IFERROR(IF(M978="","",M978*INDEX('00 - Lists'!$N$2:$N$11,MATCH(L978,'00 - Lists'!$L$2:$L$11,0))),"")</f>
        <v/>
      </c>
      <c r="R978" s="31" t="str">
        <f aca="false">IFERROR(IF(N978="","",N978*INDEX('00 - Lists'!$N$2:$N$11,MATCH(L978,'00 - Lists'!$L$2:$L$11,0))),"")</f>
        <v/>
      </c>
      <c r="S978" s="32" t="str">
        <f aca="false">IF(O978="","",IF(O978&gt;=50,"Yes","No"))</f>
        <v/>
      </c>
      <c r="T978" s="32" t="str">
        <f aca="false">IF(Q978="","",IF(Q978&gt;=100000,"Yes","No"))</f>
        <v/>
      </c>
      <c r="U978" s="28"/>
      <c r="V978" s="28"/>
      <c r="W978" s="28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J978" s="34" t="str">
        <f aca="false">IF(OR($BD978&lt;&gt;"",$BF978&lt;&gt;"",$BH978&lt;&gt;""),"Yes","No")</f>
        <v>No</v>
      </c>
      <c r="BK978" s="35" t="str">
        <f aca="false">IFERROR(IF(BD978="","",BD978*INDEX('00 - Lists'!$M$2:$M$11,MATCH(L978,'00 - Lists'!$L$2:$L$11,0))/100000),"")</f>
        <v/>
      </c>
      <c r="BL978" s="35" t="str">
        <f aca="false">IFERROR(IF(BE978="","",BE978*INDEX('00 - Lists'!$M$2:$M$11,MATCH(L978,'00 - Lists'!$L$2:$L$11,0))/100000),"")</f>
        <v/>
      </c>
      <c r="BM978" s="35" t="str">
        <f aca="false">IFERROR(IF(BF978="","",BF978*INDEX('00 - Lists'!$M$2:$M$11,MATCH(L978,'00 - Lists'!$L$2:$L$11,0))/100000),"")</f>
        <v/>
      </c>
      <c r="BN978" s="35" t="str">
        <f aca="false">IFERROR(IF(BG978="","",BG978*INDEX('00 - Lists'!$M$2:$M$11,MATCH(L978,'00 - Lists'!$L$2:$L$11,0))/100000),"")</f>
        <v/>
      </c>
      <c r="BO978" s="35" t="str">
        <f aca="false">IFERROR(IF(BH978="","",BH978*INDEX('00 - Lists'!$M$2:$M$11,MATCH(L978,'00 - Lists'!$L$2:$L$11,0))/100000),"")</f>
        <v/>
      </c>
      <c r="BP978" s="35" t="str">
        <f aca="false">IFERROR(IF(BI978="","",BI978*INDEX('00 - Lists'!$M$2:$M$11,MATCH(L978,'00 - Lists'!$L$2:$L$11,0))/100000),"")</f>
        <v/>
      </c>
      <c r="BS978" s="36" t="str">
        <f aca="false">IF(O978="","",IF(O978&gt;=20,"Yes","No"))</f>
        <v/>
      </c>
      <c r="BT978" s="36" t="str">
        <f aca="false">IF(O978="","",IF(O978&gt;=30,"Yes","No"))</f>
        <v/>
      </c>
      <c r="BU978" s="36" t="str">
        <f aca="false">IF(O978="","",IF(O978&gt;=75,"Yes","No"))</f>
        <v/>
      </c>
      <c r="BV978" s="36" t="str">
        <f aca="false">IF(O978="","",IF(O978&gt;=100,"Yes","No"))</f>
        <v/>
      </c>
      <c r="BW978" s="36" t="str">
        <f aca="false">IF(O978="","",IF(O978&gt;=150,"Yes","No"))</f>
        <v/>
      </c>
      <c r="BX978" s="36" t="str">
        <f aca="false">IF(O978="","",IF(O978&gt;=200,"Yes","No"))</f>
        <v/>
      </c>
      <c r="BY978" s="36" t="str">
        <f aca="false">IF(Q978="","",IF(Q978&gt;=150000,"Yes","No"))</f>
        <v/>
      </c>
      <c r="BZ978" s="36" t="str">
        <f aca="false">IF(Q978="","",IF(Q978&gt;=200000,"Yes","No"))</f>
        <v/>
      </c>
      <c r="CA978" s="36" t="str">
        <f aca="false">IF(Q978="","",IF(Q978&gt;=250000,"Yes","No"))</f>
        <v/>
      </c>
      <c r="CB978" s="36" t="str">
        <f aca="false">IF(Q978="","",IF(Q978&gt;=300000,"Yes","No"))</f>
        <v/>
      </c>
      <c r="CC978" s="37"/>
      <c r="CD978" s="36" t="str">
        <f aca="true">IF(B978="","",IF(TODAY()-B978&lt;=7,"🟢 0-7d",IF(TODAY()-B978&lt;=30,"🟡 8-30d",IF(TODAY()-B978&lt;=60,"🟠 31-60d","🔴 60d+"))))</f>
        <v/>
      </c>
      <c r="CE978" s="36" t="str">
        <f aca="false">IF(G978="","",IF(G978&lt;&gt;"USA","N/A - Not USA Role",IF(J978="Yes",IF(OR(F978="Intern",F978="New Grad"),"🟡 Possible","🟢 Strong"),IF(J978="No","🔴 Difficult","⚪ Unknown"))))</f>
        <v/>
      </c>
      <c r="CF978" s="37"/>
      <c r="CG978" s="37"/>
      <c r="CH978" s="38"/>
      <c r="CI978" s="38"/>
      <c r="CJ978" s="38"/>
      <c r="CK978" s="38"/>
    </row>
    <row r="979" customFormat="false" ht="15" hidden="false" customHeight="true" outlineLevel="0" collapsed="false">
      <c r="A979" s="26" t="str">
        <f aca="false">IF($C979="","",ROW()-3)</f>
        <v/>
      </c>
      <c r="B979" s="27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9"/>
      <c r="N979" s="29"/>
      <c r="O979" s="30" t="str">
        <f aca="false">IFERROR(IF(M979="","",M979*INDEX('00 - Lists'!$M$2:$M$11,MATCH(L979,'00 - Lists'!$L$2:$L$11,0))/100000),"")</f>
        <v/>
      </c>
      <c r="P979" s="30" t="str">
        <f aca="false">IFERROR(IF(N979="","",N979*INDEX('00 - Lists'!$M$2:$M$11,MATCH(L979,'00 - Lists'!$L$2:$L$11,0))/100000),"")</f>
        <v/>
      </c>
      <c r="Q979" s="31" t="str">
        <f aca="false">IFERROR(IF(M979="","",M979*INDEX('00 - Lists'!$N$2:$N$11,MATCH(L979,'00 - Lists'!$L$2:$L$11,0))),"")</f>
        <v/>
      </c>
      <c r="R979" s="31" t="str">
        <f aca="false">IFERROR(IF(N979="","",N979*INDEX('00 - Lists'!$N$2:$N$11,MATCH(L979,'00 - Lists'!$L$2:$L$11,0))),"")</f>
        <v/>
      </c>
      <c r="S979" s="32" t="str">
        <f aca="false">IF(O979="","",IF(O979&gt;=50,"Yes","No"))</f>
        <v/>
      </c>
      <c r="T979" s="32" t="str">
        <f aca="false">IF(Q979="","",IF(Q979&gt;=100000,"Yes","No"))</f>
        <v/>
      </c>
      <c r="U979" s="28"/>
      <c r="V979" s="28"/>
      <c r="W979" s="28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J979" s="34" t="str">
        <f aca="false">IF(OR($BD979&lt;&gt;"",$BF979&lt;&gt;"",$BH979&lt;&gt;""),"Yes","No")</f>
        <v>No</v>
      </c>
      <c r="BK979" s="35" t="str">
        <f aca="false">IFERROR(IF(BD979="","",BD979*INDEX('00 - Lists'!$M$2:$M$11,MATCH(L979,'00 - Lists'!$L$2:$L$11,0))/100000),"")</f>
        <v/>
      </c>
      <c r="BL979" s="35" t="str">
        <f aca="false">IFERROR(IF(BE979="","",BE979*INDEX('00 - Lists'!$M$2:$M$11,MATCH(L979,'00 - Lists'!$L$2:$L$11,0))/100000),"")</f>
        <v/>
      </c>
      <c r="BM979" s="35" t="str">
        <f aca="false">IFERROR(IF(BF979="","",BF979*INDEX('00 - Lists'!$M$2:$M$11,MATCH(L979,'00 - Lists'!$L$2:$L$11,0))/100000),"")</f>
        <v/>
      </c>
      <c r="BN979" s="35" t="str">
        <f aca="false">IFERROR(IF(BG979="","",BG979*INDEX('00 - Lists'!$M$2:$M$11,MATCH(L979,'00 - Lists'!$L$2:$L$11,0))/100000),"")</f>
        <v/>
      </c>
      <c r="BO979" s="35" t="str">
        <f aca="false">IFERROR(IF(BH979="","",BH979*INDEX('00 - Lists'!$M$2:$M$11,MATCH(L979,'00 - Lists'!$L$2:$L$11,0))/100000),"")</f>
        <v/>
      </c>
      <c r="BP979" s="35" t="str">
        <f aca="false">IFERROR(IF(BI979="","",BI979*INDEX('00 - Lists'!$M$2:$M$11,MATCH(L979,'00 - Lists'!$L$2:$L$11,0))/100000),"")</f>
        <v/>
      </c>
      <c r="BS979" s="36" t="str">
        <f aca="false">IF(O979="","",IF(O979&gt;=20,"Yes","No"))</f>
        <v/>
      </c>
      <c r="BT979" s="36" t="str">
        <f aca="false">IF(O979="","",IF(O979&gt;=30,"Yes","No"))</f>
        <v/>
      </c>
      <c r="BU979" s="36" t="str">
        <f aca="false">IF(O979="","",IF(O979&gt;=75,"Yes","No"))</f>
        <v/>
      </c>
      <c r="BV979" s="36" t="str">
        <f aca="false">IF(O979="","",IF(O979&gt;=100,"Yes","No"))</f>
        <v/>
      </c>
      <c r="BW979" s="36" t="str">
        <f aca="false">IF(O979="","",IF(O979&gt;=150,"Yes","No"))</f>
        <v/>
      </c>
      <c r="BX979" s="36" t="str">
        <f aca="false">IF(O979="","",IF(O979&gt;=200,"Yes","No"))</f>
        <v/>
      </c>
      <c r="BY979" s="36" t="str">
        <f aca="false">IF(Q979="","",IF(Q979&gt;=150000,"Yes","No"))</f>
        <v/>
      </c>
      <c r="BZ979" s="36" t="str">
        <f aca="false">IF(Q979="","",IF(Q979&gt;=200000,"Yes","No"))</f>
        <v/>
      </c>
      <c r="CA979" s="36" t="str">
        <f aca="false">IF(Q979="","",IF(Q979&gt;=250000,"Yes","No"))</f>
        <v/>
      </c>
      <c r="CB979" s="36" t="str">
        <f aca="false">IF(Q979="","",IF(Q979&gt;=300000,"Yes","No"))</f>
        <v/>
      </c>
      <c r="CC979" s="37"/>
      <c r="CD979" s="36" t="str">
        <f aca="true">IF(B979="","",IF(TODAY()-B979&lt;=7,"🟢 0-7d",IF(TODAY()-B979&lt;=30,"🟡 8-30d",IF(TODAY()-B979&lt;=60,"🟠 31-60d","🔴 60d+"))))</f>
        <v/>
      </c>
      <c r="CE979" s="36" t="str">
        <f aca="false">IF(G979="","",IF(G979&lt;&gt;"USA","N/A - Not USA Role",IF(J979="Yes",IF(OR(F979="Intern",F979="New Grad"),"🟡 Possible","🟢 Strong"),IF(J979="No","🔴 Difficult","⚪ Unknown"))))</f>
        <v/>
      </c>
      <c r="CF979" s="37"/>
      <c r="CG979" s="37"/>
      <c r="CH979" s="38"/>
      <c r="CI979" s="38"/>
      <c r="CJ979" s="38"/>
      <c r="CK979" s="38"/>
    </row>
    <row r="980" customFormat="false" ht="15" hidden="false" customHeight="true" outlineLevel="0" collapsed="false">
      <c r="A980" s="26" t="str">
        <f aca="false">IF($C980="","",ROW()-3)</f>
        <v/>
      </c>
      <c r="B980" s="27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9"/>
      <c r="N980" s="29"/>
      <c r="O980" s="30" t="str">
        <f aca="false">IFERROR(IF(M980="","",M980*INDEX('00 - Lists'!$M$2:$M$11,MATCH(L980,'00 - Lists'!$L$2:$L$11,0))/100000),"")</f>
        <v/>
      </c>
      <c r="P980" s="30" t="str">
        <f aca="false">IFERROR(IF(N980="","",N980*INDEX('00 - Lists'!$M$2:$M$11,MATCH(L980,'00 - Lists'!$L$2:$L$11,0))/100000),"")</f>
        <v/>
      </c>
      <c r="Q980" s="31" t="str">
        <f aca="false">IFERROR(IF(M980="","",M980*INDEX('00 - Lists'!$N$2:$N$11,MATCH(L980,'00 - Lists'!$L$2:$L$11,0))),"")</f>
        <v/>
      </c>
      <c r="R980" s="31" t="str">
        <f aca="false">IFERROR(IF(N980="","",N980*INDEX('00 - Lists'!$N$2:$N$11,MATCH(L980,'00 - Lists'!$L$2:$L$11,0))),"")</f>
        <v/>
      </c>
      <c r="S980" s="32" t="str">
        <f aca="false">IF(O980="","",IF(O980&gt;=50,"Yes","No"))</f>
        <v/>
      </c>
      <c r="T980" s="32" t="str">
        <f aca="false">IF(Q980="","",IF(Q980&gt;=100000,"Yes","No"))</f>
        <v/>
      </c>
      <c r="U980" s="28"/>
      <c r="V980" s="28"/>
      <c r="W980" s="28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J980" s="34" t="str">
        <f aca="false">IF(OR($BD980&lt;&gt;"",$BF980&lt;&gt;"",$BH980&lt;&gt;""),"Yes","No")</f>
        <v>No</v>
      </c>
      <c r="BK980" s="35" t="str">
        <f aca="false">IFERROR(IF(BD980="","",BD980*INDEX('00 - Lists'!$M$2:$M$11,MATCH(L980,'00 - Lists'!$L$2:$L$11,0))/100000),"")</f>
        <v/>
      </c>
      <c r="BL980" s="35" t="str">
        <f aca="false">IFERROR(IF(BE980="","",BE980*INDEX('00 - Lists'!$M$2:$M$11,MATCH(L980,'00 - Lists'!$L$2:$L$11,0))/100000),"")</f>
        <v/>
      </c>
      <c r="BM980" s="35" t="str">
        <f aca="false">IFERROR(IF(BF980="","",BF980*INDEX('00 - Lists'!$M$2:$M$11,MATCH(L980,'00 - Lists'!$L$2:$L$11,0))/100000),"")</f>
        <v/>
      </c>
      <c r="BN980" s="35" t="str">
        <f aca="false">IFERROR(IF(BG980="","",BG980*INDEX('00 - Lists'!$M$2:$M$11,MATCH(L980,'00 - Lists'!$L$2:$L$11,0))/100000),"")</f>
        <v/>
      </c>
      <c r="BO980" s="35" t="str">
        <f aca="false">IFERROR(IF(BH980="","",BH980*INDEX('00 - Lists'!$M$2:$M$11,MATCH(L980,'00 - Lists'!$L$2:$L$11,0))/100000),"")</f>
        <v/>
      </c>
      <c r="BP980" s="35" t="str">
        <f aca="false">IFERROR(IF(BI980="","",BI980*INDEX('00 - Lists'!$M$2:$M$11,MATCH(L980,'00 - Lists'!$L$2:$L$11,0))/100000),"")</f>
        <v/>
      </c>
      <c r="BS980" s="36" t="str">
        <f aca="false">IF(O980="","",IF(O980&gt;=20,"Yes","No"))</f>
        <v/>
      </c>
      <c r="BT980" s="36" t="str">
        <f aca="false">IF(O980="","",IF(O980&gt;=30,"Yes","No"))</f>
        <v/>
      </c>
      <c r="BU980" s="36" t="str">
        <f aca="false">IF(O980="","",IF(O980&gt;=75,"Yes","No"))</f>
        <v/>
      </c>
      <c r="BV980" s="36" t="str">
        <f aca="false">IF(O980="","",IF(O980&gt;=100,"Yes","No"))</f>
        <v/>
      </c>
      <c r="BW980" s="36" t="str">
        <f aca="false">IF(O980="","",IF(O980&gt;=150,"Yes","No"))</f>
        <v/>
      </c>
      <c r="BX980" s="36" t="str">
        <f aca="false">IF(O980="","",IF(O980&gt;=200,"Yes","No"))</f>
        <v/>
      </c>
      <c r="BY980" s="36" t="str">
        <f aca="false">IF(Q980="","",IF(Q980&gt;=150000,"Yes","No"))</f>
        <v/>
      </c>
      <c r="BZ980" s="36" t="str">
        <f aca="false">IF(Q980="","",IF(Q980&gt;=200000,"Yes","No"))</f>
        <v/>
      </c>
      <c r="CA980" s="36" t="str">
        <f aca="false">IF(Q980="","",IF(Q980&gt;=250000,"Yes","No"))</f>
        <v/>
      </c>
      <c r="CB980" s="36" t="str">
        <f aca="false">IF(Q980="","",IF(Q980&gt;=300000,"Yes","No"))</f>
        <v/>
      </c>
      <c r="CC980" s="37"/>
      <c r="CD980" s="36" t="str">
        <f aca="true">IF(B980="","",IF(TODAY()-B980&lt;=7,"🟢 0-7d",IF(TODAY()-B980&lt;=30,"🟡 8-30d",IF(TODAY()-B980&lt;=60,"🟠 31-60d","🔴 60d+"))))</f>
        <v/>
      </c>
      <c r="CE980" s="36" t="str">
        <f aca="false">IF(G980="","",IF(G980&lt;&gt;"USA","N/A - Not USA Role",IF(J980="Yes",IF(OR(F980="Intern",F980="New Grad"),"🟡 Possible","🟢 Strong"),IF(J980="No","🔴 Difficult","⚪ Unknown"))))</f>
        <v/>
      </c>
      <c r="CF980" s="37"/>
      <c r="CG980" s="37"/>
      <c r="CH980" s="38"/>
      <c r="CI980" s="38"/>
      <c r="CJ980" s="38"/>
      <c r="CK980" s="38"/>
    </row>
    <row r="981" customFormat="false" ht="15" hidden="false" customHeight="true" outlineLevel="0" collapsed="false">
      <c r="A981" s="26" t="str">
        <f aca="false">IF($C981="","",ROW()-3)</f>
        <v/>
      </c>
      <c r="B981" s="27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9"/>
      <c r="N981" s="29"/>
      <c r="O981" s="30" t="str">
        <f aca="false">IFERROR(IF(M981="","",M981*INDEX('00 - Lists'!$M$2:$M$11,MATCH(L981,'00 - Lists'!$L$2:$L$11,0))/100000),"")</f>
        <v/>
      </c>
      <c r="P981" s="30" t="str">
        <f aca="false">IFERROR(IF(N981="","",N981*INDEX('00 - Lists'!$M$2:$M$11,MATCH(L981,'00 - Lists'!$L$2:$L$11,0))/100000),"")</f>
        <v/>
      </c>
      <c r="Q981" s="31" t="str">
        <f aca="false">IFERROR(IF(M981="","",M981*INDEX('00 - Lists'!$N$2:$N$11,MATCH(L981,'00 - Lists'!$L$2:$L$11,0))),"")</f>
        <v/>
      </c>
      <c r="R981" s="31" t="str">
        <f aca="false">IFERROR(IF(N981="","",N981*INDEX('00 - Lists'!$N$2:$N$11,MATCH(L981,'00 - Lists'!$L$2:$L$11,0))),"")</f>
        <v/>
      </c>
      <c r="S981" s="32" t="str">
        <f aca="false">IF(O981="","",IF(O981&gt;=50,"Yes","No"))</f>
        <v/>
      </c>
      <c r="T981" s="32" t="str">
        <f aca="false">IF(Q981="","",IF(Q981&gt;=100000,"Yes","No"))</f>
        <v/>
      </c>
      <c r="U981" s="28"/>
      <c r="V981" s="28"/>
      <c r="W981" s="28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J981" s="34" t="str">
        <f aca="false">IF(OR($BD981&lt;&gt;"",$BF981&lt;&gt;"",$BH981&lt;&gt;""),"Yes","No")</f>
        <v>No</v>
      </c>
      <c r="BK981" s="35" t="str">
        <f aca="false">IFERROR(IF(BD981="","",BD981*INDEX('00 - Lists'!$M$2:$M$11,MATCH(L981,'00 - Lists'!$L$2:$L$11,0))/100000),"")</f>
        <v/>
      </c>
      <c r="BL981" s="35" t="str">
        <f aca="false">IFERROR(IF(BE981="","",BE981*INDEX('00 - Lists'!$M$2:$M$11,MATCH(L981,'00 - Lists'!$L$2:$L$11,0))/100000),"")</f>
        <v/>
      </c>
      <c r="BM981" s="35" t="str">
        <f aca="false">IFERROR(IF(BF981="","",BF981*INDEX('00 - Lists'!$M$2:$M$11,MATCH(L981,'00 - Lists'!$L$2:$L$11,0))/100000),"")</f>
        <v/>
      </c>
      <c r="BN981" s="35" t="str">
        <f aca="false">IFERROR(IF(BG981="","",BG981*INDEX('00 - Lists'!$M$2:$M$11,MATCH(L981,'00 - Lists'!$L$2:$L$11,0))/100000),"")</f>
        <v/>
      </c>
      <c r="BO981" s="35" t="str">
        <f aca="false">IFERROR(IF(BH981="","",BH981*INDEX('00 - Lists'!$M$2:$M$11,MATCH(L981,'00 - Lists'!$L$2:$L$11,0))/100000),"")</f>
        <v/>
      </c>
      <c r="BP981" s="35" t="str">
        <f aca="false">IFERROR(IF(BI981="","",BI981*INDEX('00 - Lists'!$M$2:$M$11,MATCH(L981,'00 - Lists'!$L$2:$L$11,0))/100000),"")</f>
        <v/>
      </c>
      <c r="BS981" s="36" t="str">
        <f aca="false">IF(O981="","",IF(O981&gt;=20,"Yes","No"))</f>
        <v/>
      </c>
      <c r="BT981" s="36" t="str">
        <f aca="false">IF(O981="","",IF(O981&gt;=30,"Yes","No"))</f>
        <v/>
      </c>
      <c r="BU981" s="36" t="str">
        <f aca="false">IF(O981="","",IF(O981&gt;=75,"Yes","No"))</f>
        <v/>
      </c>
      <c r="BV981" s="36" t="str">
        <f aca="false">IF(O981="","",IF(O981&gt;=100,"Yes","No"))</f>
        <v/>
      </c>
      <c r="BW981" s="36" t="str">
        <f aca="false">IF(O981="","",IF(O981&gt;=150,"Yes","No"))</f>
        <v/>
      </c>
      <c r="BX981" s="36" t="str">
        <f aca="false">IF(O981="","",IF(O981&gt;=200,"Yes","No"))</f>
        <v/>
      </c>
      <c r="BY981" s="36" t="str">
        <f aca="false">IF(Q981="","",IF(Q981&gt;=150000,"Yes","No"))</f>
        <v/>
      </c>
      <c r="BZ981" s="36" t="str">
        <f aca="false">IF(Q981="","",IF(Q981&gt;=200000,"Yes","No"))</f>
        <v/>
      </c>
      <c r="CA981" s="36" t="str">
        <f aca="false">IF(Q981="","",IF(Q981&gt;=250000,"Yes","No"))</f>
        <v/>
      </c>
      <c r="CB981" s="36" t="str">
        <f aca="false">IF(Q981="","",IF(Q981&gt;=300000,"Yes","No"))</f>
        <v/>
      </c>
      <c r="CC981" s="37"/>
      <c r="CD981" s="36" t="str">
        <f aca="true">IF(B981="","",IF(TODAY()-B981&lt;=7,"🟢 0-7d",IF(TODAY()-B981&lt;=30,"🟡 8-30d",IF(TODAY()-B981&lt;=60,"🟠 31-60d","🔴 60d+"))))</f>
        <v/>
      </c>
      <c r="CE981" s="36" t="str">
        <f aca="false">IF(G981="","",IF(G981&lt;&gt;"USA","N/A - Not USA Role",IF(J981="Yes",IF(OR(F981="Intern",F981="New Grad"),"🟡 Possible","🟢 Strong"),IF(J981="No","🔴 Difficult","⚪ Unknown"))))</f>
        <v/>
      </c>
      <c r="CF981" s="37"/>
      <c r="CG981" s="37"/>
      <c r="CH981" s="38"/>
      <c r="CI981" s="38"/>
      <c r="CJ981" s="38"/>
      <c r="CK981" s="38"/>
    </row>
    <row r="982" customFormat="false" ht="15" hidden="false" customHeight="true" outlineLevel="0" collapsed="false">
      <c r="A982" s="26" t="str">
        <f aca="false">IF($C982="","",ROW()-3)</f>
        <v/>
      </c>
      <c r="B982" s="27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9"/>
      <c r="N982" s="29"/>
      <c r="O982" s="30" t="str">
        <f aca="false">IFERROR(IF(M982="","",M982*INDEX('00 - Lists'!$M$2:$M$11,MATCH(L982,'00 - Lists'!$L$2:$L$11,0))/100000),"")</f>
        <v/>
      </c>
      <c r="P982" s="30" t="str">
        <f aca="false">IFERROR(IF(N982="","",N982*INDEX('00 - Lists'!$M$2:$M$11,MATCH(L982,'00 - Lists'!$L$2:$L$11,0))/100000),"")</f>
        <v/>
      </c>
      <c r="Q982" s="31" t="str">
        <f aca="false">IFERROR(IF(M982="","",M982*INDEX('00 - Lists'!$N$2:$N$11,MATCH(L982,'00 - Lists'!$L$2:$L$11,0))),"")</f>
        <v/>
      </c>
      <c r="R982" s="31" t="str">
        <f aca="false">IFERROR(IF(N982="","",N982*INDEX('00 - Lists'!$N$2:$N$11,MATCH(L982,'00 - Lists'!$L$2:$L$11,0))),"")</f>
        <v/>
      </c>
      <c r="S982" s="32" t="str">
        <f aca="false">IF(O982="","",IF(O982&gt;=50,"Yes","No"))</f>
        <v/>
      </c>
      <c r="T982" s="32" t="str">
        <f aca="false">IF(Q982="","",IF(Q982&gt;=100000,"Yes","No"))</f>
        <v/>
      </c>
      <c r="U982" s="28"/>
      <c r="V982" s="28"/>
      <c r="W982" s="28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J982" s="34" t="str">
        <f aca="false">IF(OR($BD982&lt;&gt;"",$BF982&lt;&gt;"",$BH982&lt;&gt;""),"Yes","No")</f>
        <v>No</v>
      </c>
      <c r="BK982" s="35" t="str">
        <f aca="false">IFERROR(IF(BD982="","",BD982*INDEX('00 - Lists'!$M$2:$M$11,MATCH(L982,'00 - Lists'!$L$2:$L$11,0))/100000),"")</f>
        <v/>
      </c>
      <c r="BL982" s="35" t="str">
        <f aca="false">IFERROR(IF(BE982="","",BE982*INDEX('00 - Lists'!$M$2:$M$11,MATCH(L982,'00 - Lists'!$L$2:$L$11,0))/100000),"")</f>
        <v/>
      </c>
      <c r="BM982" s="35" t="str">
        <f aca="false">IFERROR(IF(BF982="","",BF982*INDEX('00 - Lists'!$M$2:$M$11,MATCH(L982,'00 - Lists'!$L$2:$L$11,0))/100000),"")</f>
        <v/>
      </c>
      <c r="BN982" s="35" t="str">
        <f aca="false">IFERROR(IF(BG982="","",BG982*INDEX('00 - Lists'!$M$2:$M$11,MATCH(L982,'00 - Lists'!$L$2:$L$11,0))/100000),"")</f>
        <v/>
      </c>
      <c r="BO982" s="35" t="str">
        <f aca="false">IFERROR(IF(BH982="","",BH982*INDEX('00 - Lists'!$M$2:$M$11,MATCH(L982,'00 - Lists'!$L$2:$L$11,0))/100000),"")</f>
        <v/>
      </c>
      <c r="BP982" s="35" t="str">
        <f aca="false">IFERROR(IF(BI982="","",BI982*INDEX('00 - Lists'!$M$2:$M$11,MATCH(L982,'00 - Lists'!$L$2:$L$11,0))/100000),"")</f>
        <v/>
      </c>
      <c r="BS982" s="36" t="str">
        <f aca="false">IF(O982="","",IF(O982&gt;=20,"Yes","No"))</f>
        <v/>
      </c>
      <c r="BT982" s="36" t="str">
        <f aca="false">IF(O982="","",IF(O982&gt;=30,"Yes","No"))</f>
        <v/>
      </c>
      <c r="BU982" s="36" t="str">
        <f aca="false">IF(O982="","",IF(O982&gt;=75,"Yes","No"))</f>
        <v/>
      </c>
      <c r="BV982" s="36" t="str">
        <f aca="false">IF(O982="","",IF(O982&gt;=100,"Yes","No"))</f>
        <v/>
      </c>
      <c r="BW982" s="36" t="str">
        <f aca="false">IF(O982="","",IF(O982&gt;=150,"Yes","No"))</f>
        <v/>
      </c>
      <c r="BX982" s="36" t="str">
        <f aca="false">IF(O982="","",IF(O982&gt;=200,"Yes","No"))</f>
        <v/>
      </c>
      <c r="BY982" s="36" t="str">
        <f aca="false">IF(Q982="","",IF(Q982&gt;=150000,"Yes","No"))</f>
        <v/>
      </c>
      <c r="BZ982" s="36" t="str">
        <f aca="false">IF(Q982="","",IF(Q982&gt;=200000,"Yes","No"))</f>
        <v/>
      </c>
      <c r="CA982" s="36" t="str">
        <f aca="false">IF(Q982="","",IF(Q982&gt;=250000,"Yes","No"))</f>
        <v/>
      </c>
      <c r="CB982" s="36" t="str">
        <f aca="false">IF(Q982="","",IF(Q982&gt;=300000,"Yes","No"))</f>
        <v/>
      </c>
      <c r="CC982" s="37"/>
      <c r="CD982" s="36" t="str">
        <f aca="true">IF(B982="","",IF(TODAY()-B982&lt;=7,"🟢 0-7d",IF(TODAY()-B982&lt;=30,"🟡 8-30d",IF(TODAY()-B982&lt;=60,"🟠 31-60d","🔴 60d+"))))</f>
        <v/>
      </c>
      <c r="CE982" s="36" t="str">
        <f aca="false">IF(G982="","",IF(G982&lt;&gt;"USA","N/A - Not USA Role",IF(J982="Yes",IF(OR(F982="Intern",F982="New Grad"),"🟡 Possible","🟢 Strong"),IF(J982="No","🔴 Difficult","⚪ Unknown"))))</f>
        <v/>
      </c>
      <c r="CF982" s="37"/>
      <c r="CG982" s="37"/>
      <c r="CH982" s="38"/>
      <c r="CI982" s="38"/>
      <c r="CJ982" s="38"/>
      <c r="CK982" s="38"/>
    </row>
    <row r="983" customFormat="false" ht="15" hidden="false" customHeight="true" outlineLevel="0" collapsed="false">
      <c r="A983" s="26" t="str">
        <f aca="false">IF($C983="","",ROW()-3)</f>
        <v/>
      </c>
      <c r="B983" s="27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9"/>
      <c r="N983" s="29"/>
      <c r="O983" s="30" t="str">
        <f aca="false">IFERROR(IF(M983="","",M983*INDEX('00 - Lists'!$M$2:$M$11,MATCH(L983,'00 - Lists'!$L$2:$L$11,0))/100000),"")</f>
        <v/>
      </c>
      <c r="P983" s="30" t="str">
        <f aca="false">IFERROR(IF(N983="","",N983*INDEX('00 - Lists'!$M$2:$M$11,MATCH(L983,'00 - Lists'!$L$2:$L$11,0))/100000),"")</f>
        <v/>
      </c>
      <c r="Q983" s="31" t="str">
        <f aca="false">IFERROR(IF(M983="","",M983*INDEX('00 - Lists'!$N$2:$N$11,MATCH(L983,'00 - Lists'!$L$2:$L$11,0))),"")</f>
        <v/>
      </c>
      <c r="R983" s="31" t="str">
        <f aca="false">IFERROR(IF(N983="","",N983*INDEX('00 - Lists'!$N$2:$N$11,MATCH(L983,'00 - Lists'!$L$2:$L$11,0))),"")</f>
        <v/>
      </c>
      <c r="S983" s="32" t="str">
        <f aca="false">IF(O983="","",IF(O983&gt;=50,"Yes","No"))</f>
        <v/>
      </c>
      <c r="T983" s="32" t="str">
        <f aca="false">IF(Q983="","",IF(Q983&gt;=100000,"Yes","No"))</f>
        <v/>
      </c>
      <c r="U983" s="28"/>
      <c r="V983" s="28"/>
      <c r="W983" s="28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J983" s="34" t="str">
        <f aca="false">IF(OR($BD983&lt;&gt;"",$BF983&lt;&gt;"",$BH983&lt;&gt;""),"Yes","No")</f>
        <v>No</v>
      </c>
      <c r="BK983" s="35" t="str">
        <f aca="false">IFERROR(IF(BD983="","",BD983*INDEX('00 - Lists'!$M$2:$M$11,MATCH(L983,'00 - Lists'!$L$2:$L$11,0))/100000),"")</f>
        <v/>
      </c>
      <c r="BL983" s="35" t="str">
        <f aca="false">IFERROR(IF(BE983="","",BE983*INDEX('00 - Lists'!$M$2:$M$11,MATCH(L983,'00 - Lists'!$L$2:$L$11,0))/100000),"")</f>
        <v/>
      </c>
      <c r="BM983" s="35" t="str">
        <f aca="false">IFERROR(IF(BF983="","",BF983*INDEX('00 - Lists'!$M$2:$M$11,MATCH(L983,'00 - Lists'!$L$2:$L$11,0))/100000),"")</f>
        <v/>
      </c>
      <c r="BN983" s="35" t="str">
        <f aca="false">IFERROR(IF(BG983="","",BG983*INDEX('00 - Lists'!$M$2:$M$11,MATCH(L983,'00 - Lists'!$L$2:$L$11,0))/100000),"")</f>
        <v/>
      </c>
      <c r="BO983" s="35" t="str">
        <f aca="false">IFERROR(IF(BH983="","",BH983*INDEX('00 - Lists'!$M$2:$M$11,MATCH(L983,'00 - Lists'!$L$2:$L$11,0))/100000),"")</f>
        <v/>
      </c>
      <c r="BP983" s="35" t="str">
        <f aca="false">IFERROR(IF(BI983="","",BI983*INDEX('00 - Lists'!$M$2:$M$11,MATCH(L983,'00 - Lists'!$L$2:$L$11,0))/100000),"")</f>
        <v/>
      </c>
      <c r="BS983" s="36" t="str">
        <f aca="false">IF(O983="","",IF(O983&gt;=20,"Yes","No"))</f>
        <v/>
      </c>
      <c r="BT983" s="36" t="str">
        <f aca="false">IF(O983="","",IF(O983&gt;=30,"Yes","No"))</f>
        <v/>
      </c>
      <c r="BU983" s="36" t="str">
        <f aca="false">IF(O983="","",IF(O983&gt;=75,"Yes","No"))</f>
        <v/>
      </c>
      <c r="BV983" s="36" t="str">
        <f aca="false">IF(O983="","",IF(O983&gt;=100,"Yes","No"))</f>
        <v/>
      </c>
      <c r="BW983" s="36" t="str">
        <f aca="false">IF(O983="","",IF(O983&gt;=150,"Yes","No"))</f>
        <v/>
      </c>
      <c r="BX983" s="36" t="str">
        <f aca="false">IF(O983="","",IF(O983&gt;=200,"Yes","No"))</f>
        <v/>
      </c>
      <c r="BY983" s="36" t="str">
        <f aca="false">IF(Q983="","",IF(Q983&gt;=150000,"Yes","No"))</f>
        <v/>
      </c>
      <c r="BZ983" s="36" t="str">
        <f aca="false">IF(Q983="","",IF(Q983&gt;=200000,"Yes","No"))</f>
        <v/>
      </c>
      <c r="CA983" s="36" t="str">
        <f aca="false">IF(Q983="","",IF(Q983&gt;=250000,"Yes","No"))</f>
        <v/>
      </c>
      <c r="CB983" s="36" t="str">
        <f aca="false">IF(Q983="","",IF(Q983&gt;=300000,"Yes","No"))</f>
        <v/>
      </c>
      <c r="CC983" s="37"/>
      <c r="CD983" s="36" t="str">
        <f aca="true">IF(B983="","",IF(TODAY()-B983&lt;=7,"🟢 0-7d",IF(TODAY()-B983&lt;=30,"🟡 8-30d",IF(TODAY()-B983&lt;=60,"🟠 31-60d","🔴 60d+"))))</f>
        <v/>
      </c>
      <c r="CE983" s="36" t="str">
        <f aca="false">IF(G983="","",IF(G983&lt;&gt;"USA","N/A - Not USA Role",IF(J983="Yes",IF(OR(F983="Intern",F983="New Grad"),"🟡 Possible","🟢 Strong"),IF(J983="No","🔴 Difficult","⚪ Unknown"))))</f>
        <v/>
      </c>
      <c r="CF983" s="37"/>
      <c r="CG983" s="37"/>
      <c r="CH983" s="38"/>
      <c r="CI983" s="38"/>
      <c r="CJ983" s="38"/>
      <c r="CK983" s="38"/>
    </row>
    <row r="984" customFormat="false" ht="15" hidden="false" customHeight="true" outlineLevel="0" collapsed="false">
      <c r="A984" s="26" t="str">
        <f aca="false">IF($C984="","",ROW()-3)</f>
        <v/>
      </c>
      <c r="B984" s="27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9"/>
      <c r="N984" s="29"/>
      <c r="O984" s="30" t="str">
        <f aca="false">IFERROR(IF(M984="","",M984*INDEX('00 - Lists'!$M$2:$M$11,MATCH(L984,'00 - Lists'!$L$2:$L$11,0))/100000),"")</f>
        <v/>
      </c>
      <c r="P984" s="30" t="str">
        <f aca="false">IFERROR(IF(N984="","",N984*INDEX('00 - Lists'!$M$2:$M$11,MATCH(L984,'00 - Lists'!$L$2:$L$11,0))/100000),"")</f>
        <v/>
      </c>
      <c r="Q984" s="31" t="str">
        <f aca="false">IFERROR(IF(M984="","",M984*INDEX('00 - Lists'!$N$2:$N$11,MATCH(L984,'00 - Lists'!$L$2:$L$11,0))),"")</f>
        <v/>
      </c>
      <c r="R984" s="31" t="str">
        <f aca="false">IFERROR(IF(N984="","",N984*INDEX('00 - Lists'!$N$2:$N$11,MATCH(L984,'00 - Lists'!$L$2:$L$11,0))),"")</f>
        <v/>
      </c>
      <c r="S984" s="32" t="str">
        <f aca="false">IF(O984="","",IF(O984&gt;=50,"Yes","No"))</f>
        <v/>
      </c>
      <c r="T984" s="32" t="str">
        <f aca="false">IF(Q984="","",IF(Q984&gt;=100000,"Yes","No"))</f>
        <v/>
      </c>
      <c r="U984" s="28"/>
      <c r="V984" s="28"/>
      <c r="W984" s="28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J984" s="34" t="str">
        <f aca="false">IF(OR($BD984&lt;&gt;"",$BF984&lt;&gt;"",$BH984&lt;&gt;""),"Yes","No")</f>
        <v>No</v>
      </c>
      <c r="BK984" s="35" t="str">
        <f aca="false">IFERROR(IF(BD984="","",BD984*INDEX('00 - Lists'!$M$2:$M$11,MATCH(L984,'00 - Lists'!$L$2:$L$11,0))/100000),"")</f>
        <v/>
      </c>
      <c r="BL984" s="35" t="str">
        <f aca="false">IFERROR(IF(BE984="","",BE984*INDEX('00 - Lists'!$M$2:$M$11,MATCH(L984,'00 - Lists'!$L$2:$L$11,0))/100000),"")</f>
        <v/>
      </c>
      <c r="BM984" s="35" t="str">
        <f aca="false">IFERROR(IF(BF984="","",BF984*INDEX('00 - Lists'!$M$2:$M$11,MATCH(L984,'00 - Lists'!$L$2:$L$11,0))/100000),"")</f>
        <v/>
      </c>
      <c r="BN984" s="35" t="str">
        <f aca="false">IFERROR(IF(BG984="","",BG984*INDEX('00 - Lists'!$M$2:$M$11,MATCH(L984,'00 - Lists'!$L$2:$L$11,0))/100000),"")</f>
        <v/>
      </c>
      <c r="BO984" s="35" t="str">
        <f aca="false">IFERROR(IF(BH984="","",BH984*INDEX('00 - Lists'!$M$2:$M$11,MATCH(L984,'00 - Lists'!$L$2:$L$11,0))/100000),"")</f>
        <v/>
      </c>
      <c r="BP984" s="35" t="str">
        <f aca="false">IFERROR(IF(BI984="","",BI984*INDEX('00 - Lists'!$M$2:$M$11,MATCH(L984,'00 - Lists'!$L$2:$L$11,0))/100000),"")</f>
        <v/>
      </c>
      <c r="BS984" s="36" t="str">
        <f aca="false">IF(O984="","",IF(O984&gt;=20,"Yes","No"))</f>
        <v/>
      </c>
      <c r="BT984" s="36" t="str">
        <f aca="false">IF(O984="","",IF(O984&gt;=30,"Yes","No"))</f>
        <v/>
      </c>
      <c r="BU984" s="36" t="str">
        <f aca="false">IF(O984="","",IF(O984&gt;=75,"Yes","No"))</f>
        <v/>
      </c>
      <c r="BV984" s="36" t="str">
        <f aca="false">IF(O984="","",IF(O984&gt;=100,"Yes","No"))</f>
        <v/>
      </c>
      <c r="BW984" s="36" t="str">
        <f aca="false">IF(O984="","",IF(O984&gt;=150,"Yes","No"))</f>
        <v/>
      </c>
      <c r="BX984" s="36" t="str">
        <f aca="false">IF(O984="","",IF(O984&gt;=200,"Yes","No"))</f>
        <v/>
      </c>
      <c r="BY984" s="36" t="str">
        <f aca="false">IF(Q984="","",IF(Q984&gt;=150000,"Yes","No"))</f>
        <v/>
      </c>
      <c r="BZ984" s="36" t="str">
        <f aca="false">IF(Q984="","",IF(Q984&gt;=200000,"Yes","No"))</f>
        <v/>
      </c>
      <c r="CA984" s="36" t="str">
        <f aca="false">IF(Q984="","",IF(Q984&gt;=250000,"Yes","No"))</f>
        <v/>
      </c>
      <c r="CB984" s="36" t="str">
        <f aca="false">IF(Q984="","",IF(Q984&gt;=300000,"Yes","No"))</f>
        <v/>
      </c>
      <c r="CC984" s="37"/>
      <c r="CD984" s="36" t="str">
        <f aca="true">IF(B984="","",IF(TODAY()-B984&lt;=7,"🟢 0-7d",IF(TODAY()-B984&lt;=30,"🟡 8-30d",IF(TODAY()-B984&lt;=60,"🟠 31-60d","🔴 60d+"))))</f>
        <v/>
      </c>
      <c r="CE984" s="36" t="str">
        <f aca="false">IF(G984="","",IF(G984&lt;&gt;"USA","N/A - Not USA Role",IF(J984="Yes",IF(OR(F984="Intern",F984="New Grad"),"🟡 Possible","🟢 Strong"),IF(J984="No","🔴 Difficult","⚪ Unknown"))))</f>
        <v/>
      </c>
      <c r="CF984" s="37"/>
      <c r="CG984" s="37"/>
      <c r="CH984" s="38"/>
      <c r="CI984" s="38"/>
      <c r="CJ984" s="38"/>
      <c r="CK984" s="38"/>
    </row>
    <row r="985" customFormat="false" ht="15" hidden="false" customHeight="true" outlineLevel="0" collapsed="false">
      <c r="A985" s="26" t="str">
        <f aca="false">IF($C985="","",ROW()-3)</f>
        <v/>
      </c>
      <c r="B985" s="27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9"/>
      <c r="N985" s="29"/>
      <c r="O985" s="30" t="str">
        <f aca="false">IFERROR(IF(M985="","",M985*INDEX('00 - Lists'!$M$2:$M$11,MATCH(L985,'00 - Lists'!$L$2:$L$11,0))/100000),"")</f>
        <v/>
      </c>
      <c r="P985" s="30" t="str">
        <f aca="false">IFERROR(IF(N985="","",N985*INDEX('00 - Lists'!$M$2:$M$11,MATCH(L985,'00 - Lists'!$L$2:$L$11,0))/100000),"")</f>
        <v/>
      </c>
      <c r="Q985" s="31" t="str">
        <f aca="false">IFERROR(IF(M985="","",M985*INDEX('00 - Lists'!$N$2:$N$11,MATCH(L985,'00 - Lists'!$L$2:$L$11,0))),"")</f>
        <v/>
      </c>
      <c r="R985" s="31" t="str">
        <f aca="false">IFERROR(IF(N985="","",N985*INDEX('00 - Lists'!$N$2:$N$11,MATCH(L985,'00 - Lists'!$L$2:$L$11,0))),"")</f>
        <v/>
      </c>
      <c r="S985" s="32" t="str">
        <f aca="false">IF(O985="","",IF(O985&gt;=50,"Yes","No"))</f>
        <v/>
      </c>
      <c r="T985" s="32" t="str">
        <f aca="false">IF(Q985="","",IF(Q985&gt;=100000,"Yes","No"))</f>
        <v/>
      </c>
      <c r="U985" s="28"/>
      <c r="V985" s="28"/>
      <c r="W985" s="28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J985" s="34" t="str">
        <f aca="false">IF(OR($BD985&lt;&gt;"",$BF985&lt;&gt;"",$BH985&lt;&gt;""),"Yes","No")</f>
        <v>No</v>
      </c>
      <c r="BK985" s="35" t="str">
        <f aca="false">IFERROR(IF(BD985="","",BD985*INDEX('00 - Lists'!$M$2:$M$11,MATCH(L985,'00 - Lists'!$L$2:$L$11,0))/100000),"")</f>
        <v/>
      </c>
      <c r="BL985" s="35" t="str">
        <f aca="false">IFERROR(IF(BE985="","",BE985*INDEX('00 - Lists'!$M$2:$M$11,MATCH(L985,'00 - Lists'!$L$2:$L$11,0))/100000),"")</f>
        <v/>
      </c>
      <c r="BM985" s="35" t="str">
        <f aca="false">IFERROR(IF(BF985="","",BF985*INDEX('00 - Lists'!$M$2:$M$11,MATCH(L985,'00 - Lists'!$L$2:$L$11,0))/100000),"")</f>
        <v/>
      </c>
      <c r="BN985" s="35" t="str">
        <f aca="false">IFERROR(IF(BG985="","",BG985*INDEX('00 - Lists'!$M$2:$M$11,MATCH(L985,'00 - Lists'!$L$2:$L$11,0))/100000),"")</f>
        <v/>
      </c>
      <c r="BO985" s="35" t="str">
        <f aca="false">IFERROR(IF(BH985="","",BH985*INDEX('00 - Lists'!$M$2:$M$11,MATCH(L985,'00 - Lists'!$L$2:$L$11,0))/100000),"")</f>
        <v/>
      </c>
      <c r="BP985" s="35" t="str">
        <f aca="false">IFERROR(IF(BI985="","",BI985*INDEX('00 - Lists'!$M$2:$M$11,MATCH(L985,'00 - Lists'!$L$2:$L$11,0))/100000),"")</f>
        <v/>
      </c>
      <c r="BS985" s="36" t="str">
        <f aca="false">IF(O985="","",IF(O985&gt;=20,"Yes","No"))</f>
        <v/>
      </c>
      <c r="BT985" s="36" t="str">
        <f aca="false">IF(O985="","",IF(O985&gt;=30,"Yes","No"))</f>
        <v/>
      </c>
      <c r="BU985" s="36" t="str">
        <f aca="false">IF(O985="","",IF(O985&gt;=75,"Yes","No"))</f>
        <v/>
      </c>
      <c r="BV985" s="36" t="str">
        <f aca="false">IF(O985="","",IF(O985&gt;=100,"Yes","No"))</f>
        <v/>
      </c>
      <c r="BW985" s="36" t="str">
        <f aca="false">IF(O985="","",IF(O985&gt;=150,"Yes","No"))</f>
        <v/>
      </c>
      <c r="BX985" s="36" t="str">
        <f aca="false">IF(O985="","",IF(O985&gt;=200,"Yes","No"))</f>
        <v/>
      </c>
      <c r="BY985" s="36" t="str">
        <f aca="false">IF(Q985="","",IF(Q985&gt;=150000,"Yes","No"))</f>
        <v/>
      </c>
      <c r="BZ985" s="36" t="str">
        <f aca="false">IF(Q985="","",IF(Q985&gt;=200000,"Yes","No"))</f>
        <v/>
      </c>
      <c r="CA985" s="36" t="str">
        <f aca="false">IF(Q985="","",IF(Q985&gt;=250000,"Yes","No"))</f>
        <v/>
      </c>
      <c r="CB985" s="36" t="str">
        <f aca="false">IF(Q985="","",IF(Q985&gt;=300000,"Yes","No"))</f>
        <v/>
      </c>
      <c r="CC985" s="37"/>
      <c r="CD985" s="36" t="str">
        <f aca="true">IF(B985="","",IF(TODAY()-B985&lt;=7,"🟢 0-7d",IF(TODAY()-B985&lt;=30,"🟡 8-30d",IF(TODAY()-B985&lt;=60,"🟠 31-60d","🔴 60d+"))))</f>
        <v/>
      </c>
      <c r="CE985" s="36" t="str">
        <f aca="false">IF(G985="","",IF(G985&lt;&gt;"USA","N/A - Not USA Role",IF(J985="Yes",IF(OR(F985="Intern",F985="New Grad"),"🟡 Possible","🟢 Strong"),IF(J985="No","🔴 Difficult","⚪ Unknown"))))</f>
        <v/>
      </c>
      <c r="CF985" s="37"/>
      <c r="CG985" s="37"/>
      <c r="CH985" s="38"/>
      <c r="CI985" s="38"/>
      <c r="CJ985" s="38"/>
      <c r="CK985" s="38"/>
    </row>
    <row r="986" customFormat="false" ht="15" hidden="false" customHeight="true" outlineLevel="0" collapsed="false">
      <c r="A986" s="26" t="str">
        <f aca="false">IF($C986="","",ROW()-3)</f>
        <v/>
      </c>
      <c r="B986" s="27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9"/>
      <c r="N986" s="29"/>
      <c r="O986" s="30" t="str">
        <f aca="false">IFERROR(IF(M986="","",M986*INDEX('00 - Lists'!$M$2:$M$11,MATCH(L986,'00 - Lists'!$L$2:$L$11,0))/100000),"")</f>
        <v/>
      </c>
      <c r="P986" s="30" t="str">
        <f aca="false">IFERROR(IF(N986="","",N986*INDEX('00 - Lists'!$M$2:$M$11,MATCH(L986,'00 - Lists'!$L$2:$L$11,0))/100000),"")</f>
        <v/>
      </c>
      <c r="Q986" s="31" t="str">
        <f aca="false">IFERROR(IF(M986="","",M986*INDEX('00 - Lists'!$N$2:$N$11,MATCH(L986,'00 - Lists'!$L$2:$L$11,0))),"")</f>
        <v/>
      </c>
      <c r="R986" s="31" t="str">
        <f aca="false">IFERROR(IF(N986="","",N986*INDEX('00 - Lists'!$N$2:$N$11,MATCH(L986,'00 - Lists'!$L$2:$L$11,0))),"")</f>
        <v/>
      </c>
      <c r="S986" s="32" t="str">
        <f aca="false">IF(O986="","",IF(O986&gt;=50,"Yes","No"))</f>
        <v/>
      </c>
      <c r="T986" s="32" t="str">
        <f aca="false">IF(Q986="","",IF(Q986&gt;=100000,"Yes","No"))</f>
        <v/>
      </c>
      <c r="U986" s="28"/>
      <c r="V986" s="28"/>
      <c r="W986" s="28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J986" s="34" t="str">
        <f aca="false">IF(OR($BD986&lt;&gt;"",$BF986&lt;&gt;"",$BH986&lt;&gt;""),"Yes","No")</f>
        <v>No</v>
      </c>
      <c r="BK986" s="35" t="str">
        <f aca="false">IFERROR(IF(BD986="","",BD986*INDEX('00 - Lists'!$M$2:$M$11,MATCH(L986,'00 - Lists'!$L$2:$L$11,0))/100000),"")</f>
        <v/>
      </c>
      <c r="BL986" s="35" t="str">
        <f aca="false">IFERROR(IF(BE986="","",BE986*INDEX('00 - Lists'!$M$2:$M$11,MATCH(L986,'00 - Lists'!$L$2:$L$11,0))/100000),"")</f>
        <v/>
      </c>
      <c r="BM986" s="35" t="str">
        <f aca="false">IFERROR(IF(BF986="","",BF986*INDEX('00 - Lists'!$M$2:$M$11,MATCH(L986,'00 - Lists'!$L$2:$L$11,0))/100000),"")</f>
        <v/>
      </c>
      <c r="BN986" s="35" t="str">
        <f aca="false">IFERROR(IF(BG986="","",BG986*INDEX('00 - Lists'!$M$2:$M$11,MATCH(L986,'00 - Lists'!$L$2:$L$11,0))/100000),"")</f>
        <v/>
      </c>
      <c r="BO986" s="35" t="str">
        <f aca="false">IFERROR(IF(BH986="","",BH986*INDEX('00 - Lists'!$M$2:$M$11,MATCH(L986,'00 - Lists'!$L$2:$L$11,0))/100000),"")</f>
        <v/>
      </c>
      <c r="BP986" s="35" t="str">
        <f aca="false">IFERROR(IF(BI986="","",BI986*INDEX('00 - Lists'!$M$2:$M$11,MATCH(L986,'00 - Lists'!$L$2:$L$11,0))/100000),"")</f>
        <v/>
      </c>
      <c r="BS986" s="36" t="str">
        <f aca="false">IF(O986="","",IF(O986&gt;=20,"Yes","No"))</f>
        <v/>
      </c>
      <c r="BT986" s="36" t="str">
        <f aca="false">IF(O986="","",IF(O986&gt;=30,"Yes","No"))</f>
        <v/>
      </c>
      <c r="BU986" s="36" t="str">
        <f aca="false">IF(O986="","",IF(O986&gt;=75,"Yes","No"))</f>
        <v/>
      </c>
      <c r="BV986" s="36" t="str">
        <f aca="false">IF(O986="","",IF(O986&gt;=100,"Yes","No"))</f>
        <v/>
      </c>
      <c r="BW986" s="36" t="str">
        <f aca="false">IF(O986="","",IF(O986&gt;=150,"Yes","No"))</f>
        <v/>
      </c>
      <c r="BX986" s="36" t="str">
        <f aca="false">IF(O986="","",IF(O986&gt;=200,"Yes","No"))</f>
        <v/>
      </c>
      <c r="BY986" s="36" t="str">
        <f aca="false">IF(Q986="","",IF(Q986&gt;=150000,"Yes","No"))</f>
        <v/>
      </c>
      <c r="BZ986" s="36" t="str">
        <f aca="false">IF(Q986="","",IF(Q986&gt;=200000,"Yes","No"))</f>
        <v/>
      </c>
      <c r="CA986" s="36" t="str">
        <f aca="false">IF(Q986="","",IF(Q986&gt;=250000,"Yes","No"))</f>
        <v/>
      </c>
      <c r="CB986" s="36" t="str">
        <f aca="false">IF(Q986="","",IF(Q986&gt;=300000,"Yes","No"))</f>
        <v/>
      </c>
      <c r="CC986" s="37"/>
      <c r="CD986" s="36" t="str">
        <f aca="true">IF(B986="","",IF(TODAY()-B986&lt;=7,"🟢 0-7d",IF(TODAY()-B986&lt;=30,"🟡 8-30d",IF(TODAY()-B986&lt;=60,"🟠 31-60d","🔴 60d+"))))</f>
        <v/>
      </c>
      <c r="CE986" s="36" t="str">
        <f aca="false">IF(G986="","",IF(G986&lt;&gt;"USA","N/A - Not USA Role",IF(J986="Yes",IF(OR(F986="Intern",F986="New Grad"),"🟡 Possible","🟢 Strong"),IF(J986="No","🔴 Difficult","⚪ Unknown"))))</f>
        <v/>
      </c>
      <c r="CF986" s="37"/>
      <c r="CG986" s="37"/>
      <c r="CH986" s="38"/>
      <c r="CI986" s="38"/>
      <c r="CJ986" s="38"/>
      <c r="CK986" s="38"/>
    </row>
    <row r="987" customFormat="false" ht="15" hidden="false" customHeight="true" outlineLevel="0" collapsed="false">
      <c r="A987" s="26" t="str">
        <f aca="false">IF($C987="","",ROW()-3)</f>
        <v/>
      </c>
      <c r="B987" s="27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9"/>
      <c r="N987" s="29"/>
      <c r="O987" s="30" t="str">
        <f aca="false">IFERROR(IF(M987="","",M987*INDEX('00 - Lists'!$M$2:$M$11,MATCH(L987,'00 - Lists'!$L$2:$L$11,0))/100000),"")</f>
        <v/>
      </c>
      <c r="P987" s="30" t="str">
        <f aca="false">IFERROR(IF(N987="","",N987*INDEX('00 - Lists'!$M$2:$M$11,MATCH(L987,'00 - Lists'!$L$2:$L$11,0))/100000),"")</f>
        <v/>
      </c>
      <c r="Q987" s="31" t="str">
        <f aca="false">IFERROR(IF(M987="","",M987*INDEX('00 - Lists'!$N$2:$N$11,MATCH(L987,'00 - Lists'!$L$2:$L$11,0))),"")</f>
        <v/>
      </c>
      <c r="R987" s="31" t="str">
        <f aca="false">IFERROR(IF(N987="","",N987*INDEX('00 - Lists'!$N$2:$N$11,MATCH(L987,'00 - Lists'!$L$2:$L$11,0))),"")</f>
        <v/>
      </c>
      <c r="S987" s="32" t="str">
        <f aca="false">IF(O987="","",IF(O987&gt;=50,"Yes","No"))</f>
        <v/>
      </c>
      <c r="T987" s="32" t="str">
        <f aca="false">IF(Q987="","",IF(Q987&gt;=100000,"Yes","No"))</f>
        <v/>
      </c>
      <c r="U987" s="28"/>
      <c r="V987" s="28"/>
      <c r="W987" s="28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J987" s="34" t="str">
        <f aca="false">IF(OR($BD987&lt;&gt;"",$BF987&lt;&gt;"",$BH987&lt;&gt;""),"Yes","No")</f>
        <v>No</v>
      </c>
      <c r="BK987" s="35" t="str">
        <f aca="false">IFERROR(IF(BD987="","",BD987*INDEX('00 - Lists'!$M$2:$M$11,MATCH(L987,'00 - Lists'!$L$2:$L$11,0))/100000),"")</f>
        <v/>
      </c>
      <c r="BL987" s="35" t="str">
        <f aca="false">IFERROR(IF(BE987="","",BE987*INDEX('00 - Lists'!$M$2:$M$11,MATCH(L987,'00 - Lists'!$L$2:$L$11,0))/100000),"")</f>
        <v/>
      </c>
      <c r="BM987" s="35" t="str">
        <f aca="false">IFERROR(IF(BF987="","",BF987*INDEX('00 - Lists'!$M$2:$M$11,MATCH(L987,'00 - Lists'!$L$2:$L$11,0))/100000),"")</f>
        <v/>
      </c>
      <c r="BN987" s="35" t="str">
        <f aca="false">IFERROR(IF(BG987="","",BG987*INDEX('00 - Lists'!$M$2:$M$11,MATCH(L987,'00 - Lists'!$L$2:$L$11,0))/100000),"")</f>
        <v/>
      </c>
      <c r="BO987" s="35" t="str">
        <f aca="false">IFERROR(IF(BH987="","",BH987*INDEX('00 - Lists'!$M$2:$M$11,MATCH(L987,'00 - Lists'!$L$2:$L$11,0))/100000),"")</f>
        <v/>
      </c>
      <c r="BP987" s="35" t="str">
        <f aca="false">IFERROR(IF(BI987="","",BI987*INDEX('00 - Lists'!$M$2:$M$11,MATCH(L987,'00 - Lists'!$L$2:$L$11,0))/100000),"")</f>
        <v/>
      </c>
      <c r="BS987" s="36" t="str">
        <f aca="false">IF(O987="","",IF(O987&gt;=20,"Yes","No"))</f>
        <v/>
      </c>
      <c r="BT987" s="36" t="str">
        <f aca="false">IF(O987="","",IF(O987&gt;=30,"Yes","No"))</f>
        <v/>
      </c>
      <c r="BU987" s="36" t="str">
        <f aca="false">IF(O987="","",IF(O987&gt;=75,"Yes","No"))</f>
        <v/>
      </c>
      <c r="BV987" s="36" t="str">
        <f aca="false">IF(O987="","",IF(O987&gt;=100,"Yes","No"))</f>
        <v/>
      </c>
      <c r="BW987" s="36" t="str">
        <f aca="false">IF(O987="","",IF(O987&gt;=150,"Yes","No"))</f>
        <v/>
      </c>
      <c r="BX987" s="36" t="str">
        <f aca="false">IF(O987="","",IF(O987&gt;=200,"Yes","No"))</f>
        <v/>
      </c>
      <c r="BY987" s="36" t="str">
        <f aca="false">IF(Q987="","",IF(Q987&gt;=150000,"Yes","No"))</f>
        <v/>
      </c>
      <c r="BZ987" s="36" t="str">
        <f aca="false">IF(Q987="","",IF(Q987&gt;=200000,"Yes","No"))</f>
        <v/>
      </c>
      <c r="CA987" s="36" t="str">
        <f aca="false">IF(Q987="","",IF(Q987&gt;=250000,"Yes","No"))</f>
        <v/>
      </c>
      <c r="CB987" s="36" t="str">
        <f aca="false">IF(Q987="","",IF(Q987&gt;=300000,"Yes","No"))</f>
        <v/>
      </c>
      <c r="CC987" s="37"/>
      <c r="CD987" s="36" t="str">
        <f aca="true">IF(B987="","",IF(TODAY()-B987&lt;=7,"🟢 0-7d",IF(TODAY()-B987&lt;=30,"🟡 8-30d",IF(TODAY()-B987&lt;=60,"🟠 31-60d","🔴 60d+"))))</f>
        <v/>
      </c>
      <c r="CE987" s="36" t="str">
        <f aca="false">IF(G987="","",IF(G987&lt;&gt;"USA","N/A - Not USA Role",IF(J987="Yes",IF(OR(F987="Intern",F987="New Grad"),"🟡 Possible","🟢 Strong"),IF(J987="No","🔴 Difficult","⚪ Unknown"))))</f>
        <v/>
      </c>
      <c r="CF987" s="37"/>
      <c r="CG987" s="37"/>
      <c r="CH987" s="38"/>
      <c r="CI987" s="38"/>
      <c r="CJ987" s="38"/>
      <c r="CK987" s="38"/>
    </row>
    <row r="988" customFormat="false" ht="15" hidden="false" customHeight="true" outlineLevel="0" collapsed="false">
      <c r="A988" s="26" t="str">
        <f aca="false">IF($C988="","",ROW()-3)</f>
        <v/>
      </c>
      <c r="B988" s="27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9"/>
      <c r="N988" s="29"/>
      <c r="O988" s="30" t="str">
        <f aca="false">IFERROR(IF(M988="","",M988*INDEX('00 - Lists'!$M$2:$M$11,MATCH(L988,'00 - Lists'!$L$2:$L$11,0))/100000),"")</f>
        <v/>
      </c>
      <c r="P988" s="30" t="str">
        <f aca="false">IFERROR(IF(N988="","",N988*INDEX('00 - Lists'!$M$2:$M$11,MATCH(L988,'00 - Lists'!$L$2:$L$11,0))/100000),"")</f>
        <v/>
      </c>
      <c r="Q988" s="31" t="str">
        <f aca="false">IFERROR(IF(M988="","",M988*INDEX('00 - Lists'!$N$2:$N$11,MATCH(L988,'00 - Lists'!$L$2:$L$11,0))),"")</f>
        <v/>
      </c>
      <c r="R988" s="31" t="str">
        <f aca="false">IFERROR(IF(N988="","",N988*INDEX('00 - Lists'!$N$2:$N$11,MATCH(L988,'00 - Lists'!$L$2:$L$11,0))),"")</f>
        <v/>
      </c>
      <c r="S988" s="32" t="str">
        <f aca="false">IF(O988="","",IF(O988&gt;=50,"Yes","No"))</f>
        <v/>
      </c>
      <c r="T988" s="32" t="str">
        <f aca="false">IF(Q988="","",IF(Q988&gt;=100000,"Yes","No"))</f>
        <v/>
      </c>
      <c r="U988" s="28"/>
      <c r="V988" s="28"/>
      <c r="W988" s="28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J988" s="34" t="str">
        <f aca="false">IF(OR($BD988&lt;&gt;"",$BF988&lt;&gt;"",$BH988&lt;&gt;""),"Yes","No")</f>
        <v>No</v>
      </c>
      <c r="BK988" s="35" t="str">
        <f aca="false">IFERROR(IF(BD988="","",BD988*INDEX('00 - Lists'!$M$2:$M$11,MATCH(L988,'00 - Lists'!$L$2:$L$11,0))/100000),"")</f>
        <v/>
      </c>
      <c r="BL988" s="35" t="str">
        <f aca="false">IFERROR(IF(BE988="","",BE988*INDEX('00 - Lists'!$M$2:$M$11,MATCH(L988,'00 - Lists'!$L$2:$L$11,0))/100000),"")</f>
        <v/>
      </c>
      <c r="BM988" s="35" t="str">
        <f aca="false">IFERROR(IF(BF988="","",BF988*INDEX('00 - Lists'!$M$2:$M$11,MATCH(L988,'00 - Lists'!$L$2:$L$11,0))/100000),"")</f>
        <v/>
      </c>
      <c r="BN988" s="35" t="str">
        <f aca="false">IFERROR(IF(BG988="","",BG988*INDEX('00 - Lists'!$M$2:$M$11,MATCH(L988,'00 - Lists'!$L$2:$L$11,0))/100000),"")</f>
        <v/>
      </c>
      <c r="BO988" s="35" t="str">
        <f aca="false">IFERROR(IF(BH988="","",BH988*INDEX('00 - Lists'!$M$2:$M$11,MATCH(L988,'00 - Lists'!$L$2:$L$11,0))/100000),"")</f>
        <v/>
      </c>
      <c r="BP988" s="35" t="str">
        <f aca="false">IFERROR(IF(BI988="","",BI988*INDEX('00 - Lists'!$M$2:$M$11,MATCH(L988,'00 - Lists'!$L$2:$L$11,0))/100000),"")</f>
        <v/>
      </c>
      <c r="BS988" s="36" t="str">
        <f aca="false">IF(O988="","",IF(O988&gt;=20,"Yes","No"))</f>
        <v/>
      </c>
      <c r="BT988" s="36" t="str">
        <f aca="false">IF(O988="","",IF(O988&gt;=30,"Yes","No"))</f>
        <v/>
      </c>
      <c r="BU988" s="36" t="str">
        <f aca="false">IF(O988="","",IF(O988&gt;=75,"Yes","No"))</f>
        <v/>
      </c>
      <c r="BV988" s="36" t="str">
        <f aca="false">IF(O988="","",IF(O988&gt;=100,"Yes","No"))</f>
        <v/>
      </c>
      <c r="BW988" s="36" t="str">
        <f aca="false">IF(O988="","",IF(O988&gt;=150,"Yes","No"))</f>
        <v/>
      </c>
      <c r="BX988" s="36" t="str">
        <f aca="false">IF(O988="","",IF(O988&gt;=200,"Yes","No"))</f>
        <v/>
      </c>
      <c r="BY988" s="36" t="str">
        <f aca="false">IF(Q988="","",IF(Q988&gt;=150000,"Yes","No"))</f>
        <v/>
      </c>
      <c r="BZ988" s="36" t="str">
        <f aca="false">IF(Q988="","",IF(Q988&gt;=200000,"Yes","No"))</f>
        <v/>
      </c>
      <c r="CA988" s="36" t="str">
        <f aca="false">IF(Q988="","",IF(Q988&gt;=250000,"Yes","No"))</f>
        <v/>
      </c>
      <c r="CB988" s="36" t="str">
        <f aca="false">IF(Q988="","",IF(Q988&gt;=300000,"Yes","No"))</f>
        <v/>
      </c>
      <c r="CC988" s="37"/>
      <c r="CD988" s="36" t="str">
        <f aca="true">IF(B988="","",IF(TODAY()-B988&lt;=7,"🟢 0-7d",IF(TODAY()-B988&lt;=30,"🟡 8-30d",IF(TODAY()-B988&lt;=60,"🟠 31-60d","🔴 60d+"))))</f>
        <v/>
      </c>
      <c r="CE988" s="36" t="str">
        <f aca="false">IF(G988="","",IF(G988&lt;&gt;"USA","N/A - Not USA Role",IF(J988="Yes",IF(OR(F988="Intern",F988="New Grad"),"🟡 Possible","🟢 Strong"),IF(J988="No","🔴 Difficult","⚪ Unknown"))))</f>
        <v/>
      </c>
      <c r="CF988" s="37"/>
      <c r="CG988" s="37"/>
      <c r="CH988" s="38"/>
      <c r="CI988" s="38"/>
      <c r="CJ988" s="38"/>
      <c r="CK988" s="38"/>
    </row>
    <row r="989" customFormat="false" ht="15" hidden="false" customHeight="true" outlineLevel="0" collapsed="false">
      <c r="A989" s="26" t="str">
        <f aca="false">IF($C989="","",ROW()-3)</f>
        <v/>
      </c>
      <c r="B989" s="27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9"/>
      <c r="N989" s="29"/>
      <c r="O989" s="30" t="str">
        <f aca="false">IFERROR(IF(M989="","",M989*INDEX('00 - Lists'!$M$2:$M$11,MATCH(L989,'00 - Lists'!$L$2:$L$11,0))/100000),"")</f>
        <v/>
      </c>
      <c r="P989" s="30" t="str">
        <f aca="false">IFERROR(IF(N989="","",N989*INDEX('00 - Lists'!$M$2:$M$11,MATCH(L989,'00 - Lists'!$L$2:$L$11,0))/100000),"")</f>
        <v/>
      </c>
      <c r="Q989" s="31" t="str">
        <f aca="false">IFERROR(IF(M989="","",M989*INDEX('00 - Lists'!$N$2:$N$11,MATCH(L989,'00 - Lists'!$L$2:$L$11,0))),"")</f>
        <v/>
      </c>
      <c r="R989" s="31" t="str">
        <f aca="false">IFERROR(IF(N989="","",N989*INDEX('00 - Lists'!$N$2:$N$11,MATCH(L989,'00 - Lists'!$L$2:$L$11,0))),"")</f>
        <v/>
      </c>
      <c r="S989" s="32" t="str">
        <f aca="false">IF(O989="","",IF(O989&gt;=50,"Yes","No"))</f>
        <v/>
      </c>
      <c r="T989" s="32" t="str">
        <f aca="false">IF(Q989="","",IF(Q989&gt;=100000,"Yes","No"))</f>
        <v/>
      </c>
      <c r="U989" s="28"/>
      <c r="V989" s="28"/>
      <c r="W989" s="28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J989" s="34" t="str">
        <f aca="false">IF(OR($BD989&lt;&gt;"",$BF989&lt;&gt;"",$BH989&lt;&gt;""),"Yes","No")</f>
        <v>No</v>
      </c>
      <c r="BK989" s="35" t="str">
        <f aca="false">IFERROR(IF(BD989="","",BD989*INDEX('00 - Lists'!$M$2:$M$11,MATCH(L989,'00 - Lists'!$L$2:$L$11,0))/100000),"")</f>
        <v/>
      </c>
      <c r="BL989" s="35" t="str">
        <f aca="false">IFERROR(IF(BE989="","",BE989*INDEX('00 - Lists'!$M$2:$M$11,MATCH(L989,'00 - Lists'!$L$2:$L$11,0))/100000),"")</f>
        <v/>
      </c>
      <c r="BM989" s="35" t="str">
        <f aca="false">IFERROR(IF(BF989="","",BF989*INDEX('00 - Lists'!$M$2:$M$11,MATCH(L989,'00 - Lists'!$L$2:$L$11,0))/100000),"")</f>
        <v/>
      </c>
      <c r="BN989" s="35" t="str">
        <f aca="false">IFERROR(IF(BG989="","",BG989*INDEX('00 - Lists'!$M$2:$M$11,MATCH(L989,'00 - Lists'!$L$2:$L$11,0))/100000),"")</f>
        <v/>
      </c>
      <c r="BO989" s="35" t="str">
        <f aca="false">IFERROR(IF(BH989="","",BH989*INDEX('00 - Lists'!$M$2:$M$11,MATCH(L989,'00 - Lists'!$L$2:$L$11,0))/100000),"")</f>
        <v/>
      </c>
      <c r="BP989" s="35" t="str">
        <f aca="false">IFERROR(IF(BI989="","",BI989*INDEX('00 - Lists'!$M$2:$M$11,MATCH(L989,'00 - Lists'!$L$2:$L$11,0))/100000),"")</f>
        <v/>
      </c>
      <c r="BS989" s="36" t="str">
        <f aca="false">IF(O989="","",IF(O989&gt;=20,"Yes","No"))</f>
        <v/>
      </c>
      <c r="BT989" s="36" t="str">
        <f aca="false">IF(O989="","",IF(O989&gt;=30,"Yes","No"))</f>
        <v/>
      </c>
      <c r="BU989" s="36" t="str">
        <f aca="false">IF(O989="","",IF(O989&gt;=75,"Yes","No"))</f>
        <v/>
      </c>
      <c r="BV989" s="36" t="str">
        <f aca="false">IF(O989="","",IF(O989&gt;=100,"Yes","No"))</f>
        <v/>
      </c>
      <c r="BW989" s="36" t="str">
        <f aca="false">IF(O989="","",IF(O989&gt;=150,"Yes","No"))</f>
        <v/>
      </c>
      <c r="BX989" s="36" t="str">
        <f aca="false">IF(O989="","",IF(O989&gt;=200,"Yes","No"))</f>
        <v/>
      </c>
      <c r="BY989" s="36" t="str">
        <f aca="false">IF(Q989="","",IF(Q989&gt;=150000,"Yes","No"))</f>
        <v/>
      </c>
      <c r="BZ989" s="36" t="str">
        <f aca="false">IF(Q989="","",IF(Q989&gt;=200000,"Yes","No"))</f>
        <v/>
      </c>
      <c r="CA989" s="36" t="str">
        <f aca="false">IF(Q989="","",IF(Q989&gt;=250000,"Yes","No"))</f>
        <v/>
      </c>
      <c r="CB989" s="36" t="str">
        <f aca="false">IF(Q989="","",IF(Q989&gt;=300000,"Yes","No"))</f>
        <v/>
      </c>
      <c r="CC989" s="37"/>
      <c r="CD989" s="36" t="str">
        <f aca="true">IF(B989="","",IF(TODAY()-B989&lt;=7,"🟢 0-7d",IF(TODAY()-B989&lt;=30,"🟡 8-30d",IF(TODAY()-B989&lt;=60,"🟠 31-60d","🔴 60d+"))))</f>
        <v/>
      </c>
      <c r="CE989" s="36" t="str">
        <f aca="false">IF(G989="","",IF(G989&lt;&gt;"USA","N/A - Not USA Role",IF(J989="Yes",IF(OR(F989="Intern",F989="New Grad"),"🟡 Possible","🟢 Strong"),IF(J989="No","🔴 Difficult","⚪ Unknown"))))</f>
        <v/>
      </c>
      <c r="CF989" s="37"/>
      <c r="CG989" s="37"/>
      <c r="CH989" s="38"/>
      <c r="CI989" s="38"/>
      <c r="CJ989" s="38"/>
      <c r="CK989" s="38"/>
    </row>
    <row r="990" customFormat="false" ht="15" hidden="false" customHeight="true" outlineLevel="0" collapsed="false">
      <c r="A990" s="26" t="str">
        <f aca="false">IF($C990="","",ROW()-3)</f>
        <v/>
      </c>
      <c r="B990" s="27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9"/>
      <c r="N990" s="29"/>
      <c r="O990" s="30" t="str">
        <f aca="false">IFERROR(IF(M990="","",M990*INDEX('00 - Lists'!$M$2:$M$11,MATCH(L990,'00 - Lists'!$L$2:$L$11,0))/100000),"")</f>
        <v/>
      </c>
      <c r="P990" s="30" t="str">
        <f aca="false">IFERROR(IF(N990="","",N990*INDEX('00 - Lists'!$M$2:$M$11,MATCH(L990,'00 - Lists'!$L$2:$L$11,0))/100000),"")</f>
        <v/>
      </c>
      <c r="Q990" s="31" t="str">
        <f aca="false">IFERROR(IF(M990="","",M990*INDEX('00 - Lists'!$N$2:$N$11,MATCH(L990,'00 - Lists'!$L$2:$L$11,0))),"")</f>
        <v/>
      </c>
      <c r="R990" s="31" t="str">
        <f aca="false">IFERROR(IF(N990="","",N990*INDEX('00 - Lists'!$N$2:$N$11,MATCH(L990,'00 - Lists'!$L$2:$L$11,0))),"")</f>
        <v/>
      </c>
      <c r="S990" s="32" t="str">
        <f aca="false">IF(O990="","",IF(O990&gt;=50,"Yes","No"))</f>
        <v/>
      </c>
      <c r="T990" s="32" t="str">
        <f aca="false">IF(Q990="","",IF(Q990&gt;=100000,"Yes","No"))</f>
        <v/>
      </c>
      <c r="U990" s="28"/>
      <c r="V990" s="28"/>
      <c r="W990" s="28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J990" s="34" t="str">
        <f aca="false">IF(OR($BD990&lt;&gt;"",$BF990&lt;&gt;"",$BH990&lt;&gt;""),"Yes","No")</f>
        <v>No</v>
      </c>
      <c r="BK990" s="35" t="str">
        <f aca="false">IFERROR(IF(BD990="","",BD990*INDEX('00 - Lists'!$M$2:$M$11,MATCH(L990,'00 - Lists'!$L$2:$L$11,0))/100000),"")</f>
        <v/>
      </c>
      <c r="BL990" s="35" t="str">
        <f aca="false">IFERROR(IF(BE990="","",BE990*INDEX('00 - Lists'!$M$2:$M$11,MATCH(L990,'00 - Lists'!$L$2:$L$11,0))/100000),"")</f>
        <v/>
      </c>
      <c r="BM990" s="35" t="str">
        <f aca="false">IFERROR(IF(BF990="","",BF990*INDEX('00 - Lists'!$M$2:$M$11,MATCH(L990,'00 - Lists'!$L$2:$L$11,0))/100000),"")</f>
        <v/>
      </c>
      <c r="BN990" s="35" t="str">
        <f aca="false">IFERROR(IF(BG990="","",BG990*INDEX('00 - Lists'!$M$2:$M$11,MATCH(L990,'00 - Lists'!$L$2:$L$11,0))/100000),"")</f>
        <v/>
      </c>
      <c r="BO990" s="35" t="str">
        <f aca="false">IFERROR(IF(BH990="","",BH990*INDEX('00 - Lists'!$M$2:$M$11,MATCH(L990,'00 - Lists'!$L$2:$L$11,0))/100000),"")</f>
        <v/>
      </c>
      <c r="BP990" s="35" t="str">
        <f aca="false">IFERROR(IF(BI990="","",BI990*INDEX('00 - Lists'!$M$2:$M$11,MATCH(L990,'00 - Lists'!$L$2:$L$11,0))/100000),"")</f>
        <v/>
      </c>
      <c r="BS990" s="36" t="str">
        <f aca="false">IF(O990="","",IF(O990&gt;=20,"Yes","No"))</f>
        <v/>
      </c>
      <c r="BT990" s="36" t="str">
        <f aca="false">IF(O990="","",IF(O990&gt;=30,"Yes","No"))</f>
        <v/>
      </c>
      <c r="BU990" s="36" t="str">
        <f aca="false">IF(O990="","",IF(O990&gt;=75,"Yes","No"))</f>
        <v/>
      </c>
      <c r="BV990" s="36" t="str">
        <f aca="false">IF(O990="","",IF(O990&gt;=100,"Yes","No"))</f>
        <v/>
      </c>
      <c r="BW990" s="36" t="str">
        <f aca="false">IF(O990="","",IF(O990&gt;=150,"Yes","No"))</f>
        <v/>
      </c>
      <c r="BX990" s="36" t="str">
        <f aca="false">IF(O990="","",IF(O990&gt;=200,"Yes","No"))</f>
        <v/>
      </c>
      <c r="BY990" s="36" t="str">
        <f aca="false">IF(Q990="","",IF(Q990&gt;=150000,"Yes","No"))</f>
        <v/>
      </c>
      <c r="BZ990" s="36" t="str">
        <f aca="false">IF(Q990="","",IF(Q990&gt;=200000,"Yes","No"))</f>
        <v/>
      </c>
      <c r="CA990" s="36" t="str">
        <f aca="false">IF(Q990="","",IF(Q990&gt;=250000,"Yes","No"))</f>
        <v/>
      </c>
      <c r="CB990" s="36" t="str">
        <f aca="false">IF(Q990="","",IF(Q990&gt;=300000,"Yes","No"))</f>
        <v/>
      </c>
      <c r="CC990" s="37"/>
      <c r="CD990" s="36" t="str">
        <f aca="true">IF(B990="","",IF(TODAY()-B990&lt;=7,"🟢 0-7d",IF(TODAY()-B990&lt;=30,"🟡 8-30d",IF(TODAY()-B990&lt;=60,"🟠 31-60d","🔴 60d+"))))</f>
        <v/>
      </c>
      <c r="CE990" s="36" t="str">
        <f aca="false">IF(G990="","",IF(G990&lt;&gt;"USA","N/A - Not USA Role",IF(J990="Yes",IF(OR(F990="Intern",F990="New Grad"),"🟡 Possible","🟢 Strong"),IF(J990="No","🔴 Difficult","⚪ Unknown"))))</f>
        <v/>
      </c>
      <c r="CF990" s="37"/>
      <c r="CG990" s="37"/>
      <c r="CH990" s="38"/>
      <c r="CI990" s="38"/>
      <c r="CJ990" s="38"/>
      <c r="CK990" s="38"/>
    </row>
    <row r="991" customFormat="false" ht="15" hidden="false" customHeight="true" outlineLevel="0" collapsed="false">
      <c r="A991" s="26" t="str">
        <f aca="false">IF($C991="","",ROW()-3)</f>
        <v/>
      </c>
      <c r="B991" s="27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9"/>
      <c r="N991" s="29"/>
      <c r="O991" s="30" t="str">
        <f aca="false">IFERROR(IF(M991="","",M991*INDEX('00 - Lists'!$M$2:$M$11,MATCH(L991,'00 - Lists'!$L$2:$L$11,0))/100000),"")</f>
        <v/>
      </c>
      <c r="P991" s="30" t="str">
        <f aca="false">IFERROR(IF(N991="","",N991*INDEX('00 - Lists'!$M$2:$M$11,MATCH(L991,'00 - Lists'!$L$2:$L$11,0))/100000),"")</f>
        <v/>
      </c>
      <c r="Q991" s="31" t="str">
        <f aca="false">IFERROR(IF(M991="","",M991*INDEX('00 - Lists'!$N$2:$N$11,MATCH(L991,'00 - Lists'!$L$2:$L$11,0))),"")</f>
        <v/>
      </c>
      <c r="R991" s="31" t="str">
        <f aca="false">IFERROR(IF(N991="","",N991*INDEX('00 - Lists'!$N$2:$N$11,MATCH(L991,'00 - Lists'!$L$2:$L$11,0))),"")</f>
        <v/>
      </c>
      <c r="S991" s="32" t="str">
        <f aca="false">IF(O991="","",IF(O991&gt;=50,"Yes","No"))</f>
        <v/>
      </c>
      <c r="T991" s="32" t="str">
        <f aca="false">IF(Q991="","",IF(Q991&gt;=100000,"Yes","No"))</f>
        <v/>
      </c>
      <c r="U991" s="28"/>
      <c r="V991" s="28"/>
      <c r="W991" s="28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J991" s="34" t="str">
        <f aca="false">IF(OR($BD991&lt;&gt;"",$BF991&lt;&gt;"",$BH991&lt;&gt;""),"Yes","No")</f>
        <v>No</v>
      </c>
      <c r="BK991" s="35" t="str">
        <f aca="false">IFERROR(IF(BD991="","",BD991*INDEX('00 - Lists'!$M$2:$M$11,MATCH(L991,'00 - Lists'!$L$2:$L$11,0))/100000),"")</f>
        <v/>
      </c>
      <c r="BL991" s="35" t="str">
        <f aca="false">IFERROR(IF(BE991="","",BE991*INDEX('00 - Lists'!$M$2:$M$11,MATCH(L991,'00 - Lists'!$L$2:$L$11,0))/100000),"")</f>
        <v/>
      </c>
      <c r="BM991" s="35" t="str">
        <f aca="false">IFERROR(IF(BF991="","",BF991*INDEX('00 - Lists'!$M$2:$M$11,MATCH(L991,'00 - Lists'!$L$2:$L$11,0))/100000),"")</f>
        <v/>
      </c>
      <c r="BN991" s="35" t="str">
        <f aca="false">IFERROR(IF(BG991="","",BG991*INDEX('00 - Lists'!$M$2:$M$11,MATCH(L991,'00 - Lists'!$L$2:$L$11,0))/100000),"")</f>
        <v/>
      </c>
      <c r="BO991" s="35" t="str">
        <f aca="false">IFERROR(IF(BH991="","",BH991*INDEX('00 - Lists'!$M$2:$M$11,MATCH(L991,'00 - Lists'!$L$2:$L$11,0))/100000),"")</f>
        <v/>
      </c>
      <c r="BP991" s="35" t="str">
        <f aca="false">IFERROR(IF(BI991="","",BI991*INDEX('00 - Lists'!$M$2:$M$11,MATCH(L991,'00 - Lists'!$L$2:$L$11,0))/100000),"")</f>
        <v/>
      </c>
      <c r="BS991" s="36" t="str">
        <f aca="false">IF(O991="","",IF(O991&gt;=20,"Yes","No"))</f>
        <v/>
      </c>
      <c r="BT991" s="36" t="str">
        <f aca="false">IF(O991="","",IF(O991&gt;=30,"Yes","No"))</f>
        <v/>
      </c>
      <c r="BU991" s="36" t="str">
        <f aca="false">IF(O991="","",IF(O991&gt;=75,"Yes","No"))</f>
        <v/>
      </c>
      <c r="BV991" s="36" t="str">
        <f aca="false">IF(O991="","",IF(O991&gt;=100,"Yes","No"))</f>
        <v/>
      </c>
      <c r="BW991" s="36" t="str">
        <f aca="false">IF(O991="","",IF(O991&gt;=150,"Yes","No"))</f>
        <v/>
      </c>
      <c r="BX991" s="36" t="str">
        <f aca="false">IF(O991="","",IF(O991&gt;=200,"Yes","No"))</f>
        <v/>
      </c>
      <c r="BY991" s="36" t="str">
        <f aca="false">IF(Q991="","",IF(Q991&gt;=150000,"Yes","No"))</f>
        <v/>
      </c>
      <c r="BZ991" s="36" t="str">
        <f aca="false">IF(Q991="","",IF(Q991&gt;=200000,"Yes","No"))</f>
        <v/>
      </c>
      <c r="CA991" s="36" t="str">
        <f aca="false">IF(Q991="","",IF(Q991&gt;=250000,"Yes","No"))</f>
        <v/>
      </c>
      <c r="CB991" s="36" t="str">
        <f aca="false">IF(Q991="","",IF(Q991&gt;=300000,"Yes","No"))</f>
        <v/>
      </c>
      <c r="CC991" s="37"/>
      <c r="CD991" s="36" t="str">
        <f aca="true">IF(B991="","",IF(TODAY()-B991&lt;=7,"🟢 0-7d",IF(TODAY()-B991&lt;=30,"🟡 8-30d",IF(TODAY()-B991&lt;=60,"🟠 31-60d","🔴 60d+"))))</f>
        <v/>
      </c>
      <c r="CE991" s="36" t="str">
        <f aca="false">IF(G991="","",IF(G991&lt;&gt;"USA","N/A - Not USA Role",IF(J991="Yes",IF(OR(F991="Intern",F991="New Grad"),"🟡 Possible","🟢 Strong"),IF(J991="No","🔴 Difficult","⚪ Unknown"))))</f>
        <v/>
      </c>
      <c r="CF991" s="37"/>
      <c r="CG991" s="37"/>
      <c r="CH991" s="38"/>
      <c r="CI991" s="38"/>
      <c r="CJ991" s="38"/>
      <c r="CK991" s="38"/>
    </row>
    <row r="992" customFormat="false" ht="15" hidden="false" customHeight="true" outlineLevel="0" collapsed="false">
      <c r="A992" s="26" t="str">
        <f aca="false">IF($C992="","",ROW()-3)</f>
        <v/>
      </c>
      <c r="B992" s="27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9"/>
      <c r="N992" s="29"/>
      <c r="O992" s="30" t="str">
        <f aca="false">IFERROR(IF(M992="","",M992*INDEX('00 - Lists'!$M$2:$M$11,MATCH(L992,'00 - Lists'!$L$2:$L$11,0))/100000),"")</f>
        <v/>
      </c>
      <c r="P992" s="30" t="str">
        <f aca="false">IFERROR(IF(N992="","",N992*INDEX('00 - Lists'!$M$2:$M$11,MATCH(L992,'00 - Lists'!$L$2:$L$11,0))/100000),"")</f>
        <v/>
      </c>
      <c r="Q992" s="31" t="str">
        <f aca="false">IFERROR(IF(M992="","",M992*INDEX('00 - Lists'!$N$2:$N$11,MATCH(L992,'00 - Lists'!$L$2:$L$11,0))),"")</f>
        <v/>
      </c>
      <c r="R992" s="31" t="str">
        <f aca="false">IFERROR(IF(N992="","",N992*INDEX('00 - Lists'!$N$2:$N$11,MATCH(L992,'00 - Lists'!$L$2:$L$11,0))),"")</f>
        <v/>
      </c>
      <c r="S992" s="32" t="str">
        <f aca="false">IF(O992="","",IF(O992&gt;=50,"Yes","No"))</f>
        <v/>
      </c>
      <c r="T992" s="32" t="str">
        <f aca="false">IF(Q992="","",IF(Q992&gt;=100000,"Yes","No"))</f>
        <v/>
      </c>
      <c r="U992" s="28"/>
      <c r="V992" s="28"/>
      <c r="W992" s="28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J992" s="34" t="str">
        <f aca="false">IF(OR($BD992&lt;&gt;"",$BF992&lt;&gt;"",$BH992&lt;&gt;""),"Yes","No")</f>
        <v>No</v>
      </c>
      <c r="BK992" s="35" t="str">
        <f aca="false">IFERROR(IF(BD992="","",BD992*INDEX('00 - Lists'!$M$2:$M$11,MATCH(L992,'00 - Lists'!$L$2:$L$11,0))/100000),"")</f>
        <v/>
      </c>
      <c r="BL992" s="35" t="str">
        <f aca="false">IFERROR(IF(BE992="","",BE992*INDEX('00 - Lists'!$M$2:$M$11,MATCH(L992,'00 - Lists'!$L$2:$L$11,0))/100000),"")</f>
        <v/>
      </c>
      <c r="BM992" s="35" t="str">
        <f aca="false">IFERROR(IF(BF992="","",BF992*INDEX('00 - Lists'!$M$2:$M$11,MATCH(L992,'00 - Lists'!$L$2:$L$11,0))/100000),"")</f>
        <v/>
      </c>
      <c r="BN992" s="35" t="str">
        <f aca="false">IFERROR(IF(BG992="","",BG992*INDEX('00 - Lists'!$M$2:$M$11,MATCH(L992,'00 - Lists'!$L$2:$L$11,0))/100000),"")</f>
        <v/>
      </c>
      <c r="BO992" s="35" t="str">
        <f aca="false">IFERROR(IF(BH992="","",BH992*INDEX('00 - Lists'!$M$2:$M$11,MATCH(L992,'00 - Lists'!$L$2:$L$11,0))/100000),"")</f>
        <v/>
      </c>
      <c r="BP992" s="35" t="str">
        <f aca="false">IFERROR(IF(BI992="","",BI992*INDEX('00 - Lists'!$M$2:$M$11,MATCH(L992,'00 - Lists'!$L$2:$L$11,0))/100000),"")</f>
        <v/>
      </c>
      <c r="BS992" s="36" t="str">
        <f aca="false">IF(O992="","",IF(O992&gt;=20,"Yes","No"))</f>
        <v/>
      </c>
      <c r="BT992" s="36" t="str">
        <f aca="false">IF(O992="","",IF(O992&gt;=30,"Yes","No"))</f>
        <v/>
      </c>
      <c r="BU992" s="36" t="str">
        <f aca="false">IF(O992="","",IF(O992&gt;=75,"Yes","No"))</f>
        <v/>
      </c>
      <c r="BV992" s="36" t="str">
        <f aca="false">IF(O992="","",IF(O992&gt;=100,"Yes","No"))</f>
        <v/>
      </c>
      <c r="BW992" s="36" t="str">
        <f aca="false">IF(O992="","",IF(O992&gt;=150,"Yes","No"))</f>
        <v/>
      </c>
      <c r="BX992" s="36" t="str">
        <f aca="false">IF(O992="","",IF(O992&gt;=200,"Yes","No"))</f>
        <v/>
      </c>
      <c r="BY992" s="36" t="str">
        <f aca="false">IF(Q992="","",IF(Q992&gt;=150000,"Yes","No"))</f>
        <v/>
      </c>
      <c r="BZ992" s="36" t="str">
        <f aca="false">IF(Q992="","",IF(Q992&gt;=200000,"Yes","No"))</f>
        <v/>
      </c>
      <c r="CA992" s="36" t="str">
        <f aca="false">IF(Q992="","",IF(Q992&gt;=250000,"Yes","No"))</f>
        <v/>
      </c>
      <c r="CB992" s="36" t="str">
        <f aca="false">IF(Q992="","",IF(Q992&gt;=300000,"Yes","No"))</f>
        <v/>
      </c>
      <c r="CC992" s="37"/>
      <c r="CD992" s="36" t="str">
        <f aca="true">IF(B992="","",IF(TODAY()-B992&lt;=7,"🟢 0-7d",IF(TODAY()-B992&lt;=30,"🟡 8-30d",IF(TODAY()-B992&lt;=60,"🟠 31-60d","🔴 60d+"))))</f>
        <v/>
      </c>
      <c r="CE992" s="36" t="str">
        <f aca="false">IF(G992="","",IF(G992&lt;&gt;"USA","N/A - Not USA Role",IF(J992="Yes",IF(OR(F992="Intern",F992="New Grad"),"🟡 Possible","🟢 Strong"),IF(J992="No","🔴 Difficult","⚪ Unknown"))))</f>
        <v/>
      </c>
      <c r="CF992" s="37"/>
      <c r="CG992" s="37"/>
      <c r="CH992" s="38"/>
      <c r="CI992" s="38"/>
      <c r="CJ992" s="38"/>
      <c r="CK992" s="38"/>
    </row>
    <row r="993" customFormat="false" ht="15" hidden="false" customHeight="true" outlineLevel="0" collapsed="false">
      <c r="A993" s="26" t="str">
        <f aca="false">IF($C993="","",ROW()-3)</f>
        <v/>
      </c>
      <c r="B993" s="27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9"/>
      <c r="N993" s="29"/>
      <c r="O993" s="30" t="str">
        <f aca="false">IFERROR(IF(M993="","",M993*INDEX('00 - Lists'!$M$2:$M$11,MATCH(L993,'00 - Lists'!$L$2:$L$11,0))/100000),"")</f>
        <v/>
      </c>
      <c r="P993" s="30" t="str">
        <f aca="false">IFERROR(IF(N993="","",N993*INDEX('00 - Lists'!$M$2:$M$11,MATCH(L993,'00 - Lists'!$L$2:$L$11,0))/100000),"")</f>
        <v/>
      </c>
      <c r="Q993" s="31" t="str">
        <f aca="false">IFERROR(IF(M993="","",M993*INDEX('00 - Lists'!$N$2:$N$11,MATCH(L993,'00 - Lists'!$L$2:$L$11,0))),"")</f>
        <v/>
      </c>
      <c r="R993" s="31" t="str">
        <f aca="false">IFERROR(IF(N993="","",N993*INDEX('00 - Lists'!$N$2:$N$11,MATCH(L993,'00 - Lists'!$L$2:$L$11,0))),"")</f>
        <v/>
      </c>
      <c r="S993" s="32" t="str">
        <f aca="false">IF(O993="","",IF(O993&gt;=50,"Yes","No"))</f>
        <v/>
      </c>
      <c r="T993" s="32" t="str">
        <f aca="false">IF(Q993="","",IF(Q993&gt;=100000,"Yes","No"))</f>
        <v/>
      </c>
      <c r="U993" s="28"/>
      <c r="V993" s="28"/>
      <c r="W993" s="28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J993" s="34" t="str">
        <f aca="false">IF(OR($BD993&lt;&gt;"",$BF993&lt;&gt;"",$BH993&lt;&gt;""),"Yes","No")</f>
        <v>No</v>
      </c>
      <c r="BK993" s="35" t="str">
        <f aca="false">IFERROR(IF(BD993="","",BD993*INDEX('00 - Lists'!$M$2:$M$11,MATCH(L993,'00 - Lists'!$L$2:$L$11,0))/100000),"")</f>
        <v/>
      </c>
      <c r="BL993" s="35" t="str">
        <f aca="false">IFERROR(IF(BE993="","",BE993*INDEX('00 - Lists'!$M$2:$M$11,MATCH(L993,'00 - Lists'!$L$2:$L$11,0))/100000),"")</f>
        <v/>
      </c>
      <c r="BM993" s="35" t="str">
        <f aca="false">IFERROR(IF(BF993="","",BF993*INDEX('00 - Lists'!$M$2:$M$11,MATCH(L993,'00 - Lists'!$L$2:$L$11,0))/100000),"")</f>
        <v/>
      </c>
      <c r="BN993" s="35" t="str">
        <f aca="false">IFERROR(IF(BG993="","",BG993*INDEX('00 - Lists'!$M$2:$M$11,MATCH(L993,'00 - Lists'!$L$2:$L$11,0))/100000),"")</f>
        <v/>
      </c>
      <c r="BO993" s="35" t="str">
        <f aca="false">IFERROR(IF(BH993="","",BH993*INDEX('00 - Lists'!$M$2:$M$11,MATCH(L993,'00 - Lists'!$L$2:$L$11,0))/100000),"")</f>
        <v/>
      </c>
      <c r="BP993" s="35" t="str">
        <f aca="false">IFERROR(IF(BI993="","",BI993*INDEX('00 - Lists'!$M$2:$M$11,MATCH(L993,'00 - Lists'!$L$2:$L$11,0))/100000),"")</f>
        <v/>
      </c>
      <c r="BS993" s="36" t="str">
        <f aca="false">IF(O993="","",IF(O993&gt;=20,"Yes","No"))</f>
        <v/>
      </c>
      <c r="BT993" s="36" t="str">
        <f aca="false">IF(O993="","",IF(O993&gt;=30,"Yes","No"))</f>
        <v/>
      </c>
      <c r="BU993" s="36" t="str">
        <f aca="false">IF(O993="","",IF(O993&gt;=75,"Yes","No"))</f>
        <v/>
      </c>
      <c r="BV993" s="36" t="str">
        <f aca="false">IF(O993="","",IF(O993&gt;=100,"Yes","No"))</f>
        <v/>
      </c>
      <c r="BW993" s="36" t="str">
        <f aca="false">IF(O993="","",IF(O993&gt;=150,"Yes","No"))</f>
        <v/>
      </c>
      <c r="BX993" s="36" t="str">
        <f aca="false">IF(O993="","",IF(O993&gt;=200,"Yes","No"))</f>
        <v/>
      </c>
      <c r="BY993" s="36" t="str">
        <f aca="false">IF(Q993="","",IF(Q993&gt;=150000,"Yes","No"))</f>
        <v/>
      </c>
      <c r="BZ993" s="36" t="str">
        <f aca="false">IF(Q993="","",IF(Q993&gt;=200000,"Yes","No"))</f>
        <v/>
      </c>
      <c r="CA993" s="36" t="str">
        <f aca="false">IF(Q993="","",IF(Q993&gt;=250000,"Yes","No"))</f>
        <v/>
      </c>
      <c r="CB993" s="36" t="str">
        <f aca="false">IF(Q993="","",IF(Q993&gt;=300000,"Yes","No"))</f>
        <v/>
      </c>
      <c r="CC993" s="37"/>
      <c r="CD993" s="36" t="str">
        <f aca="true">IF(B993="","",IF(TODAY()-B993&lt;=7,"🟢 0-7d",IF(TODAY()-B993&lt;=30,"🟡 8-30d",IF(TODAY()-B993&lt;=60,"🟠 31-60d","🔴 60d+"))))</f>
        <v/>
      </c>
      <c r="CE993" s="36" t="str">
        <f aca="false">IF(G993="","",IF(G993&lt;&gt;"USA","N/A - Not USA Role",IF(J993="Yes",IF(OR(F993="Intern",F993="New Grad"),"🟡 Possible","🟢 Strong"),IF(J993="No","🔴 Difficult","⚪ Unknown"))))</f>
        <v/>
      </c>
      <c r="CF993" s="37"/>
      <c r="CG993" s="37"/>
      <c r="CH993" s="38"/>
      <c r="CI993" s="38"/>
      <c r="CJ993" s="38"/>
      <c r="CK993" s="38"/>
    </row>
    <row r="994" customFormat="false" ht="15" hidden="false" customHeight="true" outlineLevel="0" collapsed="false">
      <c r="A994" s="26" t="str">
        <f aca="false">IF($C994="","",ROW()-3)</f>
        <v/>
      </c>
      <c r="B994" s="27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9"/>
      <c r="N994" s="29"/>
      <c r="O994" s="30" t="str">
        <f aca="false">IFERROR(IF(M994="","",M994*INDEX('00 - Lists'!$M$2:$M$11,MATCH(L994,'00 - Lists'!$L$2:$L$11,0))/100000),"")</f>
        <v/>
      </c>
      <c r="P994" s="30" t="str">
        <f aca="false">IFERROR(IF(N994="","",N994*INDEX('00 - Lists'!$M$2:$M$11,MATCH(L994,'00 - Lists'!$L$2:$L$11,0))/100000),"")</f>
        <v/>
      </c>
      <c r="Q994" s="31" t="str">
        <f aca="false">IFERROR(IF(M994="","",M994*INDEX('00 - Lists'!$N$2:$N$11,MATCH(L994,'00 - Lists'!$L$2:$L$11,0))),"")</f>
        <v/>
      </c>
      <c r="R994" s="31" t="str">
        <f aca="false">IFERROR(IF(N994="","",N994*INDEX('00 - Lists'!$N$2:$N$11,MATCH(L994,'00 - Lists'!$L$2:$L$11,0))),"")</f>
        <v/>
      </c>
      <c r="S994" s="32" t="str">
        <f aca="false">IF(O994="","",IF(O994&gt;=50,"Yes","No"))</f>
        <v/>
      </c>
      <c r="T994" s="32" t="str">
        <f aca="false">IF(Q994="","",IF(Q994&gt;=100000,"Yes","No"))</f>
        <v/>
      </c>
      <c r="U994" s="28"/>
      <c r="V994" s="28"/>
      <c r="W994" s="28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J994" s="34" t="str">
        <f aca="false">IF(OR($BD994&lt;&gt;"",$BF994&lt;&gt;"",$BH994&lt;&gt;""),"Yes","No")</f>
        <v>No</v>
      </c>
      <c r="BK994" s="35" t="str">
        <f aca="false">IFERROR(IF(BD994="","",BD994*INDEX('00 - Lists'!$M$2:$M$11,MATCH(L994,'00 - Lists'!$L$2:$L$11,0))/100000),"")</f>
        <v/>
      </c>
      <c r="BL994" s="35" t="str">
        <f aca="false">IFERROR(IF(BE994="","",BE994*INDEX('00 - Lists'!$M$2:$M$11,MATCH(L994,'00 - Lists'!$L$2:$L$11,0))/100000),"")</f>
        <v/>
      </c>
      <c r="BM994" s="35" t="str">
        <f aca="false">IFERROR(IF(BF994="","",BF994*INDEX('00 - Lists'!$M$2:$M$11,MATCH(L994,'00 - Lists'!$L$2:$L$11,0))/100000),"")</f>
        <v/>
      </c>
      <c r="BN994" s="35" t="str">
        <f aca="false">IFERROR(IF(BG994="","",BG994*INDEX('00 - Lists'!$M$2:$M$11,MATCH(L994,'00 - Lists'!$L$2:$L$11,0))/100000),"")</f>
        <v/>
      </c>
      <c r="BO994" s="35" t="str">
        <f aca="false">IFERROR(IF(BH994="","",BH994*INDEX('00 - Lists'!$M$2:$M$11,MATCH(L994,'00 - Lists'!$L$2:$L$11,0))/100000),"")</f>
        <v/>
      </c>
      <c r="BP994" s="35" t="str">
        <f aca="false">IFERROR(IF(BI994="","",BI994*INDEX('00 - Lists'!$M$2:$M$11,MATCH(L994,'00 - Lists'!$L$2:$L$11,0))/100000),"")</f>
        <v/>
      </c>
      <c r="BS994" s="36" t="str">
        <f aca="false">IF(O994="","",IF(O994&gt;=20,"Yes","No"))</f>
        <v/>
      </c>
      <c r="BT994" s="36" t="str">
        <f aca="false">IF(O994="","",IF(O994&gt;=30,"Yes","No"))</f>
        <v/>
      </c>
      <c r="BU994" s="36" t="str">
        <f aca="false">IF(O994="","",IF(O994&gt;=75,"Yes","No"))</f>
        <v/>
      </c>
      <c r="BV994" s="36" t="str">
        <f aca="false">IF(O994="","",IF(O994&gt;=100,"Yes","No"))</f>
        <v/>
      </c>
      <c r="BW994" s="36" t="str">
        <f aca="false">IF(O994="","",IF(O994&gt;=150,"Yes","No"))</f>
        <v/>
      </c>
      <c r="BX994" s="36" t="str">
        <f aca="false">IF(O994="","",IF(O994&gt;=200,"Yes","No"))</f>
        <v/>
      </c>
      <c r="BY994" s="36" t="str">
        <f aca="false">IF(Q994="","",IF(Q994&gt;=150000,"Yes","No"))</f>
        <v/>
      </c>
      <c r="BZ994" s="36" t="str">
        <f aca="false">IF(Q994="","",IF(Q994&gt;=200000,"Yes","No"))</f>
        <v/>
      </c>
      <c r="CA994" s="36" t="str">
        <f aca="false">IF(Q994="","",IF(Q994&gt;=250000,"Yes","No"))</f>
        <v/>
      </c>
      <c r="CB994" s="36" t="str">
        <f aca="false">IF(Q994="","",IF(Q994&gt;=300000,"Yes","No"))</f>
        <v/>
      </c>
      <c r="CC994" s="37"/>
      <c r="CD994" s="36" t="str">
        <f aca="true">IF(B994="","",IF(TODAY()-B994&lt;=7,"🟢 0-7d",IF(TODAY()-B994&lt;=30,"🟡 8-30d",IF(TODAY()-B994&lt;=60,"🟠 31-60d","🔴 60d+"))))</f>
        <v/>
      </c>
      <c r="CE994" s="36" t="str">
        <f aca="false">IF(G994="","",IF(G994&lt;&gt;"USA","N/A - Not USA Role",IF(J994="Yes",IF(OR(F994="Intern",F994="New Grad"),"🟡 Possible","🟢 Strong"),IF(J994="No","🔴 Difficult","⚪ Unknown"))))</f>
        <v/>
      </c>
      <c r="CF994" s="37"/>
      <c r="CG994" s="37"/>
      <c r="CH994" s="38"/>
      <c r="CI994" s="38"/>
      <c r="CJ994" s="38"/>
      <c r="CK994" s="38"/>
    </row>
    <row r="995" customFormat="false" ht="15" hidden="false" customHeight="true" outlineLevel="0" collapsed="false">
      <c r="A995" s="26" t="str">
        <f aca="false">IF($C995="","",ROW()-3)</f>
        <v/>
      </c>
      <c r="B995" s="27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9"/>
      <c r="N995" s="29"/>
      <c r="O995" s="30" t="str">
        <f aca="false">IFERROR(IF(M995="","",M995*INDEX('00 - Lists'!$M$2:$M$11,MATCH(L995,'00 - Lists'!$L$2:$L$11,0))/100000),"")</f>
        <v/>
      </c>
      <c r="P995" s="30" t="str">
        <f aca="false">IFERROR(IF(N995="","",N995*INDEX('00 - Lists'!$M$2:$M$11,MATCH(L995,'00 - Lists'!$L$2:$L$11,0))/100000),"")</f>
        <v/>
      </c>
      <c r="Q995" s="31" t="str">
        <f aca="false">IFERROR(IF(M995="","",M995*INDEX('00 - Lists'!$N$2:$N$11,MATCH(L995,'00 - Lists'!$L$2:$L$11,0))),"")</f>
        <v/>
      </c>
      <c r="R995" s="31" t="str">
        <f aca="false">IFERROR(IF(N995="","",N995*INDEX('00 - Lists'!$N$2:$N$11,MATCH(L995,'00 - Lists'!$L$2:$L$11,0))),"")</f>
        <v/>
      </c>
      <c r="S995" s="32" t="str">
        <f aca="false">IF(O995="","",IF(O995&gt;=50,"Yes","No"))</f>
        <v/>
      </c>
      <c r="T995" s="32" t="str">
        <f aca="false">IF(Q995="","",IF(Q995&gt;=100000,"Yes","No"))</f>
        <v/>
      </c>
      <c r="U995" s="28"/>
      <c r="V995" s="28"/>
      <c r="W995" s="28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J995" s="34" t="str">
        <f aca="false">IF(OR($BD995&lt;&gt;"",$BF995&lt;&gt;"",$BH995&lt;&gt;""),"Yes","No")</f>
        <v>No</v>
      </c>
      <c r="BK995" s="35" t="str">
        <f aca="false">IFERROR(IF(BD995="","",BD995*INDEX('00 - Lists'!$M$2:$M$11,MATCH(L995,'00 - Lists'!$L$2:$L$11,0))/100000),"")</f>
        <v/>
      </c>
      <c r="BL995" s="35" t="str">
        <f aca="false">IFERROR(IF(BE995="","",BE995*INDEX('00 - Lists'!$M$2:$M$11,MATCH(L995,'00 - Lists'!$L$2:$L$11,0))/100000),"")</f>
        <v/>
      </c>
      <c r="BM995" s="35" t="str">
        <f aca="false">IFERROR(IF(BF995="","",BF995*INDEX('00 - Lists'!$M$2:$M$11,MATCH(L995,'00 - Lists'!$L$2:$L$11,0))/100000),"")</f>
        <v/>
      </c>
      <c r="BN995" s="35" t="str">
        <f aca="false">IFERROR(IF(BG995="","",BG995*INDEX('00 - Lists'!$M$2:$M$11,MATCH(L995,'00 - Lists'!$L$2:$L$11,0))/100000),"")</f>
        <v/>
      </c>
      <c r="BO995" s="35" t="str">
        <f aca="false">IFERROR(IF(BH995="","",BH995*INDEX('00 - Lists'!$M$2:$M$11,MATCH(L995,'00 - Lists'!$L$2:$L$11,0))/100000),"")</f>
        <v/>
      </c>
      <c r="BP995" s="35" t="str">
        <f aca="false">IFERROR(IF(BI995="","",BI995*INDEX('00 - Lists'!$M$2:$M$11,MATCH(L995,'00 - Lists'!$L$2:$L$11,0))/100000),"")</f>
        <v/>
      </c>
      <c r="BS995" s="36" t="str">
        <f aca="false">IF(O995="","",IF(O995&gt;=20,"Yes","No"))</f>
        <v/>
      </c>
      <c r="BT995" s="36" t="str">
        <f aca="false">IF(O995="","",IF(O995&gt;=30,"Yes","No"))</f>
        <v/>
      </c>
      <c r="BU995" s="36" t="str">
        <f aca="false">IF(O995="","",IF(O995&gt;=75,"Yes","No"))</f>
        <v/>
      </c>
      <c r="BV995" s="36" t="str">
        <f aca="false">IF(O995="","",IF(O995&gt;=100,"Yes","No"))</f>
        <v/>
      </c>
      <c r="BW995" s="36" t="str">
        <f aca="false">IF(O995="","",IF(O995&gt;=150,"Yes","No"))</f>
        <v/>
      </c>
      <c r="BX995" s="36" t="str">
        <f aca="false">IF(O995="","",IF(O995&gt;=200,"Yes","No"))</f>
        <v/>
      </c>
      <c r="BY995" s="36" t="str">
        <f aca="false">IF(Q995="","",IF(Q995&gt;=150000,"Yes","No"))</f>
        <v/>
      </c>
      <c r="BZ995" s="36" t="str">
        <f aca="false">IF(Q995="","",IF(Q995&gt;=200000,"Yes","No"))</f>
        <v/>
      </c>
      <c r="CA995" s="36" t="str">
        <f aca="false">IF(Q995="","",IF(Q995&gt;=250000,"Yes","No"))</f>
        <v/>
      </c>
      <c r="CB995" s="36" t="str">
        <f aca="false">IF(Q995="","",IF(Q995&gt;=300000,"Yes","No"))</f>
        <v/>
      </c>
      <c r="CC995" s="37"/>
      <c r="CD995" s="36" t="str">
        <f aca="true">IF(B995="","",IF(TODAY()-B995&lt;=7,"🟢 0-7d",IF(TODAY()-B995&lt;=30,"🟡 8-30d",IF(TODAY()-B995&lt;=60,"🟠 31-60d","🔴 60d+"))))</f>
        <v/>
      </c>
      <c r="CE995" s="36" t="str">
        <f aca="false">IF(G995="","",IF(G995&lt;&gt;"USA","N/A - Not USA Role",IF(J995="Yes",IF(OR(F995="Intern",F995="New Grad"),"🟡 Possible","🟢 Strong"),IF(J995="No","🔴 Difficult","⚪ Unknown"))))</f>
        <v/>
      </c>
      <c r="CF995" s="37"/>
      <c r="CG995" s="37"/>
      <c r="CH995" s="38"/>
      <c r="CI995" s="38"/>
      <c r="CJ995" s="38"/>
      <c r="CK995" s="38"/>
    </row>
    <row r="996" customFormat="false" ht="15" hidden="false" customHeight="true" outlineLevel="0" collapsed="false">
      <c r="A996" s="26" t="str">
        <f aca="false">IF($C996="","",ROW()-3)</f>
        <v/>
      </c>
      <c r="B996" s="27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9"/>
      <c r="N996" s="29"/>
      <c r="O996" s="30" t="str">
        <f aca="false">IFERROR(IF(M996="","",M996*INDEX('00 - Lists'!$M$2:$M$11,MATCH(L996,'00 - Lists'!$L$2:$L$11,0))/100000),"")</f>
        <v/>
      </c>
      <c r="P996" s="30" t="str">
        <f aca="false">IFERROR(IF(N996="","",N996*INDEX('00 - Lists'!$M$2:$M$11,MATCH(L996,'00 - Lists'!$L$2:$L$11,0))/100000),"")</f>
        <v/>
      </c>
      <c r="Q996" s="31" t="str">
        <f aca="false">IFERROR(IF(M996="","",M996*INDEX('00 - Lists'!$N$2:$N$11,MATCH(L996,'00 - Lists'!$L$2:$L$11,0))),"")</f>
        <v/>
      </c>
      <c r="R996" s="31" t="str">
        <f aca="false">IFERROR(IF(N996="","",N996*INDEX('00 - Lists'!$N$2:$N$11,MATCH(L996,'00 - Lists'!$L$2:$L$11,0))),"")</f>
        <v/>
      </c>
      <c r="S996" s="32" t="str">
        <f aca="false">IF(O996="","",IF(O996&gt;=50,"Yes","No"))</f>
        <v/>
      </c>
      <c r="T996" s="32" t="str">
        <f aca="false">IF(Q996="","",IF(Q996&gt;=100000,"Yes","No"))</f>
        <v/>
      </c>
      <c r="U996" s="28"/>
      <c r="V996" s="28"/>
      <c r="W996" s="28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J996" s="34" t="str">
        <f aca="false">IF(OR($BD996&lt;&gt;"",$BF996&lt;&gt;"",$BH996&lt;&gt;""),"Yes","No")</f>
        <v>No</v>
      </c>
      <c r="BK996" s="35" t="str">
        <f aca="false">IFERROR(IF(BD996="","",BD996*INDEX('00 - Lists'!$M$2:$M$11,MATCH(L996,'00 - Lists'!$L$2:$L$11,0))/100000),"")</f>
        <v/>
      </c>
      <c r="BL996" s="35" t="str">
        <f aca="false">IFERROR(IF(BE996="","",BE996*INDEX('00 - Lists'!$M$2:$M$11,MATCH(L996,'00 - Lists'!$L$2:$L$11,0))/100000),"")</f>
        <v/>
      </c>
      <c r="BM996" s="35" t="str">
        <f aca="false">IFERROR(IF(BF996="","",BF996*INDEX('00 - Lists'!$M$2:$M$11,MATCH(L996,'00 - Lists'!$L$2:$L$11,0))/100000),"")</f>
        <v/>
      </c>
      <c r="BN996" s="35" t="str">
        <f aca="false">IFERROR(IF(BG996="","",BG996*INDEX('00 - Lists'!$M$2:$M$11,MATCH(L996,'00 - Lists'!$L$2:$L$11,0))/100000),"")</f>
        <v/>
      </c>
      <c r="BO996" s="35" t="str">
        <f aca="false">IFERROR(IF(BH996="","",BH996*INDEX('00 - Lists'!$M$2:$M$11,MATCH(L996,'00 - Lists'!$L$2:$L$11,0))/100000),"")</f>
        <v/>
      </c>
      <c r="BP996" s="35" t="str">
        <f aca="false">IFERROR(IF(BI996="","",BI996*INDEX('00 - Lists'!$M$2:$M$11,MATCH(L996,'00 - Lists'!$L$2:$L$11,0))/100000),"")</f>
        <v/>
      </c>
      <c r="BS996" s="36" t="str">
        <f aca="false">IF(O996="","",IF(O996&gt;=20,"Yes","No"))</f>
        <v/>
      </c>
      <c r="BT996" s="36" t="str">
        <f aca="false">IF(O996="","",IF(O996&gt;=30,"Yes","No"))</f>
        <v/>
      </c>
      <c r="BU996" s="36" t="str">
        <f aca="false">IF(O996="","",IF(O996&gt;=75,"Yes","No"))</f>
        <v/>
      </c>
      <c r="BV996" s="36" t="str">
        <f aca="false">IF(O996="","",IF(O996&gt;=100,"Yes","No"))</f>
        <v/>
      </c>
      <c r="BW996" s="36" t="str">
        <f aca="false">IF(O996="","",IF(O996&gt;=150,"Yes","No"))</f>
        <v/>
      </c>
      <c r="BX996" s="36" t="str">
        <f aca="false">IF(O996="","",IF(O996&gt;=200,"Yes","No"))</f>
        <v/>
      </c>
      <c r="BY996" s="36" t="str">
        <f aca="false">IF(Q996="","",IF(Q996&gt;=150000,"Yes","No"))</f>
        <v/>
      </c>
      <c r="BZ996" s="36" t="str">
        <f aca="false">IF(Q996="","",IF(Q996&gt;=200000,"Yes","No"))</f>
        <v/>
      </c>
      <c r="CA996" s="36" t="str">
        <f aca="false">IF(Q996="","",IF(Q996&gt;=250000,"Yes","No"))</f>
        <v/>
      </c>
      <c r="CB996" s="36" t="str">
        <f aca="false">IF(Q996="","",IF(Q996&gt;=300000,"Yes","No"))</f>
        <v/>
      </c>
      <c r="CC996" s="37"/>
      <c r="CD996" s="36" t="str">
        <f aca="true">IF(B996="","",IF(TODAY()-B996&lt;=7,"🟢 0-7d",IF(TODAY()-B996&lt;=30,"🟡 8-30d",IF(TODAY()-B996&lt;=60,"🟠 31-60d","🔴 60d+"))))</f>
        <v/>
      </c>
      <c r="CE996" s="36" t="str">
        <f aca="false">IF(G996="","",IF(G996&lt;&gt;"USA","N/A - Not USA Role",IF(J996="Yes",IF(OR(F996="Intern",F996="New Grad"),"🟡 Possible","🟢 Strong"),IF(J996="No","🔴 Difficult","⚪ Unknown"))))</f>
        <v/>
      </c>
      <c r="CF996" s="37"/>
      <c r="CG996" s="37"/>
      <c r="CH996" s="38"/>
      <c r="CI996" s="38"/>
      <c r="CJ996" s="38"/>
      <c r="CK996" s="38"/>
    </row>
    <row r="997" customFormat="false" ht="15" hidden="false" customHeight="true" outlineLevel="0" collapsed="false">
      <c r="A997" s="26" t="str">
        <f aca="false">IF($C997="","",ROW()-3)</f>
        <v/>
      </c>
      <c r="B997" s="27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9"/>
      <c r="N997" s="29"/>
      <c r="O997" s="30" t="str">
        <f aca="false">IFERROR(IF(M997="","",M997*INDEX('00 - Lists'!$M$2:$M$11,MATCH(L997,'00 - Lists'!$L$2:$L$11,0))/100000),"")</f>
        <v/>
      </c>
      <c r="P997" s="30" t="str">
        <f aca="false">IFERROR(IF(N997="","",N997*INDEX('00 - Lists'!$M$2:$M$11,MATCH(L997,'00 - Lists'!$L$2:$L$11,0))/100000),"")</f>
        <v/>
      </c>
      <c r="Q997" s="31" t="str">
        <f aca="false">IFERROR(IF(M997="","",M997*INDEX('00 - Lists'!$N$2:$N$11,MATCH(L997,'00 - Lists'!$L$2:$L$11,0))),"")</f>
        <v/>
      </c>
      <c r="R997" s="31" t="str">
        <f aca="false">IFERROR(IF(N997="","",N997*INDEX('00 - Lists'!$N$2:$N$11,MATCH(L997,'00 - Lists'!$L$2:$L$11,0))),"")</f>
        <v/>
      </c>
      <c r="S997" s="32" t="str">
        <f aca="false">IF(O997="","",IF(O997&gt;=50,"Yes","No"))</f>
        <v/>
      </c>
      <c r="T997" s="32" t="str">
        <f aca="false">IF(Q997="","",IF(Q997&gt;=100000,"Yes","No"))</f>
        <v/>
      </c>
      <c r="U997" s="28"/>
      <c r="V997" s="28"/>
      <c r="W997" s="28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J997" s="34" t="str">
        <f aca="false">IF(OR($BD997&lt;&gt;"",$BF997&lt;&gt;"",$BH997&lt;&gt;""),"Yes","No")</f>
        <v>No</v>
      </c>
      <c r="BK997" s="35" t="str">
        <f aca="false">IFERROR(IF(BD997="","",BD997*INDEX('00 - Lists'!$M$2:$M$11,MATCH(L997,'00 - Lists'!$L$2:$L$11,0))/100000),"")</f>
        <v/>
      </c>
      <c r="BL997" s="35" t="str">
        <f aca="false">IFERROR(IF(BE997="","",BE997*INDEX('00 - Lists'!$M$2:$M$11,MATCH(L997,'00 - Lists'!$L$2:$L$11,0))/100000),"")</f>
        <v/>
      </c>
      <c r="BM997" s="35" t="str">
        <f aca="false">IFERROR(IF(BF997="","",BF997*INDEX('00 - Lists'!$M$2:$M$11,MATCH(L997,'00 - Lists'!$L$2:$L$11,0))/100000),"")</f>
        <v/>
      </c>
      <c r="BN997" s="35" t="str">
        <f aca="false">IFERROR(IF(BG997="","",BG997*INDEX('00 - Lists'!$M$2:$M$11,MATCH(L997,'00 - Lists'!$L$2:$L$11,0))/100000),"")</f>
        <v/>
      </c>
      <c r="BO997" s="35" t="str">
        <f aca="false">IFERROR(IF(BH997="","",BH997*INDEX('00 - Lists'!$M$2:$M$11,MATCH(L997,'00 - Lists'!$L$2:$L$11,0))/100000),"")</f>
        <v/>
      </c>
      <c r="BP997" s="35" t="str">
        <f aca="false">IFERROR(IF(BI997="","",BI997*INDEX('00 - Lists'!$M$2:$M$11,MATCH(L997,'00 - Lists'!$L$2:$L$11,0))/100000),"")</f>
        <v/>
      </c>
      <c r="BS997" s="36" t="str">
        <f aca="false">IF(O997="","",IF(O997&gt;=20,"Yes","No"))</f>
        <v/>
      </c>
      <c r="BT997" s="36" t="str">
        <f aca="false">IF(O997="","",IF(O997&gt;=30,"Yes","No"))</f>
        <v/>
      </c>
      <c r="BU997" s="36" t="str">
        <f aca="false">IF(O997="","",IF(O997&gt;=75,"Yes","No"))</f>
        <v/>
      </c>
      <c r="BV997" s="36" t="str">
        <f aca="false">IF(O997="","",IF(O997&gt;=100,"Yes","No"))</f>
        <v/>
      </c>
      <c r="BW997" s="36" t="str">
        <f aca="false">IF(O997="","",IF(O997&gt;=150,"Yes","No"))</f>
        <v/>
      </c>
      <c r="BX997" s="36" t="str">
        <f aca="false">IF(O997="","",IF(O997&gt;=200,"Yes","No"))</f>
        <v/>
      </c>
      <c r="BY997" s="36" t="str">
        <f aca="false">IF(Q997="","",IF(Q997&gt;=150000,"Yes","No"))</f>
        <v/>
      </c>
      <c r="BZ997" s="36" t="str">
        <f aca="false">IF(Q997="","",IF(Q997&gt;=200000,"Yes","No"))</f>
        <v/>
      </c>
      <c r="CA997" s="36" t="str">
        <f aca="false">IF(Q997="","",IF(Q997&gt;=250000,"Yes","No"))</f>
        <v/>
      </c>
      <c r="CB997" s="36" t="str">
        <f aca="false">IF(Q997="","",IF(Q997&gt;=300000,"Yes","No"))</f>
        <v/>
      </c>
      <c r="CC997" s="37"/>
      <c r="CD997" s="36" t="str">
        <f aca="true">IF(B997="","",IF(TODAY()-B997&lt;=7,"🟢 0-7d",IF(TODAY()-B997&lt;=30,"🟡 8-30d",IF(TODAY()-B997&lt;=60,"🟠 31-60d","🔴 60d+"))))</f>
        <v/>
      </c>
      <c r="CE997" s="36" t="str">
        <f aca="false">IF(G997="","",IF(G997&lt;&gt;"USA","N/A - Not USA Role",IF(J997="Yes",IF(OR(F997="Intern",F997="New Grad"),"🟡 Possible","🟢 Strong"),IF(J997="No","🔴 Difficult","⚪ Unknown"))))</f>
        <v/>
      </c>
      <c r="CF997" s="37"/>
      <c r="CG997" s="37"/>
      <c r="CH997" s="38"/>
      <c r="CI997" s="38"/>
      <c r="CJ997" s="38"/>
      <c r="CK997" s="38"/>
    </row>
    <row r="998" customFormat="false" ht="15" hidden="false" customHeight="true" outlineLevel="0" collapsed="false">
      <c r="A998" s="26" t="str">
        <f aca="false">IF($C998="","",ROW()-3)</f>
        <v/>
      </c>
      <c r="B998" s="27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9"/>
      <c r="N998" s="29"/>
      <c r="O998" s="30" t="str">
        <f aca="false">IFERROR(IF(M998="","",M998*INDEX('00 - Lists'!$M$2:$M$11,MATCH(L998,'00 - Lists'!$L$2:$L$11,0))/100000),"")</f>
        <v/>
      </c>
      <c r="P998" s="30" t="str">
        <f aca="false">IFERROR(IF(N998="","",N998*INDEX('00 - Lists'!$M$2:$M$11,MATCH(L998,'00 - Lists'!$L$2:$L$11,0))/100000),"")</f>
        <v/>
      </c>
      <c r="Q998" s="31" t="str">
        <f aca="false">IFERROR(IF(M998="","",M998*INDEX('00 - Lists'!$N$2:$N$11,MATCH(L998,'00 - Lists'!$L$2:$L$11,0))),"")</f>
        <v/>
      </c>
      <c r="R998" s="31" t="str">
        <f aca="false">IFERROR(IF(N998="","",N998*INDEX('00 - Lists'!$N$2:$N$11,MATCH(L998,'00 - Lists'!$L$2:$L$11,0))),"")</f>
        <v/>
      </c>
      <c r="S998" s="32" t="str">
        <f aca="false">IF(O998="","",IF(O998&gt;=50,"Yes","No"))</f>
        <v/>
      </c>
      <c r="T998" s="32" t="str">
        <f aca="false">IF(Q998="","",IF(Q998&gt;=100000,"Yes","No"))</f>
        <v/>
      </c>
      <c r="U998" s="28"/>
      <c r="V998" s="28"/>
      <c r="W998" s="28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J998" s="34" t="str">
        <f aca="false">IF(OR($BD998&lt;&gt;"",$BF998&lt;&gt;"",$BH998&lt;&gt;""),"Yes","No")</f>
        <v>No</v>
      </c>
      <c r="BK998" s="35" t="str">
        <f aca="false">IFERROR(IF(BD998="","",BD998*INDEX('00 - Lists'!$M$2:$M$11,MATCH(L998,'00 - Lists'!$L$2:$L$11,0))/100000),"")</f>
        <v/>
      </c>
      <c r="BL998" s="35" t="str">
        <f aca="false">IFERROR(IF(BE998="","",BE998*INDEX('00 - Lists'!$M$2:$M$11,MATCH(L998,'00 - Lists'!$L$2:$L$11,0))/100000),"")</f>
        <v/>
      </c>
      <c r="BM998" s="35" t="str">
        <f aca="false">IFERROR(IF(BF998="","",BF998*INDEX('00 - Lists'!$M$2:$M$11,MATCH(L998,'00 - Lists'!$L$2:$L$11,0))/100000),"")</f>
        <v/>
      </c>
      <c r="BN998" s="35" t="str">
        <f aca="false">IFERROR(IF(BG998="","",BG998*INDEX('00 - Lists'!$M$2:$M$11,MATCH(L998,'00 - Lists'!$L$2:$L$11,0))/100000),"")</f>
        <v/>
      </c>
      <c r="BO998" s="35" t="str">
        <f aca="false">IFERROR(IF(BH998="","",BH998*INDEX('00 - Lists'!$M$2:$M$11,MATCH(L998,'00 - Lists'!$L$2:$L$11,0))/100000),"")</f>
        <v/>
      </c>
      <c r="BP998" s="35" t="str">
        <f aca="false">IFERROR(IF(BI998="","",BI998*INDEX('00 - Lists'!$M$2:$M$11,MATCH(L998,'00 - Lists'!$L$2:$L$11,0))/100000),"")</f>
        <v/>
      </c>
      <c r="BS998" s="36" t="str">
        <f aca="false">IF(O998="","",IF(O998&gt;=20,"Yes","No"))</f>
        <v/>
      </c>
      <c r="BT998" s="36" t="str">
        <f aca="false">IF(O998="","",IF(O998&gt;=30,"Yes","No"))</f>
        <v/>
      </c>
      <c r="BU998" s="36" t="str">
        <f aca="false">IF(O998="","",IF(O998&gt;=75,"Yes","No"))</f>
        <v/>
      </c>
      <c r="BV998" s="36" t="str">
        <f aca="false">IF(O998="","",IF(O998&gt;=100,"Yes","No"))</f>
        <v/>
      </c>
      <c r="BW998" s="36" t="str">
        <f aca="false">IF(O998="","",IF(O998&gt;=150,"Yes","No"))</f>
        <v/>
      </c>
      <c r="BX998" s="36" t="str">
        <f aca="false">IF(O998="","",IF(O998&gt;=200,"Yes","No"))</f>
        <v/>
      </c>
      <c r="BY998" s="36" t="str">
        <f aca="false">IF(Q998="","",IF(Q998&gt;=150000,"Yes","No"))</f>
        <v/>
      </c>
      <c r="BZ998" s="36" t="str">
        <f aca="false">IF(Q998="","",IF(Q998&gt;=200000,"Yes","No"))</f>
        <v/>
      </c>
      <c r="CA998" s="36" t="str">
        <f aca="false">IF(Q998="","",IF(Q998&gt;=250000,"Yes","No"))</f>
        <v/>
      </c>
      <c r="CB998" s="36" t="str">
        <f aca="false">IF(Q998="","",IF(Q998&gt;=300000,"Yes","No"))</f>
        <v/>
      </c>
      <c r="CC998" s="37"/>
      <c r="CD998" s="36" t="str">
        <f aca="true">IF(B998="","",IF(TODAY()-B998&lt;=7,"🟢 0-7d",IF(TODAY()-B998&lt;=30,"🟡 8-30d",IF(TODAY()-B998&lt;=60,"🟠 31-60d","🔴 60d+"))))</f>
        <v/>
      </c>
      <c r="CE998" s="36" t="str">
        <f aca="false">IF(G998="","",IF(G998&lt;&gt;"USA","N/A - Not USA Role",IF(J998="Yes",IF(OR(F998="Intern",F998="New Grad"),"🟡 Possible","🟢 Strong"),IF(J998="No","🔴 Difficult","⚪ Unknown"))))</f>
        <v/>
      </c>
      <c r="CF998" s="37"/>
      <c r="CG998" s="37"/>
      <c r="CH998" s="38"/>
      <c r="CI998" s="38"/>
      <c r="CJ998" s="38"/>
      <c r="CK998" s="38"/>
    </row>
    <row r="999" customFormat="false" ht="15" hidden="false" customHeight="true" outlineLevel="0" collapsed="false">
      <c r="A999" s="26" t="str">
        <f aca="false">IF($C999="","",ROW()-3)</f>
        <v/>
      </c>
      <c r="B999" s="27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9"/>
      <c r="N999" s="29"/>
      <c r="O999" s="30" t="str">
        <f aca="false">IFERROR(IF(M999="","",M999*INDEX('00 - Lists'!$M$2:$M$11,MATCH(L999,'00 - Lists'!$L$2:$L$11,0))/100000),"")</f>
        <v/>
      </c>
      <c r="P999" s="30" t="str">
        <f aca="false">IFERROR(IF(N999="","",N999*INDEX('00 - Lists'!$M$2:$M$11,MATCH(L999,'00 - Lists'!$L$2:$L$11,0))/100000),"")</f>
        <v/>
      </c>
      <c r="Q999" s="31" t="str">
        <f aca="false">IFERROR(IF(M999="","",M999*INDEX('00 - Lists'!$N$2:$N$11,MATCH(L999,'00 - Lists'!$L$2:$L$11,0))),"")</f>
        <v/>
      </c>
      <c r="R999" s="31" t="str">
        <f aca="false">IFERROR(IF(N999="","",N999*INDEX('00 - Lists'!$N$2:$N$11,MATCH(L999,'00 - Lists'!$L$2:$L$11,0))),"")</f>
        <v/>
      </c>
      <c r="S999" s="32" t="str">
        <f aca="false">IF(O999="","",IF(O999&gt;=50,"Yes","No"))</f>
        <v/>
      </c>
      <c r="T999" s="32" t="str">
        <f aca="false">IF(Q999="","",IF(Q999&gt;=100000,"Yes","No"))</f>
        <v/>
      </c>
      <c r="U999" s="28"/>
      <c r="V999" s="28"/>
      <c r="W999" s="28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J999" s="34" t="str">
        <f aca="false">IF(OR($BD999&lt;&gt;"",$BF999&lt;&gt;"",$BH999&lt;&gt;""),"Yes","No")</f>
        <v>No</v>
      </c>
      <c r="BK999" s="35" t="str">
        <f aca="false">IFERROR(IF(BD999="","",BD999*INDEX('00 - Lists'!$M$2:$M$11,MATCH(L999,'00 - Lists'!$L$2:$L$11,0))/100000),"")</f>
        <v/>
      </c>
      <c r="BL999" s="35" t="str">
        <f aca="false">IFERROR(IF(BE999="","",BE999*INDEX('00 - Lists'!$M$2:$M$11,MATCH(L999,'00 - Lists'!$L$2:$L$11,0))/100000),"")</f>
        <v/>
      </c>
      <c r="BM999" s="35" t="str">
        <f aca="false">IFERROR(IF(BF999="","",BF999*INDEX('00 - Lists'!$M$2:$M$11,MATCH(L999,'00 - Lists'!$L$2:$L$11,0))/100000),"")</f>
        <v/>
      </c>
      <c r="BN999" s="35" t="str">
        <f aca="false">IFERROR(IF(BG999="","",BG999*INDEX('00 - Lists'!$M$2:$M$11,MATCH(L999,'00 - Lists'!$L$2:$L$11,0))/100000),"")</f>
        <v/>
      </c>
      <c r="BO999" s="35" t="str">
        <f aca="false">IFERROR(IF(BH999="","",BH999*INDEX('00 - Lists'!$M$2:$M$11,MATCH(L999,'00 - Lists'!$L$2:$L$11,0))/100000),"")</f>
        <v/>
      </c>
      <c r="BP999" s="35" t="str">
        <f aca="false">IFERROR(IF(BI999="","",BI999*INDEX('00 - Lists'!$M$2:$M$11,MATCH(L999,'00 - Lists'!$L$2:$L$11,0))/100000),"")</f>
        <v/>
      </c>
      <c r="BS999" s="36" t="str">
        <f aca="false">IF(O999="","",IF(O999&gt;=20,"Yes","No"))</f>
        <v/>
      </c>
      <c r="BT999" s="36" t="str">
        <f aca="false">IF(O999="","",IF(O999&gt;=30,"Yes","No"))</f>
        <v/>
      </c>
      <c r="BU999" s="36" t="str">
        <f aca="false">IF(O999="","",IF(O999&gt;=75,"Yes","No"))</f>
        <v/>
      </c>
      <c r="BV999" s="36" t="str">
        <f aca="false">IF(O999="","",IF(O999&gt;=100,"Yes","No"))</f>
        <v/>
      </c>
      <c r="BW999" s="36" t="str">
        <f aca="false">IF(O999="","",IF(O999&gt;=150,"Yes","No"))</f>
        <v/>
      </c>
      <c r="BX999" s="36" t="str">
        <f aca="false">IF(O999="","",IF(O999&gt;=200,"Yes","No"))</f>
        <v/>
      </c>
      <c r="BY999" s="36" t="str">
        <f aca="false">IF(Q999="","",IF(Q999&gt;=150000,"Yes","No"))</f>
        <v/>
      </c>
      <c r="BZ999" s="36" t="str">
        <f aca="false">IF(Q999="","",IF(Q999&gt;=200000,"Yes","No"))</f>
        <v/>
      </c>
      <c r="CA999" s="36" t="str">
        <f aca="false">IF(Q999="","",IF(Q999&gt;=250000,"Yes","No"))</f>
        <v/>
      </c>
      <c r="CB999" s="36" t="str">
        <f aca="false">IF(Q999="","",IF(Q999&gt;=300000,"Yes","No"))</f>
        <v/>
      </c>
      <c r="CC999" s="37"/>
      <c r="CD999" s="36" t="str">
        <f aca="true">IF(B999="","",IF(TODAY()-B999&lt;=7,"🟢 0-7d",IF(TODAY()-B999&lt;=30,"🟡 8-30d",IF(TODAY()-B999&lt;=60,"🟠 31-60d","🔴 60d+"))))</f>
        <v/>
      </c>
      <c r="CE999" s="36" t="str">
        <f aca="false">IF(G999="","",IF(G999&lt;&gt;"USA","N/A - Not USA Role",IF(J999="Yes",IF(OR(F999="Intern",F999="New Grad"),"🟡 Possible","🟢 Strong"),IF(J999="No","🔴 Difficult","⚪ Unknown"))))</f>
        <v/>
      </c>
      <c r="CF999" s="37"/>
      <c r="CG999" s="37"/>
      <c r="CH999" s="38"/>
      <c r="CI999" s="38"/>
      <c r="CJ999" s="38"/>
      <c r="CK999" s="38"/>
    </row>
    <row r="1000" customFormat="false" ht="15" hidden="false" customHeight="true" outlineLevel="0" collapsed="false">
      <c r="A1000" s="26" t="str">
        <f aca="false">IF($C1000="","",ROW()-3)</f>
        <v/>
      </c>
      <c r="B1000" s="27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9"/>
      <c r="N1000" s="29"/>
      <c r="O1000" s="30" t="str">
        <f aca="false">IFERROR(IF(M1000="","",M1000*INDEX('00 - Lists'!$M$2:$M$11,MATCH(L1000,'00 - Lists'!$L$2:$L$11,0))/100000),"")</f>
        <v/>
      </c>
      <c r="P1000" s="30" t="str">
        <f aca="false">IFERROR(IF(N1000="","",N1000*INDEX('00 - Lists'!$M$2:$M$11,MATCH(L1000,'00 - Lists'!$L$2:$L$11,0))/100000),"")</f>
        <v/>
      </c>
      <c r="Q1000" s="31" t="str">
        <f aca="false">IFERROR(IF(M1000="","",M1000*INDEX('00 - Lists'!$N$2:$N$11,MATCH(L1000,'00 - Lists'!$L$2:$L$11,0))),"")</f>
        <v/>
      </c>
      <c r="R1000" s="31" t="str">
        <f aca="false">IFERROR(IF(N1000="","",N1000*INDEX('00 - Lists'!$N$2:$N$11,MATCH(L1000,'00 - Lists'!$L$2:$L$11,0))),"")</f>
        <v/>
      </c>
      <c r="S1000" s="32" t="str">
        <f aca="false">IF(O1000="","",IF(O1000&gt;=50,"Yes","No"))</f>
        <v/>
      </c>
      <c r="T1000" s="32" t="str">
        <f aca="false">IF(Q1000="","",IF(Q1000&gt;=100000,"Yes","No"))</f>
        <v/>
      </c>
      <c r="U1000" s="28"/>
      <c r="V1000" s="28"/>
      <c r="W1000" s="28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J1000" s="34" t="str">
        <f aca="false">IF(OR($BD1000&lt;&gt;"",$BF1000&lt;&gt;"",$BH1000&lt;&gt;""),"Yes","No")</f>
        <v>No</v>
      </c>
      <c r="BK1000" s="35" t="str">
        <f aca="false">IFERROR(IF(BD1000="","",BD1000*INDEX('00 - Lists'!$M$2:$M$11,MATCH(L1000,'00 - Lists'!$L$2:$L$11,0))/100000),"")</f>
        <v/>
      </c>
      <c r="BL1000" s="35" t="str">
        <f aca="false">IFERROR(IF(BE1000="","",BE1000*INDEX('00 - Lists'!$M$2:$M$11,MATCH(L1000,'00 - Lists'!$L$2:$L$11,0))/100000),"")</f>
        <v/>
      </c>
      <c r="BM1000" s="35" t="str">
        <f aca="false">IFERROR(IF(BF1000="","",BF1000*INDEX('00 - Lists'!$M$2:$M$11,MATCH(L1000,'00 - Lists'!$L$2:$L$11,0))/100000),"")</f>
        <v/>
      </c>
      <c r="BN1000" s="35" t="str">
        <f aca="false">IFERROR(IF(BG1000="","",BG1000*INDEX('00 - Lists'!$M$2:$M$11,MATCH(L1000,'00 - Lists'!$L$2:$L$11,0))/100000),"")</f>
        <v/>
      </c>
      <c r="BO1000" s="35" t="str">
        <f aca="false">IFERROR(IF(BH1000="","",BH1000*INDEX('00 - Lists'!$M$2:$M$11,MATCH(L1000,'00 - Lists'!$L$2:$L$11,0))/100000),"")</f>
        <v/>
      </c>
      <c r="BP1000" s="35" t="str">
        <f aca="false">IFERROR(IF(BI1000="","",BI1000*INDEX('00 - Lists'!$M$2:$M$11,MATCH(L1000,'00 - Lists'!$L$2:$L$11,0))/100000),"")</f>
        <v/>
      </c>
      <c r="BS1000" s="36" t="str">
        <f aca="false">IF(O1000="","",IF(O1000&gt;=20,"Yes","No"))</f>
        <v/>
      </c>
      <c r="BT1000" s="36" t="str">
        <f aca="false">IF(O1000="","",IF(O1000&gt;=30,"Yes","No"))</f>
        <v/>
      </c>
      <c r="BU1000" s="36" t="str">
        <f aca="false">IF(O1000="","",IF(O1000&gt;=75,"Yes","No"))</f>
        <v/>
      </c>
      <c r="BV1000" s="36" t="str">
        <f aca="false">IF(O1000="","",IF(O1000&gt;=100,"Yes","No"))</f>
        <v/>
      </c>
      <c r="BW1000" s="36" t="str">
        <f aca="false">IF(O1000="","",IF(O1000&gt;=150,"Yes","No"))</f>
        <v/>
      </c>
      <c r="BX1000" s="36" t="str">
        <f aca="false">IF(O1000="","",IF(O1000&gt;=200,"Yes","No"))</f>
        <v/>
      </c>
      <c r="BY1000" s="36" t="str">
        <f aca="false">IF(Q1000="","",IF(Q1000&gt;=150000,"Yes","No"))</f>
        <v/>
      </c>
      <c r="BZ1000" s="36" t="str">
        <f aca="false">IF(Q1000="","",IF(Q1000&gt;=200000,"Yes","No"))</f>
        <v/>
      </c>
      <c r="CA1000" s="36" t="str">
        <f aca="false">IF(Q1000="","",IF(Q1000&gt;=250000,"Yes","No"))</f>
        <v/>
      </c>
      <c r="CB1000" s="36" t="str">
        <f aca="false">IF(Q1000="","",IF(Q1000&gt;=300000,"Yes","No"))</f>
        <v/>
      </c>
      <c r="CC1000" s="37"/>
      <c r="CD1000" s="36" t="str">
        <f aca="true">IF(B1000="","",IF(TODAY()-B1000&lt;=7,"🟢 0-7d",IF(TODAY()-B1000&lt;=30,"🟡 8-30d",IF(TODAY()-B1000&lt;=60,"🟠 31-60d","🔴 60d+"))))</f>
        <v/>
      </c>
      <c r="CE1000" s="36" t="str">
        <f aca="false">IF(G1000="","",IF(G1000&lt;&gt;"USA","N/A - Not USA Role",IF(J1000="Yes",IF(OR(F1000="Intern",F1000="New Grad"),"🟡 Possible","🟢 Strong"),IF(J1000="No","🔴 Difficult","⚪ Unknown"))))</f>
        <v/>
      </c>
      <c r="CF1000" s="37"/>
      <c r="CG1000" s="37"/>
      <c r="CH1000" s="38"/>
      <c r="CI1000" s="38"/>
      <c r="CJ1000" s="38"/>
      <c r="CK1000" s="38"/>
    </row>
  </sheetData>
  <mergeCells count="1">
    <mergeCell ref="A1:BC1"/>
  </mergeCells>
  <conditionalFormatting sqref="X3:BC1000">
    <cfRule type="expression" priority="2" aboveAverage="0" equalAverage="0" bottom="0" percent="0" rank="0" text="" dxfId="0">
      <formula>X3="Yes"</formula>
    </cfRule>
  </conditionalFormatting>
  <conditionalFormatting sqref="J3:J1000">
    <cfRule type="cellIs" priority="3" operator="equal" aboveAverage="0" equalAverage="0" bottom="0" percent="0" rank="0" text="" dxfId="1">
      <formula>"Yes"</formula>
    </cfRule>
    <cfRule type="cellIs" priority="4" operator="equal" aboveAverage="0" equalAverage="0" bottom="0" percent="0" rank="0" text="" dxfId="2">
      <formula>"No"</formula>
    </cfRule>
  </conditionalFormatting>
  <conditionalFormatting sqref="K3:K1000">
    <cfRule type="cellIs" priority="5" operator="equal" aboveAverage="0" equalAverage="0" bottom="0" percent="0" rank="0" text="" dxfId="1">
      <formula>"Yes"</formula>
    </cfRule>
    <cfRule type="cellIs" priority="6" operator="equal" aboveAverage="0" equalAverage="0" bottom="0" percent="0" rank="0" text="" dxfId="2">
      <formula>"No"</formula>
    </cfRule>
  </conditionalFormatting>
  <conditionalFormatting sqref="CM3:CW1000">
    <cfRule type="expression" priority="7" aboveAverage="0" equalAverage="0" bottom="0" percent="0" rank="0" text="" dxfId="0">
      <formula>X3="Yes"</formula>
    </cfRule>
  </conditionalFormatting>
  <dataValidations count="46">
    <dataValidation allowBlank="true" errorStyle="stop" operator="between" showDropDown="false" showErrorMessage="false" showInputMessage="false" sqref="E3:E1000" type="list">
      <formula1>'00 - Lists'!$A$2:$A$17</formula1>
      <formula2>0</formula2>
    </dataValidation>
    <dataValidation allowBlank="true" errorStyle="stop" operator="between" showDropDown="false" showErrorMessage="false" showInputMessage="false" sqref="F3:F1000" type="list">
      <formula1>'00 - Lists'!$B$2:$B$8</formula1>
      <formula2>0</formula2>
    </dataValidation>
    <dataValidation allowBlank="true" errorStyle="stop" operator="between" showDropDown="false" showErrorMessage="false" showInputMessage="false" sqref="G3:G1000" type="list">
      <formula1>'00 - Lists'!$F$2:$F$19</formula1>
      <formula2>0</formula2>
    </dataValidation>
    <dataValidation allowBlank="true" errorStyle="stop" operator="between" showDropDown="false" showErrorMessage="false" showInputMessage="false" sqref="I3:I1000" type="list">
      <formula1>'00 - Lists'!$C$2:$C$5</formula1>
      <formula2>0</formula2>
    </dataValidation>
    <dataValidation allowBlank="true" errorStyle="stop" operator="between" showDropDown="false" showErrorMessage="false" showInputMessage="false" sqref="J3:J1000" type="list">
      <formula1>'00 - Lists'!$D$2:$D$4</formula1>
      <formula2>0</formula2>
    </dataValidation>
    <dataValidation allowBlank="true" errorStyle="stop" operator="between" showDropDown="false" showErrorMessage="false" showInputMessage="false" sqref="K3:K1000" type="list">
      <formula1>'00 - Lists'!$D$2:$D$4</formula1>
      <formula2>0</formula2>
    </dataValidation>
    <dataValidation allowBlank="true" errorStyle="stop" operator="between" showDropDown="false" showErrorMessage="false" showInputMessage="false" sqref="L3:L1000" type="list">
      <formula1>'00 - Lists'!$E$2:$E$12</formula1>
      <formula2>0</formula2>
    </dataValidation>
    <dataValidation allowBlank="true" errorStyle="stop" operator="between" showDropDown="false" showErrorMessage="false" showInputMessage="false" sqref="W3:W1000" type="list">
      <formula1>'00 - Lists'!$H$2:$H$3</formula1>
      <formula2>0</formula2>
    </dataValidation>
    <dataValidation allowBlank="true" errorStyle="stop" operator="between" showDropDown="false" showErrorMessage="false" showInputMessage="false" sqref="C3:C1000" type="list">
      <formula1>'00 - Lists'!$G$2:$G$47</formula1>
      <formula2>0</formula2>
    </dataValidation>
    <dataValidation allowBlank="true" errorStyle="stop" operator="between" showDropDown="false" showErrorMessage="false" showInputMessage="false" sqref="X3:X1000" type="list">
      <formula1>'00 - Lists'!$H$2:$H$3</formula1>
      <formula2>0</formula2>
    </dataValidation>
    <dataValidation allowBlank="true" errorStyle="stop" operator="between" showDropDown="false" showErrorMessage="false" showInputMessage="false" sqref="Y3:Y1000" type="list">
      <formula1>'00 - Lists'!$H$2:$H$3</formula1>
      <formula2>0</formula2>
    </dataValidation>
    <dataValidation allowBlank="true" errorStyle="stop" operator="between" showDropDown="false" showErrorMessage="false" showInputMessage="false" sqref="Z3:Z1000" type="list">
      <formula1>'00 - Lists'!$H$2:$H$3</formula1>
      <formula2>0</formula2>
    </dataValidation>
    <dataValidation allowBlank="true" errorStyle="stop" operator="between" showDropDown="false" showErrorMessage="false" showInputMessage="false" sqref="AA3:AA1000" type="list">
      <formula1>'00 - Lists'!$H$2:$H$3</formula1>
      <formula2>0</formula2>
    </dataValidation>
    <dataValidation allowBlank="true" errorStyle="stop" operator="between" showDropDown="false" showErrorMessage="false" showInputMessage="false" sqref="AB3:AB1000" type="list">
      <formula1>'00 - Lists'!$H$2:$H$3</formula1>
      <formula2>0</formula2>
    </dataValidation>
    <dataValidation allowBlank="true" errorStyle="stop" operator="between" showDropDown="false" showErrorMessage="false" showInputMessage="false" sqref="AC3:AC1000" type="list">
      <formula1>'00 - Lists'!$H$2:$H$3</formula1>
      <formula2>0</formula2>
    </dataValidation>
    <dataValidation allowBlank="true" errorStyle="stop" operator="between" showDropDown="false" showErrorMessage="false" showInputMessage="false" sqref="AD3:AD1000" type="list">
      <formula1>'00 - Lists'!$H$2:$H$3</formula1>
      <formula2>0</formula2>
    </dataValidation>
    <dataValidation allowBlank="true" errorStyle="stop" operator="between" showDropDown="false" showErrorMessage="false" showInputMessage="false" sqref="AE3:AE1000" type="list">
      <formula1>'00 - Lists'!$H$2:$H$3</formula1>
      <formula2>0</formula2>
    </dataValidation>
    <dataValidation allowBlank="true" errorStyle="stop" operator="between" showDropDown="false" showErrorMessage="false" showInputMessage="false" sqref="AF3:AF1000" type="list">
      <formula1>'00 - Lists'!$H$2:$H$3</formula1>
      <formula2>0</formula2>
    </dataValidation>
    <dataValidation allowBlank="true" errorStyle="stop" operator="between" showDropDown="false" showErrorMessage="false" showInputMessage="false" sqref="AG3:AG1000" type="list">
      <formula1>'00 - Lists'!$H$2:$H$3</formula1>
      <formula2>0</formula2>
    </dataValidation>
    <dataValidation allowBlank="true" errorStyle="stop" operator="between" showDropDown="false" showErrorMessage="false" showInputMessage="false" sqref="AH3:AH1000" type="list">
      <formula1>'00 - Lists'!$H$2:$H$3</formula1>
      <formula2>0</formula2>
    </dataValidation>
    <dataValidation allowBlank="true" errorStyle="stop" operator="between" showDropDown="false" showErrorMessage="false" showInputMessage="false" sqref="AI3:AI1000" type="list">
      <formula1>'00 - Lists'!$H$2:$H$3</formula1>
      <formula2>0</formula2>
    </dataValidation>
    <dataValidation allowBlank="true" errorStyle="stop" operator="between" showDropDown="false" showErrorMessage="false" showInputMessage="false" sqref="AJ3:AJ1000" type="list">
      <formula1>'00 - Lists'!$H$2:$H$3</formula1>
      <formula2>0</formula2>
    </dataValidation>
    <dataValidation allowBlank="true" errorStyle="stop" operator="between" showDropDown="false" showErrorMessage="false" showInputMessage="false" sqref="AK3:AK1000" type="list">
      <formula1>'00 - Lists'!$H$2:$H$3</formula1>
      <formula2>0</formula2>
    </dataValidation>
    <dataValidation allowBlank="true" errorStyle="stop" operator="between" showDropDown="false" showErrorMessage="false" showInputMessage="false" sqref="AL3:AL1000" type="list">
      <formula1>'00 - Lists'!$H$2:$H$3</formula1>
      <formula2>0</formula2>
    </dataValidation>
    <dataValidation allowBlank="true" errorStyle="stop" operator="between" showDropDown="false" showErrorMessage="false" showInputMessage="false" sqref="AM3:AM1000" type="list">
      <formula1>'00 - Lists'!$H$2:$H$3</formula1>
      <formula2>0</formula2>
    </dataValidation>
    <dataValidation allowBlank="true" errorStyle="stop" operator="between" showDropDown="false" showErrorMessage="false" showInputMessage="false" sqref="AN3:AN1000" type="list">
      <formula1>'00 - Lists'!$H$2:$H$3</formula1>
      <formula2>0</formula2>
    </dataValidation>
    <dataValidation allowBlank="true" errorStyle="stop" operator="between" showDropDown="false" showErrorMessage="false" showInputMessage="false" sqref="AO3:AO1000" type="list">
      <formula1>'00 - Lists'!$H$2:$H$3</formula1>
      <formula2>0</formula2>
    </dataValidation>
    <dataValidation allowBlank="true" errorStyle="stop" operator="between" showDropDown="false" showErrorMessage="false" showInputMessage="false" sqref="AP3:AP1000" type="list">
      <formula1>'00 - Lists'!$H$2:$H$3</formula1>
      <formula2>0</formula2>
    </dataValidation>
    <dataValidation allowBlank="true" errorStyle="stop" operator="between" showDropDown="false" showErrorMessage="false" showInputMessage="false" sqref="AQ3:AQ1000" type="list">
      <formula1>'00 - Lists'!$H$2:$H$3</formula1>
      <formula2>0</formula2>
    </dataValidation>
    <dataValidation allowBlank="true" errorStyle="stop" operator="between" showDropDown="false" showErrorMessage="false" showInputMessage="false" sqref="AR3:AR1000" type="list">
      <formula1>'00 - Lists'!$H$2:$H$3</formula1>
      <formula2>0</formula2>
    </dataValidation>
    <dataValidation allowBlank="true" errorStyle="stop" operator="between" showDropDown="false" showErrorMessage="false" showInputMessage="false" sqref="AS3:AS1000" type="list">
      <formula1>'00 - Lists'!$H$2:$H$3</formula1>
      <formula2>0</formula2>
    </dataValidation>
    <dataValidation allowBlank="true" errorStyle="stop" operator="between" showDropDown="false" showErrorMessage="false" showInputMessage="false" sqref="AT3:AT1000" type="list">
      <formula1>'00 - Lists'!$H$2:$H$3</formula1>
      <formula2>0</formula2>
    </dataValidation>
    <dataValidation allowBlank="true" errorStyle="stop" operator="between" showDropDown="false" showErrorMessage="false" showInputMessage="false" sqref="AU3:AU1000" type="list">
      <formula1>'00 - Lists'!$H$2:$H$3</formula1>
      <formula2>0</formula2>
    </dataValidation>
    <dataValidation allowBlank="true" errorStyle="stop" operator="between" showDropDown="false" showErrorMessage="false" showInputMessage="false" sqref="AV3:AV1000" type="list">
      <formula1>'00 - Lists'!$H$2:$H$3</formula1>
      <formula2>0</formula2>
    </dataValidation>
    <dataValidation allowBlank="true" errorStyle="stop" operator="between" showDropDown="false" showErrorMessage="false" showInputMessage="false" sqref="AW3:AW1000" type="list">
      <formula1>'00 - Lists'!$H$2:$H$3</formula1>
      <formula2>0</formula2>
    </dataValidation>
    <dataValidation allowBlank="true" errorStyle="stop" operator="between" showDropDown="false" showErrorMessage="false" showInputMessage="false" sqref="AX3:AX1000" type="list">
      <formula1>'00 - Lists'!$H$2:$H$3</formula1>
      <formula2>0</formula2>
    </dataValidation>
    <dataValidation allowBlank="true" errorStyle="stop" operator="between" showDropDown="false" showErrorMessage="false" showInputMessage="false" sqref="AY3:AY1000" type="list">
      <formula1>'00 - Lists'!$H$2:$H$3</formula1>
      <formula2>0</formula2>
    </dataValidation>
    <dataValidation allowBlank="true" errorStyle="stop" operator="between" showDropDown="false" showErrorMessage="false" showInputMessage="false" sqref="AZ3:AZ1000" type="list">
      <formula1>'00 - Lists'!$H$2:$H$3</formula1>
      <formula2>0</formula2>
    </dataValidation>
    <dataValidation allowBlank="true" errorStyle="stop" operator="between" showDropDown="false" showErrorMessage="false" showInputMessage="false" sqref="BA3:BA1000" type="list">
      <formula1>'00 - Lists'!$H$2:$H$3</formula1>
      <formula2>0</formula2>
    </dataValidation>
    <dataValidation allowBlank="true" errorStyle="stop" operator="between" showDropDown="false" showErrorMessage="false" showInputMessage="false" sqref="BB3:BB1000" type="list">
      <formula1>'00 - Lists'!$H$2:$H$3</formula1>
      <formula2>0</formula2>
    </dataValidation>
    <dataValidation allowBlank="true" errorStyle="stop" operator="between" showDropDown="false" showErrorMessage="false" showInputMessage="false" sqref="BC3:BC1000" type="list">
      <formula1>'00 - Lists'!$H$2:$H$3</formula1>
      <formula2>0</formula2>
    </dataValidation>
    <dataValidation allowBlank="true" errorStyle="stop" operator="between" showDropDown="false" showErrorMessage="false" showInputMessage="false" sqref="CC3:CC1000" type="list">
      <formula1>'00 - Lists'!$P$2:$P$11</formula1>
      <formula2>0</formula2>
    </dataValidation>
    <dataValidation allowBlank="true" errorStyle="stop" operator="between" showDropDown="false" showErrorMessage="false" showInputMessage="false" sqref="CF3:CF1000" type="list">
      <formula1>'00 - Lists'!$Q$2:$Q$3</formula1>
      <formula2>0</formula2>
    </dataValidation>
    <dataValidation allowBlank="true" errorStyle="stop" operator="between" showDropDown="false" showErrorMessage="false" showInputMessage="false" sqref="CG3:CG1000" type="list">
      <formula1>'00 - Lists'!$Q$2:$Q$3</formula1>
      <formula2>0</formula2>
    </dataValidation>
    <dataValidation allowBlank="true" errorStyle="stop" operator="between" showDropDown="false" showErrorMessage="false" showInputMessage="false" sqref="CH3:CH1000" type="list">
      <formula1>'00 - Lists'!$R$2:$R$8</formula1>
      <formula2>0</formula2>
    </dataValidation>
    <dataValidation allowBlank="true" errorStyle="stop" operator="between" showDropDown="false" showErrorMessage="false" showInputMessage="false" sqref="CM3:CW1000" type="list">
      <formula1>'00 - Lists'!$H$2:$H$3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15"/>
  </cols>
  <sheetData>
    <row r="1" customFormat="false" ht="30" hidden="false" customHeight="true" outlineLevel="0" collapsed="false">
      <c r="A1" s="2" t="s">
        <v>182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9" t="s">
        <v>183</v>
      </c>
      <c r="B3" s="39" t="n">
        <f aca="false">COUNTIFS('01 - Job Database'!$C$3:$C$1000,"&lt;&gt;",'01 - Job Database'!$W$3:$W$1000,"&lt;&gt;Yes")</f>
        <v>1</v>
      </c>
    </row>
    <row r="5" customFormat="false" ht="19.5" hidden="false" customHeight="true" outlineLevel="0" collapsed="false">
      <c r="A5" s="40" t="s">
        <v>184</v>
      </c>
      <c r="B5" s="40"/>
      <c r="C5" s="40"/>
      <c r="D5" s="40"/>
      <c r="E5" s="40"/>
      <c r="F5" s="40"/>
      <c r="G5" s="40"/>
      <c r="H5" s="40"/>
    </row>
    <row r="6" customFormat="false" ht="15" hidden="false" customHeight="true" outlineLevel="0" collapsed="false">
      <c r="A6" s="41" t="n">
        <f aca="false">'02 - Dashboard'!$B$3</f>
        <v>1</v>
      </c>
      <c r="B6" s="41"/>
      <c r="C6" s="41" t="n">
        <f aca="false">COUNTIFS('01 - Job Database'!$C$3:$C$1000,"&lt;&gt;",'01 - Job Database'!$W$3:$W$1000,"&lt;&gt;Yes",'01 - Job Database'!$G$3:$G$1000,"India")</f>
        <v>0</v>
      </c>
      <c r="D6" s="41"/>
      <c r="E6" s="41" t="n">
        <f aca="false">IFERROR('02 - Dashboard'!$B$3-COUNTIFS('01 - Job Database'!$C$3:$C$1000,"&lt;&gt;",'01 - Job Database'!$W$3:$W$1000,"&lt;&gt;Yes",'01 - Job Database'!$G$3:$G$1000,"India"),0)</f>
        <v>1</v>
      </c>
      <c r="F6" s="41"/>
      <c r="G6" s="41" t="n">
        <f aca="false">COUNTIF('05 - Country Intelligence'!$B$4:$B$21,"&gt;0")</f>
        <v>1</v>
      </c>
      <c r="H6" s="41"/>
    </row>
    <row r="7" customFormat="false" ht="15" hidden="false" customHeight="true" outlineLevel="0" collapsed="false">
      <c r="A7" s="41"/>
      <c r="B7" s="41"/>
      <c r="C7" s="41"/>
      <c r="D7" s="41"/>
      <c r="E7" s="41"/>
      <c r="F7" s="41"/>
      <c r="G7" s="41"/>
      <c r="H7" s="41"/>
    </row>
    <row r="8" customFormat="false" ht="15" hidden="false" customHeight="true" outlineLevel="0" collapsed="false">
      <c r="A8" s="42" t="s">
        <v>185</v>
      </c>
      <c r="B8" s="42"/>
      <c r="C8" s="42" t="s">
        <v>186</v>
      </c>
      <c r="D8" s="42"/>
      <c r="E8" s="42" t="s">
        <v>187</v>
      </c>
      <c r="F8" s="42"/>
      <c r="G8" s="42" t="s">
        <v>188</v>
      </c>
      <c r="H8" s="42"/>
    </row>
    <row r="10" customFormat="false" ht="15" hidden="false" customHeight="true" outlineLevel="0" collapsed="false">
      <c r="A10" s="43" t="n">
        <f aca="false">COUNTIFS('01 - Job Database'!$C$3:$C$1000,"&lt;&gt;",'01 - Job Database'!$W$3:$W$1000,"&lt;&gt;Yes",'01 - Job Database'!$S$3:$S$1000,"Yes")</f>
        <v>1</v>
      </c>
      <c r="B10" s="43"/>
      <c r="C10" s="43" t="n">
        <f aca="false">COUNTIFS('01 - Job Database'!$C$3:$C$1000,"&lt;&gt;",'01 - Job Database'!$W$3:$W$1000,"&lt;&gt;Yes",'01 - Job Database'!$T$3:$T$1000,"Yes")</f>
        <v>1</v>
      </c>
      <c r="D10" s="43"/>
      <c r="E10" s="43" t="n">
        <f aca="false">COUNTIFS('01 - Job Database'!$C$3:$C$1000,"&lt;&gt;",'01 - Job Database'!$W$3:$W$1000,"&lt;&gt;Yes",'01 - Job Database'!$Q$3:$Q$1000,"&gt;=150000")</f>
        <v>0</v>
      </c>
      <c r="F10" s="43"/>
      <c r="G10" s="43" t="n">
        <f aca="false">(COUNTIFS('01 - Job Database'!$C$3:$C$1000,"&lt;&gt;",'01 - Job Database'!$W$3:$W$1000,"&lt;&gt;Yes",'01 - Job Database'!$F$3:$F$1000,"Intern")+COUNTIFS('01 - Job Database'!$C$3:$C$1000,"&lt;&gt;",'01 - Job Database'!$W$3:$W$1000,"&lt;&gt;Yes",'01 - Job Database'!$F$3:$F$1000,"New Grad"))</f>
        <v>0</v>
      </c>
      <c r="H10" s="43"/>
    </row>
    <row r="11" customFormat="false" ht="15" hidden="false" customHeight="true" outlineLevel="0" collapsed="false">
      <c r="A11" s="43"/>
      <c r="B11" s="43"/>
      <c r="C11" s="43"/>
      <c r="D11" s="43"/>
      <c r="E11" s="43"/>
      <c r="F11" s="43"/>
      <c r="G11" s="43"/>
      <c r="H11" s="43"/>
    </row>
    <row r="12" customFormat="false" ht="15" hidden="false" customHeight="true" outlineLevel="0" collapsed="false">
      <c r="A12" s="44" t="s">
        <v>189</v>
      </c>
      <c r="B12" s="44"/>
      <c r="C12" s="44" t="s">
        <v>190</v>
      </c>
      <c r="D12" s="44"/>
      <c r="E12" s="44" t="s">
        <v>191</v>
      </c>
      <c r="F12" s="44"/>
      <c r="G12" s="44" t="s">
        <v>192</v>
      </c>
      <c r="H12" s="44"/>
    </row>
    <row r="14" customFormat="false" ht="15" hidden="false" customHeight="true" outlineLevel="0" collapsed="false">
      <c r="A14" s="45" t="n">
        <f aca="false">IFERROR(COUNTIFS('01 - Job Database'!$C$3:$C$1000,"&lt;&gt;",'01 - Job Database'!$W$3:$W$1000,"&lt;&gt;Yes",'01 - Job Database'!$J$3:$J$1000,"Yes")/'02 - Dashboard'!$B$3,0)</f>
        <v>0</v>
      </c>
      <c r="B14" s="45"/>
      <c r="C14" s="46" t="n">
        <f aca="false">COUNTIFS('01 - Job Database'!$C$3:$C$1000,"&lt;&gt;",'01 - Job Database'!$W$3:$W$1000,"&lt;&gt;Yes",'01 - Job Database'!$J$3:$J$1000,"Yes")</f>
        <v>0</v>
      </c>
      <c r="D14" s="46"/>
      <c r="E14" s="45" t="n">
        <f aca="false">IFERROR(COUNTIFS('01 - Job Database'!$C$3:$C$1000,"&lt;&gt;",'01 - Job Database'!$W$3:$W$1000,"&lt;&gt;Yes",'01 - Job Database'!$K$3:$K$1000,"Yes")/'02 - Dashboard'!$B$3,0)</f>
        <v>0</v>
      </c>
      <c r="F14" s="45"/>
      <c r="G14" s="45" t="n">
        <f aca="false">IFERROR((COUNTIFS('01 - Job Database'!$C$3:$C$1000,"&lt;&gt;",'01 - Job Database'!$W$3:$W$1000,"&lt;&gt;Yes",'01 - Job Database'!$F$3:$F$1000,"Intern")+COUNTIFS('01 - Job Database'!$C$3:$C$1000,"&lt;&gt;",'01 - Job Database'!$W$3:$W$1000,"&lt;&gt;Yes",'01 - Job Database'!$F$3:$F$1000,"New Grad"))/'02 - Dashboard'!$B$3,0)</f>
        <v>0</v>
      </c>
      <c r="H14" s="45"/>
    </row>
    <row r="15" customFormat="false" ht="15" hidden="false" customHeight="true" outlineLevel="0" collapsed="false">
      <c r="A15" s="45"/>
      <c r="B15" s="45"/>
      <c r="C15" s="46"/>
      <c r="D15" s="46"/>
      <c r="E15" s="45"/>
      <c r="F15" s="45"/>
      <c r="G15" s="45"/>
      <c r="H15" s="45"/>
    </row>
    <row r="16" customFormat="false" ht="15" hidden="false" customHeight="true" outlineLevel="0" collapsed="false">
      <c r="A16" s="47" t="s">
        <v>193</v>
      </c>
      <c r="B16" s="47"/>
      <c r="C16" s="47" t="s">
        <v>194</v>
      </c>
      <c r="D16" s="47"/>
      <c r="E16" s="47" t="s">
        <v>195</v>
      </c>
      <c r="F16" s="47"/>
      <c r="G16" s="47" t="s">
        <v>196</v>
      </c>
      <c r="H16" s="47"/>
    </row>
    <row r="18" customFormat="false" ht="19.5" hidden="false" customHeight="true" outlineLevel="0" collapsed="false">
      <c r="A18" s="40" t="s">
        <v>197</v>
      </c>
      <c r="B18" s="40"/>
      <c r="C18" s="40"/>
      <c r="E18" s="40" t="s">
        <v>198</v>
      </c>
      <c r="F18" s="40"/>
      <c r="G18" s="40"/>
    </row>
    <row r="19" customFormat="false" ht="15" hidden="false" customHeight="true" outlineLevel="0" collapsed="false">
      <c r="A19" s="12" t="s">
        <v>199</v>
      </c>
      <c r="B19" s="12" t="s">
        <v>50</v>
      </c>
      <c r="C19" s="12" t="s">
        <v>200</v>
      </c>
      <c r="E19" s="12" t="s">
        <v>199</v>
      </c>
      <c r="F19" s="12" t="s">
        <v>201</v>
      </c>
      <c r="G19" s="12" t="s">
        <v>200</v>
      </c>
    </row>
    <row r="20" customFormat="false" ht="15" hidden="false" customHeight="true" outlineLevel="0" collapsed="false">
      <c r="A20" s="26" t="n">
        <v>1</v>
      </c>
      <c r="B20" s="26" t="str">
        <f aca="false">IFERROR(INDEX('06 - Company Intelligence'!$A$4:$A$49,MATCH(LARGE('06 - Company Intelligence'!$H$4:$H$49,1),'06 - Company Intelligence'!$H$4:$H$49,0)),"—")</f>
        <v>Amazon</v>
      </c>
      <c r="C20" s="26" t="n">
        <f aca="false">IFERROR(INDEX('06 - Company Intelligence'!$B$4:$B$49,MATCH(LARGE('06 - Company Intelligence'!$H$4:$H$49,1),'06 - Company Intelligence'!$H$4:$H$49,0)),"")</f>
        <v>1</v>
      </c>
      <c r="E20" s="26" t="n">
        <v>1</v>
      </c>
      <c r="F20" s="26" t="str">
        <f aca="false">IFERROR(INDEX('04 - Role Intelligence'!$A$4:$A$19,MATCH(LARGE('04 - Role Intelligence'!$H$4:$H$19,1),'04 - Role Intelligence'!$H$4:$H$19,0)),"—")</f>
        <v>SWE / General</v>
      </c>
      <c r="G20" s="26" t="n">
        <f aca="false">IFERROR(INDEX('04 - Role Intelligence'!$B$4:$B$19,MATCH(LARGE('04 - Role Intelligence'!$H$4:$H$19,1),'04 - Role Intelligence'!$H$4:$H$19,0)),"")</f>
        <v>0</v>
      </c>
    </row>
    <row r="21" customFormat="false" ht="15" hidden="false" customHeight="true" outlineLevel="0" collapsed="false">
      <c r="A21" s="26" t="n">
        <v>2</v>
      </c>
      <c r="B21" s="26" t="str">
        <f aca="false">IFERROR(INDEX('06 - Company Intelligence'!$A$4:$A$49,MATCH(LARGE('06 - Company Intelligence'!$H$4:$H$49,2),'06 - Company Intelligence'!$H$4:$H$49,0)),"—")</f>
        <v>Google</v>
      </c>
      <c r="C21" s="26" t="n">
        <f aca="false">IFERROR(INDEX('06 - Company Intelligence'!$B$4:$B$49,MATCH(LARGE('06 - Company Intelligence'!$H$4:$H$49,2),'06 - Company Intelligence'!$H$4:$H$49,0)),"")</f>
        <v>0</v>
      </c>
      <c r="E21" s="26" t="n">
        <v>2</v>
      </c>
      <c r="F21" s="26" t="str">
        <f aca="false">IFERROR(INDEX('04 - Role Intelligence'!$A$4:$A$19,MATCH(LARGE('04 - Role Intelligence'!$H$4:$H$19,2),'04 - Role Intelligence'!$H$4:$H$19,0)),"—")</f>
        <v>Backend Engineer</v>
      </c>
      <c r="G21" s="26" t="n">
        <f aca="false">IFERROR(INDEX('04 - Role Intelligence'!$B$4:$B$19,MATCH(LARGE('04 - Role Intelligence'!$H$4:$H$19,2),'04 - Role Intelligence'!$H$4:$H$19,0)),"")</f>
        <v>0</v>
      </c>
    </row>
    <row r="22" customFormat="false" ht="15" hidden="false" customHeight="true" outlineLevel="0" collapsed="false">
      <c r="A22" s="26" t="n">
        <v>3</v>
      </c>
      <c r="B22" s="26" t="str">
        <f aca="false">IFERROR(INDEX('06 - Company Intelligence'!$A$4:$A$49,MATCH(LARGE('06 - Company Intelligence'!$H$4:$H$49,3),'06 - Company Intelligence'!$H$4:$H$49,0)),"—")</f>
        <v>Meta</v>
      </c>
      <c r="C22" s="26" t="n">
        <f aca="false">IFERROR(INDEX('06 - Company Intelligence'!$B$4:$B$49,MATCH(LARGE('06 - Company Intelligence'!$H$4:$H$49,3),'06 - Company Intelligence'!$H$4:$H$49,0)),"")</f>
        <v>0</v>
      </c>
      <c r="E22" s="26" t="n">
        <v>3</v>
      </c>
      <c r="F22" s="26" t="str">
        <f aca="false">IFERROR(INDEX('04 - Role Intelligence'!$A$4:$A$19,MATCH(LARGE('04 - Role Intelligence'!$H$4:$H$19,3),'04 - Role Intelligence'!$H$4:$H$19,0)),"—")</f>
        <v>Frontend Engineer</v>
      </c>
      <c r="G22" s="26" t="n">
        <f aca="false">IFERROR(INDEX('04 - Role Intelligence'!$B$4:$B$19,MATCH(LARGE('04 - Role Intelligence'!$H$4:$H$19,3),'04 - Role Intelligence'!$H$4:$H$19,0)),"")</f>
        <v>0</v>
      </c>
    </row>
    <row r="23" customFormat="false" ht="15" hidden="false" customHeight="true" outlineLevel="0" collapsed="false">
      <c r="A23" s="26" t="n">
        <v>4</v>
      </c>
      <c r="B23" s="26" t="str">
        <f aca="false">IFERROR(INDEX('06 - Company Intelligence'!$A$4:$A$49,MATCH(LARGE('06 - Company Intelligence'!$H$4:$H$49,4),'06 - Company Intelligence'!$H$4:$H$49,0)),"—")</f>
        <v>Apple</v>
      </c>
      <c r="C23" s="26" t="n">
        <f aca="false">IFERROR(INDEX('06 - Company Intelligence'!$B$4:$B$49,MATCH(LARGE('06 - Company Intelligence'!$H$4:$H$49,4),'06 - Company Intelligence'!$H$4:$H$49,0)),"")</f>
        <v>0</v>
      </c>
      <c r="E23" s="26" t="n">
        <v>4</v>
      </c>
      <c r="F23" s="26" t="str">
        <f aca="false">IFERROR(INDEX('04 - Role Intelligence'!$A$4:$A$19,MATCH(LARGE('04 - Role Intelligence'!$H$4:$H$19,4),'04 - Role Intelligence'!$H$4:$H$19,0)),"—")</f>
        <v>Cloud Engineer</v>
      </c>
      <c r="G23" s="26" t="n">
        <f aca="false">IFERROR(INDEX('04 - Role Intelligence'!$B$4:$B$19,MATCH(LARGE('04 - Role Intelligence'!$H$4:$H$19,4),'04 - Role Intelligence'!$H$4:$H$19,0)),"")</f>
        <v>0</v>
      </c>
    </row>
    <row r="24" customFormat="false" ht="15" hidden="false" customHeight="true" outlineLevel="0" collapsed="false">
      <c r="A24" s="26" t="n">
        <v>5</v>
      </c>
      <c r="B24" s="26" t="str">
        <f aca="false">IFERROR(INDEX('06 - Company Intelligence'!$A$4:$A$49,MATCH(LARGE('06 - Company Intelligence'!$H$4:$H$49,5),'06 - Company Intelligence'!$H$4:$H$49,0)),"—")</f>
        <v>Netflix</v>
      </c>
      <c r="C24" s="26" t="n">
        <f aca="false">IFERROR(INDEX('06 - Company Intelligence'!$B$4:$B$49,MATCH(LARGE('06 - Company Intelligence'!$H$4:$H$49,5),'06 - Company Intelligence'!$H$4:$H$49,0)),"")</f>
        <v>0</v>
      </c>
      <c r="E24" s="26" t="n">
        <v>5</v>
      </c>
      <c r="F24" s="26" t="str">
        <f aca="false">IFERROR(INDEX('04 - Role Intelligence'!$A$4:$A$19,MATCH(LARGE('04 - Role Intelligence'!$H$4:$H$19,5),'04 - Role Intelligence'!$H$4:$H$19,0)),"—")</f>
        <v>DevOps Engineer</v>
      </c>
      <c r="G24" s="26" t="n">
        <f aca="false">IFERROR(INDEX('04 - Role Intelligence'!$B$4:$B$19,MATCH(LARGE('04 - Role Intelligence'!$H$4:$H$19,5),'04 - Role Intelligence'!$H$4:$H$19,0)),"")</f>
        <v>0</v>
      </c>
    </row>
    <row r="26" customFormat="false" ht="19.5" hidden="false" customHeight="true" outlineLevel="0" collapsed="false">
      <c r="A26" s="40" t="s">
        <v>202</v>
      </c>
      <c r="B26" s="40"/>
      <c r="C26" s="40"/>
      <c r="E26" s="40" t="s">
        <v>203</v>
      </c>
      <c r="F26" s="40"/>
      <c r="G26" s="40"/>
    </row>
    <row r="27" customFormat="false" ht="15" hidden="false" customHeight="true" outlineLevel="0" collapsed="false">
      <c r="A27" s="12" t="s">
        <v>199</v>
      </c>
      <c r="B27" s="12" t="s">
        <v>204</v>
      </c>
      <c r="C27" s="12" t="s">
        <v>200</v>
      </c>
      <c r="E27" s="12" t="s">
        <v>199</v>
      </c>
      <c r="F27" s="12" t="s">
        <v>54</v>
      </c>
      <c r="G27" s="12" t="s">
        <v>200</v>
      </c>
    </row>
    <row r="28" customFormat="false" ht="15" hidden="false" customHeight="true" outlineLevel="0" collapsed="false">
      <c r="A28" s="26" t="n">
        <v>1</v>
      </c>
      <c r="B28" s="26" t="str">
        <f aca="false">IFERROR(INDEX('03 - Skill Intelligence'!$B$6:$B$48,MATCH(LARGE('03 - Skill Intelligence'!$E$6:$E$48,1),'03 - Skill Intelligence'!$E$6:$E$48,0)),"—")</f>
        <v>C++</v>
      </c>
      <c r="C28" s="26" t="n">
        <f aca="false">IFERROR(INDEX('03 - Skill Intelligence'!$C$6:$C$37,MATCH(LARGE('03 - Skill Intelligence'!$E$6:$E$37,1),'03 - Skill Intelligence'!$E$6:$E$37,0)),"")</f>
        <v>1</v>
      </c>
      <c r="E28" s="26" t="n">
        <v>1</v>
      </c>
      <c r="F28" s="26" t="str">
        <f aca="false">IFERROR(INDEX('05 - Country Intelligence'!$A$4:$A$21,MATCH(LARGE('05 - Country Intelligence'!$G$4:$G$21,1),'05 - Country Intelligence'!$G$4:$G$21,0)),"—")</f>
        <v>USA</v>
      </c>
      <c r="G28" s="26" t="n">
        <f aca="false">IFERROR(INDEX('05 - Country Intelligence'!$B$4:$B$21,MATCH(LARGE('05 - Country Intelligence'!$G$4:$G$21,1),'05 - Country Intelligence'!$G$4:$G$21,0)),"")</f>
        <v>1</v>
      </c>
    </row>
    <row r="29" customFormat="false" ht="15" hidden="false" customHeight="true" outlineLevel="0" collapsed="false">
      <c r="A29" s="26" t="n">
        <v>2</v>
      </c>
      <c r="B29" s="26" t="str">
        <f aca="false">IFERROR(INDEX('03 - Skill Intelligence'!$B$6:$B$48,MATCH(LARGE('03 - Skill Intelligence'!$E$6:$E$48,2),'03 - Skill Intelligence'!$E$6:$E$48,0)),"—")</f>
        <v>Java</v>
      </c>
      <c r="C29" s="26" t="n">
        <f aca="false">IFERROR(INDEX('03 - Skill Intelligence'!$C$6:$C$37,MATCH(LARGE('03 - Skill Intelligence'!$E$6:$E$37,2),'03 - Skill Intelligence'!$E$6:$E$37,0)),"")</f>
        <v>1</v>
      </c>
      <c r="E29" s="26" t="n">
        <v>2</v>
      </c>
      <c r="F29" s="26" t="str">
        <f aca="false">IFERROR(INDEX('05 - Country Intelligence'!$A$4:$A$21,MATCH(LARGE('05 - Country Intelligence'!$G$4:$G$21,2),'05 - Country Intelligence'!$G$4:$G$21,0)),"—")</f>
        <v>India</v>
      </c>
      <c r="G29" s="26" t="n">
        <f aca="false">IFERROR(INDEX('05 - Country Intelligence'!$B$4:$B$21,MATCH(LARGE('05 - Country Intelligence'!$G$4:$G$21,2),'05 - Country Intelligence'!$G$4:$G$21,0)),"")</f>
        <v>0</v>
      </c>
    </row>
    <row r="30" customFormat="false" ht="15" hidden="false" customHeight="true" outlineLevel="0" collapsed="false">
      <c r="A30" s="26" t="n">
        <v>3</v>
      </c>
      <c r="B30" s="26" t="str">
        <f aca="false">IFERROR(INDEX('03 - Skill Intelligence'!$B$6:$B$48,MATCH(LARGE('03 - Skill Intelligence'!$E$6:$E$48,3),'03 - Skill Intelligence'!$E$6:$E$48,0)),"—")</f>
        <v>Multithreading &amp; Concurrency</v>
      </c>
      <c r="C30" s="26" t="n">
        <f aca="false">IFERROR(INDEX('03 - Skill Intelligence'!$C$6:$C$37,MATCH(LARGE('03 - Skill Intelligence'!$E$6:$E$37,3),'03 - Skill Intelligence'!$E$6:$E$37,0)),"")</f>
        <v>1</v>
      </c>
      <c r="E30" s="26" t="n">
        <v>3</v>
      </c>
      <c r="F30" s="26" t="str">
        <f aca="false">IFERROR(INDEX('05 - Country Intelligence'!$A$4:$A$21,MATCH(LARGE('05 - Country Intelligence'!$G$4:$G$21,3),'05 - Country Intelligence'!$G$4:$G$21,0)),"—")</f>
        <v>UK</v>
      </c>
      <c r="G30" s="26" t="n">
        <f aca="false">IFERROR(INDEX('05 - Country Intelligence'!$B$4:$B$21,MATCH(LARGE('05 - Country Intelligence'!$G$4:$G$21,3),'05 - Country Intelligence'!$G$4:$G$21,0)),"")</f>
        <v>0</v>
      </c>
    </row>
    <row r="31" customFormat="false" ht="15" hidden="false" customHeight="true" outlineLevel="0" collapsed="false">
      <c r="A31" s="26" t="n">
        <v>4</v>
      </c>
      <c r="B31" s="26" t="str">
        <f aca="false">IFERROR(INDEX('03 - Skill Intelligence'!$B$6:$B$48,MATCH(LARGE('03 - Skill Intelligence'!$E$6:$E$48,4),'03 - Skill Intelligence'!$E$6:$E$48,0)),"—")</f>
        <v>Distributed Systems</v>
      </c>
      <c r="C31" s="26" t="n">
        <f aca="false">IFERROR(INDEX('03 - Skill Intelligence'!$C$6:$C$37,MATCH(LARGE('03 - Skill Intelligence'!$E$6:$E$37,4),'03 - Skill Intelligence'!$E$6:$E$37,0)),"")</f>
        <v>1</v>
      </c>
      <c r="E31" s="26" t="n">
        <v>4</v>
      </c>
      <c r="F31" s="26" t="str">
        <f aca="false">IFERROR(INDEX('05 - Country Intelligence'!$A$4:$A$21,MATCH(LARGE('05 - Country Intelligence'!$G$4:$G$21,4),'05 - Country Intelligence'!$G$4:$G$21,0)),"—")</f>
        <v>Germany</v>
      </c>
      <c r="G31" s="26" t="n">
        <f aca="false">IFERROR(INDEX('05 - Country Intelligence'!$B$4:$B$21,MATCH(LARGE('05 - Country Intelligence'!$G$4:$G$21,4),'05 - Country Intelligence'!$G$4:$G$21,0)),"")</f>
        <v>0</v>
      </c>
    </row>
    <row r="32" customFormat="false" ht="15" hidden="false" customHeight="true" outlineLevel="0" collapsed="false">
      <c r="A32" s="26" t="n">
        <v>5</v>
      </c>
      <c r="B32" s="26" t="str">
        <f aca="false">IFERROR(INDEX('03 - Skill Intelligence'!$B$6:$B$48,MATCH(LARGE('03 - Skill Intelligence'!$E$6:$E$48,5),'03 - Skill Intelligence'!$E$6:$E$48,0)),"—")</f>
        <v>AWS</v>
      </c>
      <c r="C32" s="26" t="n">
        <f aca="false">IFERROR(INDEX('03 - Skill Intelligence'!$C$6:$C$37,MATCH(LARGE('03 - Skill Intelligence'!$E$6:$E$37,5),'03 - Skill Intelligence'!$E$6:$E$37,0)),"")</f>
        <v>1</v>
      </c>
      <c r="E32" s="26" t="n">
        <v>5</v>
      </c>
      <c r="F32" s="26" t="str">
        <f aca="false">IFERROR(INDEX('05 - Country Intelligence'!$A$4:$A$21,MATCH(LARGE('05 - Country Intelligence'!$G$4:$G$21,5),'05 - Country Intelligence'!$G$4:$G$21,0)),"—")</f>
        <v>Netherlands</v>
      </c>
      <c r="G32" s="26" t="n">
        <f aca="false">IFERROR(INDEX('05 - Country Intelligence'!$B$4:$B$21,MATCH(LARGE('05 - Country Intelligence'!$G$4:$G$21,5),'05 - Country Intelligence'!$G$4:$G$21,0)),"")</f>
        <v>0</v>
      </c>
    </row>
    <row r="34" customFormat="false" ht="15" hidden="false" customHeight="true" outlineLevel="0" collapsed="false">
      <c r="A34" s="48" t="s">
        <v>205</v>
      </c>
      <c r="B34" s="48"/>
      <c r="C34" s="48"/>
      <c r="D34" s="48"/>
      <c r="E34" s="48"/>
      <c r="F34" s="48"/>
      <c r="G34" s="48"/>
      <c r="H34" s="48"/>
    </row>
    <row r="36" customFormat="false" ht="19.5" hidden="false" customHeight="true" outlineLevel="0" collapsed="false">
      <c r="A36" s="49" t="s">
        <v>206</v>
      </c>
      <c r="B36" s="49"/>
      <c r="C36" s="49"/>
      <c r="D36" s="49"/>
      <c r="E36" s="49"/>
      <c r="F36" s="49"/>
      <c r="G36" s="49"/>
      <c r="H36" s="49"/>
    </row>
    <row r="37" customFormat="false" ht="15" hidden="false" customHeight="true" outlineLevel="0" collapsed="false">
      <c r="A37" s="50" t="s">
        <v>201</v>
      </c>
      <c r="B37" s="50" t="s">
        <v>53</v>
      </c>
      <c r="C37" s="50" t="s">
        <v>54</v>
      </c>
      <c r="D37" s="50" t="s">
        <v>207</v>
      </c>
      <c r="E37" s="50" t="s">
        <v>57</v>
      </c>
      <c r="F37" s="50" t="s">
        <v>58</v>
      </c>
    </row>
    <row r="38" customFormat="false" ht="15" hidden="false" customHeight="true" outlineLevel="0" collapsed="false">
      <c r="A38" s="51"/>
      <c r="B38" s="51"/>
      <c r="C38" s="51"/>
      <c r="D38" s="51"/>
      <c r="E38" s="51"/>
      <c r="F38" s="51"/>
    </row>
    <row r="40" customFormat="false" ht="15" hidden="false" customHeight="true" outlineLevel="0" collapsed="false">
      <c r="A40" s="52" t="s">
        <v>208</v>
      </c>
      <c r="B40" s="52"/>
      <c r="C40" s="52" t="s">
        <v>209</v>
      </c>
      <c r="D40" s="52"/>
      <c r="E40" s="52" t="s">
        <v>210</v>
      </c>
      <c r="F40" s="52"/>
      <c r="G40" s="52" t="s">
        <v>211</v>
      </c>
      <c r="H40" s="52"/>
    </row>
    <row r="41" customFormat="false" ht="15" hidden="false" customHeight="true" outlineLevel="0" collapsed="false">
      <c r="A41" s="53" t="n">
        <f aca="false">SUMPRODUCT(('01 - Job Database'!$C$3:$C$1000&lt;&gt;"")*('01 - Job Database'!$W$3:$W$1000&lt;&gt;"Yes")*(('01 - Job Database'!$E$3:$E$1000=$A$38)+($A$38=""))*(('01 - Job Database'!$F$3:$F$1000=$B$38)+($B$38=""))*(('01 - Job Database'!$G$3:$G$1000=$C$38)+($C$38=""))*(('01 - Job Database'!$O$3:$O$1000&gt;=$D$38)+($D$38=""))*(('01 - Job Database'!$J$3:$J$1000=$E$38)+($E$38=""))*(('01 - Job Database'!$K$3:$K$1000=$F$38)+($F$38="")))</f>
        <v>2</v>
      </c>
      <c r="B41" s="53"/>
      <c r="C41" s="54" t="n">
        <f aca="false">IFERROR(SUMPRODUCT(N('01 - Job Database'!$O$3:$O$1000)*(('01 - Job Database'!$C$3:$C$1000&lt;&gt;"")*('01 - Job Database'!$W$3:$W$1000&lt;&gt;"Yes")*(('01 - Job Database'!$E$3:$E$1000=$A$38)+($A$38=""))*(('01 - Job Database'!$F$3:$F$1000=$B$38)+($B$38=""))*(('01 - Job Database'!$G$3:$G$1000=$C$38)+($C$38=""))*(('01 - Job Database'!$O$3:$O$1000&gt;=$D$38)+($D$38=""))*(('01 - Job Database'!$J$3:$J$1000=$E$38)+($E$38=""))*(('01 - Job Database'!$K$3:$K$1000=$F$38)+($F$38=""))))/SUMPRODUCT((('01 - Job Database'!$C$3:$C$1000&lt;&gt;"")*('01 - Job Database'!$W$3:$W$1000&lt;&gt;"Yes")*(('01 - Job Database'!$E$3:$E$1000=$A$38)+($A$38=""))*(('01 - Job Database'!$F$3:$F$1000=$B$38)+($B$38=""))*(('01 - Job Database'!$G$3:$G$1000=$C$38)+($C$38=""))*(('01 - Job Database'!$O$3:$O$1000&gt;=$D$38)+($D$38=""))*(('01 - Job Database'!$J$3:$J$1000=$E$38)+($E$38=""))*(('01 - Job Database'!$K$3:$K$1000=$F$38)+($F$38="")))*('01 - Job Database'!$O$3:$O$1000&lt;&gt;"")),"")</f>
        <v>125.019</v>
      </c>
      <c r="D41" s="54"/>
      <c r="E41" s="55" t="n">
        <f aca="false">IFERROR(SUMPRODUCT((('01 - Job Database'!$C$3:$C$1000&lt;&gt;"")*('01 - Job Database'!$W$3:$W$1000&lt;&gt;"Yes")*(('01 - Job Database'!$E$3:$E$1000=$A$38)+($A$38=""))*(('01 - Job Database'!$F$3:$F$1000=$B$38)+($B$38=""))*(('01 - Job Database'!$G$3:$G$1000=$C$38)+($C$38=""))*(('01 - Job Database'!$O$3:$O$1000&gt;=$D$38)+($D$38=""))*(('01 - Job Database'!$J$3:$J$1000=$E$38)+($E$38=""))*(('01 - Job Database'!$K$3:$K$1000=$F$38)+($F$38="")))*('01 - Job Database'!$J$3:$J$1000="Yes"))/A41,"")</f>
        <v>0</v>
      </c>
      <c r="F41" s="55"/>
      <c r="G41" s="55" t="n">
        <f aca="false">IFERROR(SUMPRODUCT((('01 - Job Database'!$C$3:$C$1000&lt;&gt;"")*('01 - Job Database'!$W$3:$W$1000&lt;&gt;"Yes")*(('01 - Job Database'!$E$3:$E$1000=$A$38)+($A$38=""))*(('01 - Job Database'!$F$3:$F$1000=$B$38)+($B$38=""))*(('01 - Job Database'!$G$3:$G$1000=$C$38)+($C$38=""))*(('01 - Job Database'!$O$3:$O$1000&gt;=$D$38)+($D$38=""))*(('01 - Job Database'!$J$3:$J$1000=$E$38)+($E$38=""))*(('01 - Job Database'!$K$3:$K$1000=$F$38)+($F$38="")))*('01 - Job Database'!$G$3:$G$1000="India"))/A41,"")</f>
        <v>0</v>
      </c>
      <c r="H41" s="55"/>
    </row>
    <row r="43" customFormat="false" ht="15" hidden="false" customHeight="true" outlineLevel="0" collapsed="false">
      <c r="A43" s="56" t="s">
        <v>212</v>
      </c>
      <c r="B43" s="56"/>
      <c r="C43" s="56"/>
      <c r="D43" s="56"/>
      <c r="E43" s="56"/>
      <c r="F43" s="56"/>
      <c r="G43" s="56"/>
      <c r="H43" s="56"/>
    </row>
  </sheetData>
  <mergeCells count="41">
    <mergeCell ref="A1:H1"/>
    <mergeCell ref="A5:H5"/>
    <mergeCell ref="A6:B7"/>
    <mergeCell ref="C6:D7"/>
    <mergeCell ref="E6:F7"/>
    <mergeCell ref="G6:H7"/>
    <mergeCell ref="A8:B8"/>
    <mergeCell ref="C8:D8"/>
    <mergeCell ref="E8:F8"/>
    <mergeCell ref="G8:H8"/>
    <mergeCell ref="A10:B11"/>
    <mergeCell ref="C10:D11"/>
    <mergeCell ref="E10:F11"/>
    <mergeCell ref="G10:H11"/>
    <mergeCell ref="A12:B12"/>
    <mergeCell ref="C12:D12"/>
    <mergeCell ref="E12:F12"/>
    <mergeCell ref="G12:H12"/>
    <mergeCell ref="A14:B15"/>
    <mergeCell ref="C14:D15"/>
    <mergeCell ref="E14:F15"/>
    <mergeCell ref="G14:H15"/>
    <mergeCell ref="A16:B16"/>
    <mergeCell ref="C16:D16"/>
    <mergeCell ref="E16:F16"/>
    <mergeCell ref="G16:H16"/>
    <mergeCell ref="A18:C18"/>
    <mergeCell ref="E18:G18"/>
    <mergeCell ref="A26:C26"/>
    <mergeCell ref="E26:G26"/>
    <mergeCell ref="A34:H34"/>
    <mergeCell ref="A36:H36"/>
    <mergeCell ref="A40:B40"/>
    <mergeCell ref="C40:D40"/>
    <mergeCell ref="E40:F40"/>
    <mergeCell ref="G40:H40"/>
    <mergeCell ref="A41:B41"/>
    <mergeCell ref="C41:D41"/>
    <mergeCell ref="E41:F41"/>
    <mergeCell ref="G41:H41"/>
    <mergeCell ref="A43:H43"/>
  </mergeCells>
  <dataValidations count="4">
    <dataValidation allowBlank="true" errorStyle="stop" operator="between" showDropDown="false" showErrorMessage="false" showInputMessage="false" sqref="A38" type="list">
      <formula1>'00 - Lists'!$A$2:$A$17</formula1>
      <formula2>0</formula2>
    </dataValidation>
    <dataValidation allowBlank="true" errorStyle="stop" operator="between" showDropDown="false" showErrorMessage="false" showInputMessage="false" sqref="B38" type="list">
      <formula1>'00 - Lists'!$B$2:$B$8</formula1>
      <formula2>0</formula2>
    </dataValidation>
    <dataValidation allowBlank="true" errorStyle="stop" operator="between" showDropDown="false" showErrorMessage="false" showInputMessage="false" sqref="C38" type="list">
      <formula1>'00 - Lists'!$F$2:$F$19</formula1>
      <formula2>0</formula2>
    </dataValidation>
    <dataValidation allowBlank="true" errorStyle="stop" operator="between" showDropDown="false" showErrorMessage="false" showInputMessage="false" sqref="E38:F38" type="list">
      <formula1>'00 - Lists'!$D$2:$D$4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true" outlineLevel="0" max="5" min="5" style="1" width="14"/>
  </cols>
  <sheetData>
    <row r="1" customFormat="false" ht="27.75" hidden="false" customHeight="true" outlineLevel="0" collapsed="false">
      <c r="A1" s="2" t="s">
        <v>213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9" t="s">
        <v>214</v>
      </c>
      <c r="B3" s="39" t="n">
        <f aca="false">COUNTIFS('01 - Job Database'!$C$3:$C$1000,"&lt;&gt;",'01 - Job Database'!$W$3:$W$1000,"&lt;&gt;Yes")</f>
        <v>1</v>
      </c>
    </row>
    <row r="5" customFormat="false" ht="26.25" hidden="false" customHeight="true" outlineLevel="0" collapsed="false">
      <c r="A5" s="12" t="s">
        <v>215</v>
      </c>
      <c r="B5" s="12" t="s">
        <v>204</v>
      </c>
      <c r="C5" s="12" t="s">
        <v>216</v>
      </c>
      <c r="D5" s="12" t="s">
        <v>217</v>
      </c>
      <c r="E5" s="12" t="s">
        <v>218</v>
      </c>
    </row>
    <row r="6" customFormat="false" ht="15" hidden="false" customHeight="true" outlineLevel="0" collapsed="false">
      <c r="A6" s="57" t="s">
        <v>219</v>
      </c>
      <c r="B6" s="57" t="s">
        <v>71</v>
      </c>
      <c r="C6" s="26" t="n">
        <f aca="false">COUNTIFS('01 - Job Database'!$C$3:$C$1000,"&lt;&gt;",'01 - Job Database'!$W$3:$W$1000,"&lt;&gt;Yes",'01 - Job Database'!$X$3:$X$1000,"Yes")</f>
        <v>1</v>
      </c>
      <c r="D6" s="58" t="n">
        <f aca="false">IFERROR(C6/'03 - Skill Intelligence'!$B$3,0)</f>
        <v>1</v>
      </c>
      <c r="E6" s="26" t="n">
        <f aca="false">C6-ROW()*0.0001</f>
        <v>0.9994</v>
      </c>
    </row>
    <row r="7" customFormat="false" ht="15" hidden="false" customHeight="true" outlineLevel="0" collapsed="false">
      <c r="A7" s="57" t="s">
        <v>219</v>
      </c>
      <c r="B7" s="57" t="s">
        <v>72</v>
      </c>
      <c r="C7" s="26" t="n">
        <f aca="false">COUNTIFS('01 - Job Database'!$C$3:$C$1000,"&lt;&gt;",'01 - Job Database'!$W$3:$W$1000,"&lt;&gt;Yes",'01 - Job Database'!$Y$3:$Y$1000,"Yes")</f>
        <v>0</v>
      </c>
      <c r="D7" s="58" t="n">
        <f aca="false">IFERROR(C7/'03 - Skill Intelligence'!$B$3,0)</f>
        <v>0</v>
      </c>
      <c r="E7" s="26" t="n">
        <f aca="false">C7-ROW()*0.0001</f>
        <v>-0.0007</v>
      </c>
    </row>
    <row r="8" customFormat="false" ht="15" hidden="false" customHeight="true" outlineLevel="0" collapsed="false">
      <c r="A8" s="57" t="s">
        <v>219</v>
      </c>
      <c r="B8" s="57" t="s">
        <v>73</v>
      </c>
      <c r="C8" s="26" t="n">
        <f aca="false">COUNTIFS('01 - Job Database'!$C$3:$C$1000,"&lt;&gt;",'01 - Job Database'!$W$3:$W$1000,"&lt;&gt;Yes",'01 - Job Database'!$Z$3:$Z$1000,"Yes")</f>
        <v>1</v>
      </c>
      <c r="D8" s="58" t="n">
        <f aca="false">IFERROR(C8/'03 - Skill Intelligence'!$B$3,0)</f>
        <v>1</v>
      </c>
      <c r="E8" s="26" t="n">
        <f aca="false">C8-ROW()*0.0001</f>
        <v>0.9992</v>
      </c>
    </row>
    <row r="9" customFormat="false" ht="15" hidden="false" customHeight="true" outlineLevel="0" collapsed="false">
      <c r="A9" s="57" t="s">
        <v>219</v>
      </c>
      <c r="B9" s="57" t="s">
        <v>74</v>
      </c>
      <c r="C9" s="26" t="n">
        <f aca="false">COUNTIFS('01 - Job Database'!$C$3:$C$1000,"&lt;&gt;",'01 - Job Database'!$W$3:$W$1000,"&lt;&gt;Yes",'01 - Job Database'!$AA$3:$AA$1000,"Yes")</f>
        <v>0</v>
      </c>
      <c r="D9" s="58" t="n">
        <f aca="false">IFERROR(C9/'03 - Skill Intelligence'!$B$3,0)</f>
        <v>0</v>
      </c>
      <c r="E9" s="26" t="n">
        <f aca="false">C9-ROW()*0.0001</f>
        <v>-0.0009</v>
      </c>
    </row>
    <row r="10" customFormat="false" ht="15" hidden="false" customHeight="true" outlineLevel="0" collapsed="false">
      <c r="A10" s="57" t="s">
        <v>219</v>
      </c>
      <c r="B10" s="57" t="s">
        <v>75</v>
      </c>
      <c r="C10" s="26" t="n">
        <f aca="false">COUNTIFS('01 - Job Database'!$C$3:$C$1000,"&lt;&gt;",'01 - Job Database'!$W$3:$W$1000,"&lt;&gt;Yes",'01 - Job Database'!$AB$3:$AB$1000,"Yes")</f>
        <v>0</v>
      </c>
      <c r="D10" s="58" t="n">
        <f aca="false">IFERROR(C10/'03 - Skill Intelligence'!$B$3,0)</f>
        <v>0</v>
      </c>
      <c r="E10" s="26" t="n">
        <f aca="false">C10-ROW()*0.0001</f>
        <v>-0.001</v>
      </c>
    </row>
    <row r="11" customFormat="false" ht="15" hidden="false" customHeight="true" outlineLevel="0" collapsed="false">
      <c r="A11" s="57" t="s">
        <v>219</v>
      </c>
      <c r="B11" s="57" t="s">
        <v>76</v>
      </c>
      <c r="C11" s="26" t="n">
        <f aca="false">COUNTIFS('01 - Job Database'!$C$3:$C$1000,"&lt;&gt;",'01 - Job Database'!$W$3:$W$1000,"&lt;&gt;Yes",'01 - Job Database'!$AC$3:$AC$1000,"Yes")</f>
        <v>0</v>
      </c>
      <c r="D11" s="58" t="n">
        <f aca="false">IFERROR(C11/'03 - Skill Intelligence'!$B$3,0)</f>
        <v>0</v>
      </c>
      <c r="E11" s="26" t="n">
        <f aca="false">C11-ROW()*0.0001</f>
        <v>-0.0011</v>
      </c>
    </row>
    <row r="12" customFormat="false" ht="15" hidden="false" customHeight="true" outlineLevel="0" collapsed="false">
      <c r="A12" s="57" t="s">
        <v>219</v>
      </c>
      <c r="B12" s="57" t="s">
        <v>77</v>
      </c>
      <c r="C12" s="26" t="n">
        <f aca="false">COUNTIFS('01 - Job Database'!$C$3:$C$1000,"&lt;&gt;",'01 - Job Database'!$W$3:$W$1000,"&lt;&gt;Yes",'01 - Job Database'!$AD$3:$AD$1000,"Yes")</f>
        <v>0</v>
      </c>
      <c r="D12" s="58" t="n">
        <f aca="false">IFERROR(C12/'03 - Skill Intelligence'!$B$3,0)</f>
        <v>0</v>
      </c>
      <c r="E12" s="26" t="n">
        <f aca="false">C12-ROW()*0.0001</f>
        <v>-0.0012</v>
      </c>
    </row>
    <row r="13" customFormat="false" ht="15" hidden="false" customHeight="true" outlineLevel="0" collapsed="false">
      <c r="A13" s="57" t="s">
        <v>219</v>
      </c>
      <c r="B13" s="57" t="s">
        <v>78</v>
      </c>
      <c r="C13" s="26" t="n">
        <f aca="false">COUNTIFS('01 - Job Database'!$C$3:$C$1000,"&lt;&gt;",'01 - Job Database'!$W$3:$W$1000,"&lt;&gt;Yes",'01 - Job Database'!$AE$3:$AE$1000,"Yes")</f>
        <v>0</v>
      </c>
      <c r="D13" s="58" t="n">
        <f aca="false">IFERROR(C13/'03 - Skill Intelligence'!$B$3,0)</f>
        <v>0</v>
      </c>
      <c r="E13" s="26" t="n">
        <f aca="false">C13-ROW()*0.0001</f>
        <v>-0.0013</v>
      </c>
    </row>
    <row r="14" customFormat="false" ht="15" hidden="false" customHeight="true" outlineLevel="0" collapsed="false">
      <c r="A14" s="57" t="s">
        <v>220</v>
      </c>
      <c r="B14" s="57" t="s">
        <v>79</v>
      </c>
      <c r="C14" s="26" t="n">
        <f aca="false">COUNTIFS('01 - Job Database'!$C$3:$C$1000,"&lt;&gt;",'01 - Job Database'!$W$3:$W$1000,"&lt;&gt;Yes",'01 - Job Database'!$AF$3:$AF$1000,"Yes")</f>
        <v>0</v>
      </c>
      <c r="D14" s="58" t="n">
        <f aca="false">IFERROR(C14/'03 - Skill Intelligence'!$B$3,0)</f>
        <v>0</v>
      </c>
      <c r="E14" s="26" t="n">
        <f aca="false">C14-ROW()*0.0001</f>
        <v>-0.0014</v>
      </c>
    </row>
    <row r="15" customFormat="false" ht="15" hidden="false" customHeight="true" outlineLevel="0" collapsed="false">
      <c r="A15" s="57" t="s">
        <v>220</v>
      </c>
      <c r="B15" s="57" t="s">
        <v>80</v>
      </c>
      <c r="C15" s="26" t="n">
        <f aca="false">COUNTIFS('01 - Job Database'!$C$3:$C$1000,"&lt;&gt;",'01 - Job Database'!$W$3:$W$1000,"&lt;&gt;Yes",'01 - Job Database'!$AG$3:$AG$1000,"Yes")</f>
        <v>0</v>
      </c>
      <c r="D15" s="58" t="n">
        <f aca="false">IFERROR(C15/'03 - Skill Intelligence'!$B$3,0)</f>
        <v>0</v>
      </c>
      <c r="E15" s="26" t="n">
        <f aca="false">C15-ROW()*0.0001</f>
        <v>-0.0015</v>
      </c>
    </row>
    <row r="16" customFormat="false" ht="15" hidden="false" customHeight="true" outlineLevel="0" collapsed="false">
      <c r="A16" s="57" t="s">
        <v>220</v>
      </c>
      <c r="B16" s="57" t="s">
        <v>81</v>
      </c>
      <c r="C16" s="26" t="n">
        <f aca="false">COUNTIFS('01 - Job Database'!$C$3:$C$1000,"&lt;&gt;",'01 - Job Database'!$W$3:$W$1000,"&lt;&gt;Yes",'01 - Job Database'!$AH$3:$AH$1000,"Yes")</f>
        <v>1</v>
      </c>
      <c r="D16" s="58" t="n">
        <f aca="false">IFERROR(C16/'03 - Skill Intelligence'!$B$3,0)</f>
        <v>1</v>
      </c>
      <c r="E16" s="26" t="n">
        <f aca="false">C16-ROW()*0.0001</f>
        <v>0.9984</v>
      </c>
    </row>
    <row r="17" customFormat="false" ht="15" hidden="false" customHeight="true" outlineLevel="0" collapsed="false">
      <c r="A17" s="57" t="s">
        <v>220</v>
      </c>
      <c r="B17" s="57" t="s">
        <v>82</v>
      </c>
      <c r="C17" s="26" t="n">
        <f aca="false">COUNTIFS('01 - Job Database'!$C$3:$C$1000,"&lt;&gt;",'01 - Job Database'!$W$3:$W$1000,"&lt;&gt;Yes",'01 - Job Database'!$AI$3:$AI$1000,"Yes")</f>
        <v>0</v>
      </c>
      <c r="D17" s="58" t="n">
        <f aca="false">IFERROR(C17/'03 - Skill Intelligence'!$B$3,0)</f>
        <v>0</v>
      </c>
      <c r="E17" s="26" t="n">
        <f aca="false">C17-ROW()*0.0001</f>
        <v>-0.0017</v>
      </c>
    </row>
    <row r="18" customFormat="false" ht="15" hidden="false" customHeight="true" outlineLevel="0" collapsed="false">
      <c r="A18" s="57" t="s">
        <v>220</v>
      </c>
      <c r="B18" s="57" t="s">
        <v>83</v>
      </c>
      <c r="C18" s="26" t="n">
        <f aca="false">COUNTIFS('01 - Job Database'!$C$3:$C$1000,"&lt;&gt;",'01 - Job Database'!$W$3:$W$1000,"&lt;&gt;Yes",'01 - Job Database'!$AJ$3:$AJ$1000,"Yes")</f>
        <v>1</v>
      </c>
      <c r="D18" s="58" t="n">
        <f aca="false">IFERROR(C18/'03 - Skill Intelligence'!$B$3,0)</f>
        <v>1</v>
      </c>
      <c r="E18" s="26" t="n">
        <f aca="false">C18-ROW()*0.0001</f>
        <v>0.9982</v>
      </c>
    </row>
    <row r="19" customFormat="false" ht="15" hidden="false" customHeight="true" outlineLevel="0" collapsed="false">
      <c r="A19" s="57" t="s">
        <v>220</v>
      </c>
      <c r="B19" s="57" t="s">
        <v>84</v>
      </c>
      <c r="C19" s="26" t="n">
        <f aca="false">COUNTIFS('01 - Job Database'!$C$3:$C$1000,"&lt;&gt;",'01 - Job Database'!$W$3:$W$1000,"&lt;&gt;Yes",'01 - Job Database'!$AK$3:$AK$1000,"Yes")</f>
        <v>0</v>
      </c>
      <c r="D19" s="58" t="n">
        <f aca="false">IFERROR(C19/'03 - Skill Intelligence'!$B$3,0)</f>
        <v>0</v>
      </c>
      <c r="E19" s="26" t="n">
        <f aca="false">C19-ROW()*0.0001</f>
        <v>-0.0019</v>
      </c>
    </row>
    <row r="20" customFormat="false" ht="15" hidden="false" customHeight="true" outlineLevel="0" collapsed="false">
      <c r="A20" s="57" t="s">
        <v>221</v>
      </c>
      <c r="B20" s="57" t="s">
        <v>85</v>
      </c>
      <c r="C20" s="26" t="n">
        <f aca="false">COUNTIFS('01 - Job Database'!$C$3:$C$1000,"&lt;&gt;",'01 - Job Database'!$W$3:$W$1000,"&lt;&gt;Yes",'01 - Job Database'!$AL$3:$AL$1000,"Yes")</f>
        <v>1</v>
      </c>
      <c r="D20" s="58" t="n">
        <f aca="false">IFERROR(C20/'03 - Skill Intelligence'!$B$3,0)</f>
        <v>1</v>
      </c>
      <c r="E20" s="26" t="n">
        <f aca="false">C20-ROW()*0.0001</f>
        <v>0.998</v>
      </c>
    </row>
    <row r="21" customFormat="false" ht="15" hidden="false" customHeight="true" outlineLevel="0" collapsed="false">
      <c r="A21" s="57" t="s">
        <v>221</v>
      </c>
      <c r="B21" s="57" t="s">
        <v>86</v>
      </c>
      <c r="C21" s="26" t="n">
        <f aca="false">COUNTIFS('01 - Job Database'!$C$3:$C$1000,"&lt;&gt;",'01 - Job Database'!$W$3:$W$1000,"&lt;&gt;Yes",'01 - Job Database'!$AM$3:$AM$1000,"Yes")</f>
        <v>0</v>
      </c>
      <c r="D21" s="58" t="n">
        <f aca="false">IFERROR(C21/'03 - Skill Intelligence'!$B$3,0)</f>
        <v>0</v>
      </c>
      <c r="E21" s="26" t="n">
        <f aca="false">C21-ROW()*0.0001</f>
        <v>-0.0021</v>
      </c>
    </row>
    <row r="22" customFormat="false" ht="15" hidden="false" customHeight="true" outlineLevel="0" collapsed="false">
      <c r="A22" s="57" t="s">
        <v>221</v>
      </c>
      <c r="B22" s="57" t="s">
        <v>87</v>
      </c>
      <c r="C22" s="26" t="n">
        <f aca="false">COUNTIFS('01 - Job Database'!$C$3:$C$1000,"&lt;&gt;",'01 - Job Database'!$W$3:$W$1000,"&lt;&gt;Yes",'01 - Job Database'!$AN$3:$AN$1000,"Yes")</f>
        <v>0</v>
      </c>
      <c r="D22" s="58" t="n">
        <f aca="false">IFERROR(C22/'03 - Skill Intelligence'!$B$3,0)</f>
        <v>0</v>
      </c>
      <c r="E22" s="26" t="n">
        <f aca="false">C22-ROW()*0.0001</f>
        <v>-0.0022</v>
      </c>
    </row>
    <row r="23" customFormat="false" ht="15" hidden="false" customHeight="true" outlineLevel="0" collapsed="false">
      <c r="A23" s="57" t="s">
        <v>221</v>
      </c>
      <c r="B23" s="57" t="s">
        <v>88</v>
      </c>
      <c r="C23" s="26" t="n">
        <f aca="false">COUNTIFS('01 - Job Database'!$C$3:$C$1000,"&lt;&gt;",'01 - Job Database'!$W$3:$W$1000,"&lt;&gt;Yes",'01 - Job Database'!$AO$3:$AO$1000,"Yes")</f>
        <v>0</v>
      </c>
      <c r="D23" s="58" t="n">
        <f aca="false">IFERROR(C23/'03 - Skill Intelligence'!$B$3,0)</f>
        <v>0</v>
      </c>
      <c r="E23" s="26" t="n">
        <f aca="false">C23-ROW()*0.0001</f>
        <v>-0.0023</v>
      </c>
    </row>
    <row r="24" customFormat="false" ht="15" hidden="false" customHeight="true" outlineLevel="0" collapsed="false">
      <c r="A24" s="57" t="s">
        <v>221</v>
      </c>
      <c r="B24" s="57" t="s">
        <v>89</v>
      </c>
      <c r="C24" s="26" t="n">
        <f aca="false">COUNTIFS('01 - Job Database'!$C$3:$C$1000,"&lt;&gt;",'01 - Job Database'!$W$3:$W$1000,"&lt;&gt;Yes",'01 - Job Database'!$AP$3:$AP$1000,"Yes")</f>
        <v>0</v>
      </c>
      <c r="D24" s="58" t="n">
        <f aca="false">IFERROR(C24/'03 - Skill Intelligence'!$B$3,0)</f>
        <v>0</v>
      </c>
      <c r="E24" s="26" t="n">
        <f aca="false">C24-ROW()*0.0001</f>
        <v>-0.0024</v>
      </c>
    </row>
    <row r="25" customFormat="false" ht="15" hidden="false" customHeight="true" outlineLevel="0" collapsed="false">
      <c r="A25" s="57" t="s">
        <v>221</v>
      </c>
      <c r="B25" s="57" t="s">
        <v>90</v>
      </c>
      <c r="C25" s="26" t="n">
        <f aca="false">COUNTIFS('01 - Job Database'!$C$3:$C$1000,"&lt;&gt;",'01 - Job Database'!$W$3:$W$1000,"&lt;&gt;Yes",'01 - Job Database'!$AQ$3:$AQ$1000,"Yes")</f>
        <v>0</v>
      </c>
      <c r="D25" s="58" t="n">
        <f aca="false">IFERROR(C25/'03 - Skill Intelligence'!$B$3,0)</f>
        <v>0</v>
      </c>
      <c r="E25" s="26" t="n">
        <f aca="false">C25-ROW()*0.0001</f>
        <v>-0.0025</v>
      </c>
    </row>
    <row r="26" customFormat="false" ht="15" hidden="false" customHeight="true" outlineLevel="0" collapsed="false">
      <c r="A26" s="57" t="s">
        <v>221</v>
      </c>
      <c r="B26" s="57" t="s">
        <v>91</v>
      </c>
      <c r="C26" s="26" t="n">
        <f aca="false">COUNTIFS('01 - Job Database'!$C$3:$C$1000,"&lt;&gt;",'01 - Job Database'!$W$3:$W$1000,"&lt;&gt;Yes",'01 - Job Database'!$AR$3:$AR$1000,"Yes")</f>
        <v>0</v>
      </c>
      <c r="D26" s="58" t="n">
        <f aca="false">IFERROR(C26/'03 - Skill Intelligence'!$B$3,0)</f>
        <v>0</v>
      </c>
      <c r="E26" s="26" t="n">
        <f aca="false">C26-ROW()*0.0001</f>
        <v>-0.0026</v>
      </c>
    </row>
    <row r="27" customFormat="false" ht="15" hidden="false" customHeight="true" outlineLevel="0" collapsed="false">
      <c r="A27" s="57" t="s">
        <v>222</v>
      </c>
      <c r="B27" s="57" t="s">
        <v>92</v>
      </c>
      <c r="C27" s="26" t="n">
        <f aca="false">COUNTIFS('01 - Job Database'!$C$3:$C$1000,"&lt;&gt;",'01 - Job Database'!$W$3:$W$1000,"&lt;&gt;Yes",'01 - Job Database'!$AS$3:$AS$1000,"Yes")</f>
        <v>0</v>
      </c>
      <c r="D27" s="58" t="n">
        <f aca="false">IFERROR(C27/'03 - Skill Intelligence'!$B$3,0)</f>
        <v>0</v>
      </c>
      <c r="E27" s="26" t="n">
        <f aca="false">C27-ROW()*0.0001</f>
        <v>-0.0027</v>
      </c>
    </row>
    <row r="28" customFormat="false" ht="15" hidden="false" customHeight="true" outlineLevel="0" collapsed="false">
      <c r="A28" s="57" t="s">
        <v>222</v>
      </c>
      <c r="B28" s="57" t="s">
        <v>93</v>
      </c>
      <c r="C28" s="26" t="n">
        <f aca="false">COUNTIFS('01 - Job Database'!$C$3:$C$1000,"&lt;&gt;",'01 - Job Database'!$W$3:$W$1000,"&lt;&gt;Yes",'01 - Job Database'!$AT$3:$AT$1000,"Yes")</f>
        <v>1</v>
      </c>
      <c r="D28" s="58" t="n">
        <f aca="false">IFERROR(C28/'03 - Skill Intelligence'!$B$3,0)</f>
        <v>1</v>
      </c>
      <c r="E28" s="26" t="n">
        <f aca="false">C28-ROW()*0.0001</f>
        <v>0.9972</v>
      </c>
    </row>
    <row r="29" customFormat="false" ht="15" hidden="false" customHeight="true" outlineLevel="0" collapsed="false">
      <c r="A29" s="57" t="s">
        <v>222</v>
      </c>
      <c r="B29" s="57" t="s">
        <v>94</v>
      </c>
      <c r="C29" s="26" t="n">
        <f aca="false">COUNTIFS('01 - Job Database'!$C$3:$C$1000,"&lt;&gt;",'01 - Job Database'!$W$3:$W$1000,"&lt;&gt;Yes",'01 - Job Database'!$AU$3:$AU$1000,"Yes")</f>
        <v>1</v>
      </c>
      <c r="D29" s="58" t="n">
        <f aca="false">IFERROR(C29/'03 - Skill Intelligence'!$B$3,0)</f>
        <v>1</v>
      </c>
      <c r="E29" s="26" t="n">
        <f aca="false">C29-ROW()*0.0001</f>
        <v>0.9971</v>
      </c>
    </row>
    <row r="30" customFormat="false" ht="15" hidden="false" customHeight="true" outlineLevel="0" collapsed="false">
      <c r="A30" s="57" t="s">
        <v>222</v>
      </c>
      <c r="B30" s="57" t="s">
        <v>95</v>
      </c>
      <c r="C30" s="26" t="n">
        <f aca="false">COUNTIFS('01 - Job Database'!$C$3:$C$1000,"&lt;&gt;",'01 - Job Database'!$W$3:$W$1000,"&lt;&gt;Yes",'01 - Job Database'!$AV$3:$AV$1000,"Yes")</f>
        <v>0</v>
      </c>
      <c r="D30" s="58" t="n">
        <f aca="false">IFERROR(C30/'03 - Skill Intelligence'!$B$3,0)</f>
        <v>0</v>
      </c>
      <c r="E30" s="26" t="n">
        <f aca="false">C30-ROW()*0.0001</f>
        <v>-0.003</v>
      </c>
    </row>
    <row r="31" customFormat="false" ht="15" hidden="false" customHeight="true" outlineLevel="0" collapsed="false">
      <c r="A31" s="57" t="s">
        <v>222</v>
      </c>
      <c r="B31" s="57" t="s">
        <v>96</v>
      </c>
      <c r="C31" s="26" t="n">
        <f aca="false">COUNTIFS('01 - Job Database'!$C$3:$C$1000,"&lt;&gt;",'01 - Job Database'!$W$3:$W$1000,"&lt;&gt;Yes",'01 - Job Database'!$AW$3:$AW$1000,"Yes")</f>
        <v>1</v>
      </c>
      <c r="D31" s="58" t="n">
        <f aca="false">IFERROR(C31/'03 - Skill Intelligence'!$B$3,0)</f>
        <v>1</v>
      </c>
      <c r="E31" s="26" t="n">
        <f aca="false">C31-ROW()*0.0001</f>
        <v>0.9969</v>
      </c>
    </row>
    <row r="32" customFormat="false" ht="15" hidden="false" customHeight="true" outlineLevel="0" collapsed="false">
      <c r="A32" s="57" t="s">
        <v>222</v>
      </c>
      <c r="B32" s="57" t="s">
        <v>97</v>
      </c>
      <c r="C32" s="26" t="n">
        <f aca="false">COUNTIFS('01 - Job Database'!$C$3:$C$1000,"&lt;&gt;",'01 - Job Database'!$W$3:$W$1000,"&lt;&gt;Yes",'01 - Job Database'!$AX$3:$AX$1000,"Yes")</f>
        <v>0</v>
      </c>
      <c r="D32" s="58" t="n">
        <f aca="false">IFERROR(C32/'03 - Skill Intelligence'!$B$3,0)</f>
        <v>0</v>
      </c>
      <c r="E32" s="26" t="n">
        <f aca="false">C32-ROW()*0.0001</f>
        <v>-0.0032</v>
      </c>
    </row>
    <row r="33" customFormat="false" ht="15" hidden="false" customHeight="true" outlineLevel="0" collapsed="false">
      <c r="A33" s="57" t="s">
        <v>222</v>
      </c>
      <c r="B33" s="57" t="s">
        <v>98</v>
      </c>
      <c r="C33" s="26" t="n">
        <f aca="false">COUNTIFS('01 - Job Database'!$C$3:$C$1000,"&lt;&gt;",'01 - Job Database'!$W$3:$W$1000,"&lt;&gt;Yes",'01 - Job Database'!$AY$3:$AY$1000,"Yes")</f>
        <v>0</v>
      </c>
      <c r="D33" s="58" t="n">
        <f aca="false">IFERROR(C33/'03 - Skill Intelligence'!$B$3,0)</f>
        <v>0</v>
      </c>
      <c r="E33" s="26" t="n">
        <f aca="false">C33-ROW()*0.0001</f>
        <v>-0.0033</v>
      </c>
    </row>
    <row r="34" customFormat="false" ht="15" hidden="false" customHeight="true" outlineLevel="0" collapsed="false">
      <c r="A34" s="57" t="s">
        <v>223</v>
      </c>
      <c r="B34" s="57" t="s">
        <v>99</v>
      </c>
      <c r="C34" s="26" t="n">
        <f aca="false">COUNTIFS('01 - Job Database'!$C$3:$C$1000,"&lt;&gt;",'01 - Job Database'!$W$3:$W$1000,"&lt;&gt;Yes",'01 - Job Database'!$AZ$3:$AZ$1000,"Yes")</f>
        <v>1</v>
      </c>
      <c r="D34" s="58" t="n">
        <f aca="false">IFERROR(C34/'03 - Skill Intelligence'!$B$3,0)</f>
        <v>1</v>
      </c>
      <c r="E34" s="26" t="n">
        <f aca="false">C34-ROW()*0.0001</f>
        <v>0.9966</v>
      </c>
    </row>
    <row r="35" customFormat="false" ht="15" hidden="false" customHeight="true" outlineLevel="0" collapsed="false">
      <c r="A35" s="57" t="s">
        <v>223</v>
      </c>
      <c r="B35" s="57" t="s">
        <v>100</v>
      </c>
      <c r="C35" s="26" t="n">
        <f aca="false">COUNTIFS('01 - Job Database'!$C$3:$C$1000,"&lt;&gt;",'01 - Job Database'!$W$3:$W$1000,"&lt;&gt;Yes",'01 - Job Database'!$BA$3:$BA$1000,"Yes")</f>
        <v>1</v>
      </c>
      <c r="D35" s="58" t="n">
        <f aca="false">IFERROR(C35/'03 - Skill Intelligence'!$B$3,0)</f>
        <v>1</v>
      </c>
      <c r="E35" s="26" t="n">
        <f aca="false">C35-ROW()*0.0001</f>
        <v>0.9965</v>
      </c>
    </row>
    <row r="36" customFormat="false" ht="15" hidden="false" customHeight="true" outlineLevel="0" collapsed="false">
      <c r="A36" s="57" t="s">
        <v>223</v>
      </c>
      <c r="B36" s="57" t="s">
        <v>101</v>
      </c>
      <c r="C36" s="26" t="n">
        <f aca="false">COUNTIFS('01 - Job Database'!$C$3:$C$1000,"&lt;&gt;",'01 - Job Database'!$W$3:$W$1000,"&lt;&gt;Yes",'01 - Job Database'!$BB$3:$BB$1000,"Yes")</f>
        <v>1</v>
      </c>
      <c r="D36" s="58" t="n">
        <f aca="false">IFERROR(C36/'03 - Skill Intelligence'!$B$3,0)</f>
        <v>1</v>
      </c>
      <c r="E36" s="26" t="n">
        <f aca="false">C36-ROW()*0.0001</f>
        <v>0.9964</v>
      </c>
    </row>
    <row r="37" customFormat="false" ht="15" hidden="false" customHeight="true" outlineLevel="0" collapsed="false">
      <c r="A37" s="57" t="s">
        <v>223</v>
      </c>
      <c r="B37" s="57" t="s">
        <v>102</v>
      </c>
      <c r="C37" s="26" t="n">
        <f aca="false">COUNTIFS('01 - Job Database'!$C$3:$C$1000,"&lt;&gt;",'01 - Job Database'!$W$3:$W$1000,"&lt;&gt;Yes",'01 - Job Database'!$BC$3:$BC$1000,"Yes")</f>
        <v>1</v>
      </c>
      <c r="D37" s="58" t="n">
        <f aca="false">IFERROR(C37/'03 - Skill Intelligence'!$B$3,0)</f>
        <v>1</v>
      </c>
      <c r="E37" s="26" t="n">
        <f aca="false">C37-ROW()*0.0001</f>
        <v>0.9963</v>
      </c>
    </row>
    <row r="38" customFormat="false" ht="15" hidden="false" customHeight="true" outlineLevel="0" collapsed="false">
      <c r="A38" s="57" t="s">
        <v>224</v>
      </c>
      <c r="B38" s="57" t="s">
        <v>138</v>
      </c>
      <c r="C38" s="26" t="n">
        <f aca="false">COUNTIFS('01 - Job Database'!$C$3:$C$1000,"&lt;&gt;",'01 - Job Database'!$W$3:$W$1000,"&lt;&gt;Yes",'01 - Job Database'!$CM$3:$CM$1000,"Yes")</f>
        <v>0</v>
      </c>
      <c r="D38" s="58" t="n">
        <f aca="false">IFERROR(C38/'03 - Skill Intelligence'!$B$3,0)</f>
        <v>0</v>
      </c>
      <c r="E38" s="26" t="n">
        <f aca="false">C38-ROW()*0.0001</f>
        <v>-0.0038</v>
      </c>
    </row>
    <row r="39" customFormat="false" ht="15" hidden="false" customHeight="true" outlineLevel="0" collapsed="false">
      <c r="A39" s="57" t="s">
        <v>224</v>
      </c>
      <c r="B39" s="57" t="s">
        <v>139</v>
      </c>
      <c r="C39" s="26" t="n">
        <f aca="false">COUNTIFS('01 - Job Database'!$C$3:$C$1000,"&lt;&gt;",'01 - Job Database'!$W$3:$W$1000,"&lt;&gt;Yes",'01 - Job Database'!$CN$3:$CN$1000,"Yes")</f>
        <v>0</v>
      </c>
      <c r="D39" s="58" t="n">
        <f aca="false">IFERROR(C39/'03 - Skill Intelligence'!$B$3,0)</f>
        <v>0</v>
      </c>
      <c r="E39" s="26" t="n">
        <f aca="false">C39-ROW()*0.0001</f>
        <v>-0.0039</v>
      </c>
    </row>
    <row r="40" customFormat="false" ht="15" hidden="false" customHeight="true" outlineLevel="0" collapsed="false">
      <c r="A40" s="57" t="s">
        <v>224</v>
      </c>
      <c r="B40" s="57" t="s">
        <v>140</v>
      </c>
      <c r="C40" s="26" t="n">
        <f aca="false">COUNTIFS('01 - Job Database'!$C$3:$C$1000,"&lt;&gt;",'01 - Job Database'!$W$3:$W$1000,"&lt;&gt;Yes",'01 - Job Database'!$CO$3:$CO$1000,"Yes")</f>
        <v>0</v>
      </c>
      <c r="D40" s="58" t="n">
        <f aca="false">IFERROR(C40/'03 - Skill Intelligence'!$B$3,0)</f>
        <v>0</v>
      </c>
      <c r="E40" s="26" t="n">
        <f aca="false">C40-ROW()*0.0001</f>
        <v>-0.004</v>
      </c>
    </row>
    <row r="41" customFormat="false" ht="15" hidden="false" customHeight="true" outlineLevel="0" collapsed="false">
      <c r="A41" s="57" t="s">
        <v>224</v>
      </c>
      <c r="B41" s="57" t="s">
        <v>141</v>
      </c>
      <c r="C41" s="26" t="n">
        <f aca="false">COUNTIFS('01 - Job Database'!$C$3:$C$1000,"&lt;&gt;",'01 - Job Database'!$W$3:$W$1000,"&lt;&gt;Yes",'01 - Job Database'!$CP$3:$CP$1000,"Yes")</f>
        <v>0</v>
      </c>
      <c r="D41" s="58" t="n">
        <f aca="false">IFERROR(C41/'03 - Skill Intelligence'!$B$3,0)</f>
        <v>0</v>
      </c>
      <c r="E41" s="26" t="n">
        <f aca="false">C41-ROW()*0.0001</f>
        <v>-0.0041</v>
      </c>
    </row>
    <row r="42" customFormat="false" ht="15" hidden="false" customHeight="true" outlineLevel="0" collapsed="false">
      <c r="A42" s="57" t="s">
        <v>224</v>
      </c>
      <c r="B42" s="57" t="s">
        <v>142</v>
      </c>
      <c r="C42" s="26" t="n">
        <f aca="false">COUNTIFS('01 - Job Database'!$C$3:$C$1000,"&lt;&gt;",'01 - Job Database'!$W$3:$W$1000,"&lt;&gt;Yes",'01 - Job Database'!$CQ$3:$CQ$1000,"Yes")</f>
        <v>0</v>
      </c>
      <c r="D42" s="58" t="n">
        <f aca="false">IFERROR(C42/'03 - Skill Intelligence'!$B$3,0)</f>
        <v>0</v>
      </c>
      <c r="E42" s="26" t="n">
        <f aca="false">C42-ROW()*0.0001</f>
        <v>-0.0042</v>
      </c>
    </row>
    <row r="43" customFormat="false" ht="15" hidden="false" customHeight="true" outlineLevel="0" collapsed="false">
      <c r="A43" s="57" t="s">
        <v>224</v>
      </c>
      <c r="B43" s="57" t="s">
        <v>143</v>
      </c>
      <c r="C43" s="26" t="n">
        <f aca="false">COUNTIFS('01 - Job Database'!$C$3:$C$1000,"&lt;&gt;",'01 - Job Database'!$W$3:$W$1000,"&lt;&gt;Yes",'01 - Job Database'!$CR$3:$CR$1000,"Yes")</f>
        <v>0</v>
      </c>
      <c r="D43" s="58" t="n">
        <f aca="false">IFERROR(C43/'03 - Skill Intelligence'!$B$3,0)</f>
        <v>0</v>
      </c>
      <c r="E43" s="26" t="n">
        <f aca="false">C43-ROW()*0.0001</f>
        <v>-0.0043</v>
      </c>
    </row>
    <row r="44" customFormat="false" ht="15" hidden="false" customHeight="true" outlineLevel="0" collapsed="false">
      <c r="A44" s="57" t="s">
        <v>224</v>
      </c>
      <c r="B44" s="57" t="s">
        <v>144</v>
      </c>
      <c r="C44" s="26" t="n">
        <f aca="false">COUNTIFS('01 - Job Database'!$C$3:$C$1000,"&lt;&gt;",'01 - Job Database'!$W$3:$W$1000,"&lt;&gt;Yes",'01 - Job Database'!$CS$3:$CS$1000,"Yes")</f>
        <v>0</v>
      </c>
      <c r="D44" s="58" t="n">
        <f aca="false">IFERROR(C44/'03 - Skill Intelligence'!$B$3,0)</f>
        <v>0</v>
      </c>
      <c r="E44" s="26" t="n">
        <f aca="false">C44-ROW()*0.0001</f>
        <v>-0.0044</v>
      </c>
    </row>
    <row r="45" customFormat="false" ht="15" hidden="false" customHeight="true" outlineLevel="0" collapsed="false">
      <c r="A45" s="57" t="s">
        <v>224</v>
      </c>
      <c r="B45" s="57" t="s">
        <v>145</v>
      </c>
      <c r="C45" s="26" t="n">
        <f aca="false">COUNTIFS('01 - Job Database'!$C$3:$C$1000,"&lt;&gt;",'01 - Job Database'!$W$3:$W$1000,"&lt;&gt;Yes",'01 - Job Database'!$CT$3:$CT$1000,"Yes")</f>
        <v>0</v>
      </c>
      <c r="D45" s="58" t="n">
        <f aca="false">IFERROR(C45/'03 - Skill Intelligence'!$B$3,0)</f>
        <v>0</v>
      </c>
      <c r="E45" s="26" t="n">
        <f aca="false">C45-ROW()*0.0001</f>
        <v>-0.0045</v>
      </c>
    </row>
    <row r="46" customFormat="false" ht="15" hidden="false" customHeight="true" outlineLevel="0" collapsed="false">
      <c r="A46" s="57" t="s">
        <v>224</v>
      </c>
      <c r="B46" s="57" t="s">
        <v>146</v>
      </c>
      <c r="C46" s="26" t="n">
        <f aca="false">COUNTIFS('01 - Job Database'!$C$3:$C$1000,"&lt;&gt;",'01 - Job Database'!$W$3:$W$1000,"&lt;&gt;Yes",'01 - Job Database'!$CU$3:$CU$1000,"Yes")</f>
        <v>0</v>
      </c>
      <c r="D46" s="58" t="n">
        <f aca="false">IFERROR(C46/'03 - Skill Intelligence'!$B$3,0)</f>
        <v>0</v>
      </c>
      <c r="E46" s="26" t="n">
        <f aca="false">C46-ROW()*0.0001</f>
        <v>-0.0046</v>
      </c>
    </row>
    <row r="47" customFormat="false" ht="15" hidden="false" customHeight="true" outlineLevel="0" collapsed="false">
      <c r="A47" s="57" t="s">
        <v>224</v>
      </c>
      <c r="B47" s="57" t="s">
        <v>147</v>
      </c>
      <c r="C47" s="26" t="n">
        <f aca="false">COUNTIFS('01 - Job Database'!$C$3:$C$1000,"&lt;&gt;",'01 - Job Database'!$W$3:$W$1000,"&lt;&gt;Yes",'01 - Job Database'!$CV$3:$CV$1000,"Yes")</f>
        <v>0</v>
      </c>
      <c r="D47" s="58" t="n">
        <f aca="false">IFERROR(C47/'03 - Skill Intelligence'!$B$3,0)</f>
        <v>0</v>
      </c>
      <c r="E47" s="26" t="n">
        <f aca="false">C47-ROW()*0.0001</f>
        <v>-0.0047</v>
      </c>
    </row>
    <row r="48" customFormat="false" ht="15" hidden="false" customHeight="true" outlineLevel="0" collapsed="false">
      <c r="A48" s="57" t="s">
        <v>224</v>
      </c>
      <c r="B48" s="57" t="s">
        <v>148</v>
      </c>
      <c r="C48" s="26" t="n">
        <f aca="false">COUNTIFS('01 - Job Database'!$C$3:$C$1000,"&lt;&gt;",'01 - Job Database'!$W$3:$W$1000,"&lt;&gt;Yes",'01 - Job Database'!$CW$3:$CW$1000,"Yes")</f>
        <v>0</v>
      </c>
      <c r="D48" s="58" t="n">
        <f aca="false">IFERROR(C48/'03 - Skill Intelligence'!$B$3,0)</f>
        <v>0</v>
      </c>
      <c r="E48" s="26" t="n">
        <f aca="false">C48-ROW()*0.0001</f>
        <v>-0.0048</v>
      </c>
    </row>
  </sheetData>
  <mergeCells count="1">
    <mergeCell ref="A1:F1"/>
  </mergeCells>
  <conditionalFormatting sqref="D6:D37">
    <cfRule type="colorScale" priority="2">
      <colorScale>
        <cfvo type="min" val="0"/>
        <cfvo type="percentile" val="50"/>
        <cfvo type="max" val="0"/>
        <color rgb="FFFFFFFF"/>
        <color rgb="FFFFEB84"/>
        <color rgb="FF63BE7B"/>
      </colorScale>
    </cfRule>
  </conditionalFormatting>
  <conditionalFormatting sqref="D6:D48">
    <cfRule type="colorScale" priority="3">
      <colorScale>
        <cfvo type="min" val="0"/>
        <cfvo type="percentile" val="50"/>
        <cfvo type="max" val="0"/>
        <color rgb="FFFFFFFF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R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0"/>
    <col collapsed="false" customWidth="true" hidden="true" outlineLevel="0" max="8" min="8" style="1" width="10"/>
    <col collapsed="false" customWidth="true" hidden="false" outlineLevel="0" max="44" min="9" style="1" width="10"/>
  </cols>
  <sheetData>
    <row r="1" customFormat="false" ht="27.75" hidden="false" customHeight="true" outlineLevel="0" collapsed="false">
      <c r="A1" s="2" t="s">
        <v>225</v>
      </c>
      <c r="B1" s="2"/>
      <c r="C1" s="2"/>
      <c r="D1" s="2"/>
      <c r="E1" s="2"/>
      <c r="F1" s="2"/>
      <c r="G1" s="2"/>
      <c r="H1" s="2"/>
    </row>
    <row r="3" customFormat="false" ht="51.75" hidden="false" customHeight="true" outlineLevel="0" collapsed="false">
      <c r="A3" s="12" t="s">
        <v>201</v>
      </c>
      <c r="B3" s="12" t="s">
        <v>226</v>
      </c>
      <c r="C3" s="12" t="s">
        <v>227</v>
      </c>
      <c r="D3" s="12" t="s">
        <v>228</v>
      </c>
      <c r="E3" s="12" t="s">
        <v>229</v>
      </c>
      <c r="F3" s="12" t="s">
        <v>193</v>
      </c>
      <c r="G3" s="12" t="s">
        <v>230</v>
      </c>
      <c r="H3" s="12" t="s">
        <v>218</v>
      </c>
    </row>
    <row r="4" customFormat="false" ht="15" hidden="false" customHeight="true" outlineLevel="0" collapsed="false">
      <c r="A4" s="57" t="s">
        <v>231</v>
      </c>
      <c r="B4" s="26" t="n">
        <f aca="false">COUNTIFS('01 - Job Database'!$C$3:$C$1000,"&lt;&gt;",'01 - Job Database'!$W$3:$W$1000,"&lt;&gt;Yes",'01 - Job Database'!$E$3:$E$1000,A4)</f>
        <v>0</v>
      </c>
      <c r="C4" s="59" t="str">
        <f aca="false">IFERROR(AVERAGEIFS('01 - Job Database'!$O$3:$O$1000,'01 - Job Database'!$C$3:$C$1000,"&lt;&gt;",'01 - Job Database'!$W$3:$W$1000,"&lt;&gt;Yes",'01 - Job Database'!$E$3:$E$1000,A4),"")</f>
        <v/>
      </c>
      <c r="D4" s="60" t="str">
        <f aca="false">IFERROR(AVERAGEIFS('01 - Job Database'!$Q$3:$Q$1000,'01 - Job Database'!$C$3:$C$1000,"&lt;&gt;",'01 - Job Database'!$W$3:$W$1000,"&lt;&gt;Yes",'01 - Job Database'!$E$3:$E$1000,A4),"")</f>
        <v/>
      </c>
      <c r="E4" s="26" t="n">
        <f aca="false">COUNTIFS('01 - Job Database'!$C$3:$C$1000,"&lt;&gt;",'01 - Job Database'!$W$3:$W$1000,"&lt;&gt;Yes",'01 - Job Database'!$E$3:$E$1000,A4,'01 - Job Database'!$S$3:$S$1000,"Yes")</f>
        <v>0</v>
      </c>
      <c r="F4" s="58" t="str">
        <f aca="false">IFERROR(COUNTIFS('01 - Job Database'!$C$3:$C$1000,"&lt;&gt;",'01 - Job Database'!$W$3:$W$1000,"&lt;&gt;Yes",'01 - Job Database'!$E$3:$E$1000,A4,'01 - Job Database'!$J$3:$J$1000,"Yes")/B4,"")</f>
        <v/>
      </c>
      <c r="G4" s="58" t="str">
        <f aca="false">IFERROR((COUNTIFS('01 - Job Database'!$C$3:$C$1000,"&lt;&gt;",'01 - Job Database'!$W$3:$W$1000,"&lt;&gt;Yes",'01 - Job Database'!$E$3:$E$1000,A4,'01 - Job Database'!$F$3:$F$1000,"Intern")+COUNTIFS('01 - Job Database'!$C$3:$C$1000,"&lt;&gt;",'01 - Job Database'!$W$3:$W$1000,"&lt;&gt;Yes",'01 - Job Database'!$E$3:$E$1000,A4,'01 - Job Database'!$F$3:$F$1000,"New Grad"))/B4,"")</f>
        <v/>
      </c>
      <c r="H4" s="26" t="n">
        <f aca="false">B4-ROW()*0.0001</f>
        <v>-0.0004</v>
      </c>
    </row>
    <row r="5" customFormat="false" ht="15" hidden="false" customHeight="true" outlineLevel="0" collapsed="false">
      <c r="A5" s="57" t="s">
        <v>151</v>
      </c>
      <c r="B5" s="26" t="n">
        <f aca="false">COUNTIFS('01 - Job Database'!$C$3:$C$1000,"&lt;&gt;",'01 - Job Database'!$W$3:$W$1000,"&lt;&gt;Yes",'01 - Job Database'!$E$3:$E$1000,A5)</f>
        <v>0</v>
      </c>
      <c r="C5" s="59" t="str">
        <f aca="false">IFERROR(AVERAGEIFS('01 - Job Database'!$O$3:$O$1000,'01 - Job Database'!$C$3:$C$1000,"&lt;&gt;",'01 - Job Database'!$W$3:$W$1000,"&lt;&gt;Yes",'01 - Job Database'!$E$3:$E$1000,A5),"")</f>
        <v/>
      </c>
      <c r="D5" s="60" t="str">
        <f aca="false">IFERROR(AVERAGEIFS('01 - Job Database'!$Q$3:$Q$1000,'01 - Job Database'!$C$3:$C$1000,"&lt;&gt;",'01 - Job Database'!$W$3:$W$1000,"&lt;&gt;Yes",'01 - Job Database'!$E$3:$E$1000,A5),"")</f>
        <v/>
      </c>
      <c r="E5" s="26" t="n">
        <f aca="false">COUNTIFS('01 - Job Database'!$C$3:$C$1000,"&lt;&gt;",'01 - Job Database'!$W$3:$W$1000,"&lt;&gt;Yes",'01 - Job Database'!$E$3:$E$1000,A5,'01 - Job Database'!$S$3:$S$1000,"Yes")</f>
        <v>0</v>
      </c>
      <c r="F5" s="58" t="str">
        <f aca="false">IFERROR(COUNTIFS('01 - Job Database'!$C$3:$C$1000,"&lt;&gt;",'01 - Job Database'!$W$3:$W$1000,"&lt;&gt;Yes",'01 - Job Database'!$E$3:$E$1000,A5,'01 - Job Database'!$J$3:$J$1000,"Yes")/B5,"")</f>
        <v/>
      </c>
      <c r="G5" s="58" t="str">
        <f aca="false">IFERROR((COUNTIFS('01 - Job Database'!$C$3:$C$1000,"&lt;&gt;",'01 - Job Database'!$W$3:$W$1000,"&lt;&gt;Yes",'01 - Job Database'!$E$3:$E$1000,A5,'01 - Job Database'!$F$3:$F$1000,"Intern")+COUNTIFS('01 - Job Database'!$C$3:$C$1000,"&lt;&gt;",'01 - Job Database'!$W$3:$W$1000,"&lt;&gt;Yes",'01 - Job Database'!$E$3:$E$1000,A5,'01 - Job Database'!$F$3:$F$1000,"New Grad"))/B5,"")</f>
        <v/>
      </c>
      <c r="H5" s="26" t="n">
        <f aca="false">B5-ROW()*0.0001</f>
        <v>-0.0005</v>
      </c>
    </row>
    <row r="6" customFormat="false" ht="15" hidden="false" customHeight="true" outlineLevel="0" collapsed="false">
      <c r="A6" s="57" t="s">
        <v>232</v>
      </c>
      <c r="B6" s="26" t="n">
        <f aca="false">COUNTIFS('01 - Job Database'!$C$3:$C$1000,"&lt;&gt;",'01 - Job Database'!$W$3:$W$1000,"&lt;&gt;Yes",'01 - Job Database'!$E$3:$E$1000,A6)</f>
        <v>0</v>
      </c>
      <c r="C6" s="59" t="str">
        <f aca="false">IFERROR(AVERAGEIFS('01 - Job Database'!$O$3:$O$1000,'01 - Job Database'!$C$3:$C$1000,"&lt;&gt;",'01 - Job Database'!$W$3:$W$1000,"&lt;&gt;Yes",'01 - Job Database'!$E$3:$E$1000,A6),"")</f>
        <v/>
      </c>
      <c r="D6" s="60" t="str">
        <f aca="false">IFERROR(AVERAGEIFS('01 - Job Database'!$Q$3:$Q$1000,'01 - Job Database'!$C$3:$C$1000,"&lt;&gt;",'01 - Job Database'!$W$3:$W$1000,"&lt;&gt;Yes",'01 - Job Database'!$E$3:$E$1000,A6),"")</f>
        <v/>
      </c>
      <c r="E6" s="26" t="n">
        <f aca="false">COUNTIFS('01 - Job Database'!$C$3:$C$1000,"&lt;&gt;",'01 - Job Database'!$W$3:$W$1000,"&lt;&gt;Yes",'01 - Job Database'!$E$3:$E$1000,A6,'01 - Job Database'!$S$3:$S$1000,"Yes")</f>
        <v>0</v>
      </c>
      <c r="F6" s="58" t="str">
        <f aca="false">IFERROR(COUNTIFS('01 - Job Database'!$C$3:$C$1000,"&lt;&gt;",'01 - Job Database'!$W$3:$W$1000,"&lt;&gt;Yes",'01 - Job Database'!$E$3:$E$1000,A6,'01 - Job Database'!$J$3:$J$1000,"Yes")/B6,"")</f>
        <v/>
      </c>
      <c r="G6" s="58" t="str">
        <f aca="false">IFERROR((COUNTIFS('01 - Job Database'!$C$3:$C$1000,"&lt;&gt;",'01 - Job Database'!$W$3:$W$1000,"&lt;&gt;Yes",'01 - Job Database'!$E$3:$E$1000,A6,'01 - Job Database'!$F$3:$F$1000,"Intern")+COUNTIFS('01 - Job Database'!$C$3:$C$1000,"&lt;&gt;",'01 - Job Database'!$W$3:$W$1000,"&lt;&gt;Yes",'01 - Job Database'!$E$3:$E$1000,A6,'01 - Job Database'!$F$3:$F$1000,"New Grad"))/B6,"")</f>
        <v/>
      </c>
      <c r="H6" s="26" t="n">
        <f aca="false">B6-ROW()*0.0001</f>
        <v>-0.0006</v>
      </c>
    </row>
    <row r="7" customFormat="false" ht="15" hidden="false" customHeight="true" outlineLevel="0" collapsed="false">
      <c r="A7" s="57" t="s">
        <v>233</v>
      </c>
      <c r="B7" s="26" t="n">
        <f aca="false">COUNTIFS('01 - Job Database'!$C$3:$C$1000,"&lt;&gt;",'01 - Job Database'!$W$3:$W$1000,"&lt;&gt;Yes",'01 - Job Database'!$E$3:$E$1000,A7)</f>
        <v>0</v>
      </c>
      <c r="C7" s="59" t="str">
        <f aca="false">IFERROR(AVERAGEIFS('01 - Job Database'!$O$3:$O$1000,'01 - Job Database'!$C$3:$C$1000,"&lt;&gt;",'01 - Job Database'!$W$3:$W$1000,"&lt;&gt;Yes",'01 - Job Database'!$E$3:$E$1000,A7),"")</f>
        <v/>
      </c>
      <c r="D7" s="60" t="str">
        <f aca="false">IFERROR(AVERAGEIFS('01 - Job Database'!$Q$3:$Q$1000,'01 - Job Database'!$C$3:$C$1000,"&lt;&gt;",'01 - Job Database'!$W$3:$W$1000,"&lt;&gt;Yes",'01 - Job Database'!$E$3:$E$1000,A7),"")</f>
        <v/>
      </c>
      <c r="E7" s="26" t="n">
        <f aca="false">COUNTIFS('01 - Job Database'!$C$3:$C$1000,"&lt;&gt;",'01 - Job Database'!$W$3:$W$1000,"&lt;&gt;Yes",'01 - Job Database'!$E$3:$E$1000,A7,'01 - Job Database'!$S$3:$S$1000,"Yes")</f>
        <v>0</v>
      </c>
      <c r="F7" s="58" t="str">
        <f aca="false">IFERROR(COUNTIFS('01 - Job Database'!$C$3:$C$1000,"&lt;&gt;",'01 - Job Database'!$W$3:$W$1000,"&lt;&gt;Yes",'01 - Job Database'!$E$3:$E$1000,A7,'01 - Job Database'!$J$3:$J$1000,"Yes")/B7,"")</f>
        <v/>
      </c>
      <c r="G7" s="58" t="str">
        <f aca="false">IFERROR((COUNTIFS('01 - Job Database'!$C$3:$C$1000,"&lt;&gt;",'01 - Job Database'!$W$3:$W$1000,"&lt;&gt;Yes",'01 - Job Database'!$E$3:$E$1000,A7,'01 - Job Database'!$F$3:$F$1000,"Intern")+COUNTIFS('01 - Job Database'!$C$3:$C$1000,"&lt;&gt;",'01 - Job Database'!$W$3:$W$1000,"&lt;&gt;Yes",'01 - Job Database'!$E$3:$E$1000,A7,'01 - Job Database'!$F$3:$F$1000,"New Grad"))/B7,"")</f>
        <v/>
      </c>
      <c r="H7" s="26" t="n">
        <f aca="false">B7-ROW()*0.0001</f>
        <v>-0.0007</v>
      </c>
    </row>
    <row r="8" customFormat="false" ht="15" hidden="false" customHeight="true" outlineLevel="0" collapsed="false">
      <c r="A8" s="57" t="s">
        <v>234</v>
      </c>
      <c r="B8" s="26" t="n">
        <f aca="false">COUNTIFS('01 - Job Database'!$C$3:$C$1000,"&lt;&gt;",'01 - Job Database'!$W$3:$W$1000,"&lt;&gt;Yes",'01 - Job Database'!$E$3:$E$1000,A8)</f>
        <v>0</v>
      </c>
      <c r="C8" s="59" t="str">
        <f aca="false">IFERROR(AVERAGEIFS('01 - Job Database'!$O$3:$O$1000,'01 - Job Database'!$C$3:$C$1000,"&lt;&gt;",'01 - Job Database'!$W$3:$W$1000,"&lt;&gt;Yes",'01 - Job Database'!$E$3:$E$1000,A8),"")</f>
        <v/>
      </c>
      <c r="D8" s="60" t="str">
        <f aca="false">IFERROR(AVERAGEIFS('01 - Job Database'!$Q$3:$Q$1000,'01 - Job Database'!$C$3:$C$1000,"&lt;&gt;",'01 - Job Database'!$W$3:$W$1000,"&lt;&gt;Yes",'01 - Job Database'!$E$3:$E$1000,A8),"")</f>
        <v/>
      </c>
      <c r="E8" s="26" t="n">
        <f aca="false">COUNTIFS('01 - Job Database'!$C$3:$C$1000,"&lt;&gt;",'01 - Job Database'!$W$3:$W$1000,"&lt;&gt;Yes",'01 - Job Database'!$E$3:$E$1000,A8,'01 - Job Database'!$S$3:$S$1000,"Yes")</f>
        <v>0</v>
      </c>
      <c r="F8" s="58" t="str">
        <f aca="false">IFERROR(COUNTIFS('01 - Job Database'!$C$3:$C$1000,"&lt;&gt;",'01 - Job Database'!$W$3:$W$1000,"&lt;&gt;Yes",'01 - Job Database'!$E$3:$E$1000,A8,'01 - Job Database'!$J$3:$J$1000,"Yes")/B8,"")</f>
        <v/>
      </c>
      <c r="G8" s="58" t="str">
        <f aca="false">IFERROR((COUNTIFS('01 - Job Database'!$C$3:$C$1000,"&lt;&gt;",'01 - Job Database'!$W$3:$W$1000,"&lt;&gt;Yes",'01 - Job Database'!$E$3:$E$1000,A8,'01 - Job Database'!$F$3:$F$1000,"Intern")+COUNTIFS('01 - Job Database'!$C$3:$C$1000,"&lt;&gt;",'01 - Job Database'!$W$3:$W$1000,"&lt;&gt;Yes",'01 - Job Database'!$E$3:$E$1000,A8,'01 - Job Database'!$F$3:$F$1000,"New Grad"))/B8,"")</f>
        <v/>
      </c>
      <c r="H8" s="26" t="n">
        <f aca="false">B8-ROW()*0.0001</f>
        <v>-0.0008</v>
      </c>
    </row>
    <row r="9" customFormat="false" ht="15" hidden="false" customHeight="true" outlineLevel="0" collapsed="false">
      <c r="A9" s="57" t="s">
        <v>235</v>
      </c>
      <c r="B9" s="26" t="n">
        <f aca="false">COUNTIFS('01 - Job Database'!$C$3:$C$1000,"&lt;&gt;",'01 - Job Database'!$W$3:$W$1000,"&lt;&gt;Yes",'01 - Job Database'!$E$3:$E$1000,A9)</f>
        <v>0</v>
      </c>
      <c r="C9" s="59" t="str">
        <f aca="false">IFERROR(AVERAGEIFS('01 - Job Database'!$O$3:$O$1000,'01 - Job Database'!$C$3:$C$1000,"&lt;&gt;",'01 - Job Database'!$W$3:$W$1000,"&lt;&gt;Yes",'01 - Job Database'!$E$3:$E$1000,A9),"")</f>
        <v/>
      </c>
      <c r="D9" s="60" t="str">
        <f aca="false">IFERROR(AVERAGEIFS('01 - Job Database'!$Q$3:$Q$1000,'01 - Job Database'!$C$3:$C$1000,"&lt;&gt;",'01 - Job Database'!$W$3:$W$1000,"&lt;&gt;Yes",'01 - Job Database'!$E$3:$E$1000,A9),"")</f>
        <v/>
      </c>
      <c r="E9" s="26" t="n">
        <f aca="false">COUNTIFS('01 - Job Database'!$C$3:$C$1000,"&lt;&gt;",'01 - Job Database'!$W$3:$W$1000,"&lt;&gt;Yes",'01 - Job Database'!$E$3:$E$1000,A9,'01 - Job Database'!$S$3:$S$1000,"Yes")</f>
        <v>0</v>
      </c>
      <c r="F9" s="58" t="str">
        <f aca="false">IFERROR(COUNTIFS('01 - Job Database'!$C$3:$C$1000,"&lt;&gt;",'01 - Job Database'!$W$3:$W$1000,"&lt;&gt;Yes",'01 - Job Database'!$E$3:$E$1000,A9,'01 - Job Database'!$J$3:$J$1000,"Yes")/B9,"")</f>
        <v/>
      </c>
      <c r="G9" s="58" t="str">
        <f aca="false">IFERROR((COUNTIFS('01 - Job Database'!$C$3:$C$1000,"&lt;&gt;",'01 - Job Database'!$W$3:$W$1000,"&lt;&gt;Yes",'01 - Job Database'!$E$3:$E$1000,A9,'01 - Job Database'!$F$3:$F$1000,"Intern")+COUNTIFS('01 - Job Database'!$C$3:$C$1000,"&lt;&gt;",'01 - Job Database'!$W$3:$W$1000,"&lt;&gt;Yes",'01 - Job Database'!$E$3:$E$1000,A9,'01 - Job Database'!$F$3:$F$1000,"New Grad"))/B9,"")</f>
        <v/>
      </c>
      <c r="H9" s="26" t="n">
        <f aca="false">B9-ROW()*0.0001</f>
        <v>-0.0009</v>
      </c>
    </row>
    <row r="10" customFormat="false" ht="15" hidden="false" customHeight="true" outlineLevel="0" collapsed="false">
      <c r="A10" s="57" t="s">
        <v>236</v>
      </c>
      <c r="B10" s="26" t="n">
        <f aca="false">COUNTIFS('01 - Job Database'!$C$3:$C$1000,"&lt;&gt;",'01 - Job Database'!$W$3:$W$1000,"&lt;&gt;Yes",'01 - Job Database'!$E$3:$E$1000,A10)</f>
        <v>0</v>
      </c>
      <c r="C10" s="59" t="str">
        <f aca="false">IFERROR(AVERAGEIFS('01 - Job Database'!$O$3:$O$1000,'01 - Job Database'!$C$3:$C$1000,"&lt;&gt;",'01 - Job Database'!$W$3:$W$1000,"&lt;&gt;Yes",'01 - Job Database'!$E$3:$E$1000,A10),"")</f>
        <v/>
      </c>
      <c r="D10" s="60" t="str">
        <f aca="false">IFERROR(AVERAGEIFS('01 - Job Database'!$Q$3:$Q$1000,'01 - Job Database'!$C$3:$C$1000,"&lt;&gt;",'01 - Job Database'!$W$3:$W$1000,"&lt;&gt;Yes",'01 - Job Database'!$E$3:$E$1000,A10),"")</f>
        <v/>
      </c>
      <c r="E10" s="26" t="n">
        <f aca="false">COUNTIFS('01 - Job Database'!$C$3:$C$1000,"&lt;&gt;",'01 - Job Database'!$W$3:$W$1000,"&lt;&gt;Yes",'01 - Job Database'!$E$3:$E$1000,A10,'01 - Job Database'!$S$3:$S$1000,"Yes")</f>
        <v>0</v>
      </c>
      <c r="F10" s="58" t="str">
        <f aca="false">IFERROR(COUNTIFS('01 - Job Database'!$C$3:$C$1000,"&lt;&gt;",'01 - Job Database'!$W$3:$W$1000,"&lt;&gt;Yes",'01 - Job Database'!$E$3:$E$1000,A10,'01 - Job Database'!$J$3:$J$1000,"Yes")/B10,"")</f>
        <v/>
      </c>
      <c r="G10" s="58" t="str">
        <f aca="false">IFERROR((COUNTIFS('01 - Job Database'!$C$3:$C$1000,"&lt;&gt;",'01 - Job Database'!$W$3:$W$1000,"&lt;&gt;Yes",'01 - Job Database'!$E$3:$E$1000,A10,'01 - Job Database'!$F$3:$F$1000,"Intern")+COUNTIFS('01 - Job Database'!$C$3:$C$1000,"&lt;&gt;",'01 - Job Database'!$W$3:$W$1000,"&lt;&gt;Yes",'01 - Job Database'!$E$3:$E$1000,A10,'01 - Job Database'!$F$3:$F$1000,"New Grad"))/B10,"")</f>
        <v/>
      </c>
      <c r="H10" s="26" t="n">
        <f aca="false">B10-ROW()*0.0001</f>
        <v>-0.001</v>
      </c>
    </row>
    <row r="11" customFormat="false" ht="15" hidden="false" customHeight="true" outlineLevel="0" collapsed="false">
      <c r="A11" s="57" t="s">
        <v>237</v>
      </c>
      <c r="B11" s="26" t="n">
        <f aca="false">COUNTIFS('01 - Job Database'!$C$3:$C$1000,"&lt;&gt;",'01 - Job Database'!$W$3:$W$1000,"&lt;&gt;Yes",'01 - Job Database'!$E$3:$E$1000,A11)</f>
        <v>0</v>
      </c>
      <c r="C11" s="59" t="str">
        <f aca="false">IFERROR(AVERAGEIFS('01 - Job Database'!$O$3:$O$1000,'01 - Job Database'!$C$3:$C$1000,"&lt;&gt;",'01 - Job Database'!$W$3:$W$1000,"&lt;&gt;Yes",'01 - Job Database'!$E$3:$E$1000,A11),"")</f>
        <v/>
      </c>
      <c r="D11" s="60" t="str">
        <f aca="false">IFERROR(AVERAGEIFS('01 - Job Database'!$Q$3:$Q$1000,'01 - Job Database'!$C$3:$C$1000,"&lt;&gt;",'01 - Job Database'!$W$3:$W$1000,"&lt;&gt;Yes",'01 - Job Database'!$E$3:$E$1000,A11),"")</f>
        <v/>
      </c>
      <c r="E11" s="26" t="n">
        <f aca="false">COUNTIFS('01 - Job Database'!$C$3:$C$1000,"&lt;&gt;",'01 - Job Database'!$W$3:$W$1000,"&lt;&gt;Yes",'01 - Job Database'!$E$3:$E$1000,A11,'01 - Job Database'!$S$3:$S$1000,"Yes")</f>
        <v>0</v>
      </c>
      <c r="F11" s="58" t="str">
        <f aca="false">IFERROR(COUNTIFS('01 - Job Database'!$C$3:$C$1000,"&lt;&gt;",'01 - Job Database'!$W$3:$W$1000,"&lt;&gt;Yes",'01 - Job Database'!$E$3:$E$1000,A11,'01 - Job Database'!$J$3:$J$1000,"Yes")/B11,"")</f>
        <v/>
      </c>
      <c r="G11" s="58" t="str">
        <f aca="false">IFERROR((COUNTIFS('01 - Job Database'!$C$3:$C$1000,"&lt;&gt;",'01 - Job Database'!$W$3:$W$1000,"&lt;&gt;Yes",'01 - Job Database'!$E$3:$E$1000,A11,'01 - Job Database'!$F$3:$F$1000,"Intern")+COUNTIFS('01 - Job Database'!$C$3:$C$1000,"&lt;&gt;",'01 - Job Database'!$W$3:$W$1000,"&lt;&gt;Yes",'01 - Job Database'!$E$3:$E$1000,A11,'01 - Job Database'!$F$3:$F$1000,"New Grad"))/B11,"")</f>
        <v/>
      </c>
      <c r="H11" s="26" t="n">
        <f aca="false">B11-ROW()*0.0001</f>
        <v>-0.0011</v>
      </c>
    </row>
    <row r="12" customFormat="false" ht="15" hidden="false" customHeight="true" outlineLevel="0" collapsed="false">
      <c r="A12" s="57" t="s">
        <v>238</v>
      </c>
      <c r="B12" s="26" t="n">
        <f aca="false">COUNTIFS('01 - Job Database'!$C$3:$C$1000,"&lt;&gt;",'01 - Job Database'!$W$3:$W$1000,"&lt;&gt;Yes",'01 - Job Database'!$E$3:$E$1000,A12)</f>
        <v>0</v>
      </c>
      <c r="C12" s="59" t="str">
        <f aca="false">IFERROR(AVERAGEIFS('01 - Job Database'!$O$3:$O$1000,'01 - Job Database'!$C$3:$C$1000,"&lt;&gt;",'01 - Job Database'!$W$3:$W$1000,"&lt;&gt;Yes",'01 - Job Database'!$E$3:$E$1000,A12),"")</f>
        <v/>
      </c>
      <c r="D12" s="60" t="str">
        <f aca="false">IFERROR(AVERAGEIFS('01 - Job Database'!$Q$3:$Q$1000,'01 - Job Database'!$C$3:$C$1000,"&lt;&gt;",'01 - Job Database'!$W$3:$W$1000,"&lt;&gt;Yes",'01 - Job Database'!$E$3:$E$1000,A12),"")</f>
        <v/>
      </c>
      <c r="E12" s="26" t="n">
        <f aca="false">COUNTIFS('01 - Job Database'!$C$3:$C$1000,"&lt;&gt;",'01 - Job Database'!$W$3:$W$1000,"&lt;&gt;Yes",'01 - Job Database'!$E$3:$E$1000,A12,'01 - Job Database'!$S$3:$S$1000,"Yes")</f>
        <v>0</v>
      </c>
      <c r="F12" s="58" t="str">
        <f aca="false">IFERROR(COUNTIFS('01 - Job Database'!$C$3:$C$1000,"&lt;&gt;",'01 - Job Database'!$W$3:$W$1000,"&lt;&gt;Yes",'01 - Job Database'!$E$3:$E$1000,A12,'01 - Job Database'!$J$3:$J$1000,"Yes")/B12,"")</f>
        <v/>
      </c>
      <c r="G12" s="58" t="str">
        <f aca="false">IFERROR((COUNTIFS('01 - Job Database'!$C$3:$C$1000,"&lt;&gt;",'01 - Job Database'!$W$3:$W$1000,"&lt;&gt;Yes",'01 - Job Database'!$E$3:$E$1000,A12,'01 - Job Database'!$F$3:$F$1000,"Intern")+COUNTIFS('01 - Job Database'!$C$3:$C$1000,"&lt;&gt;",'01 - Job Database'!$W$3:$W$1000,"&lt;&gt;Yes",'01 - Job Database'!$E$3:$E$1000,A12,'01 - Job Database'!$F$3:$F$1000,"New Grad"))/B12,"")</f>
        <v/>
      </c>
      <c r="H12" s="26" t="n">
        <f aca="false">B12-ROW()*0.0001</f>
        <v>-0.0012</v>
      </c>
    </row>
    <row r="13" customFormat="false" ht="15" hidden="false" customHeight="true" outlineLevel="0" collapsed="false">
      <c r="A13" s="57" t="s">
        <v>239</v>
      </c>
      <c r="B13" s="26" t="n">
        <f aca="false">COUNTIFS('01 - Job Database'!$C$3:$C$1000,"&lt;&gt;",'01 - Job Database'!$W$3:$W$1000,"&lt;&gt;Yes",'01 - Job Database'!$E$3:$E$1000,A13)</f>
        <v>0</v>
      </c>
      <c r="C13" s="59" t="str">
        <f aca="false">IFERROR(AVERAGEIFS('01 - Job Database'!$O$3:$O$1000,'01 - Job Database'!$C$3:$C$1000,"&lt;&gt;",'01 - Job Database'!$W$3:$W$1000,"&lt;&gt;Yes",'01 - Job Database'!$E$3:$E$1000,A13),"")</f>
        <v/>
      </c>
      <c r="D13" s="60" t="str">
        <f aca="false">IFERROR(AVERAGEIFS('01 - Job Database'!$Q$3:$Q$1000,'01 - Job Database'!$C$3:$C$1000,"&lt;&gt;",'01 - Job Database'!$W$3:$W$1000,"&lt;&gt;Yes",'01 - Job Database'!$E$3:$E$1000,A13),"")</f>
        <v/>
      </c>
      <c r="E13" s="26" t="n">
        <f aca="false">COUNTIFS('01 - Job Database'!$C$3:$C$1000,"&lt;&gt;",'01 - Job Database'!$W$3:$W$1000,"&lt;&gt;Yes",'01 - Job Database'!$E$3:$E$1000,A13,'01 - Job Database'!$S$3:$S$1000,"Yes")</f>
        <v>0</v>
      </c>
      <c r="F13" s="58" t="str">
        <f aca="false">IFERROR(COUNTIFS('01 - Job Database'!$C$3:$C$1000,"&lt;&gt;",'01 - Job Database'!$W$3:$W$1000,"&lt;&gt;Yes",'01 - Job Database'!$E$3:$E$1000,A13,'01 - Job Database'!$J$3:$J$1000,"Yes")/B13,"")</f>
        <v/>
      </c>
      <c r="G13" s="58" t="str">
        <f aca="false">IFERROR((COUNTIFS('01 - Job Database'!$C$3:$C$1000,"&lt;&gt;",'01 - Job Database'!$W$3:$W$1000,"&lt;&gt;Yes",'01 - Job Database'!$E$3:$E$1000,A13,'01 - Job Database'!$F$3:$F$1000,"Intern")+COUNTIFS('01 - Job Database'!$C$3:$C$1000,"&lt;&gt;",'01 - Job Database'!$W$3:$W$1000,"&lt;&gt;Yes",'01 - Job Database'!$E$3:$E$1000,A13,'01 - Job Database'!$F$3:$F$1000,"New Grad"))/B13,"")</f>
        <v/>
      </c>
      <c r="H13" s="26" t="n">
        <f aca="false">B13-ROW()*0.0001</f>
        <v>-0.0013</v>
      </c>
    </row>
    <row r="14" customFormat="false" ht="15" hidden="false" customHeight="true" outlineLevel="0" collapsed="false">
      <c r="A14" s="57" t="s">
        <v>240</v>
      </c>
      <c r="B14" s="26" t="n">
        <f aca="false">COUNTIFS('01 - Job Database'!$C$3:$C$1000,"&lt;&gt;",'01 - Job Database'!$W$3:$W$1000,"&lt;&gt;Yes",'01 - Job Database'!$E$3:$E$1000,A14)</f>
        <v>0</v>
      </c>
      <c r="C14" s="59" t="str">
        <f aca="false">IFERROR(AVERAGEIFS('01 - Job Database'!$O$3:$O$1000,'01 - Job Database'!$C$3:$C$1000,"&lt;&gt;",'01 - Job Database'!$W$3:$W$1000,"&lt;&gt;Yes",'01 - Job Database'!$E$3:$E$1000,A14),"")</f>
        <v/>
      </c>
      <c r="D14" s="60" t="str">
        <f aca="false">IFERROR(AVERAGEIFS('01 - Job Database'!$Q$3:$Q$1000,'01 - Job Database'!$C$3:$C$1000,"&lt;&gt;",'01 - Job Database'!$W$3:$W$1000,"&lt;&gt;Yes",'01 - Job Database'!$E$3:$E$1000,A14),"")</f>
        <v/>
      </c>
      <c r="E14" s="26" t="n">
        <f aca="false">COUNTIFS('01 - Job Database'!$C$3:$C$1000,"&lt;&gt;",'01 - Job Database'!$W$3:$W$1000,"&lt;&gt;Yes",'01 - Job Database'!$E$3:$E$1000,A14,'01 - Job Database'!$S$3:$S$1000,"Yes")</f>
        <v>0</v>
      </c>
      <c r="F14" s="58" t="str">
        <f aca="false">IFERROR(COUNTIFS('01 - Job Database'!$C$3:$C$1000,"&lt;&gt;",'01 - Job Database'!$W$3:$W$1000,"&lt;&gt;Yes",'01 - Job Database'!$E$3:$E$1000,A14,'01 - Job Database'!$J$3:$J$1000,"Yes")/B14,"")</f>
        <v/>
      </c>
      <c r="G14" s="58" t="str">
        <f aca="false">IFERROR((COUNTIFS('01 - Job Database'!$C$3:$C$1000,"&lt;&gt;",'01 - Job Database'!$W$3:$W$1000,"&lt;&gt;Yes",'01 - Job Database'!$E$3:$E$1000,A14,'01 - Job Database'!$F$3:$F$1000,"Intern")+COUNTIFS('01 - Job Database'!$C$3:$C$1000,"&lt;&gt;",'01 - Job Database'!$W$3:$W$1000,"&lt;&gt;Yes",'01 - Job Database'!$E$3:$E$1000,A14,'01 - Job Database'!$F$3:$F$1000,"New Grad"))/B14,"")</f>
        <v/>
      </c>
      <c r="H14" s="26" t="n">
        <f aca="false">B14-ROW()*0.0001</f>
        <v>-0.0014</v>
      </c>
    </row>
    <row r="15" customFormat="false" ht="15" hidden="false" customHeight="true" outlineLevel="0" collapsed="false">
      <c r="A15" s="57" t="s">
        <v>241</v>
      </c>
      <c r="B15" s="26" t="n">
        <f aca="false">COUNTIFS('01 - Job Database'!$C$3:$C$1000,"&lt;&gt;",'01 - Job Database'!$W$3:$W$1000,"&lt;&gt;Yes",'01 - Job Database'!$E$3:$E$1000,A15)</f>
        <v>0</v>
      </c>
      <c r="C15" s="59" t="str">
        <f aca="false">IFERROR(AVERAGEIFS('01 - Job Database'!$O$3:$O$1000,'01 - Job Database'!$C$3:$C$1000,"&lt;&gt;",'01 - Job Database'!$W$3:$W$1000,"&lt;&gt;Yes",'01 - Job Database'!$E$3:$E$1000,A15),"")</f>
        <v/>
      </c>
      <c r="D15" s="60" t="str">
        <f aca="false">IFERROR(AVERAGEIFS('01 - Job Database'!$Q$3:$Q$1000,'01 - Job Database'!$C$3:$C$1000,"&lt;&gt;",'01 - Job Database'!$W$3:$W$1000,"&lt;&gt;Yes",'01 - Job Database'!$E$3:$E$1000,A15),"")</f>
        <v/>
      </c>
      <c r="E15" s="26" t="n">
        <f aca="false">COUNTIFS('01 - Job Database'!$C$3:$C$1000,"&lt;&gt;",'01 - Job Database'!$W$3:$W$1000,"&lt;&gt;Yes",'01 - Job Database'!$E$3:$E$1000,A15,'01 - Job Database'!$S$3:$S$1000,"Yes")</f>
        <v>0</v>
      </c>
      <c r="F15" s="58" t="str">
        <f aca="false">IFERROR(COUNTIFS('01 - Job Database'!$C$3:$C$1000,"&lt;&gt;",'01 - Job Database'!$W$3:$W$1000,"&lt;&gt;Yes",'01 - Job Database'!$E$3:$E$1000,A15,'01 - Job Database'!$J$3:$J$1000,"Yes")/B15,"")</f>
        <v/>
      </c>
      <c r="G15" s="58" t="str">
        <f aca="false">IFERROR((COUNTIFS('01 - Job Database'!$C$3:$C$1000,"&lt;&gt;",'01 - Job Database'!$W$3:$W$1000,"&lt;&gt;Yes",'01 - Job Database'!$E$3:$E$1000,A15,'01 - Job Database'!$F$3:$F$1000,"Intern")+COUNTIFS('01 - Job Database'!$C$3:$C$1000,"&lt;&gt;",'01 - Job Database'!$W$3:$W$1000,"&lt;&gt;Yes",'01 - Job Database'!$E$3:$E$1000,A15,'01 - Job Database'!$F$3:$F$1000,"New Grad"))/B15,"")</f>
        <v/>
      </c>
      <c r="H15" s="26" t="n">
        <f aca="false">B15-ROW()*0.0001</f>
        <v>-0.0015</v>
      </c>
    </row>
    <row r="16" customFormat="false" ht="15" hidden="false" customHeight="true" outlineLevel="0" collapsed="false">
      <c r="A16" s="57" t="s">
        <v>242</v>
      </c>
      <c r="B16" s="26" t="n">
        <f aca="false">COUNTIFS('01 - Job Database'!$C$3:$C$1000,"&lt;&gt;",'01 - Job Database'!$W$3:$W$1000,"&lt;&gt;Yes",'01 - Job Database'!$E$3:$E$1000,A16)</f>
        <v>0</v>
      </c>
      <c r="C16" s="59" t="str">
        <f aca="false">IFERROR(AVERAGEIFS('01 - Job Database'!$O$3:$O$1000,'01 - Job Database'!$C$3:$C$1000,"&lt;&gt;",'01 - Job Database'!$W$3:$W$1000,"&lt;&gt;Yes",'01 - Job Database'!$E$3:$E$1000,A16),"")</f>
        <v/>
      </c>
      <c r="D16" s="60" t="str">
        <f aca="false">IFERROR(AVERAGEIFS('01 - Job Database'!$Q$3:$Q$1000,'01 - Job Database'!$C$3:$C$1000,"&lt;&gt;",'01 - Job Database'!$W$3:$W$1000,"&lt;&gt;Yes",'01 - Job Database'!$E$3:$E$1000,A16),"")</f>
        <v/>
      </c>
      <c r="E16" s="26" t="n">
        <f aca="false">COUNTIFS('01 - Job Database'!$C$3:$C$1000,"&lt;&gt;",'01 - Job Database'!$W$3:$W$1000,"&lt;&gt;Yes",'01 - Job Database'!$E$3:$E$1000,A16,'01 - Job Database'!$S$3:$S$1000,"Yes")</f>
        <v>0</v>
      </c>
      <c r="F16" s="58" t="str">
        <f aca="false">IFERROR(COUNTIFS('01 - Job Database'!$C$3:$C$1000,"&lt;&gt;",'01 - Job Database'!$W$3:$W$1000,"&lt;&gt;Yes",'01 - Job Database'!$E$3:$E$1000,A16,'01 - Job Database'!$J$3:$J$1000,"Yes")/B16,"")</f>
        <v/>
      </c>
      <c r="G16" s="58" t="str">
        <f aca="false">IFERROR((COUNTIFS('01 - Job Database'!$C$3:$C$1000,"&lt;&gt;",'01 - Job Database'!$W$3:$W$1000,"&lt;&gt;Yes",'01 - Job Database'!$E$3:$E$1000,A16,'01 - Job Database'!$F$3:$F$1000,"Intern")+COUNTIFS('01 - Job Database'!$C$3:$C$1000,"&lt;&gt;",'01 - Job Database'!$W$3:$W$1000,"&lt;&gt;Yes",'01 - Job Database'!$E$3:$E$1000,A16,'01 - Job Database'!$F$3:$F$1000,"New Grad"))/B16,"")</f>
        <v/>
      </c>
      <c r="H16" s="26" t="n">
        <f aca="false">B16-ROW()*0.0001</f>
        <v>-0.0016</v>
      </c>
    </row>
    <row r="17" customFormat="false" ht="15" hidden="false" customHeight="true" outlineLevel="0" collapsed="false">
      <c r="A17" s="57" t="s">
        <v>243</v>
      </c>
      <c r="B17" s="26" t="n">
        <f aca="false">COUNTIFS('01 - Job Database'!$C$3:$C$1000,"&lt;&gt;",'01 - Job Database'!$W$3:$W$1000,"&lt;&gt;Yes",'01 - Job Database'!$E$3:$E$1000,A17)</f>
        <v>0</v>
      </c>
      <c r="C17" s="59" t="str">
        <f aca="false">IFERROR(AVERAGEIFS('01 - Job Database'!$O$3:$O$1000,'01 - Job Database'!$C$3:$C$1000,"&lt;&gt;",'01 - Job Database'!$W$3:$W$1000,"&lt;&gt;Yes",'01 - Job Database'!$E$3:$E$1000,A17),"")</f>
        <v/>
      </c>
      <c r="D17" s="60" t="str">
        <f aca="false">IFERROR(AVERAGEIFS('01 - Job Database'!$Q$3:$Q$1000,'01 - Job Database'!$C$3:$C$1000,"&lt;&gt;",'01 - Job Database'!$W$3:$W$1000,"&lt;&gt;Yes",'01 - Job Database'!$E$3:$E$1000,A17),"")</f>
        <v/>
      </c>
      <c r="E17" s="26" t="n">
        <f aca="false">COUNTIFS('01 - Job Database'!$C$3:$C$1000,"&lt;&gt;",'01 - Job Database'!$W$3:$W$1000,"&lt;&gt;Yes",'01 - Job Database'!$E$3:$E$1000,A17,'01 - Job Database'!$S$3:$S$1000,"Yes")</f>
        <v>0</v>
      </c>
      <c r="F17" s="58" t="str">
        <f aca="false">IFERROR(COUNTIFS('01 - Job Database'!$C$3:$C$1000,"&lt;&gt;",'01 - Job Database'!$W$3:$W$1000,"&lt;&gt;Yes",'01 - Job Database'!$E$3:$E$1000,A17,'01 - Job Database'!$J$3:$J$1000,"Yes")/B17,"")</f>
        <v/>
      </c>
      <c r="G17" s="58" t="str">
        <f aca="false">IFERROR((COUNTIFS('01 - Job Database'!$C$3:$C$1000,"&lt;&gt;",'01 - Job Database'!$W$3:$W$1000,"&lt;&gt;Yes",'01 - Job Database'!$E$3:$E$1000,A17,'01 - Job Database'!$F$3:$F$1000,"Intern")+COUNTIFS('01 - Job Database'!$C$3:$C$1000,"&lt;&gt;",'01 - Job Database'!$W$3:$W$1000,"&lt;&gt;Yes",'01 - Job Database'!$E$3:$E$1000,A17,'01 - Job Database'!$F$3:$F$1000,"New Grad"))/B17,"")</f>
        <v/>
      </c>
      <c r="H17" s="26" t="n">
        <f aca="false">B17-ROW()*0.0001</f>
        <v>-0.0017</v>
      </c>
    </row>
    <row r="18" customFormat="false" ht="15" hidden="false" customHeight="true" outlineLevel="0" collapsed="false">
      <c r="A18" s="57" t="s">
        <v>244</v>
      </c>
      <c r="B18" s="26" t="n">
        <f aca="false">COUNTIFS('01 - Job Database'!$C$3:$C$1000,"&lt;&gt;",'01 - Job Database'!$W$3:$W$1000,"&lt;&gt;Yes",'01 - Job Database'!$E$3:$E$1000,A18)</f>
        <v>0</v>
      </c>
      <c r="C18" s="59" t="str">
        <f aca="false">IFERROR(AVERAGEIFS('01 - Job Database'!$O$3:$O$1000,'01 - Job Database'!$C$3:$C$1000,"&lt;&gt;",'01 - Job Database'!$W$3:$W$1000,"&lt;&gt;Yes",'01 - Job Database'!$E$3:$E$1000,A18),"")</f>
        <v/>
      </c>
      <c r="D18" s="60" t="str">
        <f aca="false">IFERROR(AVERAGEIFS('01 - Job Database'!$Q$3:$Q$1000,'01 - Job Database'!$C$3:$C$1000,"&lt;&gt;",'01 - Job Database'!$W$3:$W$1000,"&lt;&gt;Yes",'01 - Job Database'!$E$3:$E$1000,A18),"")</f>
        <v/>
      </c>
      <c r="E18" s="26" t="n">
        <f aca="false">COUNTIFS('01 - Job Database'!$C$3:$C$1000,"&lt;&gt;",'01 - Job Database'!$W$3:$W$1000,"&lt;&gt;Yes",'01 - Job Database'!$E$3:$E$1000,A18,'01 - Job Database'!$S$3:$S$1000,"Yes")</f>
        <v>0</v>
      </c>
      <c r="F18" s="58" t="str">
        <f aca="false">IFERROR(COUNTIFS('01 - Job Database'!$C$3:$C$1000,"&lt;&gt;",'01 - Job Database'!$W$3:$W$1000,"&lt;&gt;Yes",'01 - Job Database'!$E$3:$E$1000,A18,'01 - Job Database'!$J$3:$J$1000,"Yes")/B18,"")</f>
        <v/>
      </c>
      <c r="G18" s="58" t="str">
        <f aca="false">IFERROR((COUNTIFS('01 - Job Database'!$C$3:$C$1000,"&lt;&gt;",'01 - Job Database'!$W$3:$W$1000,"&lt;&gt;Yes",'01 - Job Database'!$E$3:$E$1000,A18,'01 - Job Database'!$F$3:$F$1000,"Intern")+COUNTIFS('01 - Job Database'!$C$3:$C$1000,"&lt;&gt;",'01 - Job Database'!$W$3:$W$1000,"&lt;&gt;Yes",'01 - Job Database'!$E$3:$E$1000,A18,'01 - Job Database'!$F$3:$F$1000,"New Grad"))/B18,"")</f>
        <v/>
      </c>
      <c r="H18" s="26" t="n">
        <f aca="false">B18-ROW()*0.0001</f>
        <v>-0.0018</v>
      </c>
    </row>
    <row r="19" customFormat="false" ht="15" hidden="false" customHeight="true" outlineLevel="0" collapsed="false">
      <c r="A19" s="57" t="s">
        <v>245</v>
      </c>
      <c r="B19" s="26" t="n">
        <f aca="false">COUNTIFS('01 - Job Database'!$C$3:$C$1000,"&lt;&gt;",'01 - Job Database'!$W$3:$W$1000,"&lt;&gt;Yes",'01 - Job Database'!$E$3:$E$1000,A19)</f>
        <v>0</v>
      </c>
      <c r="C19" s="59" t="str">
        <f aca="false">IFERROR(AVERAGEIFS('01 - Job Database'!$O$3:$O$1000,'01 - Job Database'!$C$3:$C$1000,"&lt;&gt;",'01 - Job Database'!$W$3:$W$1000,"&lt;&gt;Yes",'01 - Job Database'!$E$3:$E$1000,A19),"")</f>
        <v/>
      </c>
      <c r="D19" s="60" t="str">
        <f aca="false">IFERROR(AVERAGEIFS('01 - Job Database'!$Q$3:$Q$1000,'01 - Job Database'!$C$3:$C$1000,"&lt;&gt;",'01 - Job Database'!$W$3:$W$1000,"&lt;&gt;Yes",'01 - Job Database'!$E$3:$E$1000,A19),"")</f>
        <v/>
      </c>
      <c r="E19" s="26" t="n">
        <f aca="false">COUNTIFS('01 - Job Database'!$C$3:$C$1000,"&lt;&gt;",'01 - Job Database'!$W$3:$W$1000,"&lt;&gt;Yes",'01 - Job Database'!$E$3:$E$1000,A19,'01 - Job Database'!$S$3:$S$1000,"Yes")</f>
        <v>0</v>
      </c>
      <c r="F19" s="58" t="str">
        <f aca="false">IFERROR(COUNTIFS('01 - Job Database'!$C$3:$C$1000,"&lt;&gt;",'01 - Job Database'!$W$3:$W$1000,"&lt;&gt;Yes",'01 - Job Database'!$E$3:$E$1000,A19,'01 - Job Database'!$J$3:$J$1000,"Yes")/B19,"")</f>
        <v/>
      </c>
      <c r="G19" s="58" t="str">
        <f aca="false">IFERROR((COUNTIFS('01 - Job Database'!$C$3:$C$1000,"&lt;&gt;",'01 - Job Database'!$W$3:$W$1000,"&lt;&gt;Yes",'01 - Job Database'!$E$3:$E$1000,A19,'01 - Job Database'!$F$3:$F$1000,"Intern")+COUNTIFS('01 - Job Database'!$C$3:$C$1000,"&lt;&gt;",'01 - Job Database'!$W$3:$W$1000,"&lt;&gt;Yes",'01 - Job Database'!$E$3:$E$1000,A19,'01 - Job Database'!$F$3:$F$1000,"New Grad"))/B19,"")</f>
        <v/>
      </c>
      <c r="H19" s="26" t="n">
        <f aca="false">B19-ROW()*0.0001</f>
        <v>-0.0019</v>
      </c>
    </row>
    <row r="22" customFormat="false" ht="15" hidden="false" customHeight="true" outlineLevel="0" collapsed="false">
      <c r="A22" s="61" t="s">
        <v>246</v>
      </c>
    </row>
    <row r="23" customFormat="false" ht="69.75" hidden="false" customHeight="true" outlineLevel="0" collapsed="false">
      <c r="A23" s="12" t="s">
        <v>201</v>
      </c>
      <c r="B23" s="12" t="s">
        <v>71</v>
      </c>
      <c r="C23" s="12" t="s">
        <v>72</v>
      </c>
      <c r="D23" s="12" t="s">
        <v>73</v>
      </c>
      <c r="E23" s="12" t="s">
        <v>74</v>
      </c>
      <c r="F23" s="12" t="s">
        <v>75</v>
      </c>
      <c r="G23" s="12" t="s">
        <v>76</v>
      </c>
      <c r="H23" s="12" t="s">
        <v>77</v>
      </c>
      <c r="I23" s="12" t="s">
        <v>78</v>
      </c>
      <c r="J23" s="12" t="s">
        <v>79</v>
      </c>
      <c r="K23" s="12" t="s">
        <v>80</v>
      </c>
      <c r="L23" s="12" t="s">
        <v>81</v>
      </c>
      <c r="M23" s="12" t="s">
        <v>82</v>
      </c>
      <c r="N23" s="12" t="s">
        <v>83</v>
      </c>
      <c r="O23" s="12" t="s">
        <v>84</v>
      </c>
      <c r="P23" s="12" t="s">
        <v>85</v>
      </c>
      <c r="Q23" s="12" t="s">
        <v>86</v>
      </c>
      <c r="R23" s="12" t="s">
        <v>87</v>
      </c>
      <c r="S23" s="12" t="s">
        <v>88</v>
      </c>
      <c r="T23" s="12" t="s">
        <v>89</v>
      </c>
      <c r="U23" s="12" t="s">
        <v>90</v>
      </c>
      <c r="V23" s="12" t="s">
        <v>91</v>
      </c>
      <c r="W23" s="12" t="s">
        <v>92</v>
      </c>
      <c r="X23" s="12" t="s">
        <v>93</v>
      </c>
      <c r="Y23" s="12" t="s">
        <v>94</v>
      </c>
      <c r="Z23" s="12" t="s">
        <v>95</v>
      </c>
      <c r="AA23" s="12" t="s">
        <v>96</v>
      </c>
      <c r="AB23" s="12" t="s">
        <v>97</v>
      </c>
      <c r="AC23" s="12" t="s">
        <v>98</v>
      </c>
      <c r="AD23" s="12" t="s">
        <v>99</v>
      </c>
      <c r="AE23" s="12" t="s">
        <v>100</v>
      </c>
      <c r="AF23" s="12" t="s">
        <v>101</v>
      </c>
      <c r="AG23" s="12" t="s">
        <v>102</v>
      </c>
      <c r="AH23" s="12" t="s">
        <v>138</v>
      </c>
      <c r="AI23" s="12" t="s">
        <v>139</v>
      </c>
      <c r="AJ23" s="12" t="s">
        <v>140</v>
      </c>
      <c r="AK23" s="12" t="s">
        <v>141</v>
      </c>
      <c r="AL23" s="12" t="s">
        <v>142</v>
      </c>
      <c r="AM23" s="12" t="s">
        <v>143</v>
      </c>
      <c r="AN23" s="12" t="s">
        <v>144</v>
      </c>
      <c r="AO23" s="12" t="s">
        <v>145</v>
      </c>
      <c r="AP23" s="12" t="s">
        <v>146</v>
      </c>
      <c r="AQ23" s="12" t="s">
        <v>147</v>
      </c>
      <c r="AR23" s="12" t="s">
        <v>148</v>
      </c>
    </row>
    <row r="24" customFormat="false" ht="15" hidden="false" customHeight="true" outlineLevel="0" collapsed="false">
      <c r="A24" s="39" t="s">
        <v>231</v>
      </c>
      <c r="B24" s="62" t="str">
        <f aca="false">IFERROR(COUNTIFS('01 - Job Database'!$C$3:$C$1000,"&lt;&gt;",'01 - Job Database'!$W$3:$W$1000,"&lt;&gt;Yes",'01 - Job Database'!$E$3:$E$1000,$A24,'01 - Job Database'!$X$3:$X$1000,"Yes")/$B$4,"")</f>
        <v/>
      </c>
      <c r="C24" s="62" t="str">
        <f aca="false">IFERROR(COUNTIFS('01 - Job Database'!$C$3:$C$1000,"&lt;&gt;",'01 - Job Database'!$W$3:$W$1000,"&lt;&gt;Yes",'01 - Job Database'!$E$3:$E$1000,$A24,'01 - Job Database'!$Y$3:$Y$1000,"Yes")/$B$4,"")</f>
        <v/>
      </c>
      <c r="D24" s="62" t="str">
        <f aca="false">IFERROR(COUNTIFS('01 - Job Database'!$C$3:$C$1000,"&lt;&gt;",'01 - Job Database'!$W$3:$W$1000,"&lt;&gt;Yes",'01 - Job Database'!$E$3:$E$1000,$A24,'01 - Job Database'!$Z$3:$Z$1000,"Yes")/$B$4,"")</f>
        <v/>
      </c>
      <c r="E24" s="62" t="str">
        <f aca="false">IFERROR(COUNTIFS('01 - Job Database'!$C$3:$C$1000,"&lt;&gt;",'01 - Job Database'!$W$3:$W$1000,"&lt;&gt;Yes",'01 - Job Database'!$E$3:$E$1000,$A24,'01 - Job Database'!$AA$3:$AA$1000,"Yes")/$B$4,"")</f>
        <v/>
      </c>
      <c r="F24" s="62" t="str">
        <f aca="false">IFERROR(COUNTIFS('01 - Job Database'!$C$3:$C$1000,"&lt;&gt;",'01 - Job Database'!$W$3:$W$1000,"&lt;&gt;Yes",'01 - Job Database'!$E$3:$E$1000,$A24,'01 - Job Database'!$AB$3:$AB$1000,"Yes")/$B$4,"")</f>
        <v/>
      </c>
      <c r="G24" s="62" t="str">
        <f aca="false">IFERROR(COUNTIFS('01 - Job Database'!$C$3:$C$1000,"&lt;&gt;",'01 - Job Database'!$W$3:$W$1000,"&lt;&gt;Yes",'01 - Job Database'!$E$3:$E$1000,$A24,'01 - Job Database'!$AC$3:$AC$1000,"Yes")/$B$4,"")</f>
        <v/>
      </c>
      <c r="H24" s="62" t="str">
        <f aca="false">IFERROR(COUNTIFS('01 - Job Database'!$C$3:$C$1000,"&lt;&gt;",'01 - Job Database'!$W$3:$W$1000,"&lt;&gt;Yes",'01 - Job Database'!$E$3:$E$1000,$A24,'01 - Job Database'!$AD$3:$AD$1000,"Yes")/$B$4,"")</f>
        <v/>
      </c>
      <c r="I24" s="62" t="str">
        <f aca="false">IFERROR(COUNTIFS('01 - Job Database'!$C$3:$C$1000,"&lt;&gt;",'01 - Job Database'!$W$3:$W$1000,"&lt;&gt;Yes",'01 - Job Database'!$E$3:$E$1000,$A24,'01 - Job Database'!$AE$3:$AE$1000,"Yes")/$B$4,"")</f>
        <v/>
      </c>
      <c r="J24" s="62" t="str">
        <f aca="false">IFERROR(COUNTIFS('01 - Job Database'!$C$3:$C$1000,"&lt;&gt;",'01 - Job Database'!$W$3:$W$1000,"&lt;&gt;Yes",'01 - Job Database'!$E$3:$E$1000,$A24,'01 - Job Database'!$AF$3:$AF$1000,"Yes")/$B$4,"")</f>
        <v/>
      </c>
      <c r="K24" s="62" t="str">
        <f aca="false">IFERROR(COUNTIFS('01 - Job Database'!$C$3:$C$1000,"&lt;&gt;",'01 - Job Database'!$W$3:$W$1000,"&lt;&gt;Yes",'01 - Job Database'!$E$3:$E$1000,$A24,'01 - Job Database'!$AG$3:$AG$1000,"Yes")/$B$4,"")</f>
        <v/>
      </c>
      <c r="L24" s="62" t="str">
        <f aca="false">IFERROR(COUNTIFS('01 - Job Database'!$C$3:$C$1000,"&lt;&gt;",'01 - Job Database'!$W$3:$W$1000,"&lt;&gt;Yes",'01 - Job Database'!$E$3:$E$1000,$A24,'01 - Job Database'!$AH$3:$AH$1000,"Yes")/$B$4,"")</f>
        <v/>
      </c>
      <c r="M24" s="62" t="str">
        <f aca="false">IFERROR(COUNTIFS('01 - Job Database'!$C$3:$C$1000,"&lt;&gt;",'01 - Job Database'!$W$3:$W$1000,"&lt;&gt;Yes",'01 - Job Database'!$E$3:$E$1000,$A24,'01 - Job Database'!$AI$3:$AI$1000,"Yes")/$B$4,"")</f>
        <v/>
      </c>
      <c r="N24" s="62" t="str">
        <f aca="false">IFERROR(COUNTIFS('01 - Job Database'!$C$3:$C$1000,"&lt;&gt;",'01 - Job Database'!$W$3:$W$1000,"&lt;&gt;Yes",'01 - Job Database'!$E$3:$E$1000,$A24,'01 - Job Database'!$AJ$3:$AJ$1000,"Yes")/$B$4,"")</f>
        <v/>
      </c>
      <c r="O24" s="62" t="str">
        <f aca="false">IFERROR(COUNTIFS('01 - Job Database'!$C$3:$C$1000,"&lt;&gt;",'01 - Job Database'!$W$3:$W$1000,"&lt;&gt;Yes",'01 - Job Database'!$E$3:$E$1000,$A24,'01 - Job Database'!$AK$3:$AK$1000,"Yes")/$B$4,"")</f>
        <v/>
      </c>
      <c r="P24" s="62" t="str">
        <f aca="false">IFERROR(COUNTIFS('01 - Job Database'!$C$3:$C$1000,"&lt;&gt;",'01 - Job Database'!$W$3:$W$1000,"&lt;&gt;Yes",'01 - Job Database'!$E$3:$E$1000,$A24,'01 - Job Database'!$AL$3:$AL$1000,"Yes")/$B$4,"")</f>
        <v/>
      </c>
      <c r="Q24" s="62" t="str">
        <f aca="false">IFERROR(COUNTIFS('01 - Job Database'!$C$3:$C$1000,"&lt;&gt;",'01 - Job Database'!$W$3:$W$1000,"&lt;&gt;Yes",'01 - Job Database'!$E$3:$E$1000,$A24,'01 - Job Database'!$AM$3:$AM$1000,"Yes")/$B$4,"")</f>
        <v/>
      </c>
      <c r="R24" s="62" t="str">
        <f aca="false">IFERROR(COUNTIFS('01 - Job Database'!$C$3:$C$1000,"&lt;&gt;",'01 - Job Database'!$W$3:$W$1000,"&lt;&gt;Yes",'01 - Job Database'!$E$3:$E$1000,$A24,'01 - Job Database'!$AN$3:$AN$1000,"Yes")/$B$4,"")</f>
        <v/>
      </c>
      <c r="S24" s="62" t="str">
        <f aca="false">IFERROR(COUNTIFS('01 - Job Database'!$C$3:$C$1000,"&lt;&gt;",'01 - Job Database'!$W$3:$W$1000,"&lt;&gt;Yes",'01 - Job Database'!$E$3:$E$1000,$A24,'01 - Job Database'!$AO$3:$AO$1000,"Yes")/$B$4,"")</f>
        <v/>
      </c>
      <c r="T24" s="62" t="str">
        <f aca="false">IFERROR(COUNTIFS('01 - Job Database'!$C$3:$C$1000,"&lt;&gt;",'01 - Job Database'!$W$3:$W$1000,"&lt;&gt;Yes",'01 - Job Database'!$E$3:$E$1000,$A24,'01 - Job Database'!$AP$3:$AP$1000,"Yes")/$B$4,"")</f>
        <v/>
      </c>
      <c r="U24" s="62" t="str">
        <f aca="false">IFERROR(COUNTIFS('01 - Job Database'!$C$3:$C$1000,"&lt;&gt;",'01 - Job Database'!$W$3:$W$1000,"&lt;&gt;Yes",'01 - Job Database'!$E$3:$E$1000,$A24,'01 - Job Database'!$AQ$3:$AQ$1000,"Yes")/$B$4,"")</f>
        <v/>
      </c>
      <c r="V24" s="62" t="str">
        <f aca="false">IFERROR(COUNTIFS('01 - Job Database'!$C$3:$C$1000,"&lt;&gt;",'01 - Job Database'!$W$3:$W$1000,"&lt;&gt;Yes",'01 - Job Database'!$E$3:$E$1000,$A24,'01 - Job Database'!$AR$3:$AR$1000,"Yes")/$B$4,"")</f>
        <v/>
      </c>
      <c r="W24" s="62" t="str">
        <f aca="false">IFERROR(COUNTIFS('01 - Job Database'!$C$3:$C$1000,"&lt;&gt;",'01 - Job Database'!$W$3:$W$1000,"&lt;&gt;Yes",'01 - Job Database'!$E$3:$E$1000,$A24,'01 - Job Database'!$AS$3:$AS$1000,"Yes")/$B$4,"")</f>
        <v/>
      </c>
      <c r="X24" s="62" t="str">
        <f aca="false">IFERROR(COUNTIFS('01 - Job Database'!$C$3:$C$1000,"&lt;&gt;",'01 - Job Database'!$W$3:$W$1000,"&lt;&gt;Yes",'01 - Job Database'!$E$3:$E$1000,$A24,'01 - Job Database'!$AT$3:$AT$1000,"Yes")/$B$4,"")</f>
        <v/>
      </c>
      <c r="Y24" s="62" t="str">
        <f aca="false">IFERROR(COUNTIFS('01 - Job Database'!$C$3:$C$1000,"&lt;&gt;",'01 - Job Database'!$W$3:$W$1000,"&lt;&gt;Yes",'01 - Job Database'!$E$3:$E$1000,$A24,'01 - Job Database'!$AU$3:$AU$1000,"Yes")/$B$4,"")</f>
        <v/>
      </c>
      <c r="Z24" s="62" t="str">
        <f aca="false">IFERROR(COUNTIFS('01 - Job Database'!$C$3:$C$1000,"&lt;&gt;",'01 - Job Database'!$W$3:$W$1000,"&lt;&gt;Yes",'01 - Job Database'!$E$3:$E$1000,$A24,'01 - Job Database'!$AV$3:$AV$1000,"Yes")/$B$4,"")</f>
        <v/>
      </c>
      <c r="AA24" s="62" t="str">
        <f aca="false">IFERROR(COUNTIFS('01 - Job Database'!$C$3:$C$1000,"&lt;&gt;",'01 - Job Database'!$W$3:$W$1000,"&lt;&gt;Yes",'01 - Job Database'!$E$3:$E$1000,$A24,'01 - Job Database'!$AW$3:$AW$1000,"Yes")/$B$4,"")</f>
        <v/>
      </c>
      <c r="AB24" s="62" t="str">
        <f aca="false">IFERROR(COUNTIFS('01 - Job Database'!$C$3:$C$1000,"&lt;&gt;",'01 - Job Database'!$W$3:$W$1000,"&lt;&gt;Yes",'01 - Job Database'!$E$3:$E$1000,$A24,'01 - Job Database'!$AX$3:$AX$1000,"Yes")/$B$4,"")</f>
        <v/>
      </c>
      <c r="AC24" s="62" t="str">
        <f aca="false">IFERROR(COUNTIFS('01 - Job Database'!$C$3:$C$1000,"&lt;&gt;",'01 - Job Database'!$W$3:$W$1000,"&lt;&gt;Yes",'01 - Job Database'!$E$3:$E$1000,$A24,'01 - Job Database'!$AY$3:$AY$1000,"Yes")/$B$4,"")</f>
        <v/>
      </c>
      <c r="AD24" s="62" t="str">
        <f aca="false">IFERROR(COUNTIFS('01 - Job Database'!$C$3:$C$1000,"&lt;&gt;",'01 - Job Database'!$W$3:$W$1000,"&lt;&gt;Yes",'01 - Job Database'!$E$3:$E$1000,$A24,'01 - Job Database'!$AZ$3:$AZ$1000,"Yes")/$B$4,"")</f>
        <v/>
      </c>
      <c r="AE24" s="62" t="str">
        <f aca="false">IFERROR(COUNTIFS('01 - Job Database'!$C$3:$C$1000,"&lt;&gt;",'01 - Job Database'!$W$3:$W$1000,"&lt;&gt;Yes",'01 - Job Database'!$E$3:$E$1000,$A24,'01 - Job Database'!$BA$3:$BA$1000,"Yes")/$B$4,"")</f>
        <v/>
      </c>
      <c r="AF24" s="62" t="str">
        <f aca="false">IFERROR(COUNTIFS('01 - Job Database'!$C$3:$C$1000,"&lt;&gt;",'01 - Job Database'!$W$3:$W$1000,"&lt;&gt;Yes",'01 - Job Database'!$E$3:$E$1000,$A24,'01 - Job Database'!$BB$3:$BB$1000,"Yes")/$B$4,"")</f>
        <v/>
      </c>
      <c r="AG24" s="62" t="str">
        <f aca="false">IFERROR(COUNTIFS('01 - Job Database'!$C$3:$C$1000,"&lt;&gt;",'01 - Job Database'!$W$3:$W$1000,"&lt;&gt;Yes",'01 - Job Database'!$E$3:$E$1000,$A24,'01 - Job Database'!$BC$3:$BC$1000,"Yes")/$B$4,"")</f>
        <v/>
      </c>
      <c r="AH24" s="62" t="str">
        <f aca="false">IFERROR(COUNTIFS('01 - Job Database'!$C$3:$C$1000,"&lt;&gt;",'01 - Job Database'!$W$3:$W$1000,"&lt;&gt;Yes",'01 - Job Database'!$E$3:$E$1000,$A24,'01 - Job Database'!$CM$3:$CM$1000,"Yes")/$B$4,"")</f>
        <v/>
      </c>
      <c r="AI24" s="62" t="str">
        <f aca="false">IFERROR(COUNTIFS('01 - Job Database'!$C$3:$C$1000,"&lt;&gt;",'01 - Job Database'!$W$3:$W$1000,"&lt;&gt;Yes",'01 - Job Database'!$E$3:$E$1000,$A24,'01 - Job Database'!$CN$3:$CN$1000,"Yes")/$B$4,"")</f>
        <v/>
      </c>
      <c r="AJ24" s="62" t="str">
        <f aca="false">IFERROR(COUNTIFS('01 - Job Database'!$C$3:$C$1000,"&lt;&gt;",'01 - Job Database'!$W$3:$W$1000,"&lt;&gt;Yes",'01 - Job Database'!$E$3:$E$1000,$A24,'01 - Job Database'!$CO$3:$CO$1000,"Yes")/$B$4,"")</f>
        <v/>
      </c>
      <c r="AK24" s="62" t="str">
        <f aca="false">IFERROR(COUNTIFS('01 - Job Database'!$C$3:$C$1000,"&lt;&gt;",'01 - Job Database'!$W$3:$W$1000,"&lt;&gt;Yes",'01 - Job Database'!$E$3:$E$1000,$A24,'01 - Job Database'!$CP$3:$CP$1000,"Yes")/$B$4,"")</f>
        <v/>
      </c>
      <c r="AL24" s="62" t="str">
        <f aca="false">IFERROR(COUNTIFS('01 - Job Database'!$C$3:$C$1000,"&lt;&gt;",'01 - Job Database'!$W$3:$W$1000,"&lt;&gt;Yes",'01 - Job Database'!$E$3:$E$1000,$A24,'01 - Job Database'!$CQ$3:$CQ$1000,"Yes")/$B$4,"")</f>
        <v/>
      </c>
      <c r="AM24" s="62" t="str">
        <f aca="false">IFERROR(COUNTIFS('01 - Job Database'!$C$3:$C$1000,"&lt;&gt;",'01 - Job Database'!$W$3:$W$1000,"&lt;&gt;Yes",'01 - Job Database'!$E$3:$E$1000,$A24,'01 - Job Database'!$CR$3:$CR$1000,"Yes")/$B$4,"")</f>
        <v/>
      </c>
      <c r="AN24" s="62" t="str">
        <f aca="false">IFERROR(COUNTIFS('01 - Job Database'!$C$3:$C$1000,"&lt;&gt;",'01 - Job Database'!$W$3:$W$1000,"&lt;&gt;Yes",'01 - Job Database'!$E$3:$E$1000,$A24,'01 - Job Database'!$CS$3:$CS$1000,"Yes")/$B$4,"")</f>
        <v/>
      </c>
      <c r="AO24" s="62" t="str">
        <f aca="false">IFERROR(COUNTIFS('01 - Job Database'!$C$3:$C$1000,"&lt;&gt;",'01 - Job Database'!$W$3:$W$1000,"&lt;&gt;Yes",'01 - Job Database'!$E$3:$E$1000,$A24,'01 - Job Database'!$CT$3:$CT$1000,"Yes")/$B$4,"")</f>
        <v/>
      </c>
      <c r="AP24" s="62" t="str">
        <f aca="false">IFERROR(COUNTIFS('01 - Job Database'!$C$3:$C$1000,"&lt;&gt;",'01 - Job Database'!$W$3:$W$1000,"&lt;&gt;Yes",'01 - Job Database'!$E$3:$E$1000,$A24,'01 - Job Database'!$CU$3:$CU$1000,"Yes")/$B$4,"")</f>
        <v/>
      </c>
      <c r="AQ24" s="62" t="str">
        <f aca="false">IFERROR(COUNTIFS('01 - Job Database'!$C$3:$C$1000,"&lt;&gt;",'01 - Job Database'!$W$3:$W$1000,"&lt;&gt;Yes",'01 - Job Database'!$E$3:$E$1000,$A24,'01 - Job Database'!$CV$3:$CV$1000,"Yes")/$B$4,"")</f>
        <v/>
      </c>
      <c r="AR24" s="62" t="str">
        <f aca="false">IFERROR(COUNTIFS('01 - Job Database'!$C$3:$C$1000,"&lt;&gt;",'01 - Job Database'!$W$3:$W$1000,"&lt;&gt;Yes",'01 - Job Database'!$E$3:$E$1000,$A24,'01 - Job Database'!$CW$3:$CW$1000,"Yes")/$B$4,"")</f>
        <v/>
      </c>
    </row>
    <row r="25" customFormat="false" ht="15" hidden="false" customHeight="true" outlineLevel="0" collapsed="false">
      <c r="A25" s="39" t="s">
        <v>151</v>
      </c>
      <c r="B25" s="62" t="str">
        <f aca="false">IFERROR(COUNTIFS('01 - Job Database'!$C$3:$C$1000,"&lt;&gt;",'01 - Job Database'!$W$3:$W$1000,"&lt;&gt;Yes",'01 - Job Database'!$E$3:$E$1000,$A25,'01 - Job Database'!$X$3:$X$1000,"Yes")/$B$5,"")</f>
        <v/>
      </c>
      <c r="C25" s="62" t="str">
        <f aca="false">IFERROR(COUNTIFS('01 - Job Database'!$C$3:$C$1000,"&lt;&gt;",'01 - Job Database'!$W$3:$W$1000,"&lt;&gt;Yes",'01 - Job Database'!$E$3:$E$1000,$A25,'01 - Job Database'!$Y$3:$Y$1000,"Yes")/$B$5,"")</f>
        <v/>
      </c>
      <c r="D25" s="62" t="str">
        <f aca="false">IFERROR(COUNTIFS('01 - Job Database'!$C$3:$C$1000,"&lt;&gt;",'01 - Job Database'!$W$3:$W$1000,"&lt;&gt;Yes",'01 - Job Database'!$E$3:$E$1000,$A25,'01 - Job Database'!$Z$3:$Z$1000,"Yes")/$B$5,"")</f>
        <v/>
      </c>
      <c r="E25" s="62" t="str">
        <f aca="false">IFERROR(COUNTIFS('01 - Job Database'!$C$3:$C$1000,"&lt;&gt;",'01 - Job Database'!$W$3:$W$1000,"&lt;&gt;Yes",'01 - Job Database'!$E$3:$E$1000,$A25,'01 - Job Database'!$AA$3:$AA$1000,"Yes")/$B$5,"")</f>
        <v/>
      </c>
      <c r="F25" s="62" t="str">
        <f aca="false">IFERROR(COUNTIFS('01 - Job Database'!$C$3:$C$1000,"&lt;&gt;",'01 - Job Database'!$W$3:$W$1000,"&lt;&gt;Yes",'01 - Job Database'!$E$3:$E$1000,$A25,'01 - Job Database'!$AB$3:$AB$1000,"Yes")/$B$5,"")</f>
        <v/>
      </c>
      <c r="G25" s="62" t="str">
        <f aca="false">IFERROR(COUNTIFS('01 - Job Database'!$C$3:$C$1000,"&lt;&gt;",'01 - Job Database'!$W$3:$W$1000,"&lt;&gt;Yes",'01 - Job Database'!$E$3:$E$1000,$A25,'01 - Job Database'!$AC$3:$AC$1000,"Yes")/$B$5,"")</f>
        <v/>
      </c>
      <c r="H25" s="62" t="str">
        <f aca="false">IFERROR(COUNTIFS('01 - Job Database'!$C$3:$C$1000,"&lt;&gt;",'01 - Job Database'!$W$3:$W$1000,"&lt;&gt;Yes",'01 - Job Database'!$E$3:$E$1000,$A25,'01 - Job Database'!$AD$3:$AD$1000,"Yes")/$B$5,"")</f>
        <v/>
      </c>
      <c r="I25" s="62" t="str">
        <f aca="false">IFERROR(COUNTIFS('01 - Job Database'!$C$3:$C$1000,"&lt;&gt;",'01 - Job Database'!$W$3:$W$1000,"&lt;&gt;Yes",'01 - Job Database'!$E$3:$E$1000,$A25,'01 - Job Database'!$AE$3:$AE$1000,"Yes")/$B$5,"")</f>
        <v/>
      </c>
      <c r="J25" s="62" t="str">
        <f aca="false">IFERROR(COUNTIFS('01 - Job Database'!$C$3:$C$1000,"&lt;&gt;",'01 - Job Database'!$W$3:$W$1000,"&lt;&gt;Yes",'01 - Job Database'!$E$3:$E$1000,$A25,'01 - Job Database'!$AF$3:$AF$1000,"Yes")/$B$5,"")</f>
        <v/>
      </c>
      <c r="K25" s="62" t="str">
        <f aca="false">IFERROR(COUNTIFS('01 - Job Database'!$C$3:$C$1000,"&lt;&gt;",'01 - Job Database'!$W$3:$W$1000,"&lt;&gt;Yes",'01 - Job Database'!$E$3:$E$1000,$A25,'01 - Job Database'!$AG$3:$AG$1000,"Yes")/$B$5,"")</f>
        <v/>
      </c>
      <c r="L25" s="62" t="str">
        <f aca="false">IFERROR(COUNTIFS('01 - Job Database'!$C$3:$C$1000,"&lt;&gt;",'01 - Job Database'!$W$3:$W$1000,"&lt;&gt;Yes",'01 - Job Database'!$E$3:$E$1000,$A25,'01 - Job Database'!$AH$3:$AH$1000,"Yes")/$B$5,"")</f>
        <v/>
      </c>
      <c r="M25" s="62" t="str">
        <f aca="false">IFERROR(COUNTIFS('01 - Job Database'!$C$3:$C$1000,"&lt;&gt;",'01 - Job Database'!$W$3:$W$1000,"&lt;&gt;Yes",'01 - Job Database'!$E$3:$E$1000,$A25,'01 - Job Database'!$AI$3:$AI$1000,"Yes")/$B$5,"")</f>
        <v/>
      </c>
      <c r="N25" s="62" t="str">
        <f aca="false">IFERROR(COUNTIFS('01 - Job Database'!$C$3:$C$1000,"&lt;&gt;",'01 - Job Database'!$W$3:$W$1000,"&lt;&gt;Yes",'01 - Job Database'!$E$3:$E$1000,$A25,'01 - Job Database'!$AJ$3:$AJ$1000,"Yes")/$B$5,"")</f>
        <v/>
      </c>
      <c r="O25" s="62" t="str">
        <f aca="false">IFERROR(COUNTIFS('01 - Job Database'!$C$3:$C$1000,"&lt;&gt;",'01 - Job Database'!$W$3:$W$1000,"&lt;&gt;Yes",'01 - Job Database'!$E$3:$E$1000,$A25,'01 - Job Database'!$AK$3:$AK$1000,"Yes")/$B$5,"")</f>
        <v/>
      </c>
      <c r="P25" s="62" t="str">
        <f aca="false">IFERROR(COUNTIFS('01 - Job Database'!$C$3:$C$1000,"&lt;&gt;",'01 - Job Database'!$W$3:$W$1000,"&lt;&gt;Yes",'01 - Job Database'!$E$3:$E$1000,$A25,'01 - Job Database'!$AL$3:$AL$1000,"Yes")/$B$5,"")</f>
        <v/>
      </c>
      <c r="Q25" s="62" t="str">
        <f aca="false">IFERROR(COUNTIFS('01 - Job Database'!$C$3:$C$1000,"&lt;&gt;",'01 - Job Database'!$W$3:$W$1000,"&lt;&gt;Yes",'01 - Job Database'!$E$3:$E$1000,$A25,'01 - Job Database'!$AM$3:$AM$1000,"Yes")/$B$5,"")</f>
        <v/>
      </c>
      <c r="R25" s="62" t="str">
        <f aca="false">IFERROR(COUNTIFS('01 - Job Database'!$C$3:$C$1000,"&lt;&gt;",'01 - Job Database'!$W$3:$W$1000,"&lt;&gt;Yes",'01 - Job Database'!$E$3:$E$1000,$A25,'01 - Job Database'!$AN$3:$AN$1000,"Yes")/$B$5,"")</f>
        <v/>
      </c>
      <c r="S25" s="62" t="str">
        <f aca="false">IFERROR(COUNTIFS('01 - Job Database'!$C$3:$C$1000,"&lt;&gt;",'01 - Job Database'!$W$3:$W$1000,"&lt;&gt;Yes",'01 - Job Database'!$E$3:$E$1000,$A25,'01 - Job Database'!$AO$3:$AO$1000,"Yes")/$B$5,"")</f>
        <v/>
      </c>
      <c r="T25" s="62" t="str">
        <f aca="false">IFERROR(COUNTIFS('01 - Job Database'!$C$3:$C$1000,"&lt;&gt;",'01 - Job Database'!$W$3:$W$1000,"&lt;&gt;Yes",'01 - Job Database'!$E$3:$E$1000,$A25,'01 - Job Database'!$AP$3:$AP$1000,"Yes")/$B$5,"")</f>
        <v/>
      </c>
      <c r="U25" s="62" t="str">
        <f aca="false">IFERROR(COUNTIFS('01 - Job Database'!$C$3:$C$1000,"&lt;&gt;",'01 - Job Database'!$W$3:$W$1000,"&lt;&gt;Yes",'01 - Job Database'!$E$3:$E$1000,$A25,'01 - Job Database'!$AQ$3:$AQ$1000,"Yes")/$B$5,"")</f>
        <v/>
      </c>
      <c r="V25" s="62" t="str">
        <f aca="false">IFERROR(COUNTIFS('01 - Job Database'!$C$3:$C$1000,"&lt;&gt;",'01 - Job Database'!$W$3:$W$1000,"&lt;&gt;Yes",'01 - Job Database'!$E$3:$E$1000,$A25,'01 - Job Database'!$AR$3:$AR$1000,"Yes")/$B$5,"")</f>
        <v/>
      </c>
      <c r="W25" s="62" t="str">
        <f aca="false">IFERROR(COUNTIFS('01 - Job Database'!$C$3:$C$1000,"&lt;&gt;",'01 - Job Database'!$W$3:$W$1000,"&lt;&gt;Yes",'01 - Job Database'!$E$3:$E$1000,$A25,'01 - Job Database'!$AS$3:$AS$1000,"Yes")/$B$5,"")</f>
        <v/>
      </c>
      <c r="X25" s="62" t="str">
        <f aca="false">IFERROR(COUNTIFS('01 - Job Database'!$C$3:$C$1000,"&lt;&gt;",'01 - Job Database'!$W$3:$W$1000,"&lt;&gt;Yes",'01 - Job Database'!$E$3:$E$1000,$A25,'01 - Job Database'!$AT$3:$AT$1000,"Yes")/$B$5,"")</f>
        <v/>
      </c>
      <c r="Y25" s="62" t="str">
        <f aca="false">IFERROR(COUNTIFS('01 - Job Database'!$C$3:$C$1000,"&lt;&gt;",'01 - Job Database'!$W$3:$W$1000,"&lt;&gt;Yes",'01 - Job Database'!$E$3:$E$1000,$A25,'01 - Job Database'!$AU$3:$AU$1000,"Yes")/$B$5,"")</f>
        <v/>
      </c>
      <c r="Z25" s="62" t="str">
        <f aca="false">IFERROR(COUNTIFS('01 - Job Database'!$C$3:$C$1000,"&lt;&gt;",'01 - Job Database'!$W$3:$W$1000,"&lt;&gt;Yes",'01 - Job Database'!$E$3:$E$1000,$A25,'01 - Job Database'!$AV$3:$AV$1000,"Yes")/$B$5,"")</f>
        <v/>
      </c>
      <c r="AA25" s="62" t="str">
        <f aca="false">IFERROR(COUNTIFS('01 - Job Database'!$C$3:$C$1000,"&lt;&gt;",'01 - Job Database'!$W$3:$W$1000,"&lt;&gt;Yes",'01 - Job Database'!$E$3:$E$1000,$A25,'01 - Job Database'!$AW$3:$AW$1000,"Yes")/$B$5,"")</f>
        <v/>
      </c>
      <c r="AB25" s="62" t="str">
        <f aca="false">IFERROR(COUNTIFS('01 - Job Database'!$C$3:$C$1000,"&lt;&gt;",'01 - Job Database'!$W$3:$W$1000,"&lt;&gt;Yes",'01 - Job Database'!$E$3:$E$1000,$A25,'01 - Job Database'!$AX$3:$AX$1000,"Yes")/$B$5,"")</f>
        <v/>
      </c>
      <c r="AC25" s="62" t="str">
        <f aca="false">IFERROR(COUNTIFS('01 - Job Database'!$C$3:$C$1000,"&lt;&gt;",'01 - Job Database'!$W$3:$W$1000,"&lt;&gt;Yes",'01 - Job Database'!$E$3:$E$1000,$A25,'01 - Job Database'!$AY$3:$AY$1000,"Yes")/$B$5,"")</f>
        <v/>
      </c>
      <c r="AD25" s="62" t="str">
        <f aca="false">IFERROR(COUNTIFS('01 - Job Database'!$C$3:$C$1000,"&lt;&gt;",'01 - Job Database'!$W$3:$W$1000,"&lt;&gt;Yes",'01 - Job Database'!$E$3:$E$1000,$A25,'01 - Job Database'!$AZ$3:$AZ$1000,"Yes")/$B$5,"")</f>
        <v/>
      </c>
      <c r="AE25" s="62" t="str">
        <f aca="false">IFERROR(COUNTIFS('01 - Job Database'!$C$3:$C$1000,"&lt;&gt;",'01 - Job Database'!$W$3:$W$1000,"&lt;&gt;Yes",'01 - Job Database'!$E$3:$E$1000,$A25,'01 - Job Database'!$BA$3:$BA$1000,"Yes")/$B$5,"")</f>
        <v/>
      </c>
      <c r="AF25" s="62" t="str">
        <f aca="false">IFERROR(COUNTIFS('01 - Job Database'!$C$3:$C$1000,"&lt;&gt;",'01 - Job Database'!$W$3:$W$1000,"&lt;&gt;Yes",'01 - Job Database'!$E$3:$E$1000,$A25,'01 - Job Database'!$BB$3:$BB$1000,"Yes")/$B$5,"")</f>
        <v/>
      </c>
      <c r="AG25" s="62" t="str">
        <f aca="false">IFERROR(COUNTIFS('01 - Job Database'!$C$3:$C$1000,"&lt;&gt;",'01 - Job Database'!$W$3:$W$1000,"&lt;&gt;Yes",'01 - Job Database'!$E$3:$E$1000,$A25,'01 - Job Database'!$BC$3:$BC$1000,"Yes")/$B$5,"")</f>
        <v/>
      </c>
      <c r="AH25" s="62" t="str">
        <f aca="false">IFERROR(COUNTIFS('01 - Job Database'!$C$3:$C$1000,"&lt;&gt;",'01 - Job Database'!$W$3:$W$1000,"&lt;&gt;Yes",'01 - Job Database'!$E$3:$E$1000,$A25,'01 - Job Database'!$CM$3:$CM$1000,"Yes")/$B$5,"")</f>
        <v/>
      </c>
      <c r="AI25" s="62" t="str">
        <f aca="false">IFERROR(COUNTIFS('01 - Job Database'!$C$3:$C$1000,"&lt;&gt;",'01 - Job Database'!$W$3:$W$1000,"&lt;&gt;Yes",'01 - Job Database'!$E$3:$E$1000,$A25,'01 - Job Database'!$CN$3:$CN$1000,"Yes")/$B$5,"")</f>
        <v/>
      </c>
      <c r="AJ25" s="62" t="str">
        <f aca="false">IFERROR(COUNTIFS('01 - Job Database'!$C$3:$C$1000,"&lt;&gt;",'01 - Job Database'!$W$3:$W$1000,"&lt;&gt;Yes",'01 - Job Database'!$E$3:$E$1000,$A25,'01 - Job Database'!$CO$3:$CO$1000,"Yes")/$B$5,"")</f>
        <v/>
      </c>
      <c r="AK25" s="62" t="str">
        <f aca="false">IFERROR(COUNTIFS('01 - Job Database'!$C$3:$C$1000,"&lt;&gt;",'01 - Job Database'!$W$3:$W$1000,"&lt;&gt;Yes",'01 - Job Database'!$E$3:$E$1000,$A25,'01 - Job Database'!$CP$3:$CP$1000,"Yes")/$B$5,"")</f>
        <v/>
      </c>
      <c r="AL25" s="62" t="str">
        <f aca="false">IFERROR(COUNTIFS('01 - Job Database'!$C$3:$C$1000,"&lt;&gt;",'01 - Job Database'!$W$3:$W$1000,"&lt;&gt;Yes",'01 - Job Database'!$E$3:$E$1000,$A25,'01 - Job Database'!$CQ$3:$CQ$1000,"Yes")/$B$5,"")</f>
        <v/>
      </c>
      <c r="AM25" s="62" t="str">
        <f aca="false">IFERROR(COUNTIFS('01 - Job Database'!$C$3:$C$1000,"&lt;&gt;",'01 - Job Database'!$W$3:$W$1000,"&lt;&gt;Yes",'01 - Job Database'!$E$3:$E$1000,$A25,'01 - Job Database'!$CR$3:$CR$1000,"Yes")/$B$5,"")</f>
        <v/>
      </c>
      <c r="AN25" s="62" t="str">
        <f aca="false">IFERROR(COUNTIFS('01 - Job Database'!$C$3:$C$1000,"&lt;&gt;",'01 - Job Database'!$W$3:$W$1000,"&lt;&gt;Yes",'01 - Job Database'!$E$3:$E$1000,$A25,'01 - Job Database'!$CS$3:$CS$1000,"Yes")/$B$5,"")</f>
        <v/>
      </c>
      <c r="AO25" s="62" t="str">
        <f aca="false">IFERROR(COUNTIFS('01 - Job Database'!$C$3:$C$1000,"&lt;&gt;",'01 - Job Database'!$W$3:$W$1000,"&lt;&gt;Yes",'01 - Job Database'!$E$3:$E$1000,$A25,'01 - Job Database'!$CT$3:$CT$1000,"Yes")/$B$5,"")</f>
        <v/>
      </c>
      <c r="AP25" s="62" t="str">
        <f aca="false">IFERROR(COUNTIFS('01 - Job Database'!$C$3:$C$1000,"&lt;&gt;",'01 - Job Database'!$W$3:$W$1000,"&lt;&gt;Yes",'01 - Job Database'!$E$3:$E$1000,$A25,'01 - Job Database'!$CU$3:$CU$1000,"Yes")/$B$5,"")</f>
        <v/>
      </c>
      <c r="AQ25" s="62" t="str">
        <f aca="false">IFERROR(COUNTIFS('01 - Job Database'!$C$3:$C$1000,"&lt;&gt;",'01 - Job Database'!$W$3:$W$1000,"&lt;&gt;Yes",'01 - Job Database'!$E$3:$E$1000,$A25,'01 - Job Database'!$CV$3:$CV$1000,"Yes")/$B$5,"")</f>
        <v/>
      </c>
      <c r="AR25" s="62" t="str">
        <f aca="false">IFERROR(COUNTIFS('01 - Job Database'!$C$3:$C$1000,"&lt;&gt;",'01 - Job Database'!$W$3:$W$1000,"&lt;&gt;Yes",'01 - Job Database'!$E$3:$E$1000,$A25,'01 - Job Database'!$CW$3:$CW$1000,"Yes")/$B$5,"")</f>
        <v/>
      </c>
    </row>
    <row r="26" customFormat="false" ht="15" hidden="false" customHeight="true" outlineLevel="0" collapsed="false">
      <c r="A26" s="39" t="s">
        <v>232</v>
      </c>
      <c r="B26" s="62" t="str">
        <f aca="false">IFERROR(COUNTIFS('01 - Job Database'!$C$3:$C$1000,"&lt;&gt;",'01 - Job Database'!$W$3:$W$1000,"&lt;&gt;Yes",'01 - Job Database'!$E$3:$E$1000,$A26,'01 - Job Database'!$X$3:$X$1000,"Yes")/$B$6,"")</f>
        <v/>
      </c>
      <c r="C26" s="62" t="str">
        <f aca="false">IFERROR(COUNTIFS('01 - Job Database'!$C$3:$C$1000,"&lt;&gt;",'01 - Job Database'!$W$3:$W$1000,"&lt;&gt;Yes",'01 - Job Database'!$E$3:$E$1000,$A26,'01 - Job Database'!$Y$3:$Y$1000,"Yes")/$B$6,"")</f>
        <v/>
      </c>
      <c r="D26" s="62" t="str">
        <f aca="false">IFERROR(COUNTIFS('01 - Job Database'!$C$3:$C$1000,"&lt;&gt;",'01 - Job Database'!$W$3:$W$1000,"&lt;&gt;Yes",'01 - Job Database'!$E$3:$E$1000,$A26,'01 - Job Database'!$Z$3:$Z$1000,"Yes")/$B$6,"")</f>
        <v/>
      </c>
      <c r="E26" s="62" t="str">
        <f aca="false">IFERROR(COUNTIFS('01 - Job Database'!$C$3:$C$1000,"&lt;&gt;",'01 - Job Database'!$W$3:$W$1000,"&lt;&gt;Yes",'01 - Job Database'!$E$3:$E$1000,$A26,'01 - Job Database'!$AA$3:$AA$1000,"Yes")/$B$6,"")</f>
        <v/>
      </c>
      <c r="F26" s="62" t="str">
        <f aca="false">IFERROR(COUNTIFS('01 - Job Database'!$C$3:$C$1000,"&lt;&gt;",'01 - Job Database'!$W$3:$W$1000,"&lt;&gt;Yes",'01 - Job Database'!$E$3:$E$1000,$A26,'01 - Job Database'!$AB$3:$AB$1000,"Yes")/$B$6,"")</f>
        <v/>
      </c>
      <c r="G26" s="62" t="str">
        <f aca="false">IFERROR(COUNTIFS('01 - Job Database'!$C$3:$C$1000,"&lt;&gt;",'01 - Job Database'!$W$3:$W$1000,"&lt;&gt;Yes",'01 - Job Database'!$E$3:$E$1000,$A26,'01 - Job Database'!$AC$3:$AC$1000,"Yes")/$B$6,"")</f>
        <v/>
      </c>
      <c r="H26" s="62" t="str">
        <f aca="false">IFERROR(COUNTIFS('01 - Job Database'!$C$3:$C$1000,"&lt;&gt;",'01 - Job Database'!$W$3:$W$1000,"&lt;&gt;Yes",'01 - Job Database'!$E$3:$E$1000,$A26,'01 - Job Database'!$AD$3:$AD$1000,"Yes")/$B$6,"")</f>
        <v/>
      </c>
      <c r="I26" s="62" t="str">
        <f aca="false">IFERROR(COUNTIFS('01 - Job Database'!$C$3:$C$1000,"&lt;&gt;",'01 - Job Database'!$W$3:$W$1000,"&lt;&gt;Yes",'01 - Job Database'!$E$3:$E$1000,$A26,'01 - Job Database'!$AE$3:$AE$1000,"Yes")/$B$6,"")</f>
        <v/>
      </c>
      <c r="J26" s="62" t="str">
        <f aca="false">IFERROR(COUNTIFS('01 - Job Database'!$C$3:$C$1000,"&lt;&gt;",'01 - Job Database'!$W$3:$W$1000,"&lt;&gt;Yes",'01 - Job Database'!$E$3:$E$1000,$A26,'01 - Job Database'!$AF$3:$AF$1000,"Yes")/$B$6,"")</f>
        <v/>
      </c>
      <c r="K26" s="62" t="str">
        <f aca="false">IFERROR(COUNTIFS('01 - Job Database'!$C$3:$C$1000,"&lt;&gt;",'01 - Job Database'!$W$3:$W$1000,"&lt;&gt;Yes",'01 - Job Database'!$E$3:$E$1000,$A26,'01 - Job Database'!$AG$3:$AG$1000,"Yes")/$B$6,"")</f>
        <v/>
      </c>
      <c r="L26" s="62" t="str">
        <f aca="false">IFERROR(COUNTIFS('01 - Job Database'!$C$3:$C$1000,"&lt;&gt;",'01 - Job Database'!$W$3:$W$1000,"&lt;&gt;Yes",'01 - Job Database'!$E$3:$E$1000,$A26,'01 - Job Database'!$AH$3:$AH$1000,"Yes")/$B$6,"")</f>
        <v/>
      </c>
      <c r="M26" s="62" t="str">
        <f aca="false">IFERROR(COUNTIFS('01 - Job Database'!$C$3:$C$1000,"&lt;&gt;",'01 - Job Database'!$W$3:$W$1000,"&lt;&gt;Yes",'01 - Job Database'!$E$3:$E$1000,$A26,'01 - Job Database'!$AI$3:$AI$1000,"Yes")/$B$6,"")</f>
        <v/>
      </c>
      <c r="N26" s="62" t="str">
        <f aca="false">IFERROR(COUNTIFS('01 - Job Database'!$C$3:$C$1000,"&lt;&gt;",'01 - Job Database'!$W$3:$W$1000,"&lt;&gt;Yes",'01 - Job Database'!$E$3:$E$1000,$A26,'01 - Job Database'!$AJ$3:$AJ$1000,"Yes")/$B$6,"")</f>
        <v/>
      </c>
      <c r="O26" s="62" t="str">
        <f aca="false">IFERROR(COUNTIFS('01 - Job Database'!$C$3:$C$1000,"&lt;&gt;",'01 - Job Database'!$W$3:$W$1000,"&lt;&gt;Yes",'01 - Job Database'!$E$3:$E$1000,$A26,'01 - Job Database'!$AK$3:$AK$1000,"Yes")/$B$6,"")</f>
        <v/>
      </c>
      <c r="P26" s="62" t="str">
        <f aca="false">IFERROR(COUNTIFS('01 - Job Database'!$C$3:$C$1000,"&lt;&gt;",'01 - Job Database'!$W$3:$W$1000,"&lt;&gt;Yes",'01 - Job Database'!$E$3:$E$1000,$A26,'01 - Job Database'!$AL$3:$AL$1000,"Yes")/$B$6,"")</f>
        <v/>
      </c>
      <c r="Q26" s="62" t="str">
        <f aca="false">IFERROR(COUNTIFS('01 - Job Database'!$C$3:$C$1000,"&lt;&gt;",'01 - Job Database'!$W$3:$W$1000,"&lt;&gt;Yes",'01 - Job Database'!$E$3:$E$1000,$A26,'01 - Job Database'!$AM$3:$AM$1000,"Yes")/$B$6,"")</f>
        <v/>
      </c>
      <c r="R26" s="62" t="str">
        <f aca="false">IFERROR(COUNTIFS('01 - Job Database'!$C$3:$C$1000,"&lt;&gt;",'01 - Job Database'!$W$3:$W$1000,"&lt;&gt;Yes",'01 - Job Database'!$E$3:$E$1000,$A26,'01 - Job Database'!$AN$3:$AN$1000,"Yes")/$B$6,"")</f>
        <v/>
      </c>
      <c r="S26" s="62" t="str">
        <f aca="false">IFERROR(COUNTIFS('01 - Job Database'!$C$3:$C$1000,"&lt;&gt;",'01 - Job Database'!$W$3:$W$1000,"&lt;&gt;Yes",'01 - Job Database'!$E$3:$E$1000,$A26,'01 - Job Database'!$AO$3:$AO$1000,"Yes")/$B$6,"")</f>
        <v/>
      </c>
      <c r="T26" s="62" t="str">
        <f aca="false">IFERROR(COUNTIFS('01 - Job Database'!$C$3:$C$1000,"&lt;&gt;",'01 - Job Database'!$W$3:$W$1000,"&lt;&gt;Yes",'01 - Job Database'!$E$3:$E$1000,$A26,'01 - Job Database'!$AP$3:$AP$1000,"Yes")/$B$6,"")</f>
        <v/>
      </c>
      <c r="U26" s="62" t="str">
        <f aca="false">IFERROR(COUNTIFS('01 - Job Database'!$C$3:$C$1000,"&lt;&gt;",'01 - Job Database'!$W$3:$W$1000,"&lt;&gt;Yes",'01 - Job Database'!$E$3:$E$1000,$A26,'01 - Job Database'!$AQ$3:$AQ$1000,"Yes")/$B$6,"")</f>
        <v/>
      </c>
      <c r="V26" s="62" t="str">
        <f aca="false">IFERROR(COUNTIFS('01 - Job Database'!$C$3:$C$1000,"&lt;&gt;",'01 - Job Database'!$W$3:$W$1000,"&lt;&gt;Yes",'01 - Job Database'!$E$3:$E$1000,$A26,'01 - Job Database'!$AR$3:$AR$1000,"Yes")/$B$6,"")</f>
        <v/>
      </c>
      <c r="W26" s="62" t="str">
        <f aca="false">IFERROR(COUNTIFS('01 - Job Database'!$C$3:$C$1000,"&lt;&gt;",'01 - Job Database'!$W$3:$W$1000,"&lt;&gt;Yes",'01 - Job Database'!$E$3:$E$1000,$A26,'01 - Job Database'!$AS$3:$AS$1000,"Yes")/$B$6,"")</f>
        <v/>
      </c>
      <c r="X26" s="62" t="str">
        <f aca="false">IFERROR(COUNTIFS('01 - Job Database'!$C$3:$C$1000,"&lt;&gt;",'01 - Job Database'!$W$3:$W$1000,"&lt;&gt;Yes",'01 - Job Database'!$E$3:$E$1000,$A26,'01 - Job Database'!$AT$3:$AT$1000,"Yes")/$B$6,"")</f>
        <v/>
      </c>
      <c r="Y26" s="62" t="str">
        <f aca="false">IFERROR(COUNTIFS('01 - Job Database'!$C$3:$C$1000,"&lt;&gt;",'01 - Job Database'!$W$3:$W$1000,"&lt;&gt;Yes",'01 - Job Database'!$E$3:$E$1000,$A26,'01 - Job Database'!$AU$3:$AU$1000,"Yes")/$B$6,"")</f>
        <v/>
      </c>
      <c r="Z26" s="62" t="str">
        <f aca="false">IFERROR(COUNTIFS('01 - Job Database'!$C$3:$C$1000,"&lt;&gt;",'01 - Job Database'!$W$3:$W$1000,"&lt;&gt;Yes",'01 - Job Database'!$E$3:$E$1000,$A26,'01 - Job Database'!$AV$3:$AV$1000,"Yes")/$B$6,"")</f>
        <v/>
      </c>
      <c r="AA26" s="62" t="str">
        <f aca="false">IFERROR(COUNTIFS('01 - Job Database'!$C$3:$C$1000,"&lt;&gt;",'01 - Job Database'!$W$3:$W$1000,"&lt;&gt;Yes",'01 - Job Database'!$E$3:$E$1000,$A26,'01 - Job Database'!$AW$3:$AW$1000,"Yes")/$B$6,"")</f>
        <v/>
      </c>
      <c r="AB26" s="62" t="str">
        <f aca="false">IFERROR(COUNTIFS('01 - Job Database'!$C$3:$C$1000,"&lt;&gt;",'01 - Job Database'!$W$3:$W$1000,"&lt;&gt;Yes",'01 - Job Database'!$E$3:$E$1000,$A26,'01 - Job Database'!$AX$3:$AX$1000,"Yes")/$B$6,"")</f>
        <v/>
      </c>
      <c r="AC26" s="62" t="str">
        <f aca="false">IFERROR(COUNTIFS('01 - Job Database'!$C$3:$C$1000,"&lt;&gt;",'01 - Job Database'!$W$3:$W$1000,"&lt;&gt;Yes",'01 - Job Database'!$E$3:$E$1000,$A26,'01 - Job Database'!$AY$3:$AY$1000,"Yes")/$B$6,"")</f>
        <v/>
      </c>
      <c r="AD26" s="62" t="str">
        <f aca="false">IFERROR(COUNTIFS('01 - Job Database'!$C$3:$C$1000,"&lt;&gt;",'01 - Job Database'!$W$3:$W$1000,"&lt;&gt;Yes",'01 - Job Database'!$E$3:$E$1000,$A26,'01 - Job Database'!$AZ$3:$AZ$1000,"Yes")/$B$6,"")</f>
        <v/>
      </c>
      <c r="AE26" s="62" t="str">
        <f aca="false">IFERROR(COUNTIFS('01 - Job Database'!$C$3:$C$1000,"&lt;&gt;",'01 - Job Database'!$W$3:$W$1000,"&lt;&gt;Yes",'01 - Job Database'!$E$3:$E$1000,$A26,'01 - Job Database'!$BA$3:$BA$1000,"Yes")/$B$6,"")</f>
        <v/>
      </c>
      <c r="AF26" s="62" t="str">
        <f aca="false">IFERROR(COUNTIFS('01 - Job Database'!$C$3:$C$1000,"&lt;&gt;",'01 - Job Database'!$W$3:$W$1000,"&lt;&gt;Yes",'01 - Job Database'!$E$3:$E$1000,$A26,'01 - Job Database'!$BB$3:$BB$1000,"Yes")/$B$6,"")</f>
        <v/>
      </c>
      <c r="AG26" s="62" t="str">
        <f aca="false">IFERROR(COUNTIFS('01 - Job Database'!$C$3:$C$1000,"&lt;&gt;",'01 - Job Database'!$W$3:$W$1000,"&lt;&gt;Yes",'01 - Job Database'!$E$3:$E$1000,$A26,'01 - Job Database'!$BC$3:$BC$1000,"Yes")/$B$6,"")</f>
        <v/>
      </c>
      <c r="AH26" s="62" t="str">
        <f aca="false">IFERROR(COUNTIFS('01 - Job Database'!$C$3:$C$1000,"&lt;&gt;",'01 - Job Database'!$W$3:$W$1000,"&lt;&gt;Yes",'01 - Job Database'!$E$3:$E$1000,$A26,'01 - Job Database'!$CM$3:$CM$1000,"Yes")/$B$6,"")</f>
        <v/>
      </c>
      <c r="AI26" s="62" t="str">
        <f aca="false">IFERROR(COUNTIFS('01 - Job Database'!$C$3:$C$1000,"&lt;&gt;",'01 - Job Database'!$W$3:$W$1000,"&lt;&gt;Yes",'01 - Job Database'!$E$3:$E$1000,$A26,'01 - Job Database'!$CN$3:$CN$1000,"Yes")/$B$6,"")</f>
        <v/>
      </c>
      <c r="AJ26" s="62" t="str">
        <f aca="false">IFERROR(COUNTIFS('01 - Job Database'!$C$3:$C$1000,"&lt;&gt;",'01 - Job Database'!$W$3:$W$1000,"&lt;&gt;Yes",'01 - Job Database'!$E$3:$E$1000,$A26,'01 - Job Database'!$CO$3:$CO$1000,"Yes")/$B$6,"")</f>
        <v/>
      </c>
      <c r="AK26" s="62" t="str">
        <f aca="false">IFERROR(COUNTIFS('01 - Job Database'!$C$3:$C$1000,"&lt;&gt;",'01 - Job Database'!$W$3:$W$1000,"&lt;&gt;Yes",'01 - Job Database'!$E$3:$E$1000,$A26,'01 - Job Database'!$CP$3:$CP$1000,"Yes")/$B$6,"")</f>
        <v/>
      </c>
      <c r="AL26" s="62" t="str">
        <f aca="false">IFERROR(COUNTIFS('01 - Job Database'!$C$3:$C$1000,"&lt;&gt;",'01 - Job Database'!$W$3:$W$1000,"&lt;&gt;Yes",'01 - Job Database'!$E$3:$E$1000,$A26,'01 - Job Database'!$CQ$3:$CQ$1000,"Yes")/$B$6,"")</f>
        <v/>
      </c>
      <c r="AM26" s="62" t="str">
        <f aca="false">IFERROR(COUNTIFS('01 - Job Database'!$C$3:$C$1000,"&lt;&gt;",'01 - Job Database'!$W$3:$W$1000,"&lt;&gt;Yes",'01 - Job Database'!$E$3:$E$1000,$A26,'01 - Job Database'!$CR$3:$CR$1000,"Yes")/$B$6,"")</f>
        <v/>
      </c>
      <c r="AN26" s="62" t="str">
        <f aca="false">IFERROR(COUNTIFS('01 - Job Database'!$C$3:$C$1000,"&lt;&gt;",'01 - Job Database'!$W$3:$W$1000,"&lt;&gt;Yes",'01 - Job Database'!$E$3:$E$1000,$A26,'01 - Job Database'!$CS$3:$CS$1000,"Yes")/$B$6,"")</f>
        <v/>
      </c>
      <c r="AO26" s="62" t="str">
        <f aca="false">IFERROR(COUNTIFS('01 - Job Database'!$C$3:$C$1000,"&lt;&gt;",'01 - Job Database'!$W$3:$W$1000,"&lt;&gt;Yes",'01 - Job Database'!$E$3:$E$1000,$A26,'01 - Job Database'!$CT$3:$CT$1000,"Yes")/$B$6,"")</f>
        <v/>
      </c>
      <c r="AP26" s="62" t="str">
        <f aca="false">IFERROR(COUNTIFS('01 - Job Database'!$C$3:$C$1000,"&lt;&gt;",'01 - Job Database'!$W$3:$W$1000,"&lt;&gt;Yes",'01 - Job Database'!$E$3:$E$1000,$A26,'01 - Job Database'!$CU$3:$CU$1000,"Yes")/$B$6,"")</f>
        <v/>
      </c>
      <c r="AQ26" s="62" t="str">
        <f aca="false">IFERROR(COUNTIFS('01 - Job Database'!$C$3:$C$1000,"&lt;&gt;",'01 - Job Database'!$W$3:$W$1000,"&lt;&gt;Yes",'01 - Job Database'!$E$3:$E$1000,$A26,'01 - Job Database'!$CV$3:$CV$1000,"Yes")/$B$6,"")</f>
        <v/>
      </c>
      <c r="AR26" s="62" t="str">
        <f aca="false">IFERROR(COUNTIFS('01 - Job Database'!$C$3:$C$1000,"&lt;&gt;",'01 - Job Database'!$W$3:$W$1000,"&lt;&gt;Yes",'01 - Job Database'!$E$3:$E$1000,$A26,'01 - Job Database'!$CW$3:$CW$1000,"Yes")/$B$6,"")</f>
        <v/>
      </c>
    </row>
    <row r="27" customFormat="false" ht="15" hidden="false" customHeight="true" outlineLevel="0" collapsed="false">
      <c r="A27" s="39" t="s">
        <v>233</v>
      </c>
      <c r="B27" s="62" t="str">
        <f aca="false">IFERROR(COUNTIFS('01 - Job Database'!$C$3:$C$1000,"&lt;&gt;",'01 - Job Database'!$W$3:$W$1000,"&lt;&gt;Yes",'01 - Job Database'!$E$3:$E$1000,$A27,'01 - Job Database'!$X$3:$X$1000,"Yes")/$B$7,"")</f>
        <v/>
      </c>
      <c r="C27" s="62" t="str">
        <f aca="false">IFERROR(COUNTIFS('01 - Job Database'!$C$3:$C$1000,"&lt;&gt;",'01 - Job Database'!$W$3:$W$1000,"&lt;&gt;Yes",'01 - Job Database'!$E$3:$E$1000,$A27,'01 - Job Database'!$Y$3:$Y$1000,"Yes")/$B$7,"")</f>
        <v/>
      </c>
      <c r="D27" s="62" t="str">
        <f aca="false">IFERROR(COUNTIFS('01 - Job Database'!$C$3:$C$1000,"&lt;&gt;",'01 - Job Database'!$W$3:$W$1000,"&lt;&gt;Yes",'01 - Job Database'!$E$3:$E$1000,$A27,'01 - Job Database'!$Z$3:$Z$1000,"Yes")/$B$7,"")</f>
        <v/>
      </c>
      <c r="E27" s="62" t="str">
        <f aca="false">IFERROR(COUNTIFS('01 - Job Database'!$C$3:$C$1000,"&lt;&gt;",'01 - Job Database'!$W$3:$W$1000,"&lt;&gt;Yes",'01 - Job Database'!$E$3:$E$1000,$A27,'01 - Job Database'!$AA$3:$AA$1000,"Yes")/$B$7,"")</f>
        <v/>
      </c>
      <c r="F27" s="62" t="str">
        <f aca="false">IFERROR(COUNTIFS('01 - Job Database'!$C$3:$C$1000,"&lt;&gt;",'01 - Job Database'!$W$3:$W$1000,"&lt;&gt;Yes",'01 - Job Database'!$E$3:$E$1000,$A27,'01 - Job Database'!$AB$3:$AB$1000,"Yes")/$B$7,"")</f>
        <v/>
      </c>
      <c r="G27" s="62" t="str">
        <f aca="false">IFERROR(COUNTIFS('01 - Job Database'!$C$3:$C$1000,"&lt;&gt;",'01 - Job Database'!$W$3:$W$1000,"&lt;&gt;Yes",'01 - Job Database'!$E$3:$E$1000,$A27,'01 - Job Database'!$AC$3:$AC$1000,"Yes")/$B$7,"")</f>
        <v/>
      </c>
      <c r="H27" s="62" t="str">
        <f aca="false">IFERROR(COUNTIFS('01 - Job Database'!$C$3:$C$1000,"&lt;&gt;",'01 - Job Database'!$W$3:$W$1000,"&lt;&gt;Yes",'01 - Job Database'!$E$3:$E$1000,$A27,'01 - Job Database'!$AD$3:$AD$1000,"Yes")/$B$7,"")</f>
        <v/>
      </c>
      <c r="I27" s="62" t="str">
        <f aca="false">IFERROR(COUNTIFS('01 - Job Database'!$C$3:$C$1000,"&lt;&gt;",'01 - Job Database'!$W$3:$W$1000,"&lt;&gt;Yes",'01 - Job Database'!$E$3:$E$1000,$A27,'01 - Job Database'!$AE$3:$AE$1000,"Yes")/$B$7,"")</f>
        <v/>
      </c>
      <c r="J27" s="62" t="str">
        <f aca="false">IFERROR(COUNTIFS('01 - Job Database'!$C$3:$C$1000,"&lt;&gt;",'01 - Job Database'!$W$3:$W$1000,"&lt;&gt;Yes",'01 - Job Database'!$E$3:$E$1000,$A27,'01 - Job Database'!$AF$3:$AF$1000,"Yes")/$B$7,"")</f>
        <v/>
      </c>
      <c r="K27" s="62" t="str">
        <f aca="false">IFERROR(COUNTIFS('01 - Job Database'!$C$3:$C$1000,"&lt;&gt;",'01 - Job Database'!$W$3:$W$1000,"&lt;&gt;Yes",'01 - Job Database'!$E$3:$E$1000,$A27,'01 - Job Database'!$AG$3:$AG$1000,"Yes")/$B$7,"")</f>
        <v/>
      </c>
      <c r="L27" s="62" t="str">
        <f aca="false">IFERROR(COUNTIFS('01 - Job Database'!$C$3:$C$1000,"&lt;&gt;",'01 - Job Database'!$W$3:$W$1000,"&lt;&gt;Yes",'01 - Job Database'!$E$3:$E$1000,$A27,'01 - Job Database'!$AH$3:$AH$1000,"Yes")/$B$7,"")</f>
        <v/>
      </c>
      <c r="M27" s="62" t="str">
        <f aca="false">IFERROR(COUNTIFS('01 - Job Database'!$C$3:$C$1000,"&lt;&gt;",'01 - Job Database'!$W$3:$W$1000,"&lt;&gt;Yes",'01 - Job Database'!$E$3:$E$1000,$A27,'01 - Job Database'!$AI$3:$AI$1000,"Yes")/$B$7,"")</f>
        <v/>
      </c>
      <c r="N27" s="62" t="str">
        <f aca="false">IFERROR(COUNTIFS('01 - Job Database'!$C$3:$C$1000,"&lt;&gt;",'01 - Job Database'!$W$3:$W$1000,"&lt;&gt;Yes",'01 - Job Database'!$E$3:$E$1000,$A27,'01 - Job Database'!$AJ$3:$AJ$1000,"Yes")/$B$7,"")</f>
        <v/>
      </c>
      <c r="O27" s="62" t="str">
        <f aca="false">IFERROR(COUNTIFS('01 - Job Database'!$C$3:$C$1000,"&lt;&gt;",'01 - Job Database'!$W$3:$W$1000,"&lt;&gt;Yes",'01 - Job Database'!$E$3:$E$1000,$A27,'01 - Job Database'!$AK$3:$AK$1000,"Yes")/$B$7,"")</f>
        <v/>
      </c>
      <c r="P27" s="62" t="str">
        <f aca="false">IFERROR(COUNTIFS('01 - Job Database'!$C$3:$C$1000,"&lt;&gt;",'01 - Job Database'!$W$3:$W$1000,"&lt;&gt;Yes",'01 - Job Database'!$E$3:$E$1000,$A27,'01 - Job Database'!$AL$3:$AL$1000,"Yes")/$B$7,"")</f>
        <v/>
      </c>
      <c r="Q27" s="62" t="str">
        <f aca="false">IFERROR(COUNTIFS('01 - Job Database'!$C$3:$C$1000,"&lt;&gt;",'01 - Job Database'!$W$3:$W$1000,"&lt;&gt;Yes",'01 - Job Database'!$E$3:$E$1000,$A27,'01 - Job Database'!$AM$3:$AM$1000,"Yes")/$B$7,"")</f>
        <v/>
      </c>
      <c r="R27" s="62" t="str">
        <f aca="false">IFERROR(COUNTIFS('01 - Job Database'!$C$3:$C$1000,"&lt;&gt;",'01 - Job Database'!$W$3:$W$1000,"&lt;&gt;Yes",'01 - Job Database'!$E$3:$E$1000,$A27,'01 - Job Database'!$AN$3:$AN$1000,"Yes")/$B$7,"")</f>
        <v/>
      </c>
      <c r="S27" s="62" t="str">
        <f aca="false">IFERROR(COUNTIFS('01 - Job Database'!$C$3:$C$1000,"&lt;&gt;",'01 - Job Database'!$W$3:$W$1000,"&lt;&gt;Yes",'01 - Job Database'!$E$3:$E$1000,$A27,'01 - Job Database'!$AO$3:$AO$1000,"Yes")/$B$7,"")</f>
        <v/>
      </c>
      <c r="T27" s="62" t="str">
        <f aca="false">IFERROR(COUNTIFS('01 - Job Database'!$C$3:$C$1000,"&lt;&gt;",'01 - Job Database'!$W$3:$W$1000,"&lt;&gt;Yes",'01 - Job Database'!$E$3:$E$1000,$A27,'01 - Job Database'!$AP$3:$AP$1000,"Yes")/$B$7,"")</f>
        <v/>
      </c>
      <c r="U27" s="62" t="str">
        <f aca="false">IFERROR(COUNTIFS('01 - Job Database'!$C$3:$C$1000,"&lt;&gt;",'01 - Job Database'!$W$3:$W$1000,"&lt;&gt;Yes",'01 - Job Database'!$E$3:$E$1000,$A27,'01 - Job Database'!$AQ$3:$AQ$1000,"Yes")/$B$7,"")</f>
        <v/>
      </c>
      <c r="V27" s="62" t="str">
        <f aca="false">IFERROR(COUNTIFS('01 - Job Database'!$C$3:$C$1000,"&lt;&gt;",'01 - Job Database'!$W$3:$W$1000,"&lt;&gt;Yes",'01 - Job Database'!$E$3:$E$1000,$A27,'01 - Job Database'!$AR$3:$AR$1000,"Yes")/$B$7,"")</f>
        <v/>
      </c>
      <c r="W27" s="62" t="str">
        <f aca="false">IFERROR(COUNTIFS('01 - Job Database'!$C$3:$C$1000,"&lt;&gt;",'01 - Job Database'!$W$3:$W$1000,"&lt;&gt;Yes",'01 - Job Database'!$E$3:$E$1000,$A27,'01 - Job Database'!$AS$3:$AS$1000,"Yes")/$B$7,"")</f>
        <v/>
      </c>
      <c r="X27" s="62" t="str">
        <f aca="false">IFERROR(COUNTIFS('01 - Job Database'!$C$3:$C$1000,"&lt;&gt;",'01 - Job Database'!$W$3:$W$1000,"&lt;&gt;Yes",'01 - Job Database'!$E$3:$E$1000,$A27,'01 - Job Database'!$AT$3:$AT$1000,"Yes")/$B$7,"")</f>
        <v/>
      </c>
      <c r="Y27" s="62" t="str">
        <f aca="false">IFERROR(COUNTIFS('01 - Job Database'!$C$3:$C$1000,"&lt;&gt;",'01 - Job Database'!$W$3:$W$1000,"&lt;&gt;Yes",'01 - Job Database'!$E$3:$E$1000,$A27,'01 - Job Database'!$AU$3:$AU$1000,"Yes")/$B$7,"")</f>
        <v/>
      </c>
      <c r="Z27" s="62" t="str">
        <f aca="false">IFERROR(COUNTIFS('01 - Job Database'!$C$3:$C$1000,"&lt;&gt;",'01 - Job Database'!$W$3:$W$1000,"&lt;&gt;Yes",'01 - Job Database'!$E$3:$E$1000,$A27,'01 - Job Database'!$AV$3:$AV$1000,"Yes")/$B$7,"")</f>
        <v/>
      </c>
      <c r="AA27" s="62" t="str">
        <f aca="false">IFERROR(COUNTIFS('01 - Job Database'!$C$3:$C$1000,"&lt;&gt;",'01 - Job Database'!$W$3:$W$1000,"&lt;&gt;Yes",'01 - Job Database'!$E$3:$E$1000,$A27,'01 - Job Database'!$AW$3:$AW$1000,"Yes")/$B$7,"")</f>
        <v/>
      </c>
      <c r="AB27" s="62" t="str">
        <f aca="false">IFERROR(COUNTIFS('01 - Job Database'!$C$3:$C$1000,"&lt;&gt;",'01 - Job Database'!$W$3:$W$1000,"&lt;&gt;Yes",'01 - Job Database'!$E$3:$E$1000,$A27,'01 - Job Database'!$AX$3:$AX$1000,"Yes")/$B$7,"")</f>
        <v/>
      </c>
      <c r="AC27" s="62" t="str">
        <f aca="false">IFERROR(COUNTIFS('01 - Job Database'!$C$3:$C$1000,"&lt;&gt;",'01 - Job Database'!$W$3:$W$1000,"&lt;&gt;Yes",'01 - Job Database'!$E$3:$E$1000,$A27,'01 - Job Database'!$AY$3:$AY$1000,"Yes")/$B$7,"")</f>
        <v/>
      </c>
      <c r="AD27" s="62" t="str">
        <f aca="false">IFERROR(COUNTIFS('01 - Job Database'!$C$3:$C$1000,"&lt;&gt;",'01 - Job Database'!$W$3:$W$1000,"&lt;&gt;Yes",'01 - Job Database'!$E$3:$E$1000,$A27,'01 - Job Database'!$AZ$3:$AZ$1000,"Yes")/$B$7,"")</f>
        <v/>
      </c>
      <c r="AE27" s="62" t="str">
        <f aca="false">IFERROR(COUNTIFS('01 - Job Database'!$C$3:$C$1000,"&lt;&gt;",'01 - Job Database'!$W$3:$W$1000,"&lt;&gt;Yes",'01 - Job Database'!$E$3:$E$1000,$A27,'01 - Job Database'!$BA$3:$BA$1000,"Yes")/$B$7,"")</f>
        <v/>
      </c>
      <c r="AF27" s="62" t="str">
        <f aca="false">IFERROR(COUNTIFS('01 - Job Database'!$C$3:$C$1000,"&lt;&gt;",'01 - Job Database'!$W$3:$W$1000,"&lt;&gt;Yes",'01 - Job Database'!$E$3:$E$1000,$A27,'01 - Job Database'!$BB$3:$BB$1000,"Yes")/$B$7,"")</f>
        <v/>
      </c>
      <c r="AG27" s="62" t="str">
        <f aca="false">IFERROR(COUNTIFS('01 - Job Database'!$C$3:$C$1000,"&lt;&gt;",'01 - Job Database'!$W$3:$W$1000,"&lt;&gt;Yes",'01 - Job Database'!$E$3:$E$1000,$A27,'01 - Job Database'!$BC$3:$BC$1000,"Yes")/$B$7,"")</f>
        <v/>
      </c>
      <c r="AH27" s="62" t="str">
        <f aca="false">IFERROR(COUNTIFS('01 - Job Database'!$C$3:$C$1000,"&lt;&gt;",'01 - Job Database'!$W$3:$W$1000,"&lt;&gt;Yes",'01 - Job Database'!$E$3:$E$1000,$A27,'01 - Job Database'!$CM$3:$CM$1000,"Yes")/$B$7,"")</f>
        <v/>
      </c>
      <c r="AI27" s="62" t="str">
        <f aca="false">IFERROR(COUNTIFS('01 - Job Database'!$C$3:$C$1000,"&lt;&gt;",'01 - Job Database'!$W$3:$W$1000,"&lt;&gt;Yes",'01 - Job Database'!$E$3:$E$1000,$A27,'01 - Job Database'!$CN$3:$CN$1000,"Yes")/$B$7,"")</f>
        <v/>
      </c>
      <c r="AJ27" s="62" t="str">
        <f aca="false">IFERROR(COUNTIFS('01 - Job Database'!$C$3:$C$1000,"&lt;&gt;",'01 - Job Database'!$W$3:$W$1000,"&lt;&gt;Yes",'01 - Job Database'!$E$3:$E$1000,$A27,'01 - Job Database'!$CO$3:$CO$1000,"Yes")/$B$7,"")</f>
        <v/>
      </c>
      <c r="AK27" s="62" t="str">
        <f aca="false">IFERROR(COUNTIFS('01 - Job Database'!$C$3:$C$1000,"&lt;&gt;",'01 - Job Database'!$W$3:$W$1000,"&lt;&gt;Yes",'01 - Job Database'!$E$3:$E$1000,$A27,'01 - Job Database'!$CP$3:$CP$1000,"Yes")/$B$7,"")</f>
        <v/>
      </c>
      <c r="AL27" s="62" t="str">
        <f aca="false">IFERROR(COUNTIFS('01 - Job Database'!$C$3:$C$1000,"&lt;&gt;",'01 - Job Database'!$W$3:$W$1000,"&lt;&gt;Yes",'01 - Job Database'!$E$3:$E$1000,$A27,'01 - Job Database'!$CQ$3:$CQ$1000,"Yes")/$B$7,"")</f>
        <v/>
      </c>
      <c r="AM27" s="62" t="str">
        <f aca="false">IFERROR(COUNTIFS('01 - Job Database'!$C$3:$C$1000,"&lt;&gt;",'01 - Job Database'!$W$3:$W$1000,"&lt;&gt;Yes",'01 - Job Database'!$E$3:$E$1000,$A27,'01 - Job Database'!$CR$3:$CR$1000,"Yes")/$B$7,"")</f>
        <v/>
      </c>
      <c r="AN27" s="62" t="str">
        <f aca="false">IFERROR(COUNTIFS('01 - Job Database'!$C$3:$C$1000,"&lt;&gt;",'01 - Job Database'!$W$3:$W$1000,"&lt;&gt;Yes",'01 - Job Database'!$E$3:$E$1000,$A27,'01 - Job Database'!$CS$3:$CS$1000,"Yes")/$B$7,"")</f>
        <v/>
      </c>
      <c r="AO27" s="62" t="str">
        <f aca="false">IFERROR(COUNTIFS('01 - Job Database'!$C$3:$C$1000,"&lt;&gt;",'01 - Job Database'!$W$3:$W$1000,"&lt;&gt;Yes",'01 - Job Database'!$E$3:$E$1000,$A27,'01 - Job Database'!$CT$3:$CT$1000,"Yes")/$B$7,"")</f>
        <v/>
      </c>
      <c r="AP27" s="62" t="str">
        <f aca="false">IFERROR(COUNTIFS('01 - Job Database'!$C$3:$C$1000,"&lt;&gt;",'01 - Job Database'!$W$3:$W$1000,"&lt;&gt;Yes",'01 - Job Database'!$E$3:$E$1000,$A27,'01 - Job Database'!$CU$3:$CU$1000,"Yes")/$B$7,"")</f>
        <v/>
      </c>
      <c r="AQ27" s="62" t="str">
        <f aca="false">IFERROR(COUNTIFS('01 - Job Database'!$C$3:$C$1000,"&lt;&gt;",'01 - Job Database'!$W$3:$W$1000,"&lt;&gt;Yes",'01 - Job Database'!$E$3:$E$1000,$A27,'01 - Job Database'!$CV$3:$CV$1000,"Yes")/$B$7,"")</f>
        <v/>
      </c>
      <c r="AR27" s="62" t="str">
        <f aca="false">IFERROR(COUNTIFS('01 - Job Database'!$C$3:$C$1000,"&lt;&gt;",'01 - Job Database'!$W$3:$W$1000,"&lt;&gt;Yes",'01 - Job Database'!$E$3:$E$1000,$A27,'01 - Job Database'!$CW$3:$CW$1000,"Yes")/$B$7,"")</f>
        <v/>
      </c>
    </row>
    <row r="28" customFormat="false" ht="15" hidden="false" customHeight="true" outlineLevel="0" collapsed="false">
      <c r="A28" s="39" t="s">
        <v>234</v>
      </c>
      <c r="B28" s="62" t="str">
        <f aca="false">IFERROR(COUNTIFS('01 - Job Database'!$C$3:$C$1000,"&lt;&gt;",'01 - Job Database'!$W$3:$W$1000,"&lt;&gt;Yes",'01 - Job Database'!$E$3:$E$1000,$A28,'01 - Job Database'!$X$3:$X$1000,"Yes")/$B$8,"")</f>
        <v/>
      </c>
      <c r="C28" s="62" t="str">
        <f aca="false">IFERROR(COUNTIFS('01 - Job Database'!$C$3:$C$1000,"&lt;&gt;",'01 - Job Database'!$W$3:$W$1000,"&lt;&gt;Yes",'01 - Job Database'!$E$3:$E$1000,$A28,'01 - Job Database'!$Y$3:$Y$1000,"Yes")/$B$8,"")</f>
        <v/>
      </c>
      <c r="D28" s="62" t="str">
        <f aca="false">IFERROR(COUNTIFS('01 - Job Database'!$C$3:$C$1000,"&lt;&gt;",'01 - Job Database'!$W$3:$W$1000,"&lt;&gt;Yes",'01 - Job Database'!$E$3:$E$1000,$A28,'01 - Job Database'!$Z$3:$Z$1000,"Yes")/$B$8,"")</f>
        <v/>
      </c>
      <c r="E28" s="62" t="str">
        <f aca="false">IFERROR(COUNTIFS('01 - Job Database'!$C$3:$C$1000,"&lt;&gt;",'01 - Job Database'!$W$3:$W$1000,"&lt;&gt;Yes",'01 - Job Database'!$E$3:$E$1000,$A28,'01 - Job Database'!$AA$3:$AA$1000,"Yes")/$B$8,"")</f>
        <v/>
      </c>
      <c r="F28" s="62" t="str">
        <f aca="false">IFERROR(COUNTIFS('01 - Job Database'!$C$3:$C$1000,"&lt;&gt;",'01 - Job Database'!$W$3:$W$1000,"&lt;&gt;Yes",'01 - Job Database'!$E$3:$E$1000,$A28,'01 - Job Database'!$AB$3:$AB$1000,"Yes")/$B$8,"")</f>
        <v/>
      </c>
      <c r="G28" s="62" t="str">
        <f aca="false">IFERROR(COUNTIFS('01 - Job Database'!$C$3:$C$1000,"&lt;&gt;",'01 - Job Database'!$W$3:$W$1000,"&lt;&gt;Yes",'01 - Job Database'!$E$3:$E$1000,$A28,'01 - Job Database'!$AC$3:$AC$1000,"Yes")/$B$8,"")</f>
        <v/>
      </c>
      <c r="H28" s="62" t="str">
        <f aca="false">IFERROR(COUNTIFS('01 - Job Database'!$C$3:$C$1000,"&lt;&gt;",'01 - Job Database'!$W$3:$W$1000,"&lt;&gt;Yes",'01 - Job Database'!$E$3:$E$1000,$A28,'01 - Job Database'!$AD$3:$AD$1000,"Yes")/$B$8,"")</f>
        <v/>
      </c>
      <c r="I28" s="62" t="str">
        <f aca="false">IFERROR(COUNTIFS('01 - Job Database'!$C$3:$C$1000,"&lt;&gt;",'01 - Job Database'!$W$3:$W$1000,"&lt;&gt;Yes",'01 - Job Database'!$E$3:$E$1000,$A28,'01 - Job Database'!$AE$3:$AE$1000,"Yes")/$B$8,"")</f>
        <v/>
      </c>
      <c r="J28" s="62" t="str">
        <f aca="false">IFERROR(COUNTIFS('01 - Job Database'!$C$3:$C$1000,"&lt;&gt;",'01 - Job Database'!$W$3:$W$1000,"&lt;&gt;Yes",'01 - Job Database'!$E$3:$E$1000,$A28,'01 - Job Database'!$AF$3:$AF$1000,"Yes")/$B$8,"")</f>
        <v/>
      </c>
      <c r="K28" s="62" t="str">
        <f aca="false">IFERROR(COUNTIFS('01 - Job Database'!$C$3:$C$1000,"&lt;&gt;",'01 - Job Database'!$W$3:$W$1000,"&lt;&gt;Yes",'01 - Job Database'!$E$3:$E$1000,$A28,'01 - Job Database'!$AG$3:$AG$1000,"Yes")/$B$8,"")</f>
        <v/>
      </c>
      <c r="L28" s="62" t="str">
        <f aca="false">IFERROR(COUNTIFS('01 - Job Database'!$C$3:$C$1000,"&lt;&gt;",'01 - Job Database'!$W$3:$W$1000,"&lt;&gt;Yes",'01 - Job Database'!$E$3:$E$1000,$A28,'01 - Job Database'!$AH$3:$AH$1000,"Yes")/$B$8,"")</f>
        <v/>
      </c>
      <c r="M28" s="62" t="str">
        <f aca="false">IFERROR(COUNTIFS('01 - Job Database'!$C$3:$C$1000,"&lt;&gt;",'01 - Job Database'!$W$3:$W$1000,"&lt;&gt;Yes",'01 - Job Database'!$E$3:$E$1000,$A28,'01 - Job Database'!$AI$3:$AI$1000,"Yes")/$B$8,"")</f>
        <v/>
      </c>
      <c r="N28" s="62" t="str">
        <f aca="false">IFERROR(COUNTIFS('01 - Job Database'!$C$3:$C$1000,"&lt;&gt;",'01 - Job Database'!$W$3:$W$1000,"&lt;&gt;Yes",'01 - Job Database'!$E$3:$E$1000,$A28,'01 - Job Database'!$AJ$3:$AJ$1000,"Yes")/$B$8,"")</f>
        <v/>
      </c>
      <c r="O28" s="62" t="str">
        <f aca="false">IFERROR(COUNTIFS('01 - Job Database'!$C$3:$C$1000,"&lt;&gt;",'01 - Job Database'!$W$3:$W$1000,"&lt;&gt;Yes",'01 - Job Database'!$E$3:$E$1000,$A28,'01 - Job Database'!$AK$3:$AK$1000,"Yes")/$B$8,"")</f>
        <v/>
      </c>
      <c r="P28" s="62" t="str">
        <f aca="false">IFERROR(COUNTIFS('01 - Job Database'!$C$3:$C$1000,"&lt;&gt;",'01 - Job Database'!$W$3:$W$1000,"&lt;&gt;Yes",'01 - Job Database'!$E$3:$E$1000,$A28,'01 - Job Database'!$AL$3:$AL$1000,"Yes")/$B$8,"")</f>
        <v/>
      </c>
      <c r="Q28" s="62" t="str">
        <f aca="false">IFERROR(COUNTIFS('01 - Job Database'!$C$3:$C$1000,"&lt;&gt;",'01 - Job Database'!$W$3:$W$1000,"&lt;&gt;Yes",'01 - Job Database'!$E$3:$E$1000,$A28,'01 - Job Database'!$AM$3:$AM$1000,"Yes")/$B$8,"")</f>
        <v/>
      </c>
      <c r="R28" s="62" t="str">
        <f aca="false">IFERROR(COUNTIFS('01 - Job Database'!$C$3:$C$1000,"&lt;&gt;",'01 - Job Database'!$W$3:$W$1000,"&lt;&gt;Yes",'01 - Job Database'!$E$3:$E$1000,$A28,'01 - Job Database'!$AN$3:$AN$1000,"Yes")/$B$8,"")</f>
        <v/>
      </c>
      <c r="S28" s="62" t="str">
        <f aca="false">IFERROR(COUNTIFS('01 - Job Database'!$C$3:$C$1000,"&lt;&gt;",'01 - Job Database'!$W$3:$W$1000,"&lt;&gt;Yes",'01 - Job Database'!$E$3:$E$1000,$A28,'01 - Job Database'!$AO$3:$AO$1000,"Yes")/$B$8,"")</f>
        <v/>
      </c>
      <c r="T28" s="62" t="str">
        <f aca="false">IFERROR(COUNTIFS('01 - Job Database'!$C$3:$C$1000,"&lt;&gt;",'01 - Job Database'!$W$3:$W$1000,"&lt;&gt;Yes",'01 - Job Database'!$E$3:$E$1000,$A28,'01 - Job Database'!$AP$3:$AP$1000,"Yes")/$B$8,"")</f>
        <v/>
      </c>
      <c r="U28" s="62" t="str">
        <f aca="false">IFERROR(COUNTIFS('01 - Job Database'!$C$3:$C$1000,"&lt;&gt;",'01 - Job Database'!$W$3:$W$1000,"&lt;&gt;Yes",'01 - Job Database'!$E$3:$E$1000,$A28,'01 - Job Database'!$AQ$3:$AQ$1000,"Yes")/$B$8,"")</f>
        <v/>
      </c>
      <c r="V28" s="62" t="str">
        <f aca="false">IFERROR(COUNTIFS('01 - Job Database'!$C$3:$C$1000,"&lt;&gt;",'01 - Job Database'!$W$3:$W$1000,"&lt;&gt;Yes",'01 - Job Database'!$E$3:$E$1000,$A28,'01 - Job Database'!$AR$3:$AR$1000,"Yes")/$B$8,"")</f>
        <v/>
      </c>
      <c r="W28" s="62" t="str">
        <f aca="false">IFERROR(COUNTIFS('01 - Job Database'!$C$3:$C$1000,"&lt;&gt;",'01 - Job Database'!$W$3:$W$1000,"&lt;&gt;Yes",'01 - Job Database'!$E$3:$E$1000,$A28,'01 - Job Database'!$AS$3:$AS$1000,"Yes")/$B$8,"")</f>
        <v/>
      </c>
      <c r="X28" s="62" t="str">
        <f aca="false">IFERROR(COUNTIFS('01 - Job Database'!$C$3:$C$1000,"&lt;&gt;",'01 - Job Database'!$W$3:$W$1000,"&lt;&gt;Yes",'01 - Job Database'!$E$3:$E$1000,$A28,'01 - Job Database'!$AT$3:$AT$1000,"Yes")/$B$8,"")</f>
        <v/>
      </c>
      <c r="Y28" s="62" t="str">
        <f aca="false">IFERROR(COUNTIFS('01 - Job Database'!$C$3:$C$1000,"&lt;&gt;",'01 - Job Database'!$W$3:$W$1000,"&lt;&gt;Yes",'01 - Job Database'!$E$3:$E$1000,$A28,'01 - Job Database'!$AU$3:$AU$1000,"Yes")/$B$8,"")</f>
        <v/>
      </c>
      <c r="Z28" s="62" t="str">
        <f aca="false">IFERROR(COUNTIFS('01 - Job Database'!$C$3:$C$1000,"&lt;&gt;",'01 - Job Database'!$W$3:$W$1000,"&lt;&gt;Yes",'01 - Job Database'!$E$3:$E$1000,$A28,'01 - Job Database'!$AV$3:$AV$1000,"Yes")/$B$8,"")</f>
        <v/>
      </c>
      <c r="AA28" s="62" t="str">
        <f aca="false">IFERROR(COUNTIFS('01 - Job Database'!$C$3:$C$1000,"&lt;&gt;",'01 - Job Database'!$W$3:$W$1000,"&lt;&gt;Yes",'01 - Job Database'!$E$3:$E$1000,$A28,'01 - Job Database'!$AW$3:$AW$1000,"Yes")/$B$8,"")</f>
        <v/>
      </c>
      <c r="AB28" s="62" t="str">
        <f aca="false">IFERROR(COUNTIFS('01 - Job Database'!$C$3:$C$1000,"&lt;&gt;",'01 - Job Database'!$W$3:$W$1000,"&lt;&gt;Yes",'01 - Job Database'!$E$3:$E$1000,$A28,'01 - Job Database'!$AX$3:$AX$1000,"Yes")/$B$8,"")</f>
        <v/>
      </c>
      <c r="AC28" s="62" t="str">
        <f aca="false">IFERROR(COUNTIFS('01 - Job Database'!$C$3:$C$1000,"&lt;&gt;",'01 - Job Database'!$W$3:$W$1000,"&lt;&gt;Yes",'01 - Job Database'!$E$3:$E$1000,$A28,'01 - Job Database'!$AY$3:$AY$1000,"Yes")/$B$8,"")</f>
        <v/>
      </c>
      <c r="AD28" s="62" t="str">
        <f aca="false">IFERROR(COUNTIFS('01 - Job Database'!$C$3:$C$1000,"&lt;&gt;",'01 - Job Database'!$W$3:$W$1000,"&lt;&gt;Yes",'01 - Job Database'!$E$3:$E$1000,$A28,'01 - Job Database'!$AZ$3:$AZ$1000,"Yes")/$B$8,"")</f>
        <v/>
      </c>
      <c r="AE28" s="62" t="str">
        <f aca="false">IFERROR(COUNTIFS('01 - Job Database'!$C$3:$C$1000,"&lt;&gt;",'01 - Job Database'!$W$3:$W$1000,"&lt;&gt;Yes",'01 - Job Database'!$E$3:$E$1000,$A28,'01 - Job Database'!$BA$3:$BA$1000,"Yes")/$B$8,"")</f>
        <v/>
      </c>
      <c r="AF28" s="62" t="str">
        <f aca="false">IFERROR(COUNTIFS('01 - Job Database'!$C$3:$C$1000,"&lt;&gt;",'01 - Job Database'!$W$3:$W$1000,"&lt;&gt;Yes",'01 - Job Database'!$E$3:$E$1000,$A28,'01 - Job Database'!$BB$3:$BB$1000,"Yes")/$B$8,"")</f>
        <v/>
      </c>
      <c r="AG28" s="62" t="str">
        <f aca="false">IFERROR(COUNTIFS('01 - Job Database'!$C$3:$C$1000,"&lt;&gt;",'01 - Job Database'!$W$3:$W$1000,"&lt;&gt;Yes",'01 - Job Database'!$E$3:$E$1000,$A28,'01 - Job Database'!$BC$3:$BC$1000,"Yes")/$B$8,"")</f>
        <v/>
      </c>
      <c r="AH28" s="62" t="str">
        <f aca="false">IFERROR(COUNTIFS('01 - Job Database'!$C$3:$C$1000,"&lt;&gt;",'01 - Job Database'!$W$3:$W$1000,"&lt;&gt;Yes",'01 - Job Database'!$E$3:$E$1000,$A28,'01 - Job Database'!$CM$3:$CM$1000,"Yes")/$B$8,"")</f>
        <v/>
      </c>
      <c r="AI28" s="62" t="str">
        <f aca="false">IFERROR(COUNTIFS('01 - Job Database'!$C$3:$C$1000,"&lt;&gt;",'01 - Job Database'!$W$3:$W$1000,"&lt;&gt;Yes",'01 - Job Database'!$E$3:$E$1000,$A28,'01 - Job Database'!$CN$3:$CN$1000,"Yes")/$B$8,"")</f>
        <v/>
      </c>
      <c r="AJ28" s="62" t="str">
        <f aca="false">IFERROR(COUNTIFS('01 - Job Database'!$C$3:$C$1000,"&lt;&gt;",'01 - Job Database'!$W$3:$W$1000,"&lt;&gt;Yes",'01 - Job Database'!$E$3:$E$1000,$A28,'01 - Job Database'!$CO$3:$CO$1000,"Yes")/$B$8,"")</f>
        <v/>
      </c>
      <c r="AK28" s="62" t="str">
        <f aca="false">IFERROR(COUNTIFS('01 - Job Database'!$C$3:$C$1000,"&lt;&gt;",'01 - Job Database'!$W$3:$W$1000,"&lt;&gt;Yes",'01 - Job Database'!$E$3:$E$1000,$A28,'01 - Job Database'!$CP$3:$CP$1000,"Yes")/$B$8,"")</f>
        <v/>
      </c>
      <c r="AL28" s="62" t="str">
        <f aca="false">IFERROR(COUNTIFS('01 - Job Database'!$C$3:$C$1000,"&lt;&gt;",'01 - Job Database'!$W$3:$W$1000,"&lt;&gt;Yes",'01 - Job Database'!$E$3:$E$1000,$A28,'01 - Job Database'!$CQ$3:$CQ$1000,"Yes")/$B$8,"")</f>
        <v/>
      </c>
      <c r="AM28" s="62" t="str">
        <f aca="false">IFERROR(COUNTIFS('01 - Job Database'!$C$3:$C$1000,"&lt;&gt;",'01 - Job Database'!$W$3:$W$1000,"&lt;&gt;Yes",'01 - Job Database'!$E$3:$E$1000,$A28,'01 - Job Database'!$CR$3:$CR$1000,"Yes")/$B$8,"")</f>
        <v/>
      </c>
      <c r="AN28" s="62" t="str">
        <f aca="false">IFERROR(COUNTIFS('01 - Job Database'!$C$3:$C$1000,"&lt;&gt;",'01 - Job Database'!$W$3:$W$1000,"&lt;&gt;Yes",'01 - Job Database'!$E$3:$E$1000,$A28,'01 - Job Database'!$CS$3:$CS$1000,"Yes")/$B$8,"")</f>
        <v/>
      </c>
      <c r="AO28" s="62" t="str">
        <f aca="false">IFERROR(COUNTIFS('01 - Job Database'!$C$3:$C$1000,"&lt;&gt;",'01 - Job Database'!$W$3:$W$1000,"&lt;&gt;Yes",'01 - Job Database'!$E$3:$E$1000,$A28,'01 - Job Database'!$CT$3:$CT$1000,"Yes")/$B$8,"")</f>
        <v/>
      </c>
      <c r="AP28" s="62" t="str">
        <f aca="false">IFERROR(COUNTIFS('01 - Job Database'!$C$3:$C$1000,"&lt;&gt;",'01 - Job Database'!$W$3:$W$1000,"&lt;&gt;Yes",'01 - Job Database'!$E$3:$E$1000,$A28,'01 - Job Database'!$CU$3:$CU$1000,"Yes")/$B$8,"")</f>
        <v/>
      </c>
      <c r="AQ28" s="62" t="str">
        <f aca="false">IFERROR(COUNTIFS('01 - Job Database'!$C$3:$C$1000,"&lt;&gt;",'01 - Job Database'!$W$3:$W$1000,"&lt;&gt;Yes",'01 - Job Database'!$E$3:$E$1000,$A28,'01 - Job Database'!$CV$3:$CV$1000,"Yes")/$B$8,"")</f>
        <v/>
      </c>
      <c r="AR28" s="62" t="str">
        <f aca="false">IFERROR(COUNTIFS('01 - Job Database'!$C$3:$C$1000,"&lt;&gt;",'01 - Job Database'!$W$3:$W$1000,"&lt;&gt;Yes",'01 - Job Database'!$E$3:$E$1000,$A28,'01 - Job Database'!$CW$3:$CW$1000,"Yes")/$B$8,"")</f>
        <v/>
      </c>
    </row>
    <row r="29" customFormat="false" ht="15" hidden="false" customHeight="true" outlineLevel="0" collapsed="false">
      <c r="A29" s="39" t="s">
        <v>235</v>
      </c>
      <c r="B29" s="62" t="str">
        <f aca="false">IFERROR(COUNTIFS('01 - Job Database'!$C$3:$C$1000,"&lt;&gt;",'01 - Job Database'!$W$3:$W$1000,"&lt;&gt;Yes",'01 - Job Database'!$E$3:$E$1000,$A29,'01 - Job Database'!$X$3:$X$1000,"Yes")/$B$9,"")</f>
        <v/>
      </c>
      <c r="C29" s="62" t="str">
        <f aca="false">IFERROR(COUNTIFS('01 - Job Database'!$C$3:$C$1000,"&lt;&gt;",'01 - Job Database'!$W$3:$W$1000,"&lt;&gt;Yes",'01 - Job Database'!$E$3:$E$1000,$A29,'01 - Job Database'!$Y$3:$Y$1000,"Yes")/$B$9,"")</f>
        <v/>
      </c>
      <c r="D29" s="62" t="str">
        <f aca="false">IFERROR(COUNTIFS('01 - Job Database'!$C$3:$C$1000,"&lt;&gt;",'01 - Job Database'!$W$3:$W$1000,"&lt;&gt;Yes",'01 - Job Database'!$E$3:$E$1000,$A29,'01 - Job Database'!$Z$3:$Z$1000,"Yes")/$B$9,"")</f>
        <v/>
      </c>
      <c r="E29" s="62" t="str">
        <f aca="false">IFERROR(COUNTIFS('01 - Job Database'!$C$3:$C$1000,"&lt;&gt;",'01 - Job Database'!$W$3:$W$1000,"&lt;&gt;Yes",'01 - Job Database'!$E$3:$E$1000,$A29,'01 - Job Database'!$AA$3:$AA$1000,"Yes")/$B$9,"")</f>
        <v/>
      </c>
      <c r="F29" s="62" t="str">
        <f aca="false">IFERROR(COUNTIFS('01 - Job Database'!$C$3:$C$1000,"&lt;&gt;",'01 - Job Database'!$W$3:$W$1000,"&lt;&gt;Yes",'01 - Job Database'!$E$3:$E$1000,$A29,'01 - Job Database'!$AB$3:$AB$1000,"Yes")/$B$9,"")</f>
        <v/>
      </c>
      <c r="G29" s="62" t="str">
        <f aca="false">IFERROR(COUNTIFS('01 - Job Database'!$C$3:$C$1000,"&lt;&gt;",'01 - Job Database'!$W$3:$W$1000,"&lt;&gt;Yes",'01 - Job Database'!$E$3:$E$1000,$A29,'01 - Job Database'!$AC$3:$AC$1000,"Yes")/$B$9,"")</f>
        <v/>
      </c>
      <c r="H29" s="62" t="str">
        <f aca="false">IFERROR(COUNTIFS('01 - Job Database'!$C$3:$C$1000,"&lt;&gt;",'01 - Job Database'!$W$3:$W$1000,"&lt;&gt;Yes",'01 - Job Database'!$E$3:$E$1000,$A29,'01 - Job Database'!$AD$3:$AD$1000,"Yes")/$B$9,"")</f>
        <v/>
      </c>
      <c r="I29" s="62" t="str">
        <f aca="false">IFERROR(COUNTIFS('01 - Job Database'!$C$3:$C$1000,"&lt;&gt;",'01 - Job Database'!$W$3:$W$1000,"&lt;&gt;Yes",'01 - Job Database'!$E$3:$E$1000,$A29,'01 - Job Database'!$AE$3:$AE$1000,"Yes")/$B$9,"")</f>
        <v/>
      </c>
      <c r="J29" s="62" t="str">
        <f aca="false">IFERROR(COUNTIFS('01 - Job Database'!$C$3:$C$1000,"&lt;&gt;",'01 - Job Database'!$W$3:$W$1000,"&lt;&gt;Yes",'01 - Job Database'!$E$3:$E$1000,$A29,'01 - Job Database'!$AF$3:$AF$1000,"Yes")/$B$9,"")</f>
        <v/>
      </c>
      <c r="K29" s="62" t="str">
        <f aca="false">IFERROR(COUNTIFS('01 - Job Database'!$C$3:$C$1000,"&lt;&gt;",'01 - Job Database'!$W$3:$W$1000,"&lt;&gt;Yes",'01 - Job Database'!$E$3:$E$1000,$A29,'01 - Job Database'!$AG$3:$AG$1000,"Yes")/$B$9,"")</f>
        <v/>
      </c>
      <c r="L29" s="62" t="str">
        <f aca="false">IFERROR(COUNTIFS('01 - Job Database'!$C$3:$C$1000,"&lt;&gt;",'01 - Job Database'!$W$3:$W$1000,"&lt;&gt;Yes",'01 - Job Database'!$E$3:$E$1000,$A29,'01 - Job Database'!$AH$3:$AH$1000,"Yes")/$B$9,"")</f>
        <v/>
      </c>
      <c r="M29" s="62" t="str">
        <f aca="false">IFERROR(COUNTIFS('01 - Job Database'!$C$3:$C$1000,"&lt;&gt;",'01 - Job Database'!$W$3:$W$1000,"&lt;&gt;Yes",'01 - Job Database'!$E$3:$E$1000,$A29,'01 - Job Database'!$AI$3:$AI$1000,"Yes")/$B$9,"")</f>
        <v/>
      </c>
      <c r="N29" s="62" t="str">
        <f aca="false">IFERROR(COUNTIFS('01 - Job Database'!$C$3:$C$1000,"&lt;&gt;",'01 - Job Database'!$W$3:$W$1000,"&lt;&gt;Yes",'01 - Job Database'!$E$3:$E$1000,$A29,'01 - Job Database'!$AJ$3:$AJ$1000,"Yes")/$B$9,"")</f>
        <v/>
      </c>
      <c r="O29" s="62" t="str">
        <f aca="false">IFERROR(COUNTIFS('01 - Job Database'!$C$3:$C$1000,"&lt;&gt;",'01 - Job Database'!$W$3:$W$1000,"&lt;&gt;Yes",'01 - Job Database'!$E$3:$E$1000,$A29,'01 - Job Database'!$AK$3:$AK$1000,"Yes")/$B$9,"")</f>
        <v/>
      </c>
      <c r="P29" s="62" t="str">
        <f aca="false">IFERROR(COUNTIFS('01 - Job Database'!$C$3:$C$1000,"&lt;&gt;",'01 - Job Database'!$W$3:$W$1000,"&lt;&gt;Yes",'01 - Job Database'!$E$3:$E$1000,$A29,'01 - Job Database'!$AL$3:$AL$1000,"Yes")/$B$9,"")</f>
        <v/>
      </c>
      <c r="Q29" s="62" t="str">
        <f aca="false">IFERROR(COUNTIFS('01 - Job Database'!$C$3:$C$1000,"&lt;&gt;",'01 - Job Database'!$W$3:$W$1000,"&lt;&gt;Yes",'01 - Job Database'!$E$3:$E$1000,$A29,'01 - Job Database'!$AM$3:$AM$1000,"Yes")/$B$9,"")</f>
        <v/>
      </c>
      <c r="R29" s="62" t="str">
        <f aca="false">IFERROR(COUNTIFS('01 - Job Database'!$C$3:$C$1000,"&lt;&gt;",'01 - Job Database'!$W$3:$W$1000,"&lt;&gt;Yes",'01 - Job Database'!$E$3:$E$1000,$A29,'01 - Job Database'!$AN$3:$AN$1000,"Yes")/$B$9,"")</f>
        <v/>
      </c>
      <c r="S29" s="62" t="str">
        <f aca="false">IFERROR(COUNTIFS('01 - Job Database'!$C$3:$C$1000,"&lt;&gt;",'01 - Job Database'!$W$3:$W$1000,"&lt;&gt;Yes",'01 - Job Database'!$E$3:$E$1000,$A29,'01 - Job Database'!$AO$3:$AO$1000,"Yes")/$B$9,"")</f>
        <v/>
      </c>
      <c r="T29" s="62" t="str">
        <f aca="false">IFERROR(COUNTIFS('01 - Job Database'!$C$3:$C$1000,"&lt;&gt;",'01 - Job Database'!$W$3:$W$1000,"&lt;&gt;Yes",'01 - Job Database'!$E$3:$E$1000,$A29,'01 - Job Database'!$AP$3:$AP$1000,"Yes")/$B$9,"")</f>
        <v/>
      </c>
      <c r="U29" s="62" t="str">
        <f aca="false">IFERROR(COUNTIFS('01 - Job Database'!$C$3:$C$1000,"&lt;&gt;",'01 - Job Database'!$W$3:$W$1000,"&lt;&gt;Yes",'01 - Job Database'!$E$3:$E$1000,$A29,'01 - Job Database'!$AQ$3:$AQ$1000,"Yes")/$B$9,"")</f>
        <v/>
      </c>
      <c r="V29" s="62" t="str">
        <f aca="false">IFERROR(COUNTIFS('01 - Job Database'!$C$3:$C$1000,"&lt;&gt;",'01 - Job Database'!$W$3:$W$1000,"&lt;&gt;Yes",'01 - Job Database'!$E$3:$E$1000,$A29,'01 - Job Database'!$AR$3:$AR$1000,"Yes")/$B$9,"")</f>
        <v/>
      </c>
      <c r="W29" s="62" t="str">
        <f aca="false">IFERROR(COUNTIFS('01 - Job Database'!$C$3:$C$1000,"&lt;&gt;",'01 - Job Database'!$W$3:$W$1000,"&lt;&gt;Yes",'01 - Job Database'!$E$3:$E$1000,$A29,'01 - Job Database'!$AS$3:$AS$1000,"Yes")/$B$9,"")</f>
        <v/>
      </c>
      <c r="X29" s="62" t="str">
        <f aca="false">IFERROR(COUNTIFS('01 - Job Database'!$C$3:$C$1000,"&lt;&gt;",'01 - Job Database'!$W$3:$W$1000,"&lt;&gt;Yes",'01 - Job Database'!$E$3:$E$1000,$A29,'01 - Job Database'!$AT$3:$AT$1000,"Yes")/$B$9,"")</f>
        <v/>
      </c>
      <c r="Y29" s="62" t="str">
        <f aca="false">IFERROR(COUNTIFS('01 - Job Database'!$C$3:$C$1000,"&lt;&gt;",'01 - Job Database'!$W$3:$W$1000,"&lt;&gt;Yes",'01 - Job Database'!$E$3:$E$1000,$A29,'01 - Job Database'!$AU$3:$AU$1000,"Yes")/$B$9,"")</f>
        <v/>
      </c>
      <c r="Z29" s="62" t="str">
        <f aca="false">IFERROR(COUNTIFS('01 - Job Database'!$C$3:$C$1000,"&lt;&gt;",'01 - Job Database'!$W$3:$W$1000,"&lt;&gt;Yes",'01 - Job Database'!$E$3:$E$1000,$A29,'01 - Job Database'!$AV$3:$AV$1000,"Yes")/$B$9,"")</f>
        <v/>
      </c>
      <c r="AA29" s="62" t="str">
        <f aca="false">IFERROR(COUNTIFS('01 - Job Database'!$C$3:$C$1000,"&lt;&gt;",'01 - Job Database'!$W$3:$W$1000,"&lt;&gt;Yes",'01 - Job Database'!$E$3:$E$1000,$A29,'01 - Job Database'!$AW$3:$AW$1000,"Yes")/$B$9,"")</f>
        <v/>
      </c>
      <c r="AB29" s="62" t="str">
        <f aca="false">IFERROR(COUNTIFS('01 - Job Database'!$C$3:$C$1000,"&lt;&gt;",'01 - Job Database'!$W$3:$W$1000,"&lt;&gt;Yes",'01 - Job Database'!$E$3:$E$1000,$A29,'01 - Job Database'!$AX$3:$AX$1000,"Yes")/$B$9,"")</f>
        <v/>
      </c>
      <c r="AC29" s="62" t="str">
        <f aca="false">IFERROR(COUNTIFS('01 - Job Database'!$C$3:$C$1000,"&lt;&gt;",'01 - Job Database'!$W$3:$W$1000,"&lt;&gt;Yes",'01 - Job Database'!$E$3:$E$1000,$A29,'01 - Job Database'!$AY$3:$AY$1000,"Yes")/$B$9,"")</f>
        <v/>
      </c>
      <c r="AD29" s="62" t="str">
        <f aca="false">IFERROR(COUNTIFS('01 - Job Database'!$C$3:$C$1000,"&lt;&gt;",'01 - Job Database'!$W$3:$W$1000,"&lt;&gt;Yes",'01 - Job Database'!$E$3:$E$1000,$A29,'01 - Job Database'!$AZ$3:$AZ$1000,"Yes")/$B$9,"")</f>
        <v/>
      </c>
      <c r="AE29" s="62" t="str">
        <f aca="false">IFERROR(COUNTIFS('01 - Job Database'!$C$3:$C$1000,"&lt;&gt;",'01 - Job Database'!$W$3:$W$1000,"&lt;&gt;Yes",'01 - Job Database'!$E$3:$E$1000,$A29,'01 - Job Database'!$BA$3:$BA$1000,"Yes")/$B$9,"")</f>
        <v/>
      </c>
      <c r="AF29" s="62" t="str">
        <f aca="false">IFERROR(COUNTIFS('01 - Job Database'!$C$3:$C$1000,"&lt;&gt;",'01 - Job Database'!$W$3:$W$1000,"&lt;&gt;Yes",'01 - Job Database'!$E$3:$E$1000,$A29,'01 - Job Database'!$BB$3:$BB$1000,"Yes")/$B$9,"")</f>
        <v/>
      </c>
      <c r="AG29" s="62" t="str">
        <f aca="false">IFERROR(COUNTIFS('01 - Job Database'!$C$3:$C$1000,"&lt;&gt;",'01 - Job Database'!$W$3:$W$1000,"&lt;&gt;Yes",'01 - Job Database'!$E$3:$E$1000,$A29,'01 - Job Database'!$BC$3:$BC$1000,"Yes")/$B$9,"")</f>
        <v/>
      </c>
      <c r="AH29" s="62" t="str">
        <f aca="false">IFERROR(COUNTIFS('01 - Job Database'!$C$3:$C$1000,"&lt;&gt;",'01 - Job Database'!$W$3:$W$1000,"&lt;&gt;Yes",'01 - Job Database'!$E$3:$E$1000,$A29,'01 - Job Database'!$CM$3:$CM$1000,"Yes")/$B$9,"")</f>
        <v/>
      </c>
      <c r="AI29" s="62" t="str">
        <f aca="false">IFERROR(COUNTIFS('01 - Job Database'!$C$3:$C$1000,"&lt;&gt;",'01 - Job Database'!$W$3:$W$1000,"&lt;&gt;Yes",'01 - Job Database'!$E$3:$E$1000,$A29,'01 - Job Database'!$CN$3:$CN$1000,"Yes")/$B$9,"")</f>
        <v/>
      </c>
      <c r="AJ29" s="62" t="str">
        <f aca="false">IFERROR(COUNTIFS('01 - Job Database'!$C$3:$C$1000,"&lt;&gt;",'01 - Job Database'!$W$3:$W$1000,"&lt;&gt;Yes",'01 - Job Database'!$E$3:$E$1000,$A29,'01 - Job Database'!$CO$3:$CO$1000,"Yes")/$B$9,"")</f>
        <v/>
      </c>
      <c r="AK29" s="62" t="str">
        <f aca="false">IFERROR(COUNTIFS('01 - Job Database'!$C$3:$C$1000,"&lt;&gt;",'01 - Job Database'!$W$3:$W$1000,"&lt;&gt;Yes",'01 - Job Database'!$E$3:$E$1000,$A29,'01 - Job Database'!$CP$3:$CP$1000,"Yes")/$B$9,"")</f>
        <v/>
      </c>
      <c r="AL29" s="62" t="str">
        <f aca="false">IFERROR(COUNTIFS('01 - Job Database'!$C$3:$C$1000,"&lt;&gt;",'01 - Job Database'!$W$3:$W$1000,"&lt;&gt;Yes",'01 - Job Database'!$E$3:$E$1000,$A29,'01 - Job Database'!$CQ$3:$CQ$1000,"Yes")/$B$9,"")</f>
        <v/>
      </c>
      <c r="AM29" s="62" t="str">
        <f aca="false">IFERROR(COUNTIFS('01 - Job Database'!$C$3:$C$1000,"&lt;&gt;",'01 - Job Database'!$W$3:$W$1000,"&lt;&gt;Yes",'01 - Job Database'!$E$3:$E$1000,$A29,'01 - Job Database'!$CR$3:$CR$1000,"Yes")/$B$9,"")</f>
        <v/>
      </c>
      <c r="AN29" s="62" t="str">
        <f aca="false">IFERROR(COUNTIFS('01 - Job Database'!$C$3:$C$1000,"&lt;&gt;",'01 - Job Database'!$W$3:$W$1000,"&lt;&gt;Yes",'01 - Job Database'!$E$3:$E$1000,$A29,'01 - Job Database'!$CS$3:$CS$1000,"Yes")/$B$9,"")</f>
        <v/>
      </c>
      <c r="AO29" s="62" t="str">
        <f aca="false">IFERROR(COUNTIFS('01 - Job Database'!$C$3:$C$1000,"&lt;&gt;",'01 - Job Database'!$W$3:$W$1000,"&lt;&gt;Yes",'01 - Job Database'!$E$3:$E$1000,$A29,'01 - Job Database'!$CT$3:$CT$1000,"Yes")/$B$9,"")</f>
        <v/>
      </c>
      <c r="AP29" s="62" t="str">
        <f aca="false">IFERROR(COUNTIFS('01 - Job Database'!$C$3:$C$1000,"&lt;&gt;",'01 - Job Database'!$W$3:$W$1000,"&lt;&gt;Yes",'01 - Job Database'!$E$3:$E$1000,$A29,'01 - Job Database'!$CU$3:$CU$1000,"Yes")/$B$9,"")</f>
        <v/>
      </c>
      <c r="AQ29" s="62" t="str">
        <f aca="false">IFERROR(COUNTIFS('01 - Job Database'!$C$3:$C$1000,"&lt;&gt;",'01 - Job Database'!$W$3:$W$1000,"&lt;&gt;Yes",'01 - Job Database'!$E$3:$E$1000,$A29,'01 - Job Database'!$CV$3:$CV$1000,"Yes")/$B$9,"")</f>
        <v/>
      </c>
      <c r="AR29" s="62" t="str">
        <f aca="false">IFERROR(COUNTIFS('01 - Job Database'!$C$3:$C$1000,"&lt;&gt;",'01 - Job Database'!$W$3:$W$1000,"&lt;&gt;Yes",'01 - Job Database'!$E$3:$E$1000,$A29,'01 - Job Database'!$CW$3:$CW$1000,"Yes")/$B$9,"")</f>
        <v/>
      </c>
    </row>
    <row r="30" customFormat="false" ht="15" hidden="false" customHeight="true" outlineLevel="0" collapsed="false">
      <c r="A30" s="39" t="s">
        <v>236</v>
      </c>
      <c r="B30" s="62" t="str">
        <f aca="false">IFERROR(COUNTIFS('01 - Job Database'!$C$3:$C$1000,"&lt;&gt;",'01 - Job Database'!$W$3:$W$1000,"&lt;&gt;Yes",'01 - Job Database'!$E$3:$E$1000,$A30,'01 - Job Database'!$X$3:$X$1000,"Yes")/$B$10,"")</f>
        <v/>
      </c>
      <c r="C30" s="62" t="str">
        <f aca="false">IFERROR(COUNTIFS('01 - Job Database'!$C$3:$C$1000,"&lt;&gt;",'01 - Job Database'!$W$3:$W$1000,"&lt;&gt;Yes",'01 - Job Database'!$E$3:$E$1000,$A30,'01 - Job Database'!$Y$3:$Y$1000,"Yes")/$B$10,"")</f>
        <v/>
      </c>
      <c r="D30" s="62" t="str">
        <f aca="false">IFERROR(COUNTIFS('01 - Job Database'!$C$3:$C$1000,"&lt;&gt;",'01 - Job Database'!$W$3:$W$1000,"&lt;&gt;Yes",'01 - Job Database'!$E$3:$E$1000,$A30,'01 - Job Database'!$Z$3:$Z$1000,"Yes")/$B$10,"")</f>
        <v/>
      </c>
      <c r="E30" s="62" t="str">
        <f aca="false">IFERROR(COUNTIFS('01 - Job Database'!$C$3:$C$1000,"&lt;&gt;",'01 - Job Database'!$W$3:$W$1000,"&lt;&gt;Yes",'01 - Job Database'!$E$3:$E$1000,$A30,'01 - Job Database'!$AA$3:$AA$1000,"Yes")/$B$10,"")</f>
        <v/>
      </c>
      <c r="F30" s="62" t="str">
        <f aca="false">IFERROR(COUNTIFS('01 - Job Database'!$C$3:$C$1000,"&lt;&gt;",'01 - Job Database'!$W$3:$W$1000,"&lt;&gt;Yes",'01 - Job Database'!$E$3:$E$1000,$A30,'01 - Job Database'!$AB$3:$AB$1000,"Yes")/$B$10,"")</f>
        <v/>
      </c>
      <c r="G30" s="62" t="str">
        <f aca="false">IFERROR(COUNTIFS('01 - Job Database'!$C$3:$C$1000,"&lt;&gt;",'01 - Job Database'!$W$3:$W$1000,"&lt;&gt;Yes",'01 - Job Database'!$E$3:$E$1000,$A30,'01 - Job Database'!$AC$3:$AC$1000,"Yes")/$B$10,"")</f>
        <v/>
      </c>
      <c r="H30" s="62" t="str">
        <f aca="false">IFERROR(COUNTIFS('01 - Job Database'!$C$3:$C$1000,"&lt;&gt;",'01 - Job Database'!$W$3:$W$1000,"&lt;&gt;Yes",'01 - Job Database'!$E$3:$E$1000,$A30,'01 - Job Database'!$AD$3:$AD$1000,"Yes")/$B$10,"")</f>
        <v/>
      </c>
      <c r="I30" s="62" t="str">
        <f aca="false">IFERROR(COUNTIFS('01 - Job Database'!$C$3:$C$1000,"&lt;&gt;",'01 - Job Database'!$W$3:$W$1000,"&lt;&gt;Yes",'01 - Job Database'!$E$3:$E$1000,$A30,'01 - Job Database'!$AE$3:$AE$1000,"Yes")/$B$10,"")</f>
        <v/>
      </c>
      <c r="J30" s="62" t="str">
        <f aca="false">IFERROR(COUNTIFS('01 - Job Database'!$C$3:$C$1000,"&lt;&gt;",'01 - Job Database'!$W$3:$W$1000,"&lt;&gt;Yes",'01 - Job Database'!$E$3:$E$1000,$A30,'01 - Job Database'!$AF$3:$AF$1000,"Yes")/$B$10,"")</f>
        <v/>
      </c>
      <c r="K30" s="62" t="str">
        <f aca="false">IFERROR(COUNTIFS('01 - Job Database'!$C$3:$C$1000,"&lt;&gt;",'01 - Job Database'!$W$3:$W$1000,"&lt;&gt;Yes",'01 - Job Database'!$E$3:$E$1000,$A30,'01 - Job Database'!$AG$3:$AG$1000,"Yes")/$B$10,"")</f>
        <v/>
      </c>
      <c r="L30" s="62" t="str">
        <f aca="false">IFERROR(COUNTIFS('01 - Job Database'!$C$3:$C$1000,"&lt;&gt;",'01 - Job Database'!$W$3:$W$1000,"&lt;&gt;Yes",'01 - Job Database'!$E$3:$E$1000,$A30,'01 - Job Database'!$AH$3:$AH$1000,"Yes")/$B$10,"")</f>
        <v/>
      </c>
      <c r="M30" s="62" t="str">
        <f aca="false">IFERROR(COUNTIFS('01 - Job Database'!$C$3:$C$1000,"&lt;&gt;",'01 - Job Database'!$W$3:$W$1000,"&lt;&gt;Yes",'01 - Job Database'!$E$3:$E$1000,$A30,'01 - Job Database'!$AI$3:$AI$1000,"Yes")/$B$10,"")</f>
        <v/>
      </c>
      <c r="N30" s="62" t="str">
        <f aca="false">IFERROR(COUNTIFS('01 - Job Database'!$C$3:$C$1000,"&lt;&gt;",'01 - Job Database'!$W$3:$W$1000,"&lt;&gt;Yes",'01 - Job Database'!$E$3:$E$1000,$A30,'01 - Job Database'!$AJ$3:$AJ$1000,"Yes")/$B$10,"")</f>
        <v/>
      </c>
      <c r="O30" s="62" t="str">
        <f aca="false">IFERROR(COUNTIFS('01 - Job Database'!$C$3:$C$1000,"&lt;&gt;",'01 - Job Database'!$W$3:$W$1000,"&lt;&gt;Yes",'01 - Job Database'!$E$3:$E$1000,$A30,'01 - Job Database'!$AK$3:$AK$1000,"Yes")/$B$10,"")</f>
        <v/>
      </c>
      <c r="P30" s="62" t="str">
        <f aca="false">IFERROR(COUNTIFS('01 - Job Database'!$C$3:$C$1000,"&lt;&gt;",'01 - Job Database'!$W$3:$W$1000,"&lt;&gt;Yes",'01 - Job Database'!$E$3:$E$1000,$A30,'01 - Job Database'!$AL$3:$AL$1000,"Yes")/$B$10,"")</f>
        <v/>
      </c>
      <c r="Q30" s="62" t="str">
        <f aca="false">IFERROR(COUNTIFS('01 - Job Database'!$C$3:$C$1000,"&lt;&gt;",'01 - Job Database'!$W$3:$W$1000,"&lt;&gt;Yes",'01 - Job Database'!$E$3:$E$1000,$A30,'01 - Job Database'!$AM$3:$AM$1000,"Yes")/$B$10,"")</f>
        <v/>
      </c>
      <c r="R30" s="62" t="str">
        <f aca="false">IFERROR(COUNTIFS('01 - Job Database'!$C$3:$C$1000,"&lt;&gt;",'01 - Job Database'!$W$3:$W$1000,"&lt;&gt;Yes",'01 - Job Database'!$E$3:$E$1000,$A30,'01 - Job Database'!$AN$3:$AN$1000,"Yes")/$B$10,"")</f>
        <v/>
      </c>
      <c r="S30" s="62" t="str">
        <f aca="false">IFERROR(COUNTIFS('01 - Job Database'!$C$3:$C$1000,"&lt;&gt;",'01 - Job Database'!$W$3:$W$1000,"&lt;&gt;Yes",'01 - Job Database'!$E$3:$E$1000,$A30,'01 - Job Database'!$AO$3:$AO$1000,"Yes")/$B$10,"")</f>
        <v/>
      </c>
      <c r="T30" s="62" t="str">
        <f aca="false">IFERROR(COUNTIFS('01 - Job Database'!$C$3:$C$1000,"&lt;&gt;",'01 - Job Database'!$W$3:$W$1000,"&lt;&gt;Yes",'01 - Job Database'!$E$3:$E$1000,$A30,'01 - Job Database'!$AP$3:$AP$1000,"Yes")/$B$10,"")</f>
        <v/>
      </c>
      <c r="U30" s="62" t="str">
        <f aca="false">IFERROR(COUNTIFS('01 - Job Database'!$C$3:$C$1000,"&lt;&gt;",'01 - Job Database'!$W$3:$W$1000,"&lt;&gt;Yes",'01 - Job Database'!$E$3:$E$1000,$A30,'01 - Job Database'!$AQ$3:$AQ$1000,"Yes")/$B$10,"")</f>
        <v/>
      </c>
      <c r="V30" s="62" t="str">
        <f aca="false">IFERROR(COUNTIFS('01 - Job Database'!$C$3:$C$1000,"&lt;&gt;",'01 - Job Database'!$W$3:$W$1000,"&lt;&gt;Yes",'01 - Job Database'!$E$3:$E$1000,$A30,'01 - Job Database'!$AR$3:$AR$1000,"Yes")/$B$10,"")</f>
        <v/>
      </c>
      <c r="W30" s="62" t="str">
        <f aca="false">IFERROR(COUNTIFS('01 - Job Database'!$C$3:$C$1000,"&lt;&gt;",'01 - Job Database'!$W$3:$W$1000,"&lt;&gt;Yes",'01 - Job Database'!$E$3:$E$1000,$A30,'01 - Job Database'!$AS$3:$AS$1000,"Yes")/$B$10,"")</f>
        <v/>
      </c>
      <c r="X30" s="62" t="str">
        <f aca="false">IFERROR(COUNTIFS('01 - Job Database'!$C$3:$C$1000,"&lt;&gt;",'01 - Job Database'!$W$3:$W$1000,"&lt;&gt;Yes",'01 - Job Database'!$E$3:$E$1000,$A30,'01 - Job Database'!$AT$3:$AT$1000,"Yes")/$B$10,"")</f>
        <v/>
      </c>
      <c r="Y30" s="62" t="str">
        <f aca="false">IFERROR(COUNTIFS('01 - Job Database'!$C$3:$C$1000,"&lt;&gt;",'01 - Job Database'!$W$3:$W$1000,"&lt;&gt;Yes",'01 - Job Database'!$E$3:$E$1000,$A30,'01 - Job Database'!$AU$3:$AU$1000,"Yes")/$B$10,"")</f>
        <v/>
      </c>
      <c r="Z30" s="62" t="str">
        <f aca="false">IFERROR(COUNTIFS('01 - Job Database'!$C$3:$C$1000,"&lt;&gt;",'01 - Job Database'!$W$3:$W$1000,"&lt;&gt;Yes",'01 - Job Database'!$E$3:$E$1000,$A30,'01 - Job Database'!$AV$3:$AV$1000,"Yes")/$B$10,"")</f>
        <v/>
      </c>
      <c r="AA30" s="62" t="str">
        <f aca="false">IFERROR(COUNTIFS('01 - Job Database'!$C$3:$C$1000,"&lt;&gt;",'01 - Job Database'!$W$3:$W$1000,"&lt;&gt;Yes",'01 - Job Database'!$E$3:$E$1000,$A30,'01 - Job Database'!$AW$3:$AW$1000,"Yes")/$B$10,"")</f>
        <v/>
      </c>
      <c r="AB30" s="62" t="str">
        <f aca="false">IFERROR(COUNTIFS('01 - Job Database'!$C$3:$C$1000,"&lt;&gt;",'01 - Job Database'!$W$3:$W$1000,"&lt;&gt;Yes",'01 - Job Database'!$E$3:$E$1000,$A30,'01 - Job Database'!$AX$3:$AX$1000,"Yes")/$B$10,"")</f>
        <v/>
      </c>
      <c r="AC30" s="62" t="str">
        <f aca="false">IFERROR(COUNTIFS('01 - Job Database'!$C$3:$C$1000,"&lt;&gt;",'01 - Job Database'!$W$3:$W$1000,"&lt;&gt;Yes",'01 - Job Database'!$E$3:$E$1000,$A30,'01 - Job Database'!$AY$3:$AY$1000,"Yes")/$B$10,"")</f>
        <v/>
      </c>
      <c r="AD30" s="62" t="str">
        <f aca="false">IFERROR(COUNTIFS('01 - Job Database'!$C$3:$C$1000,"&lt;&gt;",'01 - Job Database'!$W$3:$W$1000,"&lt;&gt;Yes",'01 - Job Database'!$E$3:$E$1000,$A30,'01 - Job Database'!$AZ$3:$AZ$1000,"Yes")/$B$10,"")</f>
        <v/>
      </c>
      <c r="AE30" s="62" t="str">
        <f aca="false">IFERROR(COUNTIFS('01 - Job Database'!$C$3:$C$1000,"&lt;&gt;",'01 - Job Database'!$W$3:$W$1000,"&lt;&gt;Yes",'01 - Job Database'!$E$3:$E$1000,$A30,'01 - Job Database'!$BA$3:$BA$1000,"Yes")/$B$10,"")</f>
        <v/>
      </c>
      <c r="AF30" s="62" t="str">
        <f aca="false">IFERROR(COUNTIFS('01 - Job Database'!$C$3:$C$1000,"&lt;&gt;",'01 - Job Database'!$W$3:$W$1000,"&lt;&gt;Yes",'01 - Job Database'!$E$3:$E$1000,$A30,'01 - Job Database'!$BB$3:$BB$1000,"Yes")/$B$10,"")</f>
        <v/>
      </c>
      <c r="AG30" s="62" t="str">
        <f aca="false">IFERROR(COUNTIFS('01 - Job Database'!$C$3:$C$1000,"&lt;&gt;",'01 - Job Database'!$W$3:$W$1000,"&lt;&gt;Yes",'01 - Job Database'!$E$3:$E$1000,$A30,'01 - Job Database'!$BC$3:$BC$1000,"Yes")/$B$10,"")</f>
        <v/>
      </c>
      <c r="AH30" s="62" t="str">
        <f aca="false">IFERROR(COUNTIFS('01 - Job Database'!$C$3:$C$1000,"&lt;&gt;",'01 - Job Database'!$W$3:$W$1000,"&lt;&gt;Yes",'01 - Job Database'!$E$3:$E$1000,$A30,'01 - Job Database'!$CM$3:$CM$1000,"Yes")/$B$10,"")</f>
        <v/>
      </c>
      <c r="AI30" s="62" t="str">
        <f aca="false">IFERROR(COUNTIFS('01 - Job Database'!$C$3:$C$1000,"&lt;&gt;",'01 - Job Database'!$W$3:$W$1000,"&lt;&gt;Yes",'01 - Job Database'!$E$3:$E$1000,$A30,'01 - Job Database'!$CN$3:$CN$1000,"Yes")/$B$10,"")</f>
        <v/>
      </c>
      <c r="AJ30" s="62" t="str">
        <f aca="false">IFERROR(COUNTIFS('01 - Job Database'!$C$3:$C$1000,"&lt;&gt;",'01 - Job Database'!$W$3:$W$1000,"&lt;&gt;Yes",'01 - Job Database'!$E$3:$E$1000,$A30,'01 - Job Database'!$CO$3:$CO$1000,"Yes")/$B$10,"")</f>
        <v/>
      </c>
      <c r="AK30" s="62" t="str">
        <f aca="false">IFERROR(COUNTIFS('01 - Job Database'!$C$3:$C$1000,"&lt;&gt;",'01 - Job Database'!$W$3:$W$1000,"&lt;&gt;Yes",'01 - Job Database'!$E$3:$E$1000,$A30,'01 - Job Database'!$CP$3:$CP$1000,"Yes")/$B$10,"")</f>
        <v/>
      </c>
      <c r="AL30" s="62" t="str">
        <f aca="false">IFERROR(COUNTIFS('01 - Job Database'!$C$3:$C$1000,"&lt;&gt;",'01 - Job Database'!$W$3:$W$1000,"&lt;&gt;Yes",'01 - Job Database'!$E$3:$E$1000,$A30,'01 - Job Database'!$CQ$3:$CQ$1000,"Yes")/$B$10,"")</f>
        <v/>
      </c>
      <c r="AM30" s="62" t="str">
        <f aca="false">IFERROR(COUNTIFS('01 - Job Database'!$C$3:$C$1000,"&lt;&gt;",'01 - Job Database'!$W$3:$W$1000,"&lt;&gt;Yes",'01 - Job Database'!$E$3:$E$1000,$A30,'01 - Job Database'!$CR$3:$CR$1000,"Yes")/$B$10,"")</f>
        <v/>
      </c>
      <c r="AN30" s="62" t="str">
        <f aca="false">IFERROR(COUNTIFS('01 - Job Database'!$C$3:$C$1000,"&lt;&gt;",'01 - Job Database'!$W$3:$W$1000,"&lt;&gt;Yes",'01 - Job Database'!$E$3:$E$1000,$A30,'01 - Job Database'!$CS$3:$CS$1000,"Yes")/$B$10,"")</f>
        <v/>
      </c>
      <c r="AO30" s="62" t="str">
        <f aca="false">IFERROR(COUNTIFS('01 - Job Database'!$C$3:$C$1000,"&lt;&gt;",'01 - Job Database'!$W$3:$W$1000,"&lt;&gt;Yes",'01 - Job Database'!$E$3:$E$1000,$A30,'01 - Job Database'!$CT$3:$CT$1000,"Yes")/$B$10,"")</f>
        <v/>
      </c>
      <c r="AP30" s="62" t="str">
        <f aca="false">IFERROR(COUNTIFS('01 - Job Database'!$C$3:$C$1000,"&lt;&gt;",'01 - Job Database'!$W$3:$W$1000,"&lt;&gt;Yes",'01 - Job Database'!$E$3:$E$1000,$A30,'01 - Job Database'!$CU$3:$CU$1000,"Yes")/$B$10,"")</f>
        <v/>
      </c>
      <c r="AQ30" s="62" t="str">
        <f aca="false">IFERROR(COUNTIFS('01 - Job Database'!$C$3:$C$1000,"&lt;&gt;",'01 - Job Database'!$W$3:$W$1000,"&lt;&gt;Yes",'01 - Job Database'!$E$3:$E$1000,$A30,'01 - Job Database'!$CV$3:$CV$1000,"Yes")/$B$10,"")</f>
        <v/>
      </c>
      <c r="AR30" s="62" t="str">
        <f aca="false">IFERROR(COUNTIFS('01 - Job Database'!$C$3:$C$1000,"&lt;&gt;",'01 - Job Database'!$W$3:$W$1000,"&lt;&gt;Yes",'01 - Job Database'!$E$3:$E$1000,$A30,'01 - Job Database'!$CW$3:$CW$1000,"Yes")/$B$10,"")</f>
        <v/>
      </c>
    </row>
    <row r="31" customFormat="false" ht="15" hidden="false" customHeight="true" outlineLevel="0" collapsed="false">
      <c r="A31" s="39" t="s">
        <v>237</v>
      </c>
      <c r="B31" s="62" t="str">
        <f aca="false">IFERROR(COUNTIFS('01 - Job Database'!$C$3:$C$1000,"&lt;&gt;",'01 - Job Database'!$W$3:$W$1000,"&lt;&gt;Yes",'01 - Job Database'!$E$3:$E$1000,$A31,'01 - Job Database'!$X$3:$X$1000,"Yes")/$B$11,"")</f>
        <v/>
      </c>
      <c r="C31" s="62" t="str">
        <f aca="false">IFERROR(COUNTIFS('01 - Job Database'!$C$3:$C$1000,"&lt;&gt;",'01 - Job Database'!$W$3:$W$1000,"&lt;&gt;Yes",'01 - Job Database'!$E$3:$E$1000,$A31,'01 - Job Database'!$Y$3:$Y$1000,"Yes")/$B$11,"")</f>
        <v/>
      </c>
      <c r="D31" s="62" t="str">
        <f aca="false">IFERROR(COUNTIFS('01 - Job Database'!$C$3:$C$1000,"&lt;&gt;",'01 - Job Database'!$W$3:$W$1000,"&lt;&gt;Yes",'01 - Job Database'!$E$3:$E$1000,$A31,'01 - Job Database'!$Z$3:$Z$1000,"Yes")/$B$11,"")</f>
        <v/>
      </c>
      <c r="E31" s="62" t="str">
        <f aca="false">IFERROR(COUNTIFS('01 - Job Database'!$C$3:$C$1000,"&lt;&gt;",'01 - Job Database'!$W$3:$W$1000,"&lt;&gt;Yes",'01 - Job Database'!$E$3:$E$1000,$A31,'01 - Job Database'!$AA$3:$AA$1000,"Yes")/$B$11,"")</f>
        <v/>
      </c>
      <c r="F31" s="62" t="str">
        <f aca="false">IFERROR(COUNTIFS('01 - Job Database'!$C$3:$C$1000,"&lt;&gt;",'01 - Job Database'!$W$3:$W$1000,"&lt;&gt;Yes",'01 - Job Database'!$E$3:$E$1000,$A31,'01 - Job Database'!$AB$3:$AB$1000,"Yes")/$B$11,"")</f>
        <v/>
      </c>
      <c r="G31" s="62" t="str">
        <f aca="false">IFERROR(COUNTIFS('01 - Job Database'!$C$3:$C$1000,"&lt;&gt;",'01 - Job Database'!$W$3:$W$1000,"&lt;&gt;Yes",'01 - Job Database'!$E$3:$E$1000,$A31,'01 - Job Database'!$AC$3:$AC$1000,"Yes")/$B$11,"")</f>
        <v/>
      </c>
      <c r="H31" s="62" t="str">
        <f aca="false">IFERROR(COUNTIFS('01 - Job Database'!$C$3:$C$1000,"&lt;&gt;",'01 - Job Database'!$W$3:$W$1000,"&lt;&gt;Yes",'01 - Job Database'!$E$3:$E$1000,$A31,'01 - Job Database'!$AD$3:$AD$1000,"Yes")/$B$11,"")</f>
        <v/>
      </c>
      <c r="I31" s="62" t="str">
        <f aca="false">IFERROR(COUNTIFS('01 - Job Database'!$C$3:$C$1000,"&lt;&gt;",'01 - Job Database'!$W$3:$W$1000,"&lt;&gt;Yes",'01 - Job Database'!$E$3:$E$1000,$A31,'01 - Job Database'!$AE$3:$AE$1000,"Yes")/$B$11,"")</f>
        <v/>
      </c>
      <c r="J31" s="62" t="str">
        <f aca="false">IFERROR(COUNTIFS('01 - Job Database'!$C$3:$C$1000,"&lt;&gt;",'01 - Job Database'!$W$3:$W$1000,"&lt;&gt;Yes",'01 - Job Database'!$E$3:$E$1000,$A31,'01 - Job Database'!$AF$3:$AF$1000,"Yes")/$B$11,"")</f>
        <v/>
      </c>
      <c r="K31" s="62" t="str">
        <f aca="false">IFERROR(COUNTIFS('01 - Job Database'!$C$3:$C$1000,"&lt;&gt;",'01 - Job Database'!$W$3:$W$1000,"&lt;&gt;Yes",'01 - Job Database'!$E$3:$E$1000,$A31,'01 - Job Database'!$AG$3:$AG$1000,"Yes")/$B$11,"")</f>
        <v/>
      </c>
      <c r="L31" s="62" t="str">
        <f aca="false">IFERROR(COUNTIFS('01 - Job Database'!$C$3:$C$1000,"&lt;&gt;",'01 - Job Database'!$W$3:$W$1000,"&lt;&gt;Yes",'01 - Job Database'!$E$3:$E$1000,$A31,'01 - Job Database'!$AH$3:$AH$1000,"Yes")/$B$11,"")</f>
        <v/>
      </c>
      <c r="M31" s="62" t="str">
        <f aca="false">IFERROR(COUNTIFS('01 - Job Database'!$C$3:$C$1000,"&lt;&gt;",'01 - Job Database'!$W$3:$W$1000,"&lt;&gt;Yes",'01 - Job Database'!$E$3:$E$1000,$A31,'01 - Job Database'!$AI$3:$AI$1000,"Yes")/$B$11,"")</f>
        <v/>
      </c>
      <c r="N31" s="62" t="str">
        <f aca="false">IFERROR(COUNTIFS('01 - Job Database'!$C$3:$C$1000,"&lt;&gt;",'01 - Job Database'!$W$3:$W$1000,"&lt;&gt;Yes",'01 - Job Database'!$E$3:$E$1000,$A31,'01 - Job Database'!$AJ$3:$AJ$1000,"Yes")/$B$11,"")</f>
        <v/>
      </c>
      <c r="O31" s="62" t="str">
        <f aca="false">IFERROR(COUNTIFS('01 - Job Database'!$C$3:$C$1000,"&lt;&gt;",'01 - Job Database'!$W$3:$W$1000,"&lt;&gt;Yes",'01 - Job Database'!$E$3:$E$1000,$A31,'01 - Job Database'!$AK$3:$AK$1000,"Yes")/$B$11,"")</f>
        <v/>
      </c>
      <c r="P31" s="62" t="str">
        <f aca="false">IFERROR(COUNTIFS('01 - Job Database'!$C$3:$C$1000,"&lt;&gt;",'01 - Job Database'!$W$3:$W$1000,"&lt;&gt;Yes",'01 - Job Database'!$E$3:$E$1000,$A31,'01 - Job Database'!$AL$3:$AL$1000,"Yes")/$B$11,"")</f>
        <v/>
      </c>
      <c r="Q31" s="62" t="str">
        <f aca="false">IFERROR(COUNTIFS('01 - Job Database'!$C$3:$C$1000,"&lt;&gt;",'01 - Job Database'!$W$3:$W$1000,"&lt;&gt;Yes",'01 - Job Database'!$E$3:$E$1000,$A31,'01 - Job Database'!$AM$3:$AM$1000,"Yes")/$B$11,"")</f>
        <v/>
      </c>
      <c r="R31" s="62" t="str">
        <f aca="false">IFERROR(COUNTIFS('01 - Job Database'!$C$3:$C$1000,"&lt;&gt;",'01 - Job Database'!$W$3:$W$1000,"&lt;&gt;Yes",'01 - Job Database'!$E$3:$E$1000,$A31,'01 - Job Database'!$AN$3:$AN$1000,"Yes")/$B$11,"")</f>
        <v/>
      </c>
      <c r="S31" s="62" t="str">
        <f aca="false">IFERROR(COUNTIFS('01 - Job Database'!$C$3:$C$1000,"&lt;&gt;",'01 - Job Database'!$W$3:$W$1000,"&lt;&gt;Yes",'01 - Job Database'!$E$3:$E$1000,$A31,'01 - Job Database'!$AO$3:$AO$1000,"Yes")/$B$11,"")</f>
        <v/>
      </c>
      <c r="T31" s="62" t="str">
        <f aca="false">IFERROR(COUNTIFS('01 - Job Database'!$C$3:$C$1000,"&lt;&gt;",'01 - Job Database'!$W$3:$W$1000,"&lt;&gt;Yes",'01 - Job Database'!$E$3:$E$1000,$A31,'01 - Job Database'!$AP$3:$AP$1000,"Yes")/$B$11,"")</f>
        <v/>
      </c>
      <c r="U31" s="62" t="str">
        <f aca="false">IFERROR(COUNTIFS('01 - Job Database'!$C$3:$C$1000,"&lt;&gt;",'01 - Job Database'!$W$3:$W$1000,"&lt;&gt;Yes",'01 - Job Database'!$E$3:$E$1000,$A31,'01 - Job Database'!$AQ$3:$AQ$1000,"Yes")/$B$11,"")</f>
        <v/>
      </c>
      <c r="V31" s="62" t="str">
        <f aca="false">IFERROR(COUNTIFS('01 - Job Database'!$C$3:$C$1000,"&lt;&gt;",'01 - Job Database'!$W$3:$W$1000,"&lt;&gt;Yes",'01 - Job Database'!$E$3:$E$1000,$A31,'01 - Job Database'!$AR$3:$AR$1000,"Yes")/$B$11,"")</f>
        <v/>
      </c>
      <c r="W31" s="62" t="str">
        <f aca="false">IFERROR(COUNTIFS('01 - Job Database'!$C$3:$C$1000,"&lt;&gt;",'01 - Job Database'!$W$3:$W$1000,"&lt;&gt;Yes",'01 - Job Database'!$E$3:$E$1000,$A31,'01 - Job Database'!$AS$3:$AS$1000,"Yes")/$B$11,"")</f>
        <v/>
      </c>
      <c r="X31" s="62" t="str">
        <f aca="false">IFERROR(COUNTIFS('01 - Job Database'!$C$3:$C$1000,"&lt;&gt;",'01 - Job Database'!$W$3:$W$1000,"&lt;&gt;Yes",'01 - Job Database'!$E$3:$E$1000,$A31,'01 - Job Database'!$AT$3:$AT$1000,"Yes")/$B$11,"")</f>
        <v/>
      </c>
      <c r="Y31" s="62" t="str">
        <f aca="false">IFERROR(COUNTIFS('01 - Job Database'!$C$3:$C$1000,"&lt;&gt;",'01 - Job Database'!$W$3:$W$1000,"&lt;&gt;Yes",'01 - Job Database'!$E$3:$E$1000,$A31,'01 - Job Database'!$AU$3:$AU$1000,"Yes")/$B$11,"")</f>
        <v/>
      </c>
      <c r="Z31" s="62" t="str">
        <f aca="false">IFERROR(COUNTIFS('01 - Job Database'!$C$3:$C$1000,"&lt;&gt;",'01 - Job Database'!$W$3:$W$1000,"&lt;&gt;Yes",'01 - Job Database'!$E$3:$E$1000,$A31,'01 - Job Database'!$AV$3:$AV$1000,"Yes")/$B$11,"")</f>
        <v/>
      </c>
      <c r="AA31" s="62" t="str">
        <f aca="false">IFERROR(COUNTIFS('01 - Job Database'!$C$3:$C$1000,"&lt;&gt;",'01 - Job Database'!$W$3:$W$1000,"&lt;&gt;Yes",'01 - Job Database'!$E$3:$E$1000,$A31,'01 - Job Database'!$AW$3:$AW$1000,"Yes")/$B$11,"")</f>
        <v/>
      </c>
      <c r="AB31" s="62" t="str">
        <f aca="false">IFERROR(COUNTIFS('01 - Job Database'!$C$3:$C$1000,"&lt;&gt;",'01 - Job Database'!$W$3:$W$1000,"&lt;&gt;Yes",'01 - Job Database'!$E$3:$E$1000,$A31,'01 - Job Database'!$AX$3:$AX$1000,"Yes")/$B$11,"")</f>
        <v/>
      </c>
      <c r="AC31" s="62" t="str">
        <f aca="false">IFERROR(COUNTIFS('01 - Job Database'!$C$3:$C$1000,"&lt;&gt;",'01 - Job Database'!$W$3:$W$1000,"&lt;&gt;Yes",'01 - Job Database'!$E$3:$E$1000,$A31,'01 - Job Database'!$AY$3:$AY$1000,"Yes")/$B$11,"")</f>
        <v/>
      </c>
      <c r="AD31" s="62" t="str">
        <f aca="false">IFERROR(COUNTIFS('01 - Job Database'!$C$3:$C$1000,"&lt;&gt;",'01 - Job Database'!$W$3:$W$1000,"&lt;&gt;Yes",'01 - Job Database'!$E$3:$E$1000,$A31,'01 - Job Database'!$AZ$3:$AZ$1000,"Yes")/$B$11,"")</f>
        <v/>
      </c>
      <c r="AE31" s="62" t="str">
        <f aca="false">IFERROR(COUNTIFS('01 - Job Database'!$C$3:$C$1000,"&lt;&gt;",'01 - Job Database'!$W$3:$W$1000,"&lt;&gt;Yes",'01 - Job Database'!$E$3:$E$1000,$A31,'01 - Job Database'!$BA$3:$BA$1000,"Yes")/$B$11,"")</f>
        <v/>
      </c>
      <c r="AF31" s="62" t="str">
        <f aca="false">IFERROR(COUNTIFS('01 - Job Database'!$C$3:$C$1000,"&lt;&gt;",'01 - Job Database'!$W$3:$W$1000,"&lt;&gt;Yes",'01 - Job Database'!$E$3:$E$1000,$A31,'01 - Job Database'!$BB$3:$BB$1000,"Yes")/$B$11,"")</f>
        <v/>
      </c>
      <c r="AG31" s="62" t="str">
        <f aca="false">IFERROR(COUNTIFS('01 - Job Database'!$C$3:$C$1000,"&lt;&gt;",'01 - Job Database'!$W$3:$W$1000,"&lt;&gt;Yes",'01 - Job Database'!$E$3:$E$1000,$A31,'01 - Job Database'!$BC$3:$BC$1000,"Yes")/$B$11,"")</f>
        <v/>
      </c>
      <c r="AH31" s="62" t="str">
        <f aca="false">IFERROR(COUNTIFS('01 - Job Database'!$C$3:$C$1000,"&lt;&gt;",'01 - Job Database'!$W$3:$W$1000,"&lt;&gt;Yes",'01 - Job Database'!$E$3:$E$1000,$A31,'01 - Job Database'!$CM$3:$CM$1000,"Yes")/$B$11,"")</f>
        <v/>
      </c>
      <c r="AI31" s="62" t="str">
        <f aca="false">IFERROR(COUNTIFS('01 - Job Database'!$C$3:$C$1000,"&lt;&gt;",'01 - Job Database'!$W$3:$W$1000,"&lt;&gt;Yes",'01 - Job Database'!$E$3:$E$1000,$A31,'01 - Job Database'!$CN$3:$CN$1000,"Yes")/$B$11,"")</f>
        <v/>
      </c>
      <c r="AJ31" s="62" t="str">
        <f aca="false">IFERROR(COUNTIFS('01 - Job Database'!$C$3:$C$1000,"&lt;&gt;",'01 - Job Database'!$W$3:$W$1000,"&lt;&gt;Yes",'01 - Job Database'!$E$3:$E$1000,$A31,'01 - Job Database'!$CO$3:$CO$1000,"Yes")/$B$11,"")</f>
        <v/>
      </c>
      <c r="AK31" s="62" t="str">
        <f aca="false">IFERROR(COUNTIFS('01 - Job Database'!$C$3:$C$1000,"&lt;&gt;",'01 - Job Database'!$W$3:$W$1000,"&lt;&gt;Yes",'01 - Job Database'!$E$3:$E$1000,$A31,'01 - Job Database'!$CP$3:$CP$1000,"Yes")/$B$11,"")</f>
        <v/>
      </c>
      <c r="AL31" s="62" t="str">
        <f aca="false">IFERROR(COUNTIFS('01 - Job Database'!$C$3:$C$1000,"&lt;&gt;",'01 - Job Database'!$W$3:$W$1000,"&lt;&gt;Yes",'01 - Job Database'!$E$3:$E$1000,$A31,'01 - Job Database'!$CQ$3:$CQ$1000,"Yes")/$B$11,"")</f>
        <v/>
      </c>
      <c r="AM31" s="62" t="str">
        <f aca="false">IFERROR(COUNTIFS('01 - Job Database'!$C$3:$C$1000,"&lt;&gt;",'01 - Job Database'!$W$3:$W$1000,"&lt;&gt;Yes",'01 - Job Database'!$E$3:$E$1000,$A31,'01 - Job Database'!$CR$3:$CR$1000,"Yes")/$B$11,"")</f>
        <v/>
      </c>
      <c r="AN31" s="62" t="str">
        <f aca="false">IFERROR(COUNTIFS('01 - Job Database'!$C$3:$C$1000,"&lt;&gt;",'01 - Job Database'!$W$3:$W$1000,"&lt;&gt;Yes",'01 - Job Database'!$E$3:$E$1000,$A31,'01 - Job Database'!$CS$3:$CS$1000,"Yes")/$B$11,"")</f>
        <v/>
      </c>
      <c r="AO31" s="62" t="str">
        <f aca="false">IFERROR(COUNTIFS('01 - Job Database'!$C$3:$C$1000,"&lt;&gt;",'01 - Job Database'!$W$3:$W$1000,"&lt;&gt;Yes",'01 - Job Database'!$E$3:$E$1000,$A31,'01 - Job Database'!$CT$3:$CT$1000,"Yes")/$B$11,"")</f>
        <v/>
      </c>
      <c r="AP31" s="62" t="str">
        <f aca="false">IFERROR(COUNTIFS('01 - Job Database'!$C$3:$C$1000,"&lt;&gt;",'01 - Job Database'!$W$3:$W$1000,"&lt;&gt;Yes",'01 - Job Database'!$E$3:$E$1000,$A31,'01 - Job Database'!$CU$3:$CU$1000,"Yes")/$B$11,"")</f>
        <v/>
      </c>
      <c r="AQ31" s="62" t="str">
        <f aca="false">IFERROR(COUNTIFS('01 - Job Database'!$C$3:$C$1000,"&lt;&gt;",'01 - Job Database'!$W$3:$W$1000,"&lt;&gt;Yes",'01 - Job Database'!$E$3:$E$1000,$A31,'01 - Job Database'!$CV$3:$CV$1000,"Yes")/$B$11,"")</f>
        <v/>
      </c>
      <c r="AR31" s="62" t="str">
        <f aca="false">IFERROR(COUNTIFS('01 - Job Database'!$C$3:$C$1000,"&lt;&gt;",'01 - Job Database'!$W$3:$W$1000,"&lt;&gt;Yes",'01 - Job Database'!$E$3:$E$1000,$A31,'01 - Job Database'!$CW$3:$CW$1000,"Yes")/$B$11,"")</f>
        <v/>
      </c>
    </row>
    <row r="32" customFormat="false" ht="15" hidden="false" customHeight="true" outlineLevel="0" collapsed="false">
      <c r="A32" s="39" t="s">
        <v>238</v>
      </c>
      <c r="B32" s="62" t="str">
        <f aca="false">IFERROR(COUNTIFS('01 - Job Database'!$C$3:$C$1000,"&lt;&gt;",'01 - Job Database'!$W$3:$W$1000,"&lt;&gt;Yes",'01 - Job Database'!$E$3:$E$1000,$A32,'01 - Job Database'!$X$3:$X$1000,"Yes")/$B$12,"")</f>
        <v/>
      </c>
      <c r="C32" s="62" t="str">
        <f aca="false">IFERROR(COUNTIFS('01 - Job Database'!$C$3:$C$1000,"&lt;&gt;",'01 - Job Database'!$W$3:$W$1000,"&lt;&gt;Yes",'01 - Job Database'!$E$3:$E$1000,$A32,'01 - Job Database'!$Y$3:$Y$1000,"Yes")/$B$12,"")</f>
        <v/>
      </c>
      <c r="D32" s="62" t="str">
        <f aca="false">IFERROR(COUNTIFS('01 - Job Database'!$C$3:$C$1000,"&lt;&gt;",'01 - Job Database'!$W$3:$W$1000,"&lt;&gt;Yes",'01 - Job Database'!$E$3:$E$1000,$A32,'01 - Job Database'!$Z$3:$Z$1000,"Yes")/$B$12,"")</f>
        <v/>
      </c>
      <c r="E32" s="62" t="str">
        <f aca="false">IFERROR(COUNTIFS('01 - Job Database'!$C$3:$C$1000,"&lt;&gt;",'01 - Job Database'!$W$3:$W$1000,"&lt;&gt;Yes",'01 - Job Database'!$E$3:$E$1000,$A32,'01 - Job Database'!$AA$3:$AA$1000,"Yes")/$B$12,"")</f>
        <v/>
      </c>
      <c r="F32" s="62" t="str">
        <f aca="false">IFERROR(COUNTIFS('01 - Job Database'!$C$3:$C$1000,"&lt;&gt;",'01 - Job Database'!$W$3:$W$1000,"&lt;&gt;Yes",'01 - Job Database'!$E$3:$E$1000,$A32,'01 - Job Database'!$AB$3:$AB$1000,"Yes")/$B$12,"")</f>
        <v/>
      </c>
      <c r="G32" s="62" t="str">
        <f aca="false">IFERROR(COUNTIFS('01 - Job Database'!$C$3:$C$1000,"&lt;&gt;",'01 - Job Database'!$W$3:$W$1000,"&lt;&gt;Yes",'01 - Job Database'!$E$3:$E$1000,$A32,'01 - Job Database'!$AC$3:$AC$1000,"Yes")/$B$12,"")</f>
        <v/>
      </c>
      <c r="H32" s="62" t="str">
        <f aca="false">IFERROR(COUNTIFS('01 - Job Database'!$C$3:$C$1000,"&lt;&gt;",'01 - Job Database'!$W$3:$W$1000,"&lt;&gt;Yes",'01 - Job Database'!$E$3:$E$1000,$A32,'01 - Job Database'!$AD$3:$AD$1000,"Yes")/$B$12,"")</f>
        <v/>
      </c>
      <c r="I32" s="62" t="str">
        <f aca="false">IFERROR(COUNTIFS('01 - Job Database'!$C$3:$C$1000,"&lt;&gt;",'01 - Job Database'!$W$3:$W$1000,"&lt;&gt;Yes",'01 - Job Database'!$E$3:$E$1000,$A32,'01 - Job Database'!$AE$3:$AE$1000,"Yes")/$B$12,"")</f>
        <v/>
      </c>
      <c r="J32" s="62" t="str">
        <f aca="false">IFERROR(COUNTIFS('01 - Job Database'!$C$3:$C$1000,"&lt;&gt;",'01 - Job Database'!$W$3:$W$1000,"&lt;&gt;Yes",'01 - Job Database'!$E$3:$E$1000,$A32,'01 - Job Database'!$AF$3:$AF$1000,"Yes")/$B$12,"")</f>
        <v/>
      </c>
      <c r="K32" s="62" t="str">
        <f aca="false">IFERROR(COUNTIFS('01 - Job Database'!$C$3:$C$1000,"&lt;&gt;",'01 - Job Database'!$W$3:$W$1000,"&lt;&gt;Yes",'01 - Job Database'!$E$3:$E$1000,$A32,'01 - Job Database'!$AG$3:$AG$1000,"Yes")/$B$12,"")</f>
        <v/>
      </c>
      <c r="L32" s="62" t="str">
        <f aca="false">IFERROR(COUNTIFS('01 - Job Database'!$C$3:$C$1000,"&lt;&gt;",'01 - Job Database'!$W$3:$W$1000,"&lt;&gt;Yes",'01 - Job Database'!$E$3:$E$1000,$A32,'01 - Job Database'!$AH$3:$AH$1000,"Yes")/$B$12,"")</f>
        <v/>
      </c>
      <c r="M32" s="62" t="str">
        <f aca="false">IFERROR(COUNTIFS('01 - Job Database'!$C$3:$C$1000,"&lt;&gt;",'01 - Job Database'!$W$3:$W$1000,"&lt;&gt;Yes",'01 - Job Database'!$E$3:$E$1000,$A32,'01 - Job Database'!$AI$3:$AI$1000,"Yes")/$B$12,"")</f>
        <v/>
      </c>
      <c r="N32" s="62" t="str">
        <f aca="false">IFERROR(COUNTIFS('01 - Job Database'!$C$3:$C$1000,"&lt;&gt;",'01 - Job Database'!$W$3:$W$1000,"&lt;&gt;Yes",'01 - Job Database'!$E$3:$E$1000,$A32,'01 - Job Database'!$AJ$3:$AJ$1000,"Yes")/$B$12,"")</f>
        <v/>
      </c>
      <c r="O32" s="62" t="str">
        <f aca="false">IFERROR(COUNTIFS('01 - Job Database'!$C$3:$C$1000,"&lt;&gt;",'01 - Job Database'!$W$3:$W$1000,"&lt;&gt;Yes",'01 - Job Database'!$E$3:$E$1000,$A32,'01 - Job Database'!$AK$3:$AK$1000,"Yes")/$B$12,"")</f>
        <v/>
      </c>
      <c r="P32" s="62" t="str">
        <f aca="false">IFERROR(COUNTIFS('01 - Job Database'!$C$3:$C$1000,"&lt;&gt;",'01 - Job Database'!$W$3:$W$1000,"&lt;&gt;Yes",'01 - Job Database'!$E$3:$E$1000,$A32,'01 - Job Database'!$AL$3:$AL$1000,"Yes")/$B$12,"")</f>
        <v/>
      </c>
      <c r="Q32" s="62" t="str">
        <f aca="false">IFERROR(COUNTIFS('01 - Job Database'!$C$3:$C$1000,"&lt;&gt;",'01 - Job Database'!$W$3:$W$1000,"&lt;&gt;Yes",'01 - Job Database'!$E$3:$E$1000,$A32,'01 - Job Database'!$AM$3:$AM$1000,"Yes")/$B$12,"")</f>
        <v/>
      </c>
      <c r="R32" s="62" t="str">
        <f aca="false">IFERROR(COUNTIFS('01 - Job Database'!$C$3:$C$1000,"&lt;&gt;",'01 - Job Database'!$W$3:$W$1000,"&lt;&gt;Yes",'01 - Job Database'!$E$3:$E$1000,$A32,'01 - Job Database'!$AN$3:$AN$1000,"Yes")/$B$12,"")</f>
        <v/>
      </c>
      <c r="S32" s="62" t="str">
        <f aca="false">IFERROR(COUNTIFS('01 - Job Database'!$C$3:$C$1000,"&lt;&gt;",'01 - Job Database'!$W$3:$W$1000,"&lt;&gt;Yes",'01 - Job Database'!$E$3:$E$1000,$A32,'01 - Job Database'!$AO$3:$AO$1000,"Yes")/$B$12,"")</f>
        <v/>
      </c>
      <c r="T32" s="62" t="str">
        <f aca="false">IFERROR(COUNTIFS('01 - Job Database'!$C$3:$C$1000,"&lt;&gt;",'01 - Job Database'!$W$3:$W$1000,"&lt;&gt;Yes",'01 - Job Database'!$E$3:$E$1000,$A32,'01 - Job Database'!$AP$3:$AP$1000,"Yes")/$B$12,"")</f>
        <v/>
      </c>
      <c r="U32" s="62" t="str">
        <f aca="false">IFERROR(COUNTIFS('01 - Job Database'!$C$3:$C$1000,"&lt;&gt;",'01 - Job Database'!$W$3:$W$1000,"&lt;&gt;Yes",'01 - Job Database'!$E$3:$E$1000,$A32,'01 - Job Database'!$AQ$3:$AQ$1000,"Yes")/$B$12,"")</f>
        <v/>
      </c>
      <c r="V32" s="62" t="str">
        <f aca="false">IFERROR(COUNTIFS('01 - Job Database'!$C$3:$C$1000,"&lt;&gt;",'01 - Job Database'!$W$3:$W$1000,"&lt;&gt;Yes",'01 - Job Database'!$E$3:$E$1000,$A32,'01 - Job Database'!$AR$3:$AR$1000,"Yes")/$B$12,"")</f>
        <v/>
      </c>
      <c r="W32" s="62" t="str">
        <f aca="false">IFERROR(COUNTIFS('01 - Job Database'!$C$3:$C$1000,"&lt;&gt;",'01 - Job Database'!$W$3:$W$1000,"&lt;&gt;Yes",'01 - Job Database'!$E$3:$E$1000,$A32,'01 - Job Database'!$AS$3:$AS$1000,"Yes")/$B$12,"")</f>
        <v/>
      </c>
      <c r="X32" s="62" t="str">
        <f aca="false">IFERROR(COUNTIFS('01 - Job Database'!$C$3:$C$1000,"&lt;&gt;",'01 - Job Database'!$W$3:$W$1000,"&lt;&gt;Yes",'01 - Job Database'!$E$3:$E$1000,$A32,'01 - Job Database'!$AT$3:$AT$1000,"Yes")/$B$12,"")</f>
        <v/>
      </c>
      <c r="Y32" s="62" t="str">
        <f aca="false">IFERROR(COUNTIFS('01 - Job Database'!$C$3:$C$1000,"&lt;&gt;",'01 - Job Database'!$W$3:$W$1000,"&lt;&gt;Yes",'01 - Job Database'!$E$3:$E$1000,$A32,'01 - Job Database'!$AU$3:$AU$1000,"Yes")/$B$12,"")</f>
        <v/>
      </c>
      <c r="Z32" s="62" t="str">
        <f aca="false">IFERROR(COUNTIFS('01 - Job Database'!$C$3:$C$1000,"&lt;&gt;",'01 - Job Database'!$W$3:$W$1000,"&lt;&gt;Yes",'01 - Job Database'!$E$3:$E$1000,$A32,'01 - Job Database'!$AV$3:$AV$1000,"Yes")/$B$12,"")</f>
        <v/>
      </c>
      <c r="AA32" s="62" t="str">
        <f aca="false">IFERROR(COUNTIFS('01 - Job Database'!$C$3:$C$1000,"&lt;&gt;",'01 - Job Database'!$W$3:$W$1000,"&lt;&gt;Yes",'01 - Job Database'!$E$3:$E$1000,$A32,'01 - Job Database'!$AW$3:$AW$1000,"Yes")/$B$12,"")</f>
        <v/>
      </c>
      <c r="AB32" s="62" t="str">
        <f aca="false">IFERROR(COUNTIFS('01 - Job Database'!$C$3:$C$1000,"&lt;&gt;",'01 - Job Database'!$W$3:$W$1000,"&lt;&gt;Yes",'01 - Job Database'!$E$3:$E$1000,$A32,'01 - Job Database'!$AX$3:$AX$1000,"Yes")/$B$12,"")</f>
        <v/>
      </c>
      <c r="AC32" s="62" t="str">
        <f aca="false">IFERROR(COUNTIFS('01 - Job Database'!$C$3:$C$1000,"&lt;&gt;",'01 - Job Database'!$W$3:$W$1000,"&lt;&gt;Yes",'01 - Job Database'!$E$3:$E$1000,$A32,'01 - Job Database'!$AY$3:$AY$1000,"Yes")/$B$12,"")</f>
        <v/>
      </c>
      <c r="AD32" s="62" t="str">
        <f aca="false">IFERROR(COUNTIFS('01 - Job Database'!$C$3:$C$1000,"&lt;&gt;",'01 - Job Database'!$W$3:$W$1000,"&lt;&gt;Yes",'01 - Job Database'!$E$3:$E$1000,$A32,'01 - Job Database'!$AZ$3:$AZ$1000,"Yes")/$B$12,"")</f>
        <v/>
      </c>
      <c r="AE32" s="62" t="str">
        <f aca="false">IFERROR(COUNTIFS('01 - Job Database'!$C$3:$C$1000,"&lt;&gt;",'01 - Job Database'!$W$3:$W$1000,"&lt;&gt;Yes",'01 - Job Database'!$E$3:$E$1000,$A32,'01 - Job Database'!$BA$3:$BA$1000,"Yes")/$B$12,"")</f>
        <v/>
      </c>
      <c r="AF32" s="62" t="str">
        <f aca="false">IFERROR(COUNTIFS('01 - Job Database'!$C$3:$C$1000,"&lt;&gt;",'01 - Job Database'!$W$3:$W$1000,"&lt;&gt;Yes",'01 - Job Database'!$E$3:$E$1000,$A32,'01 - Job Database'!$BB$3:$BB$1000,"Yes")/$B$12,"")</f>
        <v/>
      </c>
      <c r="AG32" s="62" t="str">
        <f aca="false">IFERROR(COUNTIFS('01 - Job Database'!$C$3:$C$1000,"&lt;&gt;",'01 - Job Database'!$W$3:$W$1000,"&lt;&gt;Yes",'01 - Job Database'!$E$3:$E$1000,$A32,'01 - Job Database'!$BC$3:$BC$1000,"Yes")/$B$12,"")</f>
        <v/>
      </c>
      <c r="AH32" s="62" t="str">
        <f aca="false">IFERROR(COUNTIFS('01 - Job Database'!$C$3:$C$1000,"&lt;&gt;",'01 - Job Database'!$W$3:$W$1000,"&lt;&gt;Yes",'01 - Job Database'!$E$3:$E$1000,$A32,'01 - Job Database'!$CM$3:$CM$1000,"Yes")/$B$12,"")</f>
        <v/>
      </c>
      <c r="AI32" s="62" t="str">
        <f aca="false">IFERROR(COUNTIFS('01 - Job Database'!$C$3:$C$1000,"&lt;&gt;",'01 - Job Database'!$W$3:$W$1000,"&lt;&gt;Yes",'01 - Job Database'!$E$3:$E$1000,$A32,'01 - Job Database'!$CN$3:$CN$1000,"Yes")/$B$12,"")</f>
        <v/>
      </c>
      <c r="AJ32" s="62" t="str">
        <f aca="false">IFERROR(COUNTIFS('01 - Job Database'!$C$3:$C$1000,"&lt;&gt;",'01 - Job Database'!$W$3:$W$1000,"&lt;&gt;Yes",'01 - Job Database'!$E$3:$E$1000,$A32,'01 - Job Database'!$CO$3:$CO$1000,"Yes")/$B$12,"")</f>
        <v/>
      </c>
      <c r="AK32" s="62" t="str">
        <f aca="false">IFERROR(COUNTIFS('01 - Job Database'!$C$3:$C$1000,"&lt;&gt;",'01 - Job Database'!$W$3:$W$1000,"&lt;&gt;Yes",'01 - Job Database'!$E$3:$E$1000,$A32,'01 - Job Database'!$CP$3:$CP$1000,"Yes")/$B$12,"")</f>
        <v/>
      </c>
      <c r="AL32" s="62" t="str">
        <f aca="false">IFERROR(COUNTIFS('01 - Job Database'!$C$3:$C$1000,"&lt;&gt;",'01 - Job Database'!$W$3:$W$1000,"&lt;&gt;Yes",'01 - Job Database'!$E$3:$E$1000,$A32,'01 - Job Database'!$CQ$3:$CQ$1000,"Yes")/$B$12,"")</f>
        <v/>
      </c>
      <c r="AM32" s="62" t="str">
        <f aca="false">IFERROR(COUNTIFS('01 - Job Database'!$C$3:$C$1000,"&lt;&gt;",'01 - Job Database'!$W$3:$W$1000,"&lt;&gt;Yes",'01 - Job Database'!$E$3:$E$1000,$A32,'01 - Job Database'!$CR$3:$CR$1000,"Yes")/$B$12,"")</f>
        <v/>
      </c>
      <c r="AN32" s="62" t="str">
        <f aca="false">IFERROR(COUNTIFS('01 - Job Database'!$C$3:$C$1000,"&lt;&gt;",'01 - Job Database'!$W$3:$W$1000,"&lt;&gt;Yes",'01 - Job Database'!$E$3:$E$1000,$A32,'01 - Job Database'!$CS$3:$CS$1000,"Yes")/$B$12,"")</f>
        <v/>
      </c>
      <c r="AO32" s="62" t="str">
        <f aca="false">IFERROR(COUNTIFS('01 - Job Database'!$C$3:$C$1000,"&lt;&gt;",'01 - Job Database'!$W$3:$W$1000,"&lt;&gt;Yes",'01 - Job Database'!$E$3:$E$1000,$A32,'01 - Job Database'!$CT$3:$CT$1000,"Yes")/$B$12,"")</f>
        <v/>
      </c>
      <c r="AP32" s="62" t="str">
        <f aca="false">IFERROR(COUNTIFS('01 - Job Database'!$C$3:$C$1000,"&lt;&gt;",'01 - Job Database'!$W$3:$W$1000,"&lt;&gt;Yes",'01 - Job Database'!$E$3:$E$1000,$A32,'01 - Job Database'!$CU$3:$CU$1000,"Yes")/$B$12,"")</f>
        <v/>
      </c>
      <c r="AQ32" s="62" t="str">
        <f aca="false">IFERROR(COUNTIFS('01 - Job Database'!$C$3:$C$1000,"&lt;&gt;",'01 - Job Database'!$W$3:$W$1000,"&lt;&gt;Yes",'01 - Job Database'!$E$3:$E$1000,$A32,'01 - Job Database'!$CV$3:$CV$1000,"Yes")/$B$12,"")</f>
        <v/>
      </c>
      <c r="AR32" s="62" t="str">
        <f aca="false">IFERROR(COUNTIFS('01 - Job Database'!$C$3:$C$1000,"&lt;&gt;",'01 - Job Database'!$W$3:$W$1000,"&lt;&gt;Yes",'01 - Job Database'!$E$3:$E$1000,$A32,'01 - Job Database'!$CW$3:$CW$1000,"Yes")/$B$12,"")</f>
        <v/>
      </c>
    </row>
    <row r="33" customFormat="false" ht="15" hidden="false" customHeight="true" outlineLevel="0" collapsed="false">
      <c r="A33" s="39" t="s">
        <v>239</v>
      </c>
      <c r="B33" s="62" t="str">
        <f aca="false">IFERROR(COUNTIFS('01 - Job Database'!$C$3:$C$1000,"&lt;&gt;",'01 - Job Database'!$W$3:$W$1000,"&lt;&gt;Yes",'01 - Job Database'!$E$3:$E$1000,$A33,'01 - Job Database'!$X$3:$X$1000,"Yes")/$B$13,"")</f>
        <v/>
      </c>
      <c r="C33" s="62" t="str">
        <f aca="false">IFERROR(COUNTIFS('01 - Job Database'!$C$3:$C$1000,"&lt;&gt;",'01 - Job Database'!$W$3:$W$1000,"&lt;&gt;Yes",'01 - Job Database'!$E$3:$E$1000,$A33,'01 - Job Database'!$Y$3:$Y$1000,"Yes")/$B$13,"")</f>
        <v/>
      </c>
      <c r="D33" s="62" t="str">
        <f aca="false">IFERROR(COUNTIFS('01 - Job Database'!$C$3:$C$1000,"&lt;&gt;",'01 - Job Database'!$W$3:$W$1000,"&lt;&gt;Yes",'01 - Job Database'!$E$3:$E$1000,$A33,'01 - Job Database'!$Z$3:$Z$1000,"Yes")/$B$13,"")</f>
        <v/>
      </c>
      <c r="E33" s="62" t="str">
        <f aca="false">IFERROR(COUNTIFS('01 - Job Database'!$C$3:$C$1000,"&lt;&gt;",'01 - Job Database'!$W$3:$W$1000,"&lt;&gt;Yes",'01 - Job Database'!$E$3:$E$1000,$A33,'01 - Job Database'!$AA$3:$AA$1000,"Yes")/$B$13,"")</f>
        <v/>
      </c>
      <c r="F33" s="62" t="str">
        <f aca="false">IFERROR(COUNTIFS('01 - Job Database'!$C$3:$C$1000,"&lt;&gt;",'01 - Job Database'!$W$3:$W$1000,"&lt;&gt;Yes",'01 - Job Database'!$E$3:$E$1000,$A33,'01 - Job Database'!$AB$3:$AB$1000,"Yes")/$B$13,"")</f>
        <v/>
      </c>
      <c r="G33" s="62" t="str">
        <f aca="false">IFERROR(COUNTIFS('01 - Job Database'!$C$3:$C$1000,"&lt;&gt;",'01 - Job Database'!$W$3:$W$1000,"&lt;&gt;Yes",'01 - Job Database'!$E$3:$E$1000,$A33,'01 - Job Database'!$AC$3:$AC$1000,"Yes")/$B$13,"")</f>
        <v/>
      </c>
      <c r="H33" s="62" t="str">
        <f aca="false">IFERROR(COUNTIFS('01 - Job Database'!$C$3:$C$1000,"&lt;&gt;",'01 - Job Database'!$W$3:$W$1000,"&lt;&gt;Yes",'01 - Job Database'!$E$3:$E$1000,$A33,'01 - Job Database'!$AD$3:$AD$1000,"Yes")/$B$13,"")</f>
        <v/>
      </c>
      <c r="I33" s="62" t="str">
        <f aca="false">IFERROR(COUNTIFS('01 - Job Database'!$C$3:$C$1000,"&lt;&gt;",'01 - Job Database'!$W$3:$W$1000,"&lt;&gt;Yes",'01 - Job Database'!$E$3:$E$1000,$A33,'01 - Job Database'!$AE$3:$AE$1000,"Yes")/$B$13,"")</f>
        <v/>
      </c>
      <c r="J33" s="62" t="str">
        <f aca="false">IFERROR(COUNTIFS('01 - Job Database'!$C$3:$C$1000,"&lt;&gt;",'01 - Job Database'!$W$3:$W$1000,"&lt;&gt;Yes",'01 - Job Database'!$E$3:$E$1000,$A33,'01 - Job Database'!$AF$3:$AF$1000,"Yes")/$B$13,"")</f>
        <v/>
      </c>
      <c r="K33" s="62" t="str">
        <f aca="false">IFERROR(COUNTIFS('01 - Job Database'!$C$3:$C$1000,"&lt;&gt;",'01 - Job Database'!$W$3:$W$1000,"&lt;&gt;Yes",'01 - Job Database'!$E$3:$E$1000,$A33,'01 - Job Database'!$AG$3:$AG$1000,"Yes")/$B$13,"")</f>
        <v/>
      </c>
      <c r="L33" s="62" t="str">
        <f aca="false">IFERROR(COUNTIFS('01 - Job Database'!$C$3:$C$1000,"&lt;&gt;",'01 - Job Database'!$W$3:$W$1000,"&lt;&gt;Yes",'01 - Job Database'!$E$3:$E$1000,$A33,'01 - Job Database'!$AH$3:$AH$1000,"Yes")/$B$13,"")</f>
        <v/>
      </c>
      <c r="M33" s="62" t="str">
        <f aca="false">IFERROR(COUNTIFS('01 - Job Database'!$C$3:$C$1000,"&lt;&gt;",'01 - Job Database'!$W$3:$W$1000,"&lt;&gt;Yes",'01 - Job Database'!$E$3:$E$1000,$A33,'01 - Job Database'!$AI$3:$AI$1000,"Yes")/$B$13,"")</f>
        <v/>
      </c>
      <c r="N33" s="62" t="str">
        <f aca="false">IFERROR(COUNTIFS('01 - Job Database'!$C$3:$C$1000,"&lt;&gt;",'01 - Job Database'!$W$3:$W$1000,"&lt;&gt;Yes",'01 - Job Database'!$E$3:$E$1000,$A33,'01 - Job Database'!$AJ$3:$AJ$1000,"Yes")/$B$13,"")</f>
        <v/>
      </c>
      <c r="O33" s="62" t="str">
        <f aca="false">IFERROR(COUNTIFS('01 - Job Database'!$C$3:$C$1000,"&lt;&gt;",'01 - Job Database'!$W$3:$W$1000,"&lt;&gt;Yes",'01 - Job Database'!$E$3:$E$1000,$A33,'01 - Job Database'!$AK$3:$AK$1000,"Yes")/$B$13,"")</f>
        <v/>
      </c>
      <c r="P33" s="62" t="str">
        <f aca="false">IFERROR(COUNTIFS('01 - Job Database'!$C$3:$C$1000,"&lt;&gt;",'01 - Job Database'!$W$3:$W$1000,"&lt;&gt;Yes",'01 - Job Database'!$E$3:$E$1000,$A33,'01 - Job Database'!$AL$3:$AL$1000,"Yes")/$B$13,"")</f>
        <v/>
      </c>
      <c r="Q33" s="62" t="str">
        <f aca="false">IFERROR(COUNTIFS('01 - Job Database'!$C$3:$C$1000,"&lt;&gt;",'01 - Job Database'!$W$3:$W$1000,"&lt;&gt;Yes",'01 - Job Database'!$E$3:$E$1000,$A33,'01 - Job Database'!$AM$3:$AM$1000,"Yes")/$B$13,"")</f>
        <v/>
      </c>
      <c r="R33" s="62" t="str">
        <f aca="false">IFERROR(COUNTIFS('01 - Job Database'!$C$3:$C$1000,"&lt;&gt;",'01 - Job Database'!$W$3:$W$1000,"&lt;&gt;Yes",'01 - Job Database'!$E$3:$E$1000,$A33,'01 - Job Database'!$AN$3:$AN$1000,"Yes")/$B$13,"")</f>
        <v/>
      </c>
      <c r="S33" s="62" t="str">
        <f aca="false">IFERROR(COUNTIFS('01 - Job Database'!$C$3:$C$1000,"&lt;&gt;",'01 - Job Database'!$W$3:$W$1000,"&lt;&gt;Yes",'01 - Job Database'!$E$3:$E$1000,$A33,'01 - Job Database'!$AO$3:$AO$1000,"Yes")/$B$13,"")</f>
        <v/>
      </c>
      <c r="T33" s="62" t="str">
        <f aca="false">IFERROR(COUNTIFS('01 - Job Database'!$C$3:$C$1000,"&lt;&gt;",'01 - Job Database'!$W$3:$W$1000,"&lt;&gt;Yes",'01 - Job Database'!$E$3:$E$1000,$A33,'01 - Job Database'!$AP$3:$AP$1000,"Yes")/$B$13,"")</f>
        <v/>
      </c>
      <c r="U33" s="62" t="str">
        <f aca="false">IFERROR(COUNTIFS('01 - Job Database'!$C$3:$C$1000,"&lt;&gt;",'01 - Job Database'!$W$3:$W$1000,"&lt;&gt;Yes",'01 - Job Database'!$E$3:$E$1000,$A33,'01 - Job Database'!$AQ$3:$AQ$1000,"Yes")/$B$13,"")</f>
        <v/>
      </c>
      <c r="V33" s="62" t="str">
        <f aca="false">IFERROR(COUNTIFS('01 - Job Database'!$C$3:$C$1000,"&lt;&gt;",'01 - Job Database'!$W$3:$W$1000,"&lt;&gt;Yes",'01 - Job Database'!$E$3:$E$1000,$A33,'01 - Job Database'!$AR$3:$AR$1000,"Yes")/$B$13,"")</f>
        <v/>
      </c>
      <c r="W33" s="62" t="str">
        <f aca="false">IFERROR(COUNTIFS('01 - Job Database'!$C$3:$C$1000,"&lt;&gt;",'01 - Job Database'!$W$3:$W$1000,"&lt;&gt;Yes",'01 - Job Database'!$E$3:$E$1000,$A33,'01 - Job Database'!$AS$3:$AS$1000,"Yes")/$B$13,"")</f>
        <v/>
      </c>
      <c r="X33" s="62" t="str">
        <f aca="false">IFERROR(COUNTIFS('01 - Job Database'!$C$3:$C$1000,"&lt;&gt;",'01 - Job Database'!$W$3:$W$1000,"&lt;&gt;Yes",'01 - Job Database'!$E$3:$E$1000,$A33,'01 - Job Database'!$AT$3:$AT$1000,"Yes")/$B$13,"")</f>
        <v/>
      </c>
      <c r="Y33" s="62" t="str">
        <f aca="false">IFERROR(COUNTIFS('01 - Job Database'!$C$3:$C$1000,"&lt;&gt;",'01 - Job Database'!$W$3:$W$1000,"&lt;&gt;Yes",'01 - Job Database'!$E$3:$E$1000,$A33,'01 - Job Database'!$AU$3:$AU$1000,"Yes")/$B$13,"")</f>
        <v/>
      </c>
      <c r="Z33" s="62" t="str">
        <f aca="false">IFERROR(COUNTIFS('01 - Job Database'!$C$3:$C$1000,"&lt;&gt;",'01 - Job Database'!$W$3:$W$1000,"&lt;&gt;Yes",'01 - Job Database'!$E$3:$E$1000,$A33,'01 - Job Database'!$AV$3:$AV$1000,"Yes")/$B$13,"")</f>
        <v/>
      </c>
      <c r="AA33" s="62" t="str">
        <f aca="false">IFERROR(COUNTIFS('01 - Job Database'!$C$3:$C$1000,"&lt;&gt;",'01 - Job Database'!$W$3:$W$1000,"&lt;&gt;Yes",'01 - Job Database'!$E$3:$E$1000,$A33,'01 - Job Database'!$AW$3:$AW$1000,"Yes")/$B$13,"")</f>
        <v/>
      </c>
      <c r="AB33" s="62" t="str">
        <f aca="false">IFERROR(COUNTIFS('01 - Job Database'!$C$3:$C$1000,"&lt;&gt;",'01 - Job Database'!$W$3:$W$1000,"&lt;&gt;Yes",'01 - Job Database'!$E$3:$E$1000,$A33,'01 - Job Database'!$AX$3:$AX$1000,"Yes")/$B$13,"")</f>
        <v/>
      </c>
      <c r="AC33" s="62" t="str">
        <f aca="false">IFERROR(COUNTIFS('01 - Job Database'!$C$3:$C$1000,"&lt;&gt;",'01 - Job Database'!$W$3:$W$1000,"&lt;&gt;Yes",'01 - Job Database'!$E$3:$E$1000,$A33,'01 - Job Database'!$AY$3:$AY$1000,"Yes")/$B$13,"")</f>
        <v/>
      </c>
      <c r="AD33" s="62" t="str">
        <f aca="false">IFERROR(COUNTIFS('01 - Job Database'!$C$3:$C$1000,"&lt;&gt;",'01 - Job Database'!$W$3:$W$1000,"&lt;&gt;Yes",'01 - Job Database'!$E$3:$E$1000,$A33,'01 - Job Database'!$AZ$3:$AZ$1000,"Yes")/$B$13,"")</f>
        <v/>
      </c>
      <c r="AE33" s="62" t="str">
        <f aca="false">IFERROR(COUNTIFS('01 - Job Database'!$C$3:$C$1000,"&lt;&gt;",'01 - Job Database'!$W$3:$W$1000,"&lt;&gt;Yes",'01 - Job Database'!$E$3:$E$1000,$A33,'01 - Job Database'!$BA$3:$BA$1000,"Yes")/$B$13,"")</f>
        <v/>
      </c>
      <c r="AF33" s="62" t="str">
        <f aca="false">IFERROR(COUNTIFS('01 - Job Database'!$C$3:$C$1000,"&lt;&gt;",'01 - Job Database'!$W$3:$W$1000,"&lt;&gt;Yes",'01 - Job Database'!$E$3:$E$1000,$A33,'01 - Job Database'!$BB$3:$BB$1000,"Yes")/$B$13,"")</f>
        <v/>
      </c>
      <c r="AG33" s="62" t="str">
        <f aca="false">IFERROR(COUNTIFS('01 - Job Database'!$C$3:$C$1000,"&lt;&gt;",'01 - Job Database'!$W$3:$W$1000,"&lt;&gt;Yes",'01 - Job Database'!$E$3:$E$1000,$A33,'01 - Job Database'!$BC$3:$BC$1000,"Yes")/$B$13,"")</f>
        <v/>
      </c>
      <c r="AH33" s="62" t="str">
        <f aca="false">IFERROR(COUNTIFS('01 - Job Database'!$C$3:$C$1000,"&lt;&gt;",'01 - Job Database'!$W$3:$W$1000,"&lt;&gt;Yes",'01 - Job Database'!$E$3:$E$1000,$A33,'01 - Job Database'!$CM$3:$CM$1000,"Yes")/$B$13,"")</f>
        <v/>
      </c>
      <c r="AI33" s="62" t="str">
        <f aca="false">IFERROR(COUNTIFS('01 - Job Database'!$C$3:$C$1000,"&lt;&gt;",'01 - Job Database'!$W$3:$W$1000,"&lt;&gt;Yes",'01 - Job Database'!$E$3:$E$1000,$A33,'01 - Job Database'!$CN$3:$CN$1000,"Yes")/$B$13,"")</f>
        <v/>
      </c>
      <c r="AJ33" s="62" t="str">
        <f aca="false">IFERROR(COUNTIFS('01 - Job Database'!$C$3:$C$1000,"&lt;&gt;",'01 - Job Database'!$W$3:$W$1000,"&lt;&gt;Yes",'01 - Job Database'!$E$3:$E$1000,$A33,'01 - Job Database'!$CO$3:$CO$1000,"Yes")/$B$13,"")</f>
        <v/>
      </c>
      <c r="AK33" s="62" t="str">
        <f aca="false">IFERROR(COUNTIFS('01 - Job Database'!$C$3:$C$1000,"&lt;&gt;",'01 - Job Database'!$W$3:$W$1000,"&lt;&gt;Yes",'01 - Job Database'!$E$3:$E$1000,$A33,'01 - Job Database'!$CP$3:$CP$1000,"Yes")/$B$13,"")</f>
        <v/>
      </c>
      <c r="AL33" s="62" t="str">
        <f aca="false">IFERROR(COUNTIFS('01 - Job Database'!$C$3:$C$1000,"&lt;&gt;",'01 - Job Database'!$W$3:$W$1000,"&lt;&gt;Yes",'01 - Job Database'!$E$3:$E$1000,$A33,'01 - Job Database'!$CQ$3:$CQ$1000,"Yes")/$B$13,"")</f>
        <v/>
      </c>
      <c r="AM33" s="62" t="str">
        <f aca="false">IFERROR(COUNTIFS('01 - Job Database'!$C$3:$C$1000,"&lt;&gt;",'01 - Job Database'!$W$3:$W$1000,"&lt;&gt;Yes",'01 - Job Database'!$E$3:$E$1000,$A33,'01 - Job Database'!$CR$3:$CR$1000,"Yes")/$B$13,"")</f>
        <v/>
      </c>
      <c r="AN33" s="62" t="str">
        <f aca="false">IFERROR(COUNTIFS('01 - Job Database'!$C$3:$C$1000,"&lt;&gt;",'01 - Job Database'!$W$3:$W$1000,"&lt;&gt;Yes",'01 - Job Database'!$E$3:$E$1000,$A33,'01 - Job Database'!$CS$3:$CS$1000,"Yes")/$B$13,"")</f>
        <v/>
      </c>
      <c r="AO33" s="62" t="str">
        <f aca="false">IFERROR(COUNTIFS('01 - Job Database'!$C$3:$C$1000,"&lt;&gt;",'01 - Job Database'!$W$3:$W$1000,"&lt;&gt;Yes",'01 - Job Database'!$E$3:$E$1000,$A33,'01 - Job Database'!$CT$3:$CT$1000,"Yes")/$B$13,"")</f>
        <v/>
      </c>
      <c r="AP33" s="62" t="str">
        <f aca="false">IFERROR(COUNTIFS('01 - Job Database'!$C$3:$C$1000,"&lt;&gt;",'01 - Job Database'!$W$3:$W$1000,"&lt;&gt;Yes",'01 - Job Database'!$E$3:$E$1000,$A33,'01 - Job Database'!$CU$3:$CU$1000,"Yes")/$B$13,"")</f>
        <v/>
      </c>
      <c r="AQ33" s="62" t="str">
        <f aca="false">IFERROR(COUNTIFS('01 - Job Database'!$C$3:$C$1000,"&lt;&gt;",'01 - Job Database'!$W$3:$W$1000,"&lt;&gt;Yes",'01 - Job Database'!$E$3:$E$1000,$A33,'01 - Job Database'!$CV$3:$CV$1000,"Yes")/$B$13,"")</f>
        <v/>
      </c>
      <c r="AR33" s="62" t="str">
        <f aca="false">IFERROR(COUNTIFS('01 - Job Database'!$C$3:$C$1000,"&lt;&gt;",'01 - Job Database'!$W$3:$W$1000,"&lt;&gt;Yes",'01 - Job Database'!$E$3:$E$1000,$A33,'01 - Job Database'!$CW$3:$CW$1000,"Yes")/$B$13,"")</f>
        <v/>
      </c>
    </row>
    <row r="34" customFormat="false" ht="15" hidden="false" customHeight="true" outlineLevel="0" collapsed="false">
      <c r="A34" s="39" t="s">
        <v>240</v>
      </c>
      <c r="B34" s="62" t="str">
        <f aca="false">IFERROR(COUNTIFS('01 - Job Database'!$C$3:$C$1000,"&lt;&gt;",'01 - Job Database'!$W$3:$W$1000,"&lt;&gt;Yes",'01 - Job Database'!$E$3:$E$1000,$A34,'01 - Job Database'!$X$3:$X$1000,"Yes")/$B$14,"")</f>
        <v/>
      </c>
      <c r="C34" s="62" t="str">
        <f aca="false">IFERROR(COUNTIFS('01 - Job Database'!$C$3:$C$1000,"&lt;&gt;",'01 - Job Database'!$W$3:$W$1000,"&lt;&gt;Yes",'01 - Job Database'!$E$3:$E$1000,$A34,'01 - Job Database'!$Y$3:$Y$1000,"Yes")/$B$14,"")</f>
        <v/>
      </c>
      <c r="D34" s="62" t="str">
        <f aca="false">IFERROR(COUNTIFS('01 - Job Database'!$C$3:$C$1000,"&lt;&gt;",'01 - Job Database'!$W$3:$W$1000,"&lt;&gt;Yes",'01 - Job Database'!$E$3:$E$1000,$A34,'01 - Job Database'!$Z$3:$Z$1000,"Yes")/$B$14,"")</f>
        <v/>
      </c>
      <c r="E34" s="62" t="str">
        <f aca="false">IFERROR(COUNTIFS('01 - Job Database'!$C$3:$C$1000,"&lt;&gt;",'01 - Job Database'!$W$3:$W$1000,"&lt;&gt;Yes",'01 - Job Database'!$E$3:$E$1000,$A34,'01 - Job Database'!$AA$3:$AA$1000,"Yes")/$B$14,"")</f>
        <v/>
      </c>
      <c r="F34" s="62" t="str">
        <f aca="false">IFERROR(COUNTIFS('01 - Job Database'!$C$3:$C$1000,"&lt;&gt;",'01 - Job Database'!$W$3:$W$1000,"&lt;&gt;Yes",'01 - Job Database'!$E$3:$E$1000,$A34,'01 - Job Database'!$AB$3:$AB$1000,"Yes")/$B$14,"")</f>
        <v/>
      </c>
      <c r="G34" s="62" t="str">
        <f aca="false">IFERROR(COUNTIFS('01 - Job Database'!$C$3:$C$1000,"&lt;&gt;",'01 - Job Database'!$W$3:$W$1000,"&lt;&gt;Yes",'01 - Job Database'!$E$3:$E$1000,$A34,'01 - Job Database'!$AC$3:$AC$1000,"Yes")/$B$14,"")</f>
        <v/>
      </c>
      <c r="H34" s="62" t="str">
        <f aca="false">IFERROR(COUNTIFS('01 - Job Database'!$C$3:$C$1000,"&lt;&gt;",'01 - Job Database'!$W$3:$W$1000,"&lt;&gt;Yes",'01 - Job Database'!$E$3:$E$1000,$A34,'01 - Job Database'!$AD$3:$AD$1000,"Yes")/$B$14,"")</f>
        <v/>
      </c>
      <c r="I34" s="62" t="str">
        <f aca="false">IFERROR(COUNTIFS('01 - Job Database'!$C$3:$C$1000,"&lt;&gt;",'01 - Job Database'!$W$3:$W$1000,"&lt;&gt;Yes",'01 - Job Database'!$E$3:$E$1000,$A34,'01 - Job Database'!$AE$3:$AE$1000,"Yes")/$B$14,"")</f>
        <v/>
      </c>
      <c r="J34" s="62" t="str">
        <f aca="false">IFERROR(COUNTIFS('01 - Job Database'!$C$3:$C$1000,"&lt;&gt;",'01 - Job Database'!$W$3:$W$1000,"&lt;&gt;Yes",'01 - Job Database'!$E$3:$E$1000,$A34,'01 - Job Database'!$AF$3:$AF$1000,"Yes")/$B$14,"")</f>
        <v/>
      </c>
      <c r="K34" s="62" t="str">
        <f aca="false">IFERROR(COUNTIFS('01 - Job Database'!$C$3:$C$1000,"&lt;&gt;",'01 - Job Database'!$W$3:$W$1000,"&lt;&gt;Yes",'01 - Job Database'!$E$3:$E$1000,$A34,'01 - Job Database'!$AG$3:$AG$1000,"Yes")/$B$14,"")</f>
        <v/>
      </c>
      <c r="L34" s="62" t="str">
        <f aca="false">IFERROR(COUNTIFS('01 - Job Database'!$C$3:$C$1000,"&lt;&gt;",'01 - Job Database'!$W$3:$W$1000,"&lt;&gt;Yes",'01 - Job Database'!$E$3:$E$1000,$A34,'01 - Job Database'!$AH$3:$AH$1000,"Yes")/$B$14,"")</f>
        <v/>
      </c>
      <c r="M34" s="62" t="str">
        <f aca="false">IFERROR(COUNTIFS('01 - Job Database'!$C$3:$C$1000,"&lt;&gt;",'01 - Job Database'!$W$3:$W$1000,"&lt;&gt;Yes",'01 - Job Database'!$E$3:$E$1000,$A34,'01 - Job Database'!$AI$3:$AI$1000,"Yes")/$B$14,"")</f>
        <v/>
      </c>
      <c r="N34" s="62" t="str">
        <f aca="false">IFERROR(COUNTIFS('01 - Job Database'!$C$3:$C$1000,"&lt;&gt;",'01 - Job Database'!$W$3:$W$1000,"&lt;&gt;Yes",'01 - Job Database'!$E$3:$E$1000,$A34,'01 - Job Database'!$AJ$3:$AJ$1000,"Yes")/$B$14,"")</f>
        <v/>
      </c>
      <c r="O34" s="62" t="str">
        <f aca="false">IFERROR(COUNTIFS('01 - Job Database'!$C$3:$C$1000,"&lt;&gt;",'01 - Job Database'!$W$3:$W$1000,"&lt;&gt;Yes",'01 - Job Database'!$E$3:$E$1000,$A34,'01 - Job Database'!$AK$3:$AK$1000,"Yes")/$B$14,"")</f>
        <v/>
      </c>
      <c r="P34" s="62" t="str">
        <f aca="false">IFERROR(COUNTIFS('01 - Job Database'!$C$3:$C$1000,"&lt;&gt;",'01 - Job Database'!$W$3:$W$1000,"&lt;&gt;Yes",'01 - Job Database'!$E$3:$E$1000,$A34,'01 - Job Database'!$AL$3:$AL$1000,"Yes")/$B$14,"")</f>
        <v/>
      </c>
      <c r="Q34" s="62" t="str">
        <f aca="false">IFERROR(COUNTIFS('01 - Job Database'!$C$3:$C$1000,"&lt;&gt;",'01 - Job Database'!$W$3:$W$1000,"&lt;&gt;Yes",'01 - Job Database'!$E$3:$E$1000,$A34,'01 - Job Database'!$AM$3:$AM$1000,"Yes")/$B$14,"")</f>
        <v/>
      </c>
      <c r="R34" s="62" t="str">
        <f aca="false">IFERROR(COUNTIFS('01 - Job Database'!$C$3:$C$1000,"&lt;&gt;",'01 - Job Database'!$W$3:$W$1000,"&lt;&gt;Yes",'01 - Job Database'!$E$3:$E$1000,$A34,'01 - Job Database'!$AN$3:$AN$1000,"Yes")/$B$14,"")</f>
        <v/>
      </c>
      <c r="S34" s="62" t="str">
        <f aca="false">IFERROR(COUNTIFS('01 - Job Database'!$C$3:$C$1000,"&lt;&gt;",'01 - Job Database'!$W$3:$W$1000,"&lt;&gt;Yes",'01 - Job Database'!$E$3:$E$1000,$A34,'01 - Job Database'!$AO$3:$AO$1000,"Yes")/$B$14,"")</f>
        <v/>
      </c>
      <c r="T34" s="62" t="str">
        <f aca="false">IFERROR(COUNTIFS('01 - Job Database'!$C$3:$C$1000,"&lt;&gt;",'01 - Job Database'!$W$3:$W$1000,"&lt;&gt;Yes",'01 - Job Database'!$E$3:$E$1000,$A34,'01 - Job Database'!$AP$3:$AP$1000,"Yes")/$B$14,"")</f>
        <v/>
      </c>
      <c r="U34" s="62" t="str">
        <f aca="false">IFERROR(COUNTIFS('01 - Job Database'!$C$3:$C$1000,"&lt;&gt;",'01 - Job Database'!$W$3:$W$1000,"&lt;&gt;Yes",'01 - Job Database'!$E$3:$E$1000,$A34,'01 - Job Database'!$AQ$3:$AQ$1000,"Yes")/$B$14,"")</f>
        <v/>
      </c>
      <c r="V34" s="62" t="str">
        <f aca="false">IFERROR(COUNTIFS('01 - Job Database'!$C$3:$C$1000,"&lt;&gt;",'01 - Job Database'!$W$3:$W$1000,"&lt;&gt;Yes",'01 - Job Database'!$E$3:$E$1000,$A34,'01 - Job Database'!$AR$3:$AR$1000,"Yes")/$B$14,"")</f>
        <v/>
      </c>
      <c r="W34" s="62" t="str">
        <f aca="false">IFERROR(COUNTIFS('01 - Job Database'!$C$3:$C$1000,"&lt;&gt;",'01 - Job Database'!$W$3:$W$1000,"&lt;&gt;Yes",'01 - Job Database'!$E$3:$E$1000,$A34,'01 - Job Database'!$AS$3:$AS$1000,"Yes")/$B$14,"")</f>
        <v/>
      </c>
      <c r="X34" s="62" t="str">
        <f aca="false">IFERROR(COUNTIFS('01 - Job Database'!$C$3:$C$1000,"&lt;&gt;",'01 - Job Database'!$W$3:$W$1000,"&lt;&gt;Yes",'01 - Job Database'!$E$3:$E$1000,$A34,'01 - Job Database'!$AT$3:$AT$1000,"Yes")/$B$14,"")</f>
        <v/>
      </c>
      <c r="Y34" s="62" t="str">
        <f aca="false">IFERROR(COUNTIFS('01 - Job Database'!$C$3:$C$1000,"&lt;&gt;",'01 - Job Database'!$W$3:$W$1000,"&lt;&gt;Yes",'01 - Job Database'!$E$3:$E$1000,$A34,'01 - Job Database'!$AU$3:$AU$1000,"Yes")/$B$14,"")</f>
        <v/>
      </c>
      <c r="Z34" s="62" t="str">
        <f aca="false">IFERROR(COUNTIFS('01 - Job Database'!$C$3:$C$1000,"&lt;&gt;",'01 - Job Database'!$W$3:$W$1000,"&lt;&gt;Yes",'01 - Job Database'!$E$3:$E$1000,$A34,'01 - Job Database'!$AV$3:$AV$1000,"Yes")/$B$14,"")</f>
        <v/>
      </c>
      <c r="AA34" s="62" t="str">
        <f aca="false">IFERROR(COUNTIFS('01 - Job Database'!$C$3:$C$1000,"&lt;&gt;",'01 - Job Database'!$W$3:$W$1000,"&lt;&gt;Yes",'01 - Job Database'!$E$3:$E$1000,$A34,'01 - Job Database'!$AW$3:$AW$1000,"Yes")/$B$14,"")</f>
        <v/>
      </c>
      <c r="AB34" s="62" t="str">
        <f aca="false">IFERROR(COUNTIFS('01 - Job Database'!$C$3:$C$1000,"&lt;&gt;",'01 - Job Database'!$W$3:$W$1000,"&lt;&gt;Yes",'01 - Job Database'!$E$3:$E$1000,$A34,'01 - Job Database'!$AX$3:$AX$1000,"Yes")/$B$14,"")</f>
        <v/>
      </c>
      <c r="AC34" s="62" t="str">
        <f aca="false">IFERROR(COUNTIFS('01 - Job Database'!$C$3:$C$1000,"&lt;&gt;",'01 - Job Database'!$W$3:$W$1000,"&lt;&gt;Yes",'01 - Job Database'!$E$3:$E$1000,$A34,'01 - Job Database'!$AY$3:$AY$1000,"Yes")/$B$14,"")</f>
        <v/>
      </c>
      <c r="AD34" s="62" t="str">
        <f aca="false">IFERROR(COUNTIFS('01 - Job Database'!$C$3:$C$1000,"&lt;&gt;",'01 - Job Database'!$W$3:$W$1000,"&lt;&gt;Yes",'01 - Job Database'!$E$3:$E$1000,$A34,'01 - Job Database'!$AZ$3:$AZ$1000,"Yes")/$B$14,"")</f>
        <v/>
      </c>
      <c r="AE34" s="62" t="str">
        <f aca="false">IFERROR(COUNTIFS('01 - Job Database'!$C$3:$C$1000,"&lt;&gt;",'01 - Job Database'!$W$3:$W$1000,"&lt;&gt;Yes",'01 - Job Database'!$E$3:$E$1000,$A34,'01 - Job Database'!$BA$3:$BA$1000,"Yes")/$B$14,"")</f>
        <v/>
      </c>
      <c r="AF34" s="62" t="str">
        <f aca="false">IFERROR(COUNTIFS('01 - Job Database'!$C$3:$C$1000,"&lt;&gt;",'01 - Job Database'!$W$3:$W$1000,"&lt;&gt;Yes",'01 - Job Database'!$E$3:$E$1000,$A34,'01 - Job Database'!$BB$3:$BB$1000,"Yes")/$B$14,"")</f>
        <v/>
      </c>
      <c r="AG34" s="62" t="str">
        <f aca="false">IFERROR(COUNTIFS('01 - Job Database'!$C$3:$C$1000,"&lt;&gt;",'01 - Job Database'!$W$3:$W$1000,"&lt;&gt;Yes",'01 - Job Database'!$E$3:$E$1000,$A34,'01 - Job Database'!$BC$3:$BC$1000,"Yes")/$B$14,"")</f>
        <v/>
      </c>
      <c r="AH34" s="62" t="str">
        <f aca="false">IFERROR(COUNTIFS('01 - Job Database'!$C$3:$C$1000,"&lt;&gt;",'01 - Job Database'!$W$3:$W$1000,"&lt;&gt;Yes",'01 - Job Database'!$E$3:$E$1000,$A34,'01 - Job Database'!$CM$3:$CM$1000,"Yes")/$B$14,"")</f>
        <v/>
      </c>
      <c r="AI34" s="62" t="str">
        <f aca="false">IFERROR(COUNTIFS('01 - Job Database'!$C$3:$C$1000,"&lt;&gt;",'01 - Job Database'!$W$3:$W$1000,"&lt;&gt;Yes",'01 - Job Database'!$E$3:$E$1000,$A34,'01 - Job Database'!$CN$3:$CN$1000,"Yes")/$B$14,"")</f>
        <v/>
      </c>
      <c r="AJ34" s="62" t="str">
        <f aca="false">IFERROR(COUNTIFS('01 - Job Database'!$C$3:$C$1000,"&lt;&gt;",'01 - Job Database'!$W$3:$W$1000,"&lt;&gt;Yes",'01 - Job Database'!$E$3:$E$1000,$A34,'01 - Job Database'!$CO$3:$CO$1000,"Yes")/$B$14,"")</f>
        <v/>
      </c>
      <c r="AK34" s="62" t="str">
        <f aca="false">IFERROR(COUNTIFS('01 - Job Database'!$C$3:$C$1000,"&lt;&gt;",'01 - Job Database'!$W$3:$W$1000,"&lt;&gt;Yes",'01 - Job Database'!$E$3:$E$1000,$A34,'01 - Job Database'!$CP$3:$CP$1000,"Yes")/$B$14,"")</f>
        <v/>
      </c>
      <c r="AL34" s="62" t="str">
        <f aca="false">IFERROR(COUNTIFS('01 - Job Database'!$C$3:$C$1000,"&lt;&gt;",'01 - Job Database'!$W$3:$W$1000,"&lt;&gt;Yes",'01 - Job Database'!$E$3:$E$1000,$A34,'01 - Job Database'!$CQ$3:$CQ$1000,"Yes")/$B$14,"")</f>
        <v/>
      </c>
      <c r="AM34" s="62" t="str">
        <f aca="false">IFERROR(COUNTIFS('01 - Job Database'!$C$3:$C$1000,"&lt;&gt;",'01 - Job Database'!$W$3:$W$1000,"&lt;&gt;Yes",'01 - Job Database'!$E$3:$E$1000,$A34,'01 - Job Database'!$CR$3:$CR$1000,"Yes")/$B$14,"")</f>
        <v/>
      </c>
      <c r="AN34" s="62" t="str">
        <f aca="false">IFERROR(COUNTIFS('01 - Job Database'!$C$3:$C$1000,"&lt;&gt;",'01 - Job Database'!$W$3:$W$1000,"&lt;&gt;Yes",'01 - Job Database'!$E$3:$E$1000,$A34,'01 - Job Database'!$CS$3:$CS$1000,"Yes")/$B$14,"")</f>
        <v/>
      </c>
      <c r="AO34" s="62" t="str">
        <f aca="false">IFERROR(COUNTIFS('01 - Job Database'!$C$3:$C$1000,"&lt;&gt;",'01 - Job Database'!$W$3:$W$1000,"&lt;&gt;Yes",'01 - Job Database'!$E$3:$E$1000,$A34,'01 - Job Database'!$CT$3:$CT$1000,"Yes")/$B$14,"")</f>
        <v/>
      </c>
      <c r="AP34" s="62" t="str">
        <f aca="false">IFERROR(COUNTIFS('01 - Job Database'!$C$3:$C$1000,"&lt;&gt;",'01 - Job Database'!$W$3:$W$1000,"&lt;&gt;Yes",'01 - Job Database'!$E$3:$E$1000,$A34,'01 - Job Database'!$CU$3:$CU$1000,"Yes")/$B$14,"")</f>
        <v/>
      </c>
      <c r="AQ34" s="62" t="str">
        <f aca="false">IFERROR(COUNTIFS('01 - Job Database'!$C$3:$C$1000,"&lt;&gt;",'01 - Job Database'!$W$3:$W$1000,"&lt;&gt;Yes",'01 - Job Database'!$E$3:$E$1000,$A34,'01 - Job Database'!$CV$3:$CV$1000,"Yes")/$B$14,"")</f>
        <v/>
      </c>
      <c r="AR34" s="62" t="str">
        <f aca="false">IFERROR(COUNTIFS('01 - Job Database'!$C$3:$C$1000,"&lt;&gt;",'01 - Job Database'!$W$3:$W$1000,"&lt;&gt;Yes",'01 - Job Database'!$E$3:$E$1000,$A34,'01 - Job Database'!$CW$3:$CW$1000,"Yes")/$B$14,"")</f>
        <v/>
      </c>
    </row>
    <row r="35" customFormat="false" ht="15" hidden="false" customHeight="true" outlineLevel="0" collapsed="false">
      <c r="A35" s="39" t="s">
        <v>241</v>
      </c>
      <c r="B35" s="62" t="str">
        <f aca="false">IFERROR(COUNTIFS('01 - Job Database'!$C$3:$C$1000,"&lt;&gt;",'01 - Job Database'!$W$3:$W$1000,"&lt;&gt;Yes",'01 - Job Database'!$E$3:$E$1000,$A35,'01 - Job Database'!$X$3:$X$1000,"Yes")/$B$15,"")</f>
        <v/>
      </c>
      <c r="C35" s="62" t="str">
        <f aca="false">IFERROR(COUNTIFS('01 - Job Database'!$C$3:$C$1000,"&lt;&gt;",'01 - Job Database'!$W$3:$W$1000,"&lt;&gt;Yes",'01 - Job Database'!$E$3:$E$1000,$A35,'01 - Job Database'!$Y$3:$Y$1000,"Yes")/$B$15,"")</f>
        <v/>
      </c>
      <c r="D35" s="62" t="str">
        <f aca="false">IFERROR(COUNTIFS('01 - Job Database'!$C$3:$C$1000,"&lt;&gt;",'01 - Job Database'!$W$3:$W$1000,"&lt;&gt;Yes",'01 - Job Database'!$E$3:$E$1000,$A35,'01 - Job Database'!$Z$3:$Z$1000,"Yes")/$B$15,"")</f>
        <v/>
      </c>
      <c r="E35" s="62" t="str">
        <f aca="false">IFERROR(COUNTIFS('01 - Job Database'!$C$3:$C$1000,"&lt;&gt;",'01 - Job Database'!$W$3:$W$1000,"&lt;&gt;Yes",'01 - Job Database'!$E$3:$E$1000,$A35,'01 - Job Database'!$AA$3:$AA$1000,"Yes")/$B$15,"")</f>
        <v/>
      </c>
      <c r="F35" s="62" t="str">
        <f aca="false">IFERROR(COUNTIFS('01 - Job Database'!$C$3:$C$1000,"&lt;&gt;",'01 - Job Database'!$W$3:$W$1000,"&lt;&gt;Yes",'01 - Job Database'!$E$3:$E$1000,$A35,'01 - Job Database'!$AB$3:$AB$1000,"Yes")/$B$15,"")</f>
        <v/>
      </c>
      <c r="G35" s="62" t="str">
        <f aca="false">IFERROR(COUNTIFS('01 - Job Database'!$C$3:$C$1000,"&lt;&gt;",'01 - Job Database'!$W$3:$W$1000,"&lt;&gt;Yes",'01 - Job Database'!$E$3:$E$1000,$A35,'01 - Job Database'!$AC$3:$AC$1000,"Yes")/$B$15,"")</f>
        <v/>
      </c>
      <c r="H35" s="62" t="str">
        <f aca="false">IFERROR(COUNTIFS('01 - Job Database'!$C$3:$C$1000,"&lt;&gt;",'01 - Job Database'!$W$3:$W$1000,"&lt;&gt;Yes",'01 - Job Database'!$E$3:$E$1000,$A35,'01 - Job Database'!$AD$3:$AD$1000,"Yes")/$B$15,"")</f>
        <v/>
      </c>
      <c r="I35" s="62" t="str">
        <f aca="false">IFERROR(COUNTIFS('01 - Job Database'!$C$3:$C$1000,"&lt;&gt;",'01 - Job Database'!$W$3:$W$1000,"&lt;&gt;Yes",'01 - Job Database'!$E$3:$E$1000,$A35,'01 - Job Database'!$AE$3:$AE$1000,"Yes")/$B$15,"")</f>
        <v/>
      </c>
      <c r="J35" s="62" t="str">
        <f aca="false">IFERROR(COUNTIFS('01 - Job Database'!$C$3:$C$1000,"&lt;&gt;",'01 - Job Database'!$W$3:$W$1000,"&lt;&gt;Yes",'01 - Job Database'!$E$3:$E$1000,$A35,'01 - Job Database'!$AF$3:$AF$1000,"Yes")/$B$15,"")</f>
        <v/>
      </c>
      <c r="K35" s="62" t="str">
        <f aca="false">IFERROR(COUNTIFS('01 - Job Database'!$C$3:$C$1000,"&lt;&gt;",'01 - Job Database'!$W$3:$W$1000,"&lt;&gt;Yes",'01 - Job Database'!$E$3:$E$1000,$A35,'01 - Job Database'!$AG$3:$AG$1000,"Yes")/$B$15,"")</f>
        <v/>
      </c>
      <c r="L35" s="62" t="str">
        <f aca="false">IFERROR(COUNTIFS('01 - Job Database'!$C$3:$C$1000,"&lt;&gt;",'01 - Job Database'!$W$3:$W$1000,"&lt;&gt;Yes",'01 - Job Database'!$E$3:$E$1000,$A35,'01 - Job Database'!$AH$3:$AH$1000,"Yes")/$B$15,"")</f>
        <v/>
      </c>
      <c r="M35" s="62" t="str">
        <f aca="false">IFERROR(COUNTIFS('01 - Job Database'!$C$3:$C$1000,"&lt;&gt;",'01 - Job Database'!$W$3:$W$1000,"&lt;&gt;Yes",'01 - Job Database'!$E$3:$E$1000,$A35,'01 - Job Database'!$AI$3:$AI$1000,"Yes")/$B$15,"")</f>
        <v/>
      </c>
      <c r="N35" s="62" t="str">
        <f aca="false">IFERROR(COUNTIFS('01 - Job Database'!$C$3:$C$1000,"&lt;&gt;",'01 - Job Database'!$W$3:$W$1000,"&lt;&gt;Yes",'01 - Job Database'!$E$3:$E$1000,$A35,'01 - Job Database'!$AJ$3:$AJ$1000,"Yes")/$B$15,"")</f>
        <v/>
      </c>
      <c r="O35" s="62" t="str">
        <f aca="false">IFERROR(COUNTIFS('01 - Job Database'!$C$3:$C$1000,"&lt;&gt;",'01 - Job Database'!$W$3:$W$1000,"&lt;&gt;Yes",'01 - Job Database'!$E$3:$E$1000,$A35,'01 - Job Database'!$AK$3:$AK$1000,"Yes")/$B$15,"")</f>
        <v/>
      </c>
      <c r="P35" s="62" t="str">
        <f aca="false">IFERROR(COUNTIFS('01 - Job Database'!$C$3:$C$1000,"&lt;&gt;",'01 - Job Database'!$W$3:$W$1000,"&lt;&gt;Yes",'01 - Job Database'!$E$3:$E$1000,$A35,'01 - Job Database'!$AL$3:$AL$1000,"Yes")/$B$15,"")</f>
        <v/>
      </c>
      <c r="Q35" s="62" t="str">
        <f aca="false">IFERROR(COUNTIFS('01 - Job Database'!$C$3:$C$1000,"&lt;&gt;",'01 - Job Database'!$W$3:$W$1000,"&lt;&gt;Yes",'01 - Job Database'!$E$3:$E$1000,$A35,'01 - Job Database'!$AM$3:$AM$1000,"Yes")/$B$15,"")</f>
        <v/>
      </c>
      <c r="R35" s="62" t="str">
        <f aca="false">IFERROR(COUNTIFS('01 - Job Database'!$C$3:$C$1000,"&lt;&gt;",'01 - Job Database'!$W$3:$W$1000,"&lt;&gt;Yes",'01 - Job Database'!$E$3:$E$1000,$A35,'01 - Job Database'!$AN$3:$AN$1000,"Yes")/$B$15,"")</f>
        <v/>
      </c>
      <c r="S35" s="62" t="str">
        <f aca="false">IFERROR(COUNTIFS('01 - Job Database'!$C$3:$C$1000,"&lt;&gt;",'01 - Job Database'!$W$3:$W$1000,"&lt;&gt;Yes",'01 - Job Database'!$E$3:$E$1000,$A35,'01 - Job Database'!$AO$3:$AO$1000,"Yes")/$B$15,"")</f>
        <v/>
      </c>
      <c r="T35" s="62" t="str">
        <f aca="false">IFERROR(COUNTIFS('01 - Job Database'!$C$3:$C$1000,"&lt;&gt;",'01 - Job Database'!$W$3:$W$1000,"&lt;&gt;Yes",'01 - Job Database'!$E$3:$E$1000,$A35,'01 - Job Database'!$AP$3:$AP$1000,"Yes")/$B$15,"")</f>
        <v/>
      </c>
      <c r="U35" s="62" t="str">
        <f aca="false">IFERROR(COUNTIFS('01 - Job Database'!$C$3:$C$1000,"&lt;&gt;",'01 - Job Database'!$W$3:$W$1000,"&lt;&gt;Yes",'01 - Job Database'!$E$3:$E$1000,$A35,'01 - Job Database'!$AQ$3:$AQ$1000,"Yes")/$B$15,"")</f>
        <v/>
      </c>
      <c r="V35" s="62" t="str">
        <f aca="false">IFERROR(COUNTIFS('01 - Job Database'!$C$3:$C$1000,"&lt;&gt;",'01 - Job Database'!$W$3:$W$1000,"&lt;&gt;Yes",'01 - Job Database'!$E$3:$E$1000,$A35,'01 - Job Database'!$AR$3:$AR$1000,"Yes")/$B$15,"")</f>
        <v/>
      </c>
      <c r="W35" s="62" t="str">
        <f aca="false">IFERROR(COUNTIFS('01 - Job Database'!$C$3:$C$1000,"&lt;&gt;",'01 - Job Database'!$W$3:$W$1000,"&lt;&gt;Yes",'01 - Job Database'!$E$3:$E$1000,$A35,'01 - Job Database'!$AS$3:$AS$1000,"Yes")/$B$15,"")</f>
        <v/>
      </c>
      <c r="X35" s="62" t="str">
        <f aca="false">IFERROR(COUNTIFS('01 - Job Database'!$C$3:$C$1000,"&lt;&gt;",'01 - Job Database'!$W$3:$W$1000,"&lt;&gt;Yes",'01 - Job Database'!$E$3:$E$1000,$A35,'01 - Job Database'!$AT$3:$AT$1000,"Yes")/$B$15,"")</f>
        <v/>
      </c>
      <c r="Y35" s="62" t="str">
        <f aca="false">IFERROR(COUNTIFS('01 - Job Database'!$C$3:$C$1000,"&lt;&gt;",'01 - Job Database'!$W$3:$W$1000,"&lt;&gt;Yes",'01 - Job Database'!$E$3:$E$1000,$A35,'01 - Job Database'!$AU$3:$AU$1000,"Yes")/$B$15,"")</f>
        <v/>
      </c>
      <c r="Z35" s="62" t="str">
        <f aca="false">IFERROR(COUNTIFS('01 - Job Database'!$C$3:$C$1000,"&lt;&gt;",'01 - Job Database'!$W$3:$W$1000,"&lt;&gt;Yes",'01 - Job Database'!$E$3:$E$1000,$A35,'01 - Job Database'!$AV$3:$AV$1000,"Yes")/$B$15,"")</f>
        <v/>
      </c>
      <c r="AA35" s="62" t="str">
        <f aca="false">IFERROR(COUNTIFS('01 - Job Database'!$C$3:$C$1000,"&lt;&gt;",'01 - Job Database'!$W$3:$W$1000,"&lt;&gt;Yes",'01 - Job Database'!$E$3:$E$1000,$A35,'01 - Job Database'!$AW$3:$AW$1000,"Yes")/$B$15,"")</f>
        <v/>
      </c>
      <c r="AB35" s="62" t="str">
        <f aca="false">IFERROR(COUNTIFS('01 - Job Database'!$C$3:$C$1000,"&lt;&gt;",'01 - Job Database'!$W$3:$W$1000,"&lt;&gt;Yes",'01 - Job Database'!$E$3:$E$1000,$A35,'01 - Job Database'!$AX$3:$AX$1000,"Yes")/$B$15,"")</f>
        <v/>
      </c>
      <c r="AC35" s="62" t="str">
        <f aca="false">IFERROR(COUNTIFS('01 - Job Database'!$C$3:$C$1000,"&lt;&gt;",'01 - Job Database'!$W$3:$W$1000,"&lt;&gt;Yes",'01 - Job Database'!$E$3:$E$1000,$A35,'01 - Job Database'!$AY$3:$AY$1000,"Yes")/$B$15,"")</f>
        <v/>
      </c>
      <c r="AD35" s="62" t="str">
        <f aca="false">IFERROR(COUNTIFS('01 - Job Database'!$C$3:$C$1000,"&lt;&gt;",'01 - Job Database'!$W$3:$W$1000,"&lt;&gt;Yes",'01 - Job Database'!$E$3:$E$1000,$A35,'01 - Job Database'!$AZ$3:$AZ$1000,"Yes")/$B$15,"")</f>
        <v/>
      </c>
      <c r="AE35" s="62" t="str">
        <f aca="false">IFERROR(COUNTIFS('01 - Job Database'!$C$3:$C$1000,"&lt;&gt;",'01 - Job Database'!$W$3:$W$1000,"&lt;&gt;Yes",'01 - Job Database'!$E$3:$E$1000,$A35,'01 - Job Database'!$BA$3:$BA$1000,"Yes")/$B$15,"")</f>
        <v/>
      </c>
      <c r="AF35" s="62" t="str">
        <f aca="false">IFERROR(COUNTIFS('01 - Job Database'!$C$3:$C$1000,"&lt;&gt;",'01 - Job Database'!$W$3:$W$1000,"&lt;&gt;Yes",'01 - Job Database'!$E$3:$E$1000,$A35,'01 - Job Database'!$BB$3:$BB$1000,"Yes")/$B$15,"")</f>
        <v/>
      </c>
      <c r="AG35" s="62" t="str">
        <f aca="false">IFERROR(COUNTIFS('01 - Job Database'!$C$3:$C$1000,"&lt;&gt;",'01 - Job Database'!$W$3:$W$1000,"&lt;&gt;Yes",'01 - Job Database'!$E$3:$E$1000,$A35,'01 - Job Database'!$BC$3:$BC$1000,"Yes")/$B$15,"")</f>
        <v/>
      </c>
      <c r="AH35" s="62" t="str">
        <f aca="false">IFERROR(COUNTIFS('01 - Job Database'!$C$3:$C$1000,"&lt;&gt;",'01 - Job Database'!$W$3:$W$1000,"&lt;&gt;Yes",'01 - Job Database'!$E$3:$E$1000,$A35,'01 - Job Database'!$CM$3:$CM$1000,"Yes")/$B$15,"")</f>
        <v/>
      </c>
      <c r="AI35" s="62" t="str">
        <f aca="false">IFERROR(COUNTIFS('01 - Job Database'!$C$3:$C$1000,"&lt;&gt;",'01 - Job Database'!$W$3:$W$1000,"&lt;&gt;Yes",'01 - Job Database'!$E$3:$E$1000,$A35,'01 - Job Database'!$CN$3:$CN$1000,"Yes")/$B$15,"")</f>
        <v/>
      </c>
      <c r="AJ35" s="62" t="str">
        <f aca="false">IFERROR(COUNTIFS('01 - Job Database'!$C$3:$C$1000,"&lt;&gt;",'01 - Job Database'!$W$3:$W$1000,"&lt;&gt;Yes",'01 - Job Database'!$E$3:$E$1000,$A35,'01 - Job Database'!$CO$3:$CO$1000,"Yes")/$B$15,"")</f>
        <v/>
      </c>
      <c r="AK35" s="62" t="str">
        <f aca="false">IFERROR(COUNTIFS('01 - Job Database'!$C$3:$C$1000,"&lt;&gt;",'01 - Job Database'!$W$3:$W$1000,"&lt;&gt;Yes",'01 - Job Database'!$E$3:$E$1000,$A35,'01 - Job Database'!$CP$3:$CP$1000,"Yes")/$B$15,"")</f>
        <v/>
      </c>
      <c r="AL35" s="62" t="str">
        <f aca="false">IFERROR(COUNTIFS('01 - Job Database'!$C$3:$C$1000,"&lt;&gt;",'01 - Job Database'!$W$3:$W$1000,"&lt;&gt;Yes",'01 - Job Database'!$E$3:$E$1000,$A35,'01 - Job Database'!$CQ$3:$CQ$1000,"Yes")/$B$15,"")</f>
        <v/>
      </c>
      <c r="AM35" s="62" t="str">
        <f aca="false">IFERROR(COUNTIFS('01 - Job Database'!$C$3:$C$1000,"&lt;&gt;",'01 - Job Database'!$W$3:$W$1000,"&lt;&gt;Yes",'01 - Job Database'!$E$3:$E$1000,$A35,'01 - Job Database'!$CR$3:$CR$1000,"Yes")/$B$15,"")</f>
        <v/>
      </c>
      <c r="AN35" s="62" t="str">
        <f aca="false">IFERROR(COUNTIFS('01 - Job Database'!$C$3:$C$1000,"&lt;&gt;",'01 - Job Database'!$W$3:$W$1000,"&lt;&gt;Yes",'01 - Job Database'!$E$3:$E$1000,$A35,'01 - Job Database'!$CS$3:$CS$1000,"Yes")/$B$15,"")</f>
        <v/>
      </c>
      <c r="AO35" s="62" t="str">
        <f aca="false">IFERROR(COUNTIFS('01 - Job Database'!$C$3:$C$1000,"&lt;&gt;",'01 - Job Database'!$W$3:$W$1000,"&lt;&gt;Yes",'01 - Job Database'!$E$3:$E$1000,$A35,'01 - Job Database'!$CT$3:$CT$1000,"Yes")/$B$15,"")</f>
        <v/>
      </c>
      <c r="AP35" s="62" t="str">
        <f aca="false">IFERROR(COUNTIFS('01 - Job Database'!$C$3:$C$1000,"&lt;&gt;",'01 - Job Database'!$W$3:$W$1000,"&lt;&gt;Yes",'01 - Job Database'!$E$3:$E$1000,$A35,'01 - Job Database'!$CU$3:$CU$1000,"Yes")/$B$15,"")</f>
        <v/>
      </c>
      <c r="AQ35" s="62" t="str">
        <f aca="false">IFERROR(COUNTIFS('01 - Job Database'!$C$3:$C$1000,"&lt;&gt;",'01 - Job Database'!$W$3:$W$1000,"&lt;&gt;Yes",'01 - Job Database'!$E$3:$E$1000,$A35,'01 - Job Database'!$CV$3:$CV$1000,"Yes")/$B$15,"")</f>
        <v/>
      </c>
      <c r="AR35" s="62" t="str">
        <f aca="false">IFERROR(COUNTIFS('01 - Job Database'!$C$3:$C$1000,"&lt;&gt;",'01 - Job Database'!$W$3:$W$1000,"&lt;&gt;Yes",'01 - Job Database'!$E$3:$E$1000,$A35,'01 - Job Database'!$CW$3:$CW$1000,"Yes")/$B$15,"")</f>
        <v/>
      </c>
    </row>
    <row r="36" customFormat="false" ht="15" hidden="false" customHeight="true" outlineLevel="0" collapsed="false">
      <c r="A36" s="39" t="s">
        <v>242</v>
      </c>
      <c r="B36" s="62" t="str">
        <f aca="false">IFERROR(COUNTIFS('01 - Job Database'!$C$3:$C$1000,"&lt;&gt;",'01 - Job Database'!$W$3:$W$1000,"&lt;&gt;Yes",'01 - Job Database'!$E$3:$E$1000,$A36,'01 - Job Database'!$X$3:$X$1000,"Yes")/$B$16,"")</f>
        <v/>
      </c>
      <c r="C36" s="62" t="str">
        <f aca="false">IFERROR(COUNTIFS('01 - Job Database'!$C$3:$C$1000,"&lt;&gt;",'01 - Job Database'!$W$3:$W$1000,"&lt;&gt;Yes",'01 - Job Database'!$E$3:$E$1000,$A36,'01 - Job Database'!$Y$3:$Y$1000,"Yes")/$B$16,"")</f>
        <v/>
      </c>
      <c r="D36" s="62" t="str">
        <f aca="false">IFERROR(COUNTIFS('01 - Job Database'!$C$3:$C$1000,"&lt;&gt;",'01 - Job Database'!$W$3:$W$1000,"&lt;&gt;Yes",'01 - Job Database'!$E$3:$E$1000,$A36,'01 - Job Database'!$Z$3:$Z$1000,"Yes")/$B$16,"")</f>
        <v/>
      </c>
      <c r="E36" s="62" t="str">
        <f aca="false">IFERROR(COUNTIFS('01 - Job Database'!$C$3:$C$1000,"&lt;&gt;",'01 - Job Database'!$W$3:$W$1000,"&lt;&gt;Yes",'01 - Job Database'!$E$3:$E$1000,$A36,'01 - Job Database'!$AA$3:$AA$1000,"Yes")/$B$16,"")</f>
        <v/>
      </c>
      <c r="F36" s="62" t="str">
        <f aca="false">IFERROR(COUNTIFS('01 - Job Database'!$C$3:$C$1000,"&lt;&gt;",'01 - Job Database'!$W$3:$W$1000,"&lt;&gt;Yes",'01 - Job Database'!$E$3:$E$1000,$A36,'01 - Job Database'!$AB$3:$AB$1000,"Yes")/$B$16,"")</f>
        <v/>
      </c>
      <c r="G36" s="62" t="str">
        <f aca="false">IFERROR(COUNTIFS('01 - Job Database'!$C$3:$C$1000,"&lt;&gt;",'01 - Job Database'!$W$3:$W$1000,"&lt;&gt;Yes",'01 - Job Database'!$E$3:$E$1000,$A36,'01 - Job Database'!$AC$3:$AC$1000,"Yes")/$B$16,"")</f>
        <v/>
      </c>
      <c r="H36" s="62" t="str">
        <f aca="false">IFERROR(COUNTIFS('01 - Job Database'!$C$3:$C$1000,"&lt;&gt;",'01 - Job Database'!$W$3:$W$1000,"&lt;&gt;Yes",'01 - Job Database'!$E$3:$E$1000,$A36,'01 - Job Database'!$AD$3:$AD$1000,"Yes")/$B$16,"")</f>
        <v/>
      </c>
      <c r="I36" s="62" t="str">
        <f aca="false">IFERROR(COUNTIFS('01 - Job Database'!$C$3:$C$1000,"&lt;&gt;",'01 - Job Database'!$W$3:$W$1000,"&lt;&gt;Yes",'01 - Job Database'!$E$3:$E$1000,$A36,'01 - Job Database'!$AE$3:$AE$1000,"Yes")/$B$16,"")</f>
        <v/>
      </c>
      <c r="J36" s="62" t="str">
        <f aca="false">IFERROR(COUNTIFS('01 - Job Database'!$C$3:$C$1000,"&lt;&gt;",'01 - Job Database'!$W$3:$W$1000,"&lt;&gt;Yes",'01 - Job Database'!$E$3:$E$1000,$A36,'01 - Job Database'!$AF$3:$AF$1000,"Yes")/$B$16,"")</f>
        <v/>
      </c>
      <c r="K36" s="62" t="str">
        <f aca="false">IFERROR(COUNTIFS('01 - Job Database'!$C$3:$C$1000,"&lt;&gt;",'01 - Job Database'!$W$3:$W$1000,"&lt;&gt;Yes",'01 - Job Database'!$E$3:$E$1000,$A36,'01 - Job Database'!$AG$3:$AG$1000,"Yes")/$B$16,"")</f>
        <v/>
      </c>
      <c r="L36" s="62" t="str">
        <f aca="false">IFERROR(COUNTIFS('01 - Job Database'!$C$3:$C$1000,"&lt;&gt;",'01 - Job Database'!$W$3:$W$1000,"&lt;&gt;Yes",'01 - Job Database'!$E$3:$E$1000,$A36,'01 - Job Database'!$AH$3:$AH$1000,"Yes")/$B$16,"")</f>
        <v/>
      </c>
      <c r="M36" s="62" t="str">
        <f aca="false">IFERROR(COUNTIFS('01 - Job Database'!$C$3:$C$1000,"&lt;&gt;",'01 - Job Database'!$W$3:$W$1000,"&lt;&gt;Yes",'01 - Job Database'!$E$3:$E$1000,$A36,'01 - Job Database'!$AI$3:$AI$1000,"Yes")/$B$16,"")</f>
        <v/>
      </c>
      <c r="N36" s="62" t="str">
        <f aca="false">IFERROR(COUNTIFS('01 - Job Database'!$C$3:$C$1000,"&lt;&gt;",'01 - Job Database'!$W$3:$W$1000,"&lt;&gt;Yes",'01 - Job Database'!$E$3:$E$1000,$A36,'01 - Job Database'!$AJ$3:$AJ$1000,"Yes")/$B$16,"")</f>
        <v/>
      </c>
      <c r="O36" s="62" t="str">
        <f aca="false">IFERROR(COUNTIFS('01 - Job Database'!$C$3:$C$1000,"&lt;&gt;",'01 - Job Database'!$W$3:$W$1000,"&lt;&gt;Yes",'01 - Job Database'!$E$3:$E$1000,$A36,'01 - Job Database'!$AK$3:$AK$1000,"Yes")/$B$16,"")</f>
        <v/>
      </c>
      <c r="P36" s="62" t="str">
        <f aca="false">IFERROR(COUNTIFS('01 - Job Database'!$C$3:$C$1000,"&lt;&gt;",'01 - Job Database'!$W$3:$W$1000,"&lt;&gt;Yes",'01 - Job Database'!$E$3:$E$1000,$A36,'01 - Job Database'!$AL$3:$AL$1000,"Yes")/$B$16,"")</f>
        <v/>
      </c>
      <c r="Q36" s="62" t="str">
        <f aca="false">IFERROR(COUNTIFS('01 - Job Database'!$C$3:$C$1000,"&lt;&gt;",'01 - Job Database'!$W$3:$W$1000,"&lt;&gt;Yes",'01 - Job Database'!$E$3:$E$1000,$A36,'01 - Job Database'!$AM$3:$AM$1000,"Yes")/$B$16,"")</f>
        <v/>
      </c>
      <c r="R36" s="62" t="str">
        <f aca="false">IFERROR(COUNTIFS('01 - Job Database'!$C$3:$C$1000,"&lt;&gt;",'01 - Job Database'!$W$3:$W$1000,"&lt;&gt;Yes",'01 - Job Database'!$E$3:$E$1000,$A36,'01 - Job Database'!$AN$3:$AN$1000,"Yes")/$B$16,"")</f>
        <v/>
      </c>
      <c r="S36" s="62" t="str">
        <f aca="false">IFERROR(COUNTIFS('01 - Job Database'!$C$3:$C$1000,"&lt;&gt;",'01 - Job Database'!$W$3:$W$1000,"&lt;&gt;Yes",'01 - Job Database'!$E$3:$E$1000,$A36,'01 - Job Database'!$AO$3:$AO$1000,"Yes")/$B$16,"")</f>
        <v/>
      </c>
      <c r="T36" s="62" t="str">
        <f aca="false">IFERROR(COUNTIFS('01 - Job Database'!$C$3:$C$1000,"&lt;&gt;",'01 - Job Database'!$W$3:$W$1000,"&lt;&gt;Yes",'01 - Job Database'!$E$3:$E$1000,$A36,'01 - Job Database'!$AP$3:$AP$1000,"Yes")/$B$16,"")</f>
        <v/>
      </c>
      <c r="U36" s="62" t="str">
        <f aca="false">IFERROR(COUNTIFS('01 - Job Database'!$C$3:$C$1000,"&lt;&gt;",'01 - Job Database'!$W$3:$W$1000,"&lt;&gt;Yes",'01 - Job Database'!$E$3:$E$1000,$A36,'01 - Job Database'!$AQ$3:$AQ$1000,"Yes")/$B$16,"")</f>
        <v/>
      </c>
      <c r="V36" s="62" t="str">
        <f aca="false">IFERROR(COUNTIFS('01 - Job Database'!$C$3:$C$1000,"&lt;&gt;",'01 - Job Database'!$W$3:$W$1000,"&lt;&gt;Yes",'01 - Job Database'!$E$3:$E$1000,$A36,'01 - Job Database'!$AR$3:$AR$1000,"Yes")/$B$16,"")</f>
        <v/>
      </c>
      <c r="W36" s="62" t="str">
        <f aca="false">IFERROR(COUNTIFS('01 - Job Database'!$C$3:$C$1000,"&lt;&gt;",'01 - Job Database'!$W$3:$W$1000,"&lt;&gt;Yes",'01 - Job Database'!$E$3:$E$1000,$A36,'01 - Job Database'!$AS$3:$AS$1000,"Yes")/$B$16,"")</f>
        <v/>
      </c>
      <c r="X36" s="62" t="str">
        <f aca="false">IFERROR(COUNTIFS('01 - Job Database'!$C$3:$C$1000,"&lt;&gt;",'01 - Job Database'!$W$3:$W$1000,"&lt;&gt;Yes",'01 - Job Database'!$E$3:$E$1000,$A36,'01 - Job Database'!$AT$3:$AT$1000,"Yes")/$B$16,"")</f>
        <v/>
      </c>
      <c r="Y36" s="62" t="str">
        <f aca="false">IFERROR(COUNTIFS('01 - Job Database'!$C$3:$C$1000,"&lt;&gt;",'01 - Job Database'!$W$3:$W$1000,"&lt;&gt;Yes",'01 - Job Database'!$E$3:$E$1000,$A36,'01 - Job Database'!$AU$3:$AU$1000,"Yes")/$B$16,"")</f>
        <v/>
      </c>
      <c r="Z36" s="62" t="str">
        <f aca="false">IFERROR(COUNTIFS('01 - Job Database'!$C$3:$C$1000,"&lt;&gt;",'01 - Job Database'!$W$3:$W$1000,"&lt;&gt;Yes",'01 - Job Database'!$E$3:$E$1000,$A36,'01 - Job Database'!$AV$3:$AV$1000,"Yes")/$B$16,"")</f>
        <v/>
      </c>
      <c r="AA36" s="62" t="str">
        <f aca="false">IFERROR(COUNTIFS('01 - Job Database'!$C$3:$C$1000,"&lt;&gt;",'01 - Job Database'!$W$3:$W$1000,"&lt;&gt;Yes",'01 - Job Database'!$E$3:$E$1000,$A36,'01 - Job Database'!$AW$3:$AW$1000,"Yes")/$B$16,"")</f>
        <v/>
      </c>
      <c r="AB36" s="62" t="str">
        <f aca="false">IFERROR(COUNTIFS('01 - Job Database'!$C$3:$C$1000,"&lt;&gt;",'01 - Job Database'!$W$3:$W$1000,"&lt;&gt;Yes",'01 - Job Database'!$E$3:$E$1000,$A36,'01 - Job Database'!$AX$3:$AX$1000,"Yes")/$B$16,"")</f>
        <v/>
      </c>
      <c r="AC36" s="62" t="str">
        <f aca="false">IFERROR(COUNTIFS('01 - Job Database'!$C$3:$C$1000,"&lt;&gt;",'01 - Job Database'!$W$3:$W$1000,"&lt;&gt;Yes",'01 - Job Database'!$E$3:$E$1000,$A36,'01 - Job Database'!$AY$3:$AY$1000,"Yes")/$B$16,"")</f>
        <v/>
      </c>
      <c r="AD36" s="62" t="str">
        <f aca="false">IFERROR(COUNTIFS('01 - Job Database'!$C$3:$C$1000,"&lt;&gt;",'01 - Job Database'!$W$3:$W$1000,"&lt;&gt;Yes",'01 - Job Database'!$E$3:$E$1000,$A36,'01 - Job Database'!$AZ$3:$AZ$1000,"Yes")/$B$16,"")</f>
        <v/>
      </c>
      <c r="AE36" s="62" t="str">
        <f aca="false">IFERROR(COUNTIFS('01 - Job Database'!$C$3:$C$1000,"&lt;&gt;",'01 - Job Database'!$W$3:$W$1000,"&lt;&gt;Yes",'01 - Job Database'!$E$3:$E$1000,$A36,'01 - Job Database'!$BA$3:$BA$1000,"Yes")/$B$16,"")</f>
        <v/>
      </c>
      <c r="AF36" s="62" t="str">
        <f aca="false">IFERROR(COUNTIFS('01 - Job Database'!$C$3:$C$1000,"&lt;&gt;",'01 - Job Database'!$W$3:$W$1000,"&lt;&gt;Yes",'01 - Job Database'!$E$3:$E$1000,$A36,'01 - Job Database'!$BB$3:$BB$1000,"Yes")/$B$16,"")</f>
        <v/>
      </c>
      <c r="AG36" s="62" t="str">
        <f aca="false">IFERROR(COUNTIFS('01 - Job Database'!$C$3:$C$1000,"&lt;&gt;",'01 - Job Database'!$W$3:$W$1000,"&lt;&gt;Yes",'01 - Job Database'!$E$3:$E$1000,$A36,'01 - Job Database'!$BC$3:$BC$1000,"Yes")/$B$16,"")</f>
        <v/>
      </c>
      <c r="AH36" s="62" t="str">
        <f aca="false">IFERROR(COUNTIFS('01 - Job Database'!$C$3:$C$1000,"&lt;&gt;",'01 - Job Database'!$W$3:$W$1000,"&lt;&gt;Yes",'01 - Job Database'!$E$3:$E$1000,$A36,'01 - Job Database'!$CM$3:$CM$1000,"Yes")/$B$16,"")</f>
        <v/>
      </c>
      <c r="AI36" s="62" t="str">
        <f aca="false">IFERROR(COUNTIFS('01 - Job Database'!$C$3:$C$1000,"&lt;&gt;",'01 - Job Database'!$W$3:$W$1000,"&lt;&gt;Yes",'01 - Job Database'!$E$3:$E$1000,$A36,'01 - Job Database'!$CN$3:$CN$1000,"Yes")/$B$16,"")</f>
        <v/>
      </c>
      <c r="AJ36" s="62" t="str">
        <f aca="false">IFERROR(COUNTIFS('01 - Job Database'!$C$3:$C$1000,"&lt;&gt;",'01 - Job Database'!$W$3:$W$1000,"&lt;&gt;Yes",'01 - Job Database'!$E$3:$E$1000,$A36,'01 - Job Database'!$CO$3:$CO$1000,"Yes")/$B$16,"")</f>
        <v/>
      </c>
      <c r="AK36" s="62" t="str">
        <f aca="false">IFERROR(COUNTIFS('01 - Job Database'!$C$3:$C$1000,"&lt;&gt;",'01 - Job Database'!$W$3:$W$1000,"&lt;&gt;Yes",'01 - Job Database'!$E$3:$E$1000,$A36,'01 - Job Database'!$CP$3:$CP$1000,"Yes")/$B$16,"")</f>
        <v/>
      </c>
      <c r="AL36" s="62" t="str">
        <f aca="false">IFERROR(COUNTIFS('01 - Job Database'!$C$3:$C$1000,"&lt;&gt;",'01 - Job Database'!$W$3:$W$1000,"&lt;&gt;Yes",'01 - Job Database'!$E$3:$E$1000,$A36,'01 - Job Database'!$CQ$3:$CQ$1000,"Yes")/$B$16,"")</f>
        <v/>
      </c>
      <c r="AM36" s="62" t="str">
        <f aca="false">IFERROR(COUNTIFS('01 - Job Database'!$C$3:$C$1000,"&lt;&gt;",'01 - Job Database'!$W$3:$W$1000,"&lt;&gt;Yes",'01 - Job Database'!$E$3:$E$1000,$A36,'01 - Job Database'!$CR$3:$CR$1000,"Yes")/$B$16,"")</f>
        <v/>
      </c>
      <c r="AN36" s="62" t="str">
        <f aca="false">IFERROR(COUNTIFS('01 - Job Database'!$C$3:$C$1000,"&lt;&gt;",'01 - Job Database'!$W$3:$W$1000,"&lt;&gt;Yes",'01 - Job Database'!$E$3:$E$1000,$A36,'01 - Job Database'!$CS$3:$CS$1000,"Yes")/$B$16,"")</f>
        <v/>
      </c>
      <c r="AO36" s="62" t="str">
        <f aca="false">IFERROR(COUNTIFS('01 - Job Database'!$C$3:$C$1000,"&lt;&gt;",'01 - Job Database'!$W$3:$W$1000,"&lt;&gt;Yes",'01 - Job Database'!$E$3:$E$1000,$A36,'01 - Job Database'!$CT$3:$CT$1000,"Yes")/$B$16,"")</f>
        <v/>
      </c>
      <c r="AP36" s="62" t="str">
        <f aca="false">IFERROR(COUNTIFS('01 - Job Database'!$C$3:$C$1000,"&lt;&gt;",'01 - Job Database'!$W$3:$W$1000,"&lt;&gt;Yes",'01 - Job Database'!$E$3:$E$1000,$A36,'01 - Job Database'!$CU$3:$CU$1000,"Yes")/$B$16,"")</f>
        <v/>
      </c>
      <c r="AQ36" s="62" t="str">
        <f aca="false">IFERROR(COUNTIFS('01 - Job Database'!$C$3:$C$1000,"&lt;&gt;",'01 - Job Database'!$W$3:$W$1000,"&lt;&gt;Yes",'01 - Job Database'!$E$3:$E$1000,$A36,'01 - Job Database'!$CV$3:$CV$1000,"Yes")/$B$16,"")</f>
        <v/>
      </c>
      <c r="AR36" s="62" t="str">
        <f aca="false">IFERROR(COUNTIFS('01 - Job Database'!$C$3:$C$1000,"&lt;&gt;",'01 - Job Database'!$W$3:$W$1000,"&lt;&gt;Yes",'01 - Job Database'!$E$3:$E$1000,$A36,'01 - Job Database'!$CW$3:$CW$1000,"Yes")/$B$16,"")</f>
        <v/>
      </c>
    </row>
    <row r="37" customFormat="false" ht="15" hidden="false" customHeight="true" outlineLevel="0" collapsed="false">
      <c r="A37" s="39" t="s">
        <v>243</v>
      </c>
      <c r="B37" s="62" t="str">
        <f aca="false">IFERROR(COUNTIFS('01 - Job Database'!$C$3:$C$1000,"&lt;&gt;",'01 - Job Database'!$W$3:$W$1000,"&lt;&gt;Yes",'01 - Job Database'!$E$3:$E$1000,$A37,'01 - Job Database'!$X$3:$X$1000,"Yes")/$B$17,"")</f>
        <v/>
      </c>
      <c r="C37" s="62" t="str">
        <f aca="false">IFERROR(COUNTIFS('01 - Job Database'!$C$3:$C$1000,"&lt;&gt;",'01 - Job Database'!$W$3:$W$1000,"&lt;&gt;Yes",'01 - Job Database'!$E$3:$E$1000,$A37,'01 - Job Database'!$Y$3:$Y$1000,"Yes")/$B$17,"")</f>
        <v/>
      </c>
      <c r="D37" s="62" t="str">
        <f aca="false">IFERROR(COUNTIFS('01 - Job Database'!$C$3:$C$1000,"&lt;&gt;",'01 - Job Database'!$W$3:$W$1000,"&lt;&gt;Yes",'01 - Job Database'!$E$3:$E$1000,$A37,'01 - Job Database'!$Z$3:$Z$1000,"Yes")/$B$17,"")</f>
        <v/>
      </c>
      <c r="E37" s="62" t="str">
        <f aca="false">IFERROR(COUNTIFS('01 - Job Database'!$C$3:$C$1000,"&lt;&gt;",'01 - Job Database'!$W$3:$W$1000,"&lt;&gt;Yes",'01 - Job Database'!$E$3:$E$1000,$A37,'01 - Job Database'!$AA$3:$AA$1000,"Yes")/$B$17,"")</f>
        <v/>
      </c>
      <c r="F37" s="62" t="str">
        <f aca="false">IFERROR(COUNTIFS('01 - Job Database'!$C$3:$C$1000,"&lt;&gt;",'01 - Job Database'!$W$3:$W$1000,"&lt;&gt;Yes",'01 - Job Database'!$E$3:$E$1000,$A37,'01 - Job Database'!$AB$3:$AB$1000,"Yes")/$B$17,"")</f>
        <v/>
      </c>
      <c r="G37" s="62" t="str">
        <f aca="false">IFERROR(COUNTIFS('01 - Job Database'!$C$3:$C$1000,"&lt;&gt;",'01 - Job Database'!$W$3:$W$1000,"&lt;&gt;Yes",'01 - Job Database'!$E$3:$E$1000,$A37,'01 - Job Database'!$AC$3:$AC$1000,"Yes")/$B$17,"")</f>
        <v/>
      </c>
      <c r="H37" s="62" t="str">
        <f aca="false">IFERROR(COUNTIFS('01 - Job Database'!$C$3:$C$1000,"&lt;&gt;",'01 - Job Database'!$W$3:$W$1000,"&lt;&gt;Yes",'01 - Job Database'!$E$3:$E$1000,$A37,'01 - Job Database'!$AD$3:$AD$1000,"Yes")/$B$17,"")</f>
        <v/>
      </c>
      <c r="I37" s="62" t="str">
        <f aca="false">IFERROR(COUNTIFS('01 - Job Database'!$C$3:$C$1000,"&lt;&gt;",'01 - Job Database'!$W$3:$W$1000,"&lt;&gt;Yes",'01 - Job Database'!$E$3:$E$1000,$A37,'01 - Job Database'!$AE$3:$AE$1000,"Yes")/$B$17,"")</f>
        <v/>
      </c>
      <c r="J37" s="62" t="str">
        <f aca="false">IFERROR(COUNTIFS('01 - Job Database'!$C$3:$C$1000,"&lt;&gt;",'01 - Job Database'!$W$3:$W$1000,"&lt;&gt;Yes",'01 - Job Database'!$E$3:$E$1000,$A37,'01 - Job Database'!$AF$3:$AF$1000,"Yes")/$B$17,"")</f>
        <v/>
      </c>
      <c r="K37" s="62" t="str">
        <f aca="false">IFERROR(COUNTIFS('01 - Job Database'!$C$3:$C$1000,"&lt;&gt;",'01 - Job Database'!$W$3:$W$1000,"&lt;&gt;Yes",'01 - Job Database'!$E$3:$E$1000,$A37,'01 - Job Database'!$AG$3:$AG$1000,"Yes")/$B$17,"")</f>
        <v/>
      </c>
      <c r="L37" s="62" t="str">
        <f aca="false">IFERROR(COUNTIFS('01 - Job Database'!$C$3:$C$1000,"&lt;&gt;",'01 - Job Database'!$W$3:$W$1000,"&lt;&gt;Yes",'01 - Job Database'!$E$3:$E$1000,$A37,'01 - Job Database'!$AH$3:$AH$1000,"Yes")/$B$17,"")</f>
        <v/>
      </c>
      <c r="M37" s="62" t="str">
        <f aca="false">IFERROR(COUNTIFS('01 - Job Database'!$C$3:$C$1000,"&lt;&gt;",'01 - Job Database'!$W$3:$W$1000,"&lt;&gt;Yes",'01 - Job Database'!$E$3:$E$1000,$A37,'01 - Job Database'!$AI$3:$AI$1000,"Yes")/$B$17,"")</f>
        <v/>
      </c>
      <c r="N37" s="62" t="str">
        <f aca="false">IFERROR(COUNTIFS('01 - Job Database'!$C$3:$C$1000,"&lt;&gt;",'01 - Job Database'!$W$3:$W$1000,"&lt;&gt;Yes",'01 - Job Database'!$E$3:$E$1000,$A37,'01 - Job Database'!$AJ$3:$AJ$1000,"Yes")/$B$17,"")</f>
        <v/>
      </c>
      <c r="O37" s="62" t="str">
        <f aca="false">IFERROR(COUNTIFS('01 - Job Database'!$C$3:$C$1000,"&lt;&gt;",'01 - Job Database'!$W$3:$W$1000,"&lt;&gt;Yes",'01 - Job Database'!$E$3:$E$1000,$A37,'01 - Job Database'!$AK$3:$AK$1000,"Yes")/$B$17,"")</f>
        <v/>
      </c>
      <c r="P37" s="62" t="str">
        <f aca="false">IFERROR(COUNTIFS('01 - Job Database'!$C$3:$C$1000,"&lt;&gt;",'01 - Job Database'!$W$3:$W$1000,"&lt;&gt;Yes",'01 - Job Database'!$E$3:$E$1000,$A37,'01 - Job Database'!$AL$3:$AL$1000,"Yes")/$B$17,"")</f>
        <v/>
      </c>
      <c r="Q37" s="62" t="str">
        <f aca="false">IFERROR(COUNTIFS('01 - Job Database'!$C$3:$C$1000,"&lt;&gt;",'01 - Job Database'!$W$3:$W$1000,"&lt;&gt;Yes",'01 - Job Database'!$E$3:$E$1000,$A37,'01 - Job Database'!$AM$3:$AM$1000,"Yes")/$B$17,"")</f>
        <v/>
      </c>
      <c r="R37" s="62" t="str">
        <f aca="false">IFERROR(COUNTIFS('01 - Job Database'!$C$3:$C$1000,"&lt;&gt;",'01 - Job Database'!$W$3:$W$1000,"&lt;&gt;Yes",'01 - Job Database'!$E$3:$E$1000,$A37,'01 - Job Database'!$AN$3:$AN$1000,"Yes")/$B$17,"")</f>
        <v/>
      </c>
      <c r="S37" s="62" t="str">
        <f aca="false">IFERROR(COUNTIFS('01 - Job Database'!$C$3:$C$1000,"&lt;&gt;",'01 - Job Database'!$W$3:$W$1000,"&lt;&gt;Yes",'01 - Job Database'!$E$3:$E$1000,$A37,'01 - Job Database'!$AO$3:$AO$1000,"Yes")/$B$17,"")</f>
        <v/>
      </c>
      <c r="T37" s="62" t="str">
        <f aca="false">IFERROR(COUNTIFS('01 - Job Database'!$C$3:$C$1000,"&lt;&gt;",'01 - Job Database'!$W$3:$W$1000,"&lt;&gt;Yes",'01 - Job Database'!$E$3:$E$1000,$A37,'01 - Job Database'!$AP$3:$AP$1000,"Yes")/$B$17,"")</f>
        <v/>
      </c>
      <c r="U37" s="62" t="str">
        <f aca="false">IFERROR(COUNTIFS('01 - Job Database'!$C$3:$C$1000,"&lt;&gt;",'01 - Job Database'!$W$3:$W$1000,"&lt;&gt;Yes",'01 - Job Database'!$E$3:$E$1000,$A37,'01 - Job Database'!$AQ$3:$AQ$1000,"Yes")/$B$17,"")</f>
        <v/>
      </c>
      <c r="V37" s="62" t="str">
        <f aca="false">IFERROR(COUNTIFS('01 - Job Database'!$C$3:$C$1000,"&lt;&gt;",'01 - Job Database'!$W$3:$W$1000,"&lt;&gt;Yes",'01 - Job Database'!$E$3:$E$1000,$A37,'01 - Job Database'!$AR$3:$AR$1000,"Yes")/$B$17,"")</f>
        <v/>
      </c>
      <c r="W37" s="62" t="str">
        <f aca="false">IFERROR(COUNTIFS('01 - Job Database'!$C$3:$C$1000,"&lt;&gt;",'01 - Job Database'!$W$3:$W$1000,"&lt;&gt;Yes",'01 - Job Database'!$E$3:$E$1000,$A37,'01 - Job Database'!$AS$3:$AS$1000,"Yes")/$B$17,"")</f>
        <v/>
      </c>
      <c r="X37" s="62" t="str">
        <f aca="false">IFERROR(COUNTIFS('01 - Job Database'!$C$3:$C$1000,"&lt;&gt;",'01 - Job Database'!$W$3:$W$1000,"&lt;&gt;Yes",'01 - Job Database'!$E$3:$E$1000,$A37,'01 - Job Database'!$AT$3:$AT$1000,"Yes")/$B$17,"")</f>
        <v/>
      </c>
      <c r="Y37" s="62" t="str">
        <f aca="false">IFERROR(COUNTIFS('01 - Job Database'!$C$3:$C$1000,"&lt;&gt;",'01 - Job Database'!$W$3:$W$1000,"&lt;&gt;Yes",'01 - Job Database'!$E$3:$E$1000,$A37,'01 - Job Database'!$AU$3:$AU$1000,"Yes")/$B$17,"")</f>
        <v/>
      </c>
      <c r="Z37" s="62" t="str">
        <f aca="false">IFERROR(COUNTIFS('01 - Job Database'!$C$3:$C$1000,"&lt;&gt;",'01 - Job Database'!$W$3:$W$1000,"&lt;&gt;Yes",'01 - Job Database'!$E$3:$E$1000,$A37,'01 - Job Database'!$AV$3:$AV$1000,"Yes")/$B$17,"")</f>
        <v/>
      </c>
      <c r="AA37" s="62" t="str">
        <f aca="false">IFERROR(COUNTIFS('01 - Job Database'!$C$3:$C$1000,"&lt;&gt;",'01 - Job Database'!$W$3:$W$1000,"&lt;&gt;Yes",'01 - Job Database'!$E$3:$E$1000,$A37,'01 - Job Database'!$AW$3:$AW$1000,"Yes")/$B$17,"")</f>
        <v/>
      </c>
      <c r="AB37" s="62" t="str">
        <f aca="false">IFERROR(COUNTIFS('01 - Job Database'!$C$3:$C$1000,"&lt;&gt;",'01 - Job Database'!$W$3:$W$1000,"&lt;&gt;Yes",'01 - Job Database'!$E$3:$E$1000,$A37,'01 - Job Database'!$AX$3:$AX$1000,"Yes")/$B$17,"")</f>
        <v/>
      </c>
      <c r="AC37" s="62" t="str">
        <f aca="false">IFERROR(COUNTIFS('01 - Job Database'!$C$3:$C$1000,"&lt;&gt;",'01 - Job Database'!$W$3:$W$1000,"&lt;&gt;Yes",'01 - Job Database'!$E$3:$E$1000,$A37,'01 - Job Database'!$AY$3:$AY$1000,"Yes")/$B$17,"")</f>
        <v/>
      </c>
      <c r="AD37" s="62" t="str">
        <f aca="false">IFERROR(COUNTIFS('01 - Job Database'!$C$3:$C$1000,"&lt;&gt;",'01 - Job Database'!$W$3:$W$1000,"&lt;&gt;Yes",'01 - Job Database'!$E$3:$E$1000,$A37,'01 - Job Database'!$AZ$3:$AZ$1000,"Yes")/$B$17,"")</f>
        <v/>
      </c>
      <c r="AE37" s="62" t="str">
        <f aca="false">IFERROR(COUNTIFS('01 - Job Database'!$C$3:$C$1000,"&lt;&gt;",'01 - Job Database'!$W$3:$W$1000,"&lt;&gt;Yes",'01 - Job Database'!$E$3:$E$1000,$A37,'01 - Job Database'!$BA$3:$BA$1000,"Yes")/$B$17,"")</f>
        <v/>
      </c>
      <c r="AF37" s="62" t="str">
        <f aca="false">IFERROR(COUNTIFS('01 - Job Database'!$C$3:$C$1000,"&lt;&gt;",'01 - Job Database'!$W$3:$W$1000,"&lt;&gt;Yes",'01 - Job Database'!$E$3:$E$1000,$A37,'01 - Job Database'!$BB$3:$BB$1000,"Yes")/$B$17,"")</f>
        <v/>
      </c>
      <c r="AG37" s="62" t="str">
        <f aca="false">IFERROR(COUNTIFS('01 - Job Database'!$C$3:$C$1000,"&lt;&gt;",'01 - Job Database'!$W$3:$W$1000,"&lt;&gt;Yes",'01 - Job Database'!$E$3:$E$1000,$A37,'01 - Job Database'!$BC$3:$BC$1000,"Yes")/$B$17,"")</f>
        <v/>
      </c>
      <c r="AH37" s="62" t="str">
        <f aca="false">IFERROR(COUNTIFS('01 - Job Database'!$C$3:$C$1000,"&lt;&gt;",'01 - Job Database'!$W$3:$W$1000,"&lt;&gt;Yes",'01 - Job Database'!$E$3:$E$1000,$A37,'01 - Job Database'!$CM$3:$CM$1000,"Yes")/$B$17,"")</f>
        <v/>
      </c>
      <c r="AI37" s="62" t="str">
        <f aca="false">IFERROR(COUNTIFS('01 - Job Database'!$C$3:$C$1000,"&lt;&gt;",'01 - Job Database'!$W$3:$W$1000,"&lt;&gt;Yes",'01 - Job Database'!$E$3:$E$1000,$A37,'01 - Job Database'!$CN$3:$CN$1000,"Yes")/$B$17,"")</f>
        <v/>
      </c>
      <c r="AJ37" s="62" t="str">
        <f aca="false">IFERROR(COUNTIFS('01 - Job Database'!$C$3:$C$1000,"&lt;&gt;",'01 - Job Database'!$W$3:$W$1000,"&lt;&gt;Yes",'01 - Job Database'!$E$3:$E$1000,$A37,'01 - Job Database'!$CO$3:$CO$1000,"Yes")/$B$17,"")</f>
        <v/>
      </c>
      <c r="AK37" s="62" t="str">
        <f aca="false">IFERROR(COUNTIFS('01 - Job Database'!$C$3:$C$1000,"&lt;&gt;",'01 - Job Database'!$W$3:$W$1000,"&lt;&gt;Yes",'01 - Job Database'!$E$3:$E$1000,$A37,'01 - Job Database'!$CP$3:$CP$1000,"Yes")/$B$17,"")</f>
        <v/>
      </c>
      <c r="AL37" s="62" t="str">
        <f aca="false">IFERROR(COUNTIFS('01 - Job Database'!$C$3:$C$1000,"&lt;&gt;",'01 - Job Database'!$W$3:$W$1000,"&lt;&gt;Yes",'01 - Job Database'!$E$3:$E$1000,$A37,'01 - Job Database'!$CQ$3:$CQ$1000,"Yes")/$B$17,"")</f>
        <v/>
      </c>
      <c r="AM37" s="62" t="str">
        <f aca="false">IFERROR(COUNTIFS('01 - Job Database'!$C$3:$C$1000,"&lt;&gt;",'01 - Job Database'!$W$3:$W$1000,"&lt;&gt;Yes",'01 - Job Database'!$E$3:$E$1000,$A37,'01 - Job Database'!$CR$3:$CR$1000,"Yes")/$B$17,"")</f>
        <v/>
      </c>
      <c r="AN37" s="62" t="str">
        <f aca="false">IFERROR(COUNTIFS('01 - Job Database'!$C$3:$C$1000,"&lt;&gt;",'01 - Job Database'!$W$3:$W$1000,"&lt;&gt;Yes",'01 - Job Database'!$E$3:$E$1000,$A37,'01 - Job Database'!$CS$3:$CS$1000,"Yes")/$B$17,"")</f>
        <v/>
      </c>
      <c r="AO37" s="62" t="str">
        <f aca="false">IFERROR(COUNTIFS('01 - Job Database'!$C$3:$C$1000,"&lt;&gt;",'01 - Job Database'!$W$3:$W$1000,"&lt;&gt;Yes",'01 - Job Database'!$E$3:$E$1000,$A37,'01 - Job Database'!$CT$3:$CT$1000,"Yes")/$B$17,"")</f>
        <v/>
      </c>
      <c r="AP37" s="62" t="str">
        <f aca="false">IFERROR(COUNTIFS('01 - Job Database'!$C$3:$C$1000,"&lt;&gt;",'01 - Job Database'!$W$3:$W$1000,"&lt;&gt;Yes",'01 - Job Database'!$E$3:$E$1000,$A37,'01 - Job Database'!$CU$3:$CU$1000,"Yes")/$B$17,"")</f>
        <v/>
      </c>
      <c r="AQ37" s="62" t="str">
        <f aca="false">IFERROR(COUNTIFS('01 - Job Database'!$C$3:$C$1000,"&lt;&gt;",'01 - Job Database'!$W$3:$W$1000,"&lt;&gt;Yes",'01 - Job Database'!$E$3:$E$1000,$A37,'01 - Job Database'!$CV$3:$CV$1000,"Yes")/$B$17,"")</f>
        <v/>
      </c>
      <c r="AR37" s="62" t="str">
        <f aca="false">IFERROR(COUNTIFS('01 - Job Database'!$C$3:$C$1000,"&lt;&gt;",'01 - Job Database'!$W$3:$W$1000,"&lt;&gt;Yes",'01 - Job Database'!$E$3:$E$1000,$A37,'01 - Job Database'!$CW$3:$CW$1000,"Yes")/$B$17,"")</f>
        <v/>
      </c>
    </row>
    <row r="38" customFormat="false" ht="15" hidden="false" customHeight="true" outlineLevel="0" collapsed="false">
      <c r="A38" s="39" t="s">
        <v>244</v>
      </c>
      <c r="B38" s="62" t="str">
        <f aca="false">IFERROR(COUNTIFS('01 - Job Database'!$C$3:$C$1000,"&lt;&gt;",'01 - Job Database'!$W$3:$W$1000,"&lt;&gt;Yes",'01 - Job Database'!$E$3:$E$1000,$A38,'01 - Job Database'!$X$3:$X$1000,"Yes")/$B$18,"")</f>
        <v/>
      </c>
      <c r="C38" s="62" t="str">
        <f aca="false">IFERROR(COUNTIFS('01 - Job Database'!$C$3:$C$1000,"&lt;&gt;",'01 - Job Database'!$W$3:$W$1000,"&lt;&gt;Yes",'01 - Job Database'!$E$3:$E$1000,$A38,'01 - Job Database'!$Y$3:$Y$1000,"Yes")/$B$18,"")</f>
        <v/>
      </c>
      <c r="D38" s="62" t="str">
        <f aca="false">IFERROR(COUNTIFS('01 - Job Database'!$C$3:$C$1000,"&lt;&gt;",'01 - Job Database'!$W$3:$W$1000,"&lt;&gt;Yes",'01 - Job Database'!$E$3:$E$1000,$A38,'01 - Job Database'!$Z$3:$Z$1000,"Yes")/$B$18,"")</f>
        <v/>
      </c>
      <c r="E38" s="62" t="str">
        <f aca="false">IFERROR(COUNTIFS('01 - Job Database'!$C$3:$C$1000,"&lt;&gt;",'01 - Job Database'!$W$3:$W$1000,"&lt;&gt;Yes",'01 - Job Database'!$E$3:$E$1000,$A38,'01 - Job Database'!$AA$3:$AA$1000,"Yes")/$B$18,"")</f>
        <v/>
      </c>
      <c r="F38" s="62" t="str">
        <f aca="false">IFERROR(COUNTIFS('01 - Job Database'!$C$3:$C$1000,"&lt;&gt;",'01 - Job Database'!$W$3:$W$1000,"&lt;&gt;Yes",'01 - Job Database'!$E$3:$E$1000,$A38,'01 - Job Database'!$AB$3:$AB$1000,"Yes")/$B$18,"")</f>
        <v/>
      </c>
      <c r="G38" s="62" t="str">
        <f aca="false">IFERROR(COUNTIFS('01 - Job Database'!$C$3:$C$1000,"&lt;&gt;",'01 - Job Database'!$W$3:$W$1000,"&lt;&gt;Yes",'01 - Job Database'!$E$3:$E$1000,$A38,'01 - Job Database'!$AC$3:$AC$1000,"Yes")/$B$18,"")</f>
        <v/>
      </c>
      <c r="H38" s="62" t="str">
        <f aca="false">IFERROR(COUNTIFS('01 - Job Database'!$C$3:$C$1000,"&lt;&gt;",'01 - Job Database'!$W$3:$W$1000,"&lt;&gt;Yes",'01 - Job Database'!$E$3:$E$1000,$A38,'01 - Job Database'!$AD$3:$AD$1000,"Yes")/$B$18,"")</f>
        <v/>
      </c>
      <c r="I38" s="62" t="str">
        <f aca="false">IFERROR(COUNTIFS('01 - Job Database'!$C$3:$C$1000,"&lt;&gt;",'01 - Job Database'!$W$3:$W$1000,"&lt;&gt;Yes",'01 - Job Database'!$E$3:$E$1000,$A38,'01 - Job Database'!$AE$3:$AE$1000,"Yes")/$B$18,"")</f>
        <v/>
      </c>
      <c r="J38" s="62" t="str">
        <f aca="false">IFERROR(COUNTIFS('01 - Job Database'!$C$3:$C$1000,"&lt;&gt;",'01 - Job Database'!$W$3:$W$1000,"&lt;&gt;Yes",'01 - Job Database'!$E$3:$E$1000,$A38,'01 - Job Database'!$AF$3:$AF$1000,"Yes")/$B$18,"")</f>
        <v/>
      </c>
      <c r="K38" s="62" t="str">
        <f aca="false">IFERROR(COUNTIFS('01 - Job Database'!$C$3:$C$1000,"&lt;&gt;",'01 - Job Database'!$W$3:$W$1000,"&lt;&gt;Yes",'01 - Job Database'!$E$3:$E$1000,$A38,'01 - Job Database'!$AG$3:$AG$1000,"Yes")/$B$18,"")</f>
        <v/>
      </c>
      <c r="L38" s="62" t="str">
        <f aca="false">IFERROR(COUNTIFS('01 - Job Database'!$C$3:$C$1000,"&lt;&gt;",'01 - Job Database'!$W$3:$W$1000,"&lt;&gt;Yes",'01 - Job Database'!$E$3:$E$1000,$A38,'01 - Job Database'!$AH$3:$AH$1000,"Yes")/$B$18,"")</f>
        <v/>
      </c>
      <c r="M38" s="62" t="str">
        <f aca="false">IFERROR(COUNTIFS('01 - Job Database'!$C$3:$C$1000,"&lt;&gt;",'01 - Job Database'!$W$3:$W$1000,"&lt;&gt;Yes",'01 - Job Database'!$E$3:$E$1000,$A38,'01 - Job Database'!$AI$3:$AI$1000,"Yes")/$B$18,"")</f>
        <v/>
      </c>
      <c r="N38" s="62" t="str">
        <f aca="false">IFERROR(COUNTIFS('01 - Job Database'!$C$3:$C$1000,"&lt;&gt;",'01 - Job Database'!$W$3:$W$1000,"&lt;&gt;Yes",'01 - Job Database'!$E$3:$E$1000,$A38,'01 - Job Database'!$AJ$3:$AJ$1000,"Yes")/$B$18,"")</f>
        <v/>
      </c>
      <c r="O38" s="62" t="str">
        <f aca="false">IFERROR(COUNTIFS('01 - Job Database'!$C$3:$C$1000,"&lt;&gt;",'01 - Job Database'!$W$3:$W$1000,"&lt;&gt;Yes",'01 - Job Database'!$E$3:$E$1000,$A38,'01 - Job Database'!$AK$3:$AK$1000,"Yes")/$B$18,"")</f>
        <v/>
      </c>
      <c r="P38" s="62" t="str">
        <f aca="false">IFERROR(COUNTIFS('01 - Job Database'!$C$3:$C$1000,"&lt;&gt;",'01 - Job Database'!$W$3:$W$1000,"&lt;&gt;Yes",'01 - Job Database'!$E$3:$E$1000,$A38,'01 - Job Database'!$AL$3:$AL$1000,"Yes")/$B$18,"")</f>
        <v/>
      </c>
      <c r="Q38" s="62" t="str">
        <f aca="false">IFERROR(COUNTIFS('01 - Job Database'!$C$3:$C$1000,"&lt;&gt;",'01 - Job Database'!$W$3:$W$1000,"&lt;&gt;Yes",'01 - Job Database'!$E$3:$E$1000,$A38,'01 - Job Database'!$AM$3:$AM$1000,"Yes")/$B$18,"")</f>
        <v/>
      </c>
      <c r="R38" s="62" t="str">
        <f aca="false">IFERROR(COUNTIFS('01 - Job Database'!$C$3:$C$1000,"&lt;&gt;",'01 - Job Database'!$W$3:$W$1000,"&lt;&gt;Yes",'01 - Job Database'!$E$3:$E$1000,$A38,'01 - Job Database'!$AN$3:$AN$1000,"Yes")/$B$18,"")</f>
        <v/>
      </c>
      <c r="S38" s="62" t="str">
        <f aca="false">IFERROR(COUNTIFS('01 - Job Database'!$C$3:$C$1000,"&lt;&gt;",'01 - Job Database'!$W$3:$W$1000,"&lt;&gt;Yes",'01 - Job Database'!$E$3:$E$1000,$A38,'01 - Job Database'!$AO$3:$AO$1000,"Yes")/$B$18,"")</f>
        <v/>
      </c>
      <c r="T38" s="62" t="str">
        <f aca="false">IFERROR(COUNTIFS('01 - Job Database'!$C$3:$C$1000,"&lt;&gt;",'01 - Job Database'!$W$3:$W$1000,"&lt;&gt;Yes",'01 - Job Database'!$E$3:$E$1000,$A38,'01 - Job Database'!$AP$3:$AP$1000,"Yes")/$B$18,"")</f>
        <v/>
      </c>
      <c r="U38" s="62" t="str">
        <f aca="false">IFERROR(COUNTIFS('01 - Job Database'!$C$3:$C$1000,"&lt;&gt;",'01 - Job Database'!$W$3:$W$1000,"&lt;&gt;Yes",'01 - Job Database'!$E$3:$E$1000,$A38,'01 - Job Database'!$AQ$3:$AQ$1000,"Yes")/$B$18,"")</f>
        <v/>
      </c>
      <c r="V38" s="62" t="str">
        <f aca="false">IFERROR(COUNTIFS('01 - Job Database'!$C$3:$C$1000,"&lt;&gt;",'01 - Job Database'!$W$3:$W$1000,"&lt;&gt;Yes",'01 - Job Database'!$E$3:$E$1000,$A38,'01 - Job Database'!$AR$3:$AR$1000,"Yes")/$B$18,"")</f>
        <v/>
      </c>
      <c r="W38" s="62" t="str">
        <f aca="false">IFERROR(COUNTIFS('01 - Job Database'!$C$3:$C$1000,"&lt;&gt;",'01 - Job Database'!$W$3:$W$1000,"&lt;&gt;Yes",'01 - Job Database'!$E$3:$E$1000,$A38,'01 - Job Database'!$AS$3:$AS$1000,"Yes")/$B$18,"")</f>
        <v/>
      </c>
      <c r="X38" s="62" t="str">
        <f aca="false">IFERROR(COUNTIFS('01 - Job Database'!$C$3:$C$1000,"&lt;&gt;",'01 - Job Database'!$W$3:$W$1000,"&lt;&gt;Yes",'01 - Job Database'!$E$3:$E$1000,$A38,'01 - Job Database'!$AT$3:$AT$1000,"Yes")/$B$18,"")</f>
        <v/>
      </c>
      <c r="Y38" s="62" t="str">
        <f aca="false">IFERROR(COUNTIFS('01 - Job Database'!$C$3:$C$1000,"&lt;&gt;",'01 - Job Database'!$W$3:$W$1000,"&lt;&gt;Yes",'01 - Job Database'!$E$3:$E$1000,$A38,'01 - Job Database'!$AU$3:$AU$1000,"Yes")/$B$18,"")</f>
        <v/>
      </c>
      <c r="Z38" s="62" t="str">
        <f aca="false">IFERROR(COUNTIFS('01 - Job Database'!$C$3:$C$1000,"&lt;&gt;",'01 - Job Database'!$W$3:$W$1000,"&lt;&gt;Yes",'01 - Job Database'!$E$3:$E$1000,$A38,'01 - Job Database'!$AV$3:$AV$1000,"Yes")/$B$18,"")</f>
        <v/>
      </c>
      <c r="AA38" s="62" t="str">
        <f aca="false">IFERROR(COUNTIFS('01 - Job Database'!$C$3:$C$1000,"&lt;&gt;",'01 - Job Database'!$W$3:$W$1000,"&lt;&gt;Yes",'01 - Job Database'!$E$3:$E$1000,$A38,'01 - Job Database'!$AW$3:$AW$1000,"Yes")/$B$18,"")</f>
        <v/>
      </c>
      <c r="AB38" s="62" t="str">
        <f aca="false">IFERROR(COUNTIFS('01 - Job Database'!$C$3:$C$1000,"&lt;&gt;",'01 - Job Database'!$W$3:$W$1000,"&lt;&gt;Yes",'01 - Job Database'!$E$3:$E$1000,$A38,'01 - Job Database'!$AX$3:$AX$1000,"Yes")/$B$18,"")</f>
        <v/>
      </c>
      <c r="AC38" s="62" t="str">
        <f aca="false">IFERROR(COUNTIFS('01 - Job Database'!$C$3:$C$1000,"&lt;&gt;",'01 - Job Database'!$W$3:$W$1000,"&lt;&gt;Yes",'01 - Job Database'!$E$3:$E$1000,$A38,'01 - Job Database'!$AY$3:$AY$1000,"Yes")/$B$18,"")</f>
        <v/>
      </c>
      <c r="AD38" s="62" t="str">
        <f aca="false">IFERROR(COUNTIFS('01 - Job Database'!$C$3:$C$1000,"&lt;&gt;",'01 - Job Database'!$W$3:$W$1000,"&lt;&gt;Yes",'01 - Job Database'!$E$3:$E$1000,$A38,'01 - Job Database'!$AZ$3:$AZ$1000,"Yes")/$B$18,"")</f>
        <v/>
      </c>
      <c r="AE38" s="62" t="str">
        <f aca="false">IFERROR(COUNTIFS('01 - Job Database'!$C$3:$C$1000,"&lt;&gt;",'01 - Job Database'!$W$3:$W$1000,"&lt;&gt;Yes",'01 - Job Database'!$E$3:$E$1000,$A38,'01 - Job Database'!$BA$3:$BA$1000,"Yes")/$B$18,"")</f>
        <v/>
      </c>
      <c r="AF38" s="62" t="str">
        <f aca="false">IFERROR(COUNTIFS('01 - Job Database'!$C$3:$C$1000,"&lt;&gt;",'01 - Job Database'!$W$3:$W$1000,"&lt;&gt;Yes",'01 - Job Database'!$E$3:$E$1000,$A38,'01 - Job Database'!$BB$3:$BB$1000,"Yes")/$B$18,"")</f>
        <v/>
      </c>
      <c r="AG38" s="62" t="str">
        <f aca="false">IFERROR(COUNTIFS('01 - Job Database'!$C$3:$C$1000,"&lt;&gt;",'01 - Job Database'!$W$3:$W$1000,"&lt;&gt;Yes",'01 - Job Database'!$E$3:$E$1000,$A38,'01 - Job Database'!$BC$3:$BC$1000,"Yes")/$B$18,"")</f>
        <v/>
      </c>
      <c r="AH38" s="62" t="str">
        <f aca="false">IFERROR(COUNTIFS('01 - Job Database'!$C$3:$C$1000,"&lt;&gt;",'01 - Job Database'!$W$3:$W$1000,"&lt;&gt;Yes",'01 - Job Database'!$E$3:$E$1000,$A38,'01 - Job Database'!$CM$3:$CM$1000,"Yes")/$B$18,"")</f>
        <v/>
      </c>
      <c r="AI38" s="62" t="str">
        <f aca="false">IFERROR(COUNTIFS('01 - Job Database'!$C$3:$C$1000,"&lt;&gt;",'01 - Job Database'!$W$3:$W$1000,"&lt;&gt;Yes",'01 - Job Database'!$E$3:$E$1000,$A38,'01 - Job Database'!$CN$3:$CN$1000,"Yes")/$B$18,"")</f>
        <v/>
      </c>
      <c r="AJ38" s="62" t="str">
        <f aca="false">IFERROR(COUNTIFS('01 - Job Database'!$C$3:$C$1000,"&lt;&gt;",'01 - Job Database'!$W$3:$W$1000,"&lt;&gt;Yes",'01 - Job Database'!$E$3:$E$1000,$A38,'01 - Job Database'!$CO$3:$CO$1000,"Yes")/$B$18,"")</f>
        <v/>
      </c>
      <c r="AK38" s="62" t="str">
        <f aca="false">IFERROR(COUNTIFS('01 - Job Database'!$C$3:$C$1000,"&lt;&gt;",'01 - Job Database'!$W$3:$W$1000,"&lt;&gt;Yes",'01 - Job Database'!$E$3:$E$1000,$A38,'01 - Job Database'!$CP$3:$CP$1000,"Yes")/$B$18,"")</f>
        <v/>
      </c>
      <c r="AL38" s="62" t="str">
        <f aca="false">IFERROR(COUNTIFS('01 - Job Database'!$C$3:$C$1000,"&lt;&gt;",'01 - Job Database'!$W$3:$W$1000,"&lt;&gt;Yes",'01 - Job Database'!$E$3:$E$1000,$A38,'01 - Job Database'!$CQ$3:$CQ$1000,"Yes")/$B$18,"")</f>
        <v/>
      </c>
      <c r="AM38" s="62" t="str">
        <f aca="false">IFERROR(COUNTIFS('01 - Job Database'!$C$3:$C$1000,"&lt;&gt;",'01 - Job Database'!$W$3:$W$1000,"&lt;&gt;Yes",'01 - Job Database'!$E$3:$E$1000,$A38,'01 - Job Database'!$CR$3:$CR$1000,"Yes")/$B$18,"")</f>
        <v/>
      </c>
      <c r="AN38" s="62" t="str">
        <f aca="false">IFERROR(COUNTIFS('01 - Job Database'!$C$3:$C$1000,"&lt;&gt;",'01 - Job Database'!$W$3:$W$1000,"&lt;&gt;Yes",'01 - Job Database'!$E$3:$E$1000,$A38,'01 - Job Database'!$CS$3:$CS$1000,"Yes")/$B$18,"")</f>
        <v/>
      </c>
      <c r="AO38" s="62" t="str">
        <f aca="false">IFERROR(COUNTIFS('01 - Job Database'!$C$3:$C$1000,"&lt;&gt;",'01 - Job Database'!$W$3:$W$1000,"&lt;&gt;Yes",'01 - Job Database'!$E$3:$E$1000,$A38,'01 - Job Database'!$CT$3:$CT$1000,"Yes")/$B$18,"")</f>
        <v/>
      </c>
      <c r="AP38" s="62" t="str">
        <f aca="false">IFERROR(COUNTIFS('01 - Job Database'!$C$3:$C$1000,"&lt;&gt;",'01 - Job Database'!$W$3:$W$1000,"&lt;&gt;Yes",'01 - Job Database'!$E$3:$E$1000,$A38,'01 - Job Database'!$CU$3:$CU$1000,"Yes")/$B$18,"")</f>
        <v/>
      </c>
      <c r="AQ38" s="62" t="str">
        <f aca="false">IFERROR(COUNTIFS('01 - Job Database'!$C$3:$C$1000,"&lt;&gt;",'01 - Job Database'!$W$3:$W$1000,"&lt;&gt;Yes",'01 - Job Database'!$E$3:$E$1000,$A38,'01 - Job Database'!$CV$3:$CV$1000,"Yes")/$B$18,"")</f>
        <v/>
      </c>
      <c r="AR38" s="62" t="str">
        <f aca="false">IFERROR(COUNTIFS('01 - Job Database'!$C$3:$C$1000,"&lt;&gt;",'01 - Job Database'!$W$3:$W$1000,"&lt;&gt;Yes",'01 - Job Database'!$E$3:$E$1000,$A38,'01 - Job Database'!$CW$3:$CW$1000,"Yes")/$B$18,"")</f>
        <v/>
      </c>
    </row>
    <row r="39" customFormat="false" ht="15" hidden="false" customHeight="true" outlineLevel="0" collapsed="false">
      <c r="A39" s="39" t="s">
        <v>245</v>
      </c>
      <c r="B39" s="62" t="str">
        <f aca="false">IFERROR(COUNTIFS('01 - Job Database'!$C$3:$C$1000,"&lt;&gt;",'01 - Job Database'!$W$3:$W$1000,"&lt;&gt;Yes",'01 - Job Database'!$E$3:$E$1000,$A39,'01 - Job Database'!$X$3:$X$1000,"Yes")/$B$19,"")</f>
        <v/>
      </c>
      <c r="C39" s="62" t="str">
        <f aca="false">IFERROR(COUNTIFS('01 - Job Database'!$C$3:$C$1000,"&lt;&gt;",'01 - Job Database'!$W$3:$W$1000,"&lt;&gt;Yes",'01 - Job Database'!$E$3:$E$1000,$A39,'01 - Job Database'!$Y$3:$Y$1000,"Yes")/$B$19,"")</f>
        <v/>
      </c>
      <c r="D39" s="62" t="str">
        <f aca="false">IFERROR(COUNTIFS('01 - Job Database'!$C$3:$C$1000,"&lt;&gt;",'01 - Job Database'!$W$3:$W$1000,"&lt;&gt;Yes",'01 - Job Database'!$E$3:$E$1000,$A39,'01 - Job Database'!$Z$3:$Z$1000,"Yes")/$B$19,"")</f>
        <v/>
      </c>
      <c r="E39" s="62" t="str">
        <f aca="false">IFERROR(COUNTIFS('01 - Job Database'!$C$3:$C$1000,"&lt;&gt;",'01 - Job Database'!$W$3:$W$1000,"&lt;&gt;Yes",'01 - Job Database'!$E$3:$E$1000,$A39,'01 - Job Database'!$AA$3:$AA$1000,"Yes")/$B$19,"")</f>
        <v/>
      </c>
      <c r="F39" s="62" t="str">
        <f aca="false">IFERROR(COUNTIFS('01 - Job Database'!$C$3:$C$1000,"&lt;&gt;",'01 - Job Database'!$W$3:$W$1000,"&lt;&gt;Yes",'01 - Job Database'!$E$3:$E$1000,$A39,'01 - Job Database'!$AB$3:$AB$1000,"Yes")/$B$19,"")</f>
        <v/>
      </c>
      <c r="G39" s="62" t="str">
        <f aca="false">IFERROR(COUNTIFS('01 - Job Database'!$C$3:$C$1000,"&lt;&gt;",'01 - Job Database'!$W$3:$W$1000,"&lt;&gt;Yes",'01 - Job Database'!$E$3:$E$1000,$A39,'01 - Job Database'!$AC$3:$AC$1000,"Yes")/$B$19,"")</f>
        <v/>
      </c>
      <c r="H39" s="62" t="str">
        <f aca="false">IFERROR(COUNTIFS('01 - Job Database'!$C$3:$C$1000,"&lt;&gt;",'01 - Job Database'!$W$3:$W$1000,"&lt;&gt;Yes",'01 - Job Database'!$E$3:$E$1000,$A39,'01 - Job Database'!$AD$3:$AD$1000,"Yes")/$B$19,"")</f>
        <v/>
      </c>
      <c r="I39" s="62" t="str">
        <f aca="false">IFERROR(COUNTIFS('01 - Job Database'!$C$3:$C$1000,"&lt;&gt;",'01 - Job Database'!$W$3:$W$1000,"&lt;&gt;Yes",'01 - Job Database'!$E$3:$E$1000,$A39,'01 - Job Database'!$AE$3:$AE$1000,"Yes")/$B$19,"")</f>
        <v/>
      </c>
      <c r="J39" s="62" t="str">
        <f aca="false">IFERROR(COUNTIFS('01 - Job Database'!$C$3:$C$1000,"&lt;&gt;",'01 - Job Database'!$W$3:$W$1000,"&lt;&gt;Yes",'01 - Job Database'!$E$3:$E$1000,$A39,'01 - Job Database'!$AF$3:$AF$1000,"Yes")/$B$19,"")</f>
        <v/>
      </c>
      <c r="K39" s="62" t="str">
        <f aca="false">IFERROR(COUNTIFS('01 - Job Database'!$C$3:$C$1000,"&lt;&gt;",'01 - Job Database'!$W$3:$W$1000,"&lt;&gt;Yes",'01 - Job Database'!$E$3:$E$1000,$A39,'01 - Job Database'!$AG$3:$AG$1000,"Yes")/$B$19,"")</f>
        <v/>
      </c>
      <c r="L39" s="62" t="str">
        <f aca="false">IFERROR(COUNTIFS('01 - Job Database'!$C$3:$C$1000,"&lt;&gt;",'01 - Job Database'!$W$3:$W$1000,"&lt;&gt;Yes",'01 - Job Database'!$E$3:$E$1000,$A39,'01 - Job Database'!$AH$3:$AH$1000,"Yes")/$B$19,"")</f>
        <v/>
      </c>
      <c r="M39" s="62" t="str">
        <f aca="false">IFERROR(COUNTIFS('01 - Job Database'!$C$3:$C$1000,"&lt;&gt;",'01 - Job Database'!$W$3:$W$1000,"&lt;&gt;Yes",'01 - Job Database'!$E$3:$E$1000,$A39,'01 - Job Database'!$AI$3:$AI$1000,"Yes")/$B$19,"")</f>
        <v/>
      </c>
      <c r="N39" s="62" t="str">
        <f aca="false">IFERROR(COUNTIFS('01 - Job Database'!$C$3:$C$1000,"&lt;&gt;",'01 - Job Database'!$W$3:$W$1000,"&lt;&gt;Yes",'01 - Job Database'!$E$3:$E$1000,$A39,'01 - Job Database'!$AJ$3:$AJ$1000,"Yes")/$B$19,"")</f>
        <v/>
      </c>
      <c r="O39" s="62" t="str">
        <f aca="false">IFERROR(COUNTIFS('01 - Job Database'!$C$3:$C$1000,"&lt;&gt;",'01 - Job Database'!$W$3:$W$1000,"&lt;&gt;Yes",'01 - Job Database'!$E$3:$E$1000,$A39,'01 - Job Database'!$AK$3:$AK$1000,"Yes")/$B$19,"")</f>
        <v/>
      </c>
      <c r="P39" s="62" t="str">
        <f aca="false">IFERROR(COUNTIFS('01 - Job Database'!$C$3:$C$1000,"&lt;&gt;",'01 - Job Database'!$W$3:$W$1000,"&lt;&gt;Yes",'01 - Job Database'!$E$3:$E$1000,$A39,'01 - Job Database'!$AL$3:$AL$1000,"Yes")/$B$19,"")</f>
        <v/>
      </c>
      <c r="Q39" s="62" t="str">
        <f aca="false">IFERROR(COUNTIFS('01 - Job Database'!$C$3:$C$1000,"&lt;&gt;",'01 - Job Database'!$W$3:$W$1000,"&lt;&gt;Yes",'01 - Job Database'!$E$3:$E$1000,$A39,'01 - Job Database'!$AM$3:$AM$1000,"Yes")/$B$19,"")</f>
        <v/>
      </c>
      <c r="R39" s="62" t="str">
        <f aca="false">IFERROR(COUNTIFS('01 - Job Database'!$C$3:$C$1000,"&lt;&gt;",'01 - Job Database'!$W$3:$W$1000,"&lt;&gt;Yes",'01 - Job Database'!$E$3:$E$1000,$A39,'01 - Job Database'!$AN$3:$AN$1000,"Yes")/$B$19,"")</f>
        <v/>
      </c>
      <c r="S39" s="62" t="str">
        <f aca="false">IFERROR(COUNTIFS('01 - Job Database'!$C$3:$C$1000,"&lt;&gt;",'01 - Job Database'!$W$3:$W$1000,"&lt;&gt;Yes",'01 - Job Database'!$E$3:$E$1000,$A39,'01 - Job Database'!$AO$3:$AO$1000,"Yes")/$B$19,"")</f>
        <v/>
      </c>
      <c r="T39" s="62" t="str">
        <f aca="false">IFERROR(COUNTIFS('01 - Job Database'!$C$3:$C$1000,"&lt;&gt;",'01 - Job Database'!$W$3:$W$1000,"&lt;&gt;Yes",'01 - Job Database'!$E$3:$E$1000,$A39,'01 - Job Database'!$AP$3:$AP$1000,"Yes")/$B$19,"")</f>
        <v/>
      </c>
      <c r="U39" s="62" t="str">
        <f aca="false">IFERROR(COUNTIFS('01 - Job Database'!$C$3:$C$1000,"&lt;&gt;",'01 - Job Database'!$W$3:$W$1000,"&lt;&gt;Yes",'01 - Job Database'!$E$3:$E$1000,$A39,'01 - Job Database'!$AQ$3:$AQ$1000,"Yes")/$B$19,"")</f>
        <v/>
      </c>
      <c r="V39" s="62" t="str">
        <f aca="false">IFERROR(COUNTIFS('01 - Job Database'!$C$3:$C$1000,"&lt;&gt;",'01 - Job Database'!$W$3:$W$1000,"&lt;&gt;Yes",'01 - Job Database'!$E$3:$E$1000,$A39,'01 - Job Database'!$AR$3:$AR$1000,"Yes")/$B$19,"")</f>
        <v/>
      </c>
      <c r="W39" s="62" t="str">
        <f aca="false">IFERROR(COUNTIFS('01 - Job Database'!$C$3:$C$1000,"&lt;&gt;",'01 - Job Database'!$W$3:$W$1000,"&lt;&gt;Yes",'01 - Job Database'!$E$3:$E$1000,$A39,'01 - Job Database'!$AS$3:$AS$1000,"Yes")/$B$19,"")</f>
        <v/>
      </c>
      <c r="X39" s="62" t="str">
        <f aca="false">IFERROR(COUNTIFS('01 - Job Database'!$C$3:$C$1000,"&lt;&gt;",'01 - Job Database'!$W$3:$W$1000,"&lt;&gt;Yes",'01 - Job Database'!$E$3:$E$1000,$A39,'01 - Job Database'!$AT$3:$AT$1000,"Yes")/$B$19,"")</f>
        <v/>
      </c>
      <c r="Y39" s="62" t="str">
        <f aca="false">IFERROR(COUNTIFS('01 - Job Database'!$C$3:$C$1000,"&lt;&gt;",'01 - Job Database'!$W$3:$W$1000,"&lt;&gt;Yes",'01 - Job Database'!$E$3:$E$1000,$A39,'01 - Job Database'!$AU$3:$AU$1000,"Yes")/$B$19,"")</f>
        <v/>
      </c>
      <c r="Z39" s="62" t="str">
        <f aca="false">IFERROR(COUNTIFS('01 - Job Database'!$C$3:$C$1000,"&lt;&gt;",'01 - Job Database'!$W$3:$W$1000,"&lt;&gt;Yes",'01 - Job Database'!$E$3:$E$1000,$A39,'01 - Job Database'!$AV$3:$AV$1000,"Yes")/$B$19,"")</f>
        <v/>
      </c>
      <c r="AA39" s="62" t="str">
        <f aca="false">IFERROR(COUNTIFS('01 - Job Database'!$C$3:$C$1000,"&lt;&gt;",'01 - Job Database'!$W$3:$W$1000,"&lt;&gt;Yes",'01 - Job Database'!$E$3:$E$1000,$A39,'01 - Job Database'!$AW$3:$AW$1000,"Yes")/$B$19,"")</f>
        <v/>
      </c>
      <c r="AB39" s="62" t="str">
        <f aca="false">IFERROR(COUNTIFS('01 - Job Database'!$C$3:$C$1000,"&lt;&gt;",'01 - Job Database'!$W$3:$W$1000,"&lt;&gt;Yes",'01 - Job Database'!$E$3:$E$1000,$A39,'01 - Job Database'!$AX$3:$AX$1000,"Yes")/$B$19,"")</f>
        <v/>
      </c>
      <c r="AC39" s="62" t="str">
        <f aca="false">IFERROR(COUNTIFS('01 - Job Database'!$C$3:$C$1000,"&lt;&gt;",'01 - Job Database'!$W$3:$W$1000,"&lt;&gt;Yes",'01 - Job Database'!$E$3:$E$1000,$A39,'01 - Job Database'!$AY$3:$AY$1000,"Yes")/$B$19,"")</f>
        <v/>
      </c>
      <c r="AD39" s="62" t="str">
        <f aca="false">IFERROR(COUNTIFS('01 - Job Database'!$C$3:$C$1000,"&lt;&gt;",'01 - Job Database'!$W$3:$W$1000,"&lt;&gt;Yes",'01 - Job Database'!$E$3:$E$1000,$A39,'01 - Job Database'!$AZ$3:$AZ$1000,"Yes")/$B$19,"")</f>
        <v/>
      </c>
      <c r="AE39" s="62" t="str">
        <f aca="false">IFERROR(COUNTIFS('01 - Job Database'!$C$3:$C$1000,"&lt;&gt;",'01 - Job Database'!$W$3:$W$1000,"&lt;&gt;Yes",'01 - Job Database'!$E$3:$E$1000,$A39,'01 - Job Database'!$BA$3:$BA$1000,"Yes")/$B$19,"")</f>
        <v/>
      </c>
      <c r="AF39" s="62" t="str">
        <f aca="false">IFERROR(COUNTIFS('01 - Job Database'!$C$3:$C$1000,"&lt;&gt;",'01 - Job Database'!$W$3:$W$1000,"&lt;&gt;Yes",'01 - Job Database'!$E$3:$E$1000,$A39,'01 - Job Database'!$BB$3:$BB$1000,"Yes")/$B$19,"")</f>
        <v/>
      </c>
      <c r="AG39" s="62" t="str">
        <f aca="false">IFERROR(COUNTIFS('01 - Job Database'!$C$3:$C$1000,"&lt;&gt;",'01 - Job Database'!$W$3:$W$1000,"&lt;&gt;Yes",'01 - Job Database'!$E$3:$E$1000,$A39,'01 - Job Database'!$BC$3:$BC$1000,"Yes")/$B$19,"")</f>
        <v/>
      </c>
      <c r="AH39" s="62" t="str">
        <f aca="false">IFERROR(COUNTIFS('01 - Job Database'!$C$3:$C$1000,"&lt;&gt;",'01 - Job Database'!$W$3:$W$1000,"&lt;&gt;Yes",'01 - Job Database'!$E$3:$E$1000,$A39,'01 - Job Database'!$CM$3:$CM$1000,"Yes")/$B$19,"")</f>
        <v/>
      </c>
      <c r="AI39" s="62" t="str">
        <f aca="false">IFERROR(COUNTIFS('01 - Job Database'!$C$3:$C$1000,"&lt;&gt;",'01 - Job Database'!$W$3:$W$1000,"&lt;&gt;Yes",'01 - Job Database'!$E$3:$E$1000,$A39,'01 - Job Database'!$CN$3:$CN$1000,"Yes")/$B$19,"")</f>
        <v/>
      </c>
      <c r="AJ39" s="62" t="str">
        <f aca="false">IFERROR(COUNTIFS('01 - Job Database'!$C$3:$C$1000,"&lt;&gt;",'01 - Job Database'!$W$3:$W$1000,"&lt;&gt;Yes",'01 - Job Database'!$E$3:$E$1000,$A39,'01 - Job Database'!$CO$3:$CO$1000,"Yes")/$B$19,"")</f>
        <v/>
      </c>
      <c r="AK39" s="62" t="str">
        <f aca="false">IFERROR(COUNTIFS('01 - Job Database'!$C$3:$C$1000,"&lt;&gt;",'01 - Job Database'!$W$3:$W$1000,"&lt;&gt;Yes",'01 - Job Database'!$E$3:$E$1000,$A39,'01 - Job Database'!$CP$3:$CP$1000,"Yes")/$B$19,"")</f>
        <v/>
      </c>
      <c r="AL39" s="62" t="str">
        <f aca="false">IFERROR(COUNTIFS('01 - Job Database'!$C$3:$C$1000,"&lt;&gt;",'01 - Job Database'!$W$3:$W$1000,"&lt;&gt;Yes",'01 - Job Database'!$E$3:$E$1000,$A39,'01 - Job Database'!$CQ$3:$CQ$1000,"Yes")/$B$19,"")</f>
        <v/>
      </c>
      <c r="AM39" s="62" t="str">
        <f aca="false">IFERROR(COUNTIFS('01 - Job Database'!$C$3:$C$1000,"&lt;&gt;",'01 - Job Database'!$W$3:$W$1000,"&lt;&gt;Yes",'01 - Job Database'!$E$3:$E$1000,$A39,'01 - Job Database'!$CR$3:$CR$1000,"Yes")/$B$19,"")</f>
        <v/>
      </c>
      <c r="AN39" s="62" t="str">
        <f aca="false">IFERROR(COUNTIFS('01 - Job Database'!$C$3:$C$1000,"&lt;&gt;",'01 - Job Database'!$W$3:$W$1000,"&lt;&gt;Yes",'01 - Job Database'!$E$3:$E$1000,$A39,'01 - Job Database'!$CS$3:$CS$1000,"Yes")/$B$19,"")</f>
        <v/>
      </c>
      <c r="AO39" s="62" t="str">
        <f aca="false">IFERROR(COUNTIFS('01 - Job Database'!$C$3:$C$1000,"&lt;&gt;",'01 - Job Database'!$W$3:$W$1000,"&lt;&gt;Yes",'01 - Job Database'!$E$3:$E$1000,$A39,'01 - Job Database'!$CT$3:$CT$1000,"Yes")/$B$19,"")</f>
        <v/>
      </c>
      <c r="AP39" s="62" t="str">
        <f aca="false">IFERROR(COUNTIFS('01 - Job Database'!$C$3:$C$1000,"&lt;&gt;",'01 - Job Database'!$W$3:$W$1000,"&lt;&gt;Yes",'01 - Job Database'!$E$3:$E$1000,$A39,'01 - Job Database'!$CU$3:$CU$1000,"Yes")/$B$19,"")</f>
        <v/>
      </c>
      <c r="AQ39" s="62" t="str">
        <f aca="false">IFERROR(COUNTIFS('01 - Job Database'!$C$3:$C$1000,"&lt;&gt;",'01 - Job Database'!$W$3:$W$1000,"&lt;&gt;Yes",'01 - Job Database'!$E$3:$E$1000,$A39,'01 - Job Database'!$CV$3:$CV$1000,"Yes")/$B$19,"")</f>
        <v/>
      </c>
      <c r="AR39" s="62" t="str">
        <f aca="false">IFERROR(COUNTIFS('01 - Job Database'!$C$3:$C$1000,"&lt;&gt;",'01 - Job Database'!$W$3:$W$1000,"&lt;&gt;Yes",'01 - Job Database'!$E$3:$E$1000,$A39,'01 - Job Database'!$CW$3:$CW$1000,"Yes")/$B$19,"")</f>
        <v/>
      </c>
    </row>
  </sheetData>
  <mergeCells count="1">
    <mergeCell ref="A1:H1"/>
  </mergeCells>
  <conditionalFormatting sqref="F4:G19">
    <cfRule type="colorScale" priority="2">
      <colorScale>
        <cfvo type="min" val="0"/>
        <cfvo type="percentile" val="50"/>
        <cfvo type="max" val="0"/>
        <color rgb="FFFFC7CE"/>
        <color rgb="FFFFEB84"/>
        <color rgb="FFC6EFCE"/>
      </colorScale>
    </cfRule>
  </conditionalFormatting>
  <conditionalFormatting sqref="B24:AG39">
    <cfRule type="colorScale" priority="3">
      <colorScale>
        <cfvo type="min" val="0"/>
        <cfvo type="percentile" val="50"/>
        <cfvo type="max" val="0"/>
        <color rgb="FFFFFFFF"/>
        <color rgb="FFFFEB84"/>
        <color rgb="FF63BE7B"/>
      </colorScale>
    </cfRule>
  </conditionalFormatting>
  <conditionalFormatting sqref="B24:AR39">
    <cfRule type="colorScale" priority="4">
      <colorScale>
        <cfvo type="min" val="0"/>
        <cfvo type="percentile" val="50"/>
        <cfvo type="max" val="0"/>
        <color rgb="FFFFFFFF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22"/>
    <col collapsed="false" customWidth="true" hidden="true" outlineLevel="0" max="7" min="7" style="1" width="12"/>
    <col collapsed="false" customWidth="true" hidden="true" outlineLevel="0" max="42" min="10" style="1" width="9"/>
    <col collapsed="false" customWidth="true" hidden="false" outlineLevel="0" max="53" min="43" style="1" width="14"/>
    <col collapsed="false" customWidth="true" hidden="true" outlineLevel="0" max="64" min="54" style="1" width="9"/>
  </cols>
  <sheetData>
    <row r="1" customFormat="false" ht="27.75" hidden="false" customHeight="true" outlineLevel="0" collapsed="false">
      <c r="A1" s="2" t="s">
        <v>247</v>
      </c>
      <c r="B1" s="2"/>
      <c r="C1" s="2"/>
      <c r="D1" s="2"/>
      <c r="E1" s="2"/>
      <c r="F1" s="2"/>
      <c r="G1" s="2"/>
    </row>
    <row r="3" customFormat="false" ht="39" hidden="false" customHeight="true" outlineLevel="0" collapsed="false">
      <c r="A3" s="12" t="s">
        <v>54</v>
      </c>
      <c r="B3" s="12" t="s">
        <v>200</v>
      </c>
      <c r="C3" s="12" t="s">
        <v>229</v>
      </c>
      <c r="D3" s="12" t="s">
        <v>193</v>
      </c>
      <c r="E3" s="12" t="s">
        <v>195</v>
      </c>
      <c r="F3" s="12" t="s">
        <v>248</v>
      </c>
      <c r="G3" s="12" t="s">
        <v>218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75</v>
      </c>
      <c r="O3" s="1" t="s">
        <v>76</v>
      </c>
      <c r="P3" s="1" t="s">
        <v>77</v>
      </c>
      <c r="Q3" s="1" t="s">
        <v>78</v>
      </c>
      <c r="R3" s="1" t="s">
        <v>79</v>
      </c>
      <c r="S3" s="1" t="s">
        <v>80</v>
      </c>
      <c r="T3" s="1" t="s">
        <v>81</v>
      </c>
      <c r="U3" s="1" t="s">
        <v>82</v>
      </c>
      <c r="V3" s="1" t="s">
        <v>83</v>
      </c>
      <c r="W3" s="1" t="s">
        <v>84</v>
      </c>
      <c r="X3" s="1" t="s">
        <v>85</v>
      </c>
      <c r="Y3" s="1" t="s">
        <v>86</v>
      </c>
      <c r="Z3" s="1" t="s">
        <v>87</v>
      </c>
      <c r="AA3" s="1" t="s">
        <v>88</v>
      </c>
      <c r="AB3" s="1" t="s">
        <v>89</v>
      </c>
      <c r="AC3" s="1" t="s">
        <v>90</v>
      </c>
      <c r="AD3" s="1" t="s">
        <v>91</v>
      </c>
      <c r="AE3" s="1" t="s">
        <v>92</v>
      </c>
      <c r="AF3" s="1" t="s">
        <v>93</v>
      </c>
      <c r="AG3" s="1" t="s">
        <v>94</v>
      </c>
      <c r="AH3" s="1" t="s">
        <v>95</v>
      </c>
      <c r="AI3" s="1" t="s">
        <v>96</v>
      </c>
      <c r="AJ3" s="1" t="s">
        <v>97</v>
      </c>
      <c r="AK3" s="1" t="s">
        <v>98</v>
      </c>
      <c r="AL3" s="1" t="s">
        <v>99</v>
      </c>
      <c r="AM3" s="1" t="s">
        <v>100</v>
      </c>
      <c r="AN3" s="1" t="s">
        <v>101</v>
      </c>
      <c r="AO3" s="1" t="s">
        <v>102</v>
      </c>
      <c r="AP3" s="1" t="s">
        <v>249</v>
      </c>
      <c r="AQ3" s="18" t="s">
        <v>250</v>
      </c>
      <c r="AR3" s="18" t="s">
        <v>251</v>
      </c>
      <c r="AS3" s="18" t="s">
        <v>252</v>
      </c>
      <c r="AT3" s="19" t="s">
        <v>253</v>
      </c>
      <c r="AU3" s="19" t="s">
        <v>254</v>
      </c>
      <c r="AV3" s="19" t="s">
        <v>255</v>
      </c>
      <c r="AW3" s="19" t="s">
        <v>256</v>
      </c>
      <c r="AX3" s="19" t="s">
        <v>257</v>
      </c>
      <c r="AY3" s="19" t="s">
        <v>258</v>
      </c>
      <c r="AZ3" s="19" t="s">
        <v>259</v>
      </c>
      <c r="BA3" s="19" t="s">
        <v>260</v>
      </c>
      <c r="BB3" s="1" t="s">
        <v>138</v>
      </c>
      <c r="BC3" s="1" t="s">
        <v>139</v>
      </c>
      <c r="BD3" s="1" t="s">
        <v>140</v>
      </c>
      <c r="BE3" s="1" t="s">
        <v>141</v>
      </c>
      <c r="BF3" s="1" t="s">
        <v>142</v>
      </c>
      <c r="BG3" s="1" t="s">
        <v>143</v>
      </c>
      <c r="BH3" s="1" t="s">
        <v>144</v>
      </c>
      <c r="BI3" s="1" t="s">
        <v>145</v>
      </c>
      <c r="BJ3" s="1" t="s">
        <v>146</v>
      </c>
      <c r="BK3" s="1" t="s">
        <v>147</v>
      </c>
      <c r="BL3" s="1" t="s">
        <v>148</v>
      </c>
    </row>
    <row r="4" customFormat="false" ht="15" hidden="false" customHeight="true" outlineLevel="0" collapsed="false">
      <c r="A4" s="57" t="s">
        <v>261</v>
      </c>
      <c r="B4" s="26" t="n">
        <f aca="false">COUNTIFS('01 - Job Database'!$C$3:$C$1000,"&lt;&gt;",'01 - Job Database'!$W$3:$W$1000,"&lt;&gt;Yes",'01 - Job Database'!$G$3:$G$1000,A4)</f>
        <v>0</v>
      </c>
      <c r="C4" s="26" t="n">
        <f aca="false">COUNTIFS('01 - Job Database'!$C$3:$C$1000,"&lt;&gt;",'01 - Job Database'!$W$3:$W$1000,"&lt;&gt;Yes",'01 - Job Database'!$G$3:$G$1000,A4,'01 - Job Database'!$S$3:$S$1000,"Yes")</f>
        <v>0</v>
      </c>
      <c r="D4" s="58" t="str">
        <f aca="false">IFERROR(COUNTIFS('01 - Job Database'!$C$3:$C$1000,"&lt;&gt;",'01 - Job Database'!$W$3:$W$1000,"&lt;&gt;Yes",'01 - Job Database'!$G$3:$G$1000,A4,'01 - Job Database'!$J$3:$J$1000,"Yes")/B4,"")</f>
        <v/>
      </c>
      <c r="E4" s="58" t="str">
        <f aca="false">IFERROR(COUNTIFS('01 - Job Database'!$C$3:$C$1000,"&lt;&gt;",'01 - Job Database'!$W$3:$W$1000,"&lt;&gt;Yes",'01 - Job Database'!$G$3:$G$1000,A4,'01 - Job Database'!$K$3:$K$1000,"Yes")/B4,"")</f>
        <v/>
      </c>
      <c r="F4" s="26" t="str">
        <f aca="false">IF(B4=0,"—",IFERROR(INDEX($J$3:$AO$3,MATCH(AP4,J4:AO4,0)),IFERROR(INDEX($BB$3:$BL$3,MATCH(AP4,BB4:BL4,0)),"—")))</f>
        <v>—</v>
      </c>
      <c r="G4" s="26" t="n">
        <f aca="false">B4-ROW()*0.0001</f>
        <v>-0.0004</v>
      </c>
      <c r="J4" s="1" t="n">
        <f aca="false">COUNTIFS('01 - Job Database'!$C$3:$C$1000,"&lt;&gt;",'01 - Job Database'!$W$3:$W$1000,"&lt;&gt;Yes",'01 - Job Database'!$G$3:$G$1000,$A4,'01 - Job Database'!$X$3:$X$1000,"Yes")</f>
        <v>0</v>
      </c>
      <c r="K4" s="1" t="n">
        <f aca="false">COUNTIFS('01 - Job Database'!$C$3:$C$1000,"&lt;&gt;",'01 - Job Database'!$W$3:$W$1000,"&lt;&gt;Yes",'01 - Job Database'!$G$3:$G$1000,$A4,'01 - Job Database'!$Y$3:$Y$1000,"Yes")</f>
        <v>0</v>
      </c>
      <c r="L4" s="1" t="n">
        <f aca="false">COUNTIFS('01 - Job Database'!$C$3:$C$1000,"&lt;&gt;",'01 - Job Database'!$W$3:$W$1000,"&lt;&gt;Yes",'01 - Job Database'!$G$3:$G$1000,$A4,'01 - Job Database'!$Z$3:$Z$1000,"Yes")</f>
        <v>0</v>
      </c>
      <c r="M4" s="1" t="n">
        <f aca="false">COUNTIFS('01 - Job Database'!$C$3:$C$1000,"&lt;&gt;",'01 - Job Database'!$W$3:$W$1000,"&lt;&gt;Yes",'01 - Job Database'!$G$3:$G$1000,$A4,'01 - Job Database'!$AA$3:$AA$1000,"Yes")</f>
        <v>0</v>
      </c>
      <c r="N4" s="1" t="n">
        <f aca="false">COUNTIFS('01 - Job Database'!$C$3:$C$1000,"&lt;&gt;",'01 - Job Database'!$W$3:$W$1000,"&lt;&gt;Yes",'01 - Job Database'!$G$3:$G$1000,$A4,'01 - Job Database'!$AB$3:$AB$1000,"Yes")</f>
        <v>0</v>
      </c>
      <c r="O4" s="1" t="n">
        <f aca="false">COUNTIFS('01 - Job Database'!$C$3:$C$1000,"&lt;&gt;",'01 - Job Database'!$W$3:$W$1000,"&lt;&gt;Yes",'01 - Job Database'!$G$3:$G$1000,$A4,'01 - Job Database'!$AC$3:$AC$1000,"Yes")</f>
        <v>0</v>
      </c>
      <c r="P4" s="1" t="n">
        <f aca="false">COUNTIFS('01 - Job Database'!$C$3:$C$1000,"&lt;&gt;",'01 - Job Database'!$W$3:$W$1000,"&lt;&gt;Yes",'01 - Job Database'!$G$3:$G$1000,$A4,'01 - Job Database'!$AD$3:$AD$1000,"Yes")</f>
        <v>0</v>
      </c>
      <c r="Q4" s="1" t="n">
        <f aca="false">COUNTIFS('01 - Job Database'!$C$3:$C$1000,"&lt;&gt;",'01 - Job Database'!$W$3:$W$1000,"&lt;&gt;Yes",'01 - Job Database'!$G$3:$G$1000,$A4,'01 - Job Database'!$AE$3:$AE$1000,"Yes")</f>
        <v>0</v>
      </c>
      <c r="R4" s="1" t="n">
        <f aca="false">COUNTIFS('01 - Job Database'!$C$3:$C$1000,"&lt;&gt;",'01 - Job Database'!$W$3:$W$1000,"&lt;&gt;Yes",'01 - Job Database'!$G$3:$G$1000,$A4,'01 - Job Database'!$AF$3:$AF$1000,"Yes")</f>
        <v>0</v>
      </c>
      <c r="S4" s="1" t="n">
        <f aca="false">COUNTIFS('01 - Job Database'!$C$3:$C$1000,"&lt;&gt;",'01 - Job Database'!$W$3:$W$1000,"&lt;&gt;Yes",'01 - Job Database'!$G$3:$G$1000,$A4,'01 - Job Database'!$AG$3:$AG$1000,"Yes")</f>
        <v>0</v>
      </c>
      <c r="T4" s="1" t="n">
        <f aca="false">COUNTIFS('01 - Job Database'!$C$3:$C$1000,"&lt;&gt;",'01 - Job Database'!$W$3:$W$1000,"&lt;&gt;Yes",'01 - Job Database'!$G$3:$G$1000,$A4,'01 - Job Database'!$AH$3:$AH$1000,"Yes")</f>
        <v>0</v>
      </c>
      <c r="U4" s="1" t="n">
        <f aca="false">COUNTIFS('01 - Job Database'!$C$3:$C$1000,"&lt;&gt;",'01 - Job Database'!$W$3:$W$1000,"&lt;&gt;Yes",'01 - Job Database'!$G$3:$G$1000,$A4,'01 - Job Database'!$AI$3:$AI$1000,"Yes")</f>
        <v>0</v>
      </c>
      <c r="V4" s="1" t="n">
        <f aca="false">COUNTIFS('01 - Job Database'!$C$3:$C$1000,"&lt;&gt;",'01 - Job Database'!$W$3:$W$1000,"&lt;&gt;Yes",'01 - Job Database'!$G$3:$G$1000,$A4,'01 - Job Database'!$AJ$3:$AJ$1000,"Yes")</f>
        <v>0</v>
      </c>
      <c r="W4" s="1" t="n">
        <f aca="false">COUNTIFS('01 - Job Database'!$C$3:$C$1000,"&lt;&gt;",'01 - Job Database'!$W$3:$W$1000,"&lt;&gt;Yes",'01 - Job Database'!$G$3:$G$1000,$A4,'01 - Job Database'!$AK$3:$AK$1000,"Yes")</f>
        <v>0</v>
      </c>
      <c r="X4" s="1" t="n">
        <f aca="false">COUNTIFS('01 - Job Database'!$C$3:$C$1000,"&lt;&gt;",'01 - Job Database'!$W$3:$W$1000,"&lt;&gt;Yes",'01 - Job Database'!$G$3:$G$1000,$A4,'01 - Job Database'!$AL$3:$AL$1000,"Yes")</f>
        <v>0</v>
      </c>
      <c r="Y4" s="1" t="n">
        <f aca="false">COUNTIFS('01 - Job Database'!$C$3:$C$1000,"&lt;&gt;",'01 - Job Database'!$W$3:$W$1000,"&lt;&gt;Yes",'01 - Job Database'!$G$3:$G$1000,$A4,'01 - Job Database'!$AM$3:$AM$1000,"Yes")</f>
        <v>0</v>
      </c>
      <c r="Z4" s="1" t="n">
        <f aca="false">COUNTIFS('01 - Job Database'!$C$3:$C$1000,"&lt;&gt;",'01 - Job Database'!$W$3:$W$1000,"&lt;&gt;Yes",'01 - Job Database'!$G$3:$G$1000,$A4,'01 - Job Database'!$AN$3:$AN$1000,"Yes")</f>
        <v>0</v>
      </c>
      <c r="AA4" s="1" t="n">
        <f aca="false">COUNTIFS('01 - Job Database'!$C$3:$C$1000,"&lt;&gt;",'01 - Job Database'!$W$3:$W$1000,"&lt;&gt;Yes",'01 - Job Database'!$G$3:$G$1000,$A4,'01 - Job Database'!$AO$3:$AO$1000,"Yes")</f>
        <v>0</v>
      </c>
      <c r="AB4" s="1" t="n">
        <f aca="false">COUNTIFS('01 - Job Database'!$C$3:$C$1000,"&lt;&gt;",'01 - Job Database'!$W$3:$W$1000,"&lt;&gt;Yes",'01 - Job Database'!$G$3:$G$1000,$A4,'01 - Job Database'!$AP$3:$AP$1000,"Yes")</f>
        <v>0</v>
      </c>
      <c r="AC4" s="1" t="n">
        <f aca="false">COUNTIFS('01 - Job Database'!$C$3:$C$1000,"&lt;&gt;",'01 - Job Database'!$W$3:$W$1000,"&lt;&gt;Yes",'01 - Job Database'!$G$3:$G$1000,$A4,'01 - Job Database'!$AQ$3:$AQ$1000,"Yes")</f>
        <v>0</v>
      </c>
      <c r="AD4" s="1" t="n">
        <f aca="false">COUNTIFS('01 - Job Database'!$C$3:$C$1000,"&lt;&gt;",'01 - Job Database'!$W$3:$W$1000,"&lt;&gt;Yes",'01 - Job Database'!$G$3:$G$1000,$A4,'01 - Job Database'!$AR$3:$AR$1000,"Yes")</f>
        <v>0</v>
      </c>
      <c r="AE4" s="1" t="n">
        <f aca="false">COUNTIFS('01 - Job Database'!$C$3:$C$1000,"&lt;&gt;",'01 - Job Database'!$W$3:$W$1000,"&lt;&gt;Yes",'01 - Job Database'!$G$3:$G$1000,$A4,'01 - Job Database'!$AS$3:$AS$1000,"Yes")</f>
        <v>0</v>
      </c>
      <c r="AF4" s="1" t="n">
        <f aca="false">COUNTIFS('01 - Job Database'!$C$3:$C$1000,"&lt;&gt;",'01 - Job Database'!$W$3:$W$1000,"&lt;&gt;Yes",'01 - Job Database'!$G$3:$G$1000,$A4,'01 - Job Database'!$AT$3:$AT$1000,"Yes")</f>
        <v>0</v>
      </c>
      <c r="AG4" s="1" t="n">
        <f aca="false">COUNTIFS('01 - Job Database'!$C$3:$C$1000,"&lt;&gt;",'01 - Job Database'!$W$3:$W$1000,"&lt;&gt;Yes",'01 - Job Database'!$G$3:$G$1000,$A4,'01 - Job Database'!$AU$3:$AU$1000,"Yes")</f>
        <v>0</v>
      </c>
      <c r="AH4" s="1" t="n">
        <f aca="false">COUNTIFS('01 - Job Database'!$C$3:$C$1000,"&lt;&gt;",'01 - Job Database'!$W$3:$W$1000,"&lt;&gt;Yes",'01 - Job Database'!$G$3:$G$1000,$A4,'01 - Job Database'!$AV$3:$AV$1000,"Yes")</f>
        <v>0</v>
      </c>
      <c r="AI4" s="1" t="n">
        <f aca="false">COUNTIFS('01 - Job Database'!$C$3:$C$1000,"&lt;&gt;",'01 - Job Database'!$W$3:$W$1000,"&lt;&gt;Yes",'01 - Job Database'!$G$3:$G$1000,$A4,'01 - Job Database'!$AW$3:$AW$1000,"Yes")</f>
        <v>0</v>
      </c>
      <c r="AJ4" s="1" t="n">
        <f aca="false">COUNTIFS('01 - Job Database'!$C$3:$C$1000,"&lt;&gt;",'01 - Job Database'!$W$3:$W$1000,"&lt;&gt;Yes",'01 - Job Database'!$G$3:$G$1000,$A4,'01 - Job Database'!$AX$3:$AX$1000,"Yes")</f>
        <v>0</v>
      </c>
      <c r="AK4" s="1" t="n">
        <f aca="false">COUNTIFS('01 - Job Database'!$C$3:$C$1000,"&lt;&gt;",'01 - Job Database'!$W$3:$W$1000,"&lt;&gt;Yes",'01 - Job Database'!$G$3:$G$1000,$A4,'01 - Job Database'!$AY$3:$AY$1000,"Yes")</f>
        <v>0</v>
      </c>
      <c r="AL4" s="1" t="n">
        <f aca="false">COUNTIFS('01 - Job Database'!$C$3:$C$1000,"&lt;&gt;",'01 - Job Database'!$W$3:$W$1000,"&lt;&gt;Yes",'01 - Job Database'!$G$3:$G$1000,$A4,'01 - Job Database'!$AZ$3:$AZ$1000,"Yes")</f>
        <v>0</v>
      </c>
      <c r="AM4" s="1" t="n">
        <f aca="false">COUNTIFS('01 - Job Database'!$C$3:$C$1000,"&lt;&gt;",'01 - Job Database'!$W$3:$W$1000,"&lt;&gt;Yes",'01 - Job Database'!$G$3:$G$1000,$A4,'01 - Job Database'!$BA$3:$BA$1000,"Yes")</f>
        <v>0</v>
      </c>
      <c r="AN4" s="1" t="n">
        <f aca="false">COUNTIFS('01 - Job Database'!$C$3:$C$1000,"&lt;&gt;",'01 - Job Database'!$W$3:$W$1000,"&lt;&gt;Yes",'01 - Job Database'!$G$3:$G$1000,$A4,'01 - Job Database'!$BB$3:$BB$1000,"Yes")</f>
        <v>0</v>
      </c>
      <c r="AO4" s="1" t="n">
        <f aca="false">COUNTIFS('01 - Job Database'!$C$3:$C$1000,"&lt;&gt;",'01 - Job Database'!$W$3:$W$1000,"&lt;&gt;Yes",'01 - Job Database'!$G$3:$G$1000,$A4,'01 - Job Database'!$BC$3:$BC$1000,"Yes")</f>
        <v>0</v>
      </c>
      <c r="AP4" s="1" t="n">
        <f aca="false">MAX(J4:AO4,BB4:BL4)</f>
        <v>0</v>
      </c>
      <c r="AQ4" s="34" t="n">
        <f aca="false">COUNTIFS('01 - Job Database'!$C$3:$C$1000,"&lt;&gt;",'01 - Job Database'!$W$3:$W$1000,"&lt;&gt;Yes",'01 - Job Database'!$G$3:$G$1000,$A4,'01 - Job Database'!$O$3:$O$1000,"&gt;=100")</f>
        <v>0</v>
      </c>
      <c r="AR4" s="34" t="n">
        <f aca="false">COUNTIFS('01 - Job Database'!$C$3:$C$1000,"&lt;&gt;",'01 - Job Database'!$W$3:$W$1000,"&lt;&gt;Yes",'01 - Job Database'!$G$3:$G$1000,$A4,'01 - Job Database'!$Q$3:$Q$1000,"&gt;=150000")</f>
        <v>0</v>
      </c>
      <c r="AS4" s="34" t="n">
        <f aca="false">COUNTIFS('01 - Job Database'!$C$3:$C$1000,"&lt;&gt;",'01 - Job Database'!$W$3:$W$1000,"&lt;&gt;Yes",'01 - Job Database'!$G$3:$G$1000,$A4,'01 - Job Database'!$BQ$3:$BQ$1000,"&lt;&gt;")</f>
        <v>0</v>
      </c>
      <c r="AT4" s="34" t="n">
        <f aca="false">COUNTIFS('01 - Job Database'!$C$3:$C$1000,"&lt;&gt;",'01 - Job Database'!$W$3:$W$1000,"&lt;&gt;Yes",'01 - Job Database'!$G$3:$G$1000,$A4,'01 - Job Database'!$O$3:$O$1000,"&gt;=20")</f>
        <v>0</v>
      </c>
      <c r="AU4" s="34" t="n">
        <f aca="false">COUNTIFS('01 - Job Database'!$C$3:$C$1000,"&lt;&gt;",'01 - Job Database'!$W$3:$W$1000,"&lt;&gt;Yes",'01 - Job Database'!$G$3:$G$1000,$A4,'01 - Job Database'!$O$3:$O$1000,"&gt;=30")</f>
        <v>0</v>
      </c>
      <c r="AV4" s="34" t="n">
        <f aca="false">COUNTIFS('01 - Job Database'!$C$3:$C$1000,"&lt;&gt;",'01 - Job Database'!$W$3:$W$1000,"&lt;&gt;Yes",'01 - Job Database'!$G$3:$G$1000,$A4,'01 - Job Database'!$O$3:$O$1000,"&gt;=75")</f>
        <v>0</v>
      </c>
      <c r="AW4" s="34" t="n">
        <f aca="false">COUNTIFS('01 - Job Database'!$C$3:$C$1000,"&lt;&gt;",'01 - Job Database'!$W$3:$W$1000,"&lt;&gt;Yes",'01 - Job Database'!$G$3:$G$1000,$A4,'01 - Job Database'!$O$3:$O$1000,"&gt;=150")</f>
        <v>0</v>
      </c>
      <c r="AX4" s="34" t="n">
        <f aca="false">COUNTIFS('01 - Job Database'!$C$3:$C$1000,"&lt;&gt;",'01 - Job Database'!$W$3:$W$1000,"&lt;&gt;Yes",'01 - Job Database'!$G$3:$G$1000,$A4,'01 - Job Database'!$O$3:$O$1000,"&gt;=200")</f>
        <v>0</v>
      </c>
      <c r="AY4" s="34" t="n">
        <f aca="false">COUNTIFS('01 - Job Database'!$C$3:$C$1000,"&lt;&gt;",'01 - Job Database'!$W$3:$W$1000,"&lt;&gt;Yes",'01 - Job Database'!$G$3:$G$1000,$A4,'01 - Job Database'!$Q$3:$Q$1000,"&gt;=200000")</f>
        <v>0</v>
      </c>
      <c r="AZ4" s="34" t="n">
        <f aca="false">COUNTIFS('01 - Job Database'!$C$3:$C$1000,"&lt;&gt;",'01 - Job Database'!$W$3:$W$1000,"&lt;&gt;Yes",'01 - Job Database'!$G$3:$G$1000,$A4,'01 - Job Database'!$Q$3:$Q$1000,"&gt;=250000")</f>
        <v>0</v>
      </c>
      <c r="BA4" s="34" t="n">
        <f aca="false">COUNTIFS('01 - Job Database'!$C$3:$C$1000,"&lt;&gt;",'01 - Job Database'!$W$3:$W$1000,"&lt;&gt;Yes",'01 - Job Database'!$G$3:$G$1000,$A4,'01 - Job Database'!$Q$3:$Q$1000,"&gt;=300000")</f>
        <v>0</v>
      </c>
      <c r="BB4" s="1" t="n">
        <f aca="false">COUNTIFS('01 - Job Database'!$C$3:$C$1000,"&lt;&gt;",'01 - Job Database'!$W$3:$W$1000,"&lt;&gt;Yes",'01 - Job Database'!$G$3:$G$1000,$A4,'01 - Job Database'!$CM$3:$CM$1000,"Yes")</f>
        <v>0</v>
      </c>
      <c r="BC4" s="1" t="n">
        <f aca="false">COUNTIFS('01 - Job Database'!$C$3:$C$1000,"&lt;&gt;",'01 - Job Database'!$W$3:$W$1000,"&lt;&gt;Yes",'01 - Job Database'!$G$3:$G$1000,$A4,'01 - Job Database'!$CN$3:$CN$1000,"Yes")</f>
        <v>0</v>
      </c>
      <c r="BD4" s="1" t="n">
        <f aca="false">COUNTIFS('01 - Job Database'!$C$3:$C$1000,"&lt;&gt;",'01 - Job Database'!$W$3:$W$1000,"&lt;&gt;Yes",'01 - Job Database'!$G$3:$G$1000,$A4,'01 - Job Database'!$CO$3:$CO$1000,"Yes")</f>
        <v>0</v>
      </c>
      <c r="BE4" s="1" t="n">
        <f aca="false">COUNTIFS('01 - Job Database'!$C$3:$C$1000,"&lt;&gt;",'01 - Job Database'!$W$3:$W$1000,"&lt;&gt;Yes",'01 - Job Database'!$G$3:$G$1000,$A4,'01 - Job Database'!$CP$3:$CP$1000,"Yes")</f>
        <v>0</v>
      </c>
      <c r="BF4" s="1" t="n">
        <f aca="false">COUNTIFS('01 - Job Database'!$C$3:$C$1000,"&lt;&gt;",'01 - Job Database'!$W$3:$W$1000,"&lt;&gt;Yes",'01 - Job Database'!$G$3:$G$1000,$A4,'01 - Job Database'!$CQ$3:$CQ$1000,"Yes")</f>
        <v>0</v>
      </c>
      <c r="BG4" s="1" t="n">
        <f aca="false">COUNTIFS('01 - Job Database'!$C$3:$C$1000,"&lt;&gt;",'01 - Job Database'!$W$3:$W$1000,"&lt;&gt;Yes",'01 - Job Database'!$G$3:$G$1000,$A4,'01 - Job Database'!$CR$3:$CR$1000,"Yes")</f>
        <v>0</v>
      </c>
      <c r="BH4" s="1" t="n">
        <f aca="false">COUNTIFS('01 - Job Database'!$C$3:$C$1000,"&lt;&gt;",'01 - Job Database'!$W$3:$W$1000,"&lt;&gt;Yes",'01 - Job Database'!$G$3:$G$1000,$A4,'01 - Job Database'!$CS$3:$CS$1000,"Yes")</f>
        <v>0</v>
      </c>
      <c r="BI4" s="1" t="n">
        <f aca="false">COUNTIFS('01 - Job Database'!$C$3:$C$1000,"&lt;&gt;",'01 - Job Database'!$W$3:$W$1000,"&lt;&gt;Yes",'01 - Job Database'!$G$3:$G$1000,$A4,'01 - Job Database'!$CT$3:$CT$1000,"Yes")</f>
        <v>0</v>
      </c>
      <c r="BJ4" s="1" t="n">
        <f aca="false">COUNTIFS('01 - Job Database'!$C$3:$C$1000,"&lt;&gt;",'01 - Job Database'!$W$3:$W$1000,"&lt;&gt;Yes",'01 - Job Database'!$G$3:$G$1000,$A4,'01 - Job Database'!$CU$3:$CU$1000,"Yes")</f>
        <v>0</v>
      </c>
      <c r="BK4" s="1" t="n">
        <f aca="false">COUNTIFS('01 - Job Database'!$C$3:$C$1000,"&lt;&gt;",'01 - Job Database'!$W$3:$W$1000,"&lt;&gt;Yes",'01 - Job Database'!$G$3:$G$1000,$A4,'01 - Job Database'!$CV$3:$CV$1000,"Yes")</f>
        <v>0</v>
      </c>
      <c r="BL4" s="1" t="n">
        <f aca="false">COUNTIFS('01 - Job Database'!$C$3:$C$1000,"&lt;&gt;",'01 - Job Database'!$W$3:$W$1000,"&lt;&gt;Yes",'01 - Job Database'!$G$3:$G$1000,$A4,'01 - Job Database'!$CW$3:$CW$1000,"Yes")</f>
        <v>0</v>
      </c>
    </row>
    <row r="5" customFormat="false" ht="15" hidden="false" customHeight="true" outlineLevel="0" collapsed="false">
      <c r="A5" s="57" t="s">
        <v>153</v>
      </c>
      <c r="B5" s="26" t="n">
        <f aca="false">COUNTIFS('01 - Job Database'!$C$3:$C$1000,"&lt;&gt;",'01 - Job Database'!$W$3:$W$1000,"&lt;&gt;Yes",'01 - Job Database'!$G$3:$G$1000,A5)</f>
        <v>1</v>
      </c>
      <c r="C5" s="26" t="n">
        <f aca="false">COUNTIFS('01 - Job Database'!$C$3:$C$1000,"&lt;&gt;",'01 - Job Database'!$W$3:$W$1000,"&lt;&gt;Yes",'01 - Job Database'!$G$3:$G$1000,A5,'01 - Job Database'!$S$3:$S$1000,"Yes")</f>
        <v>1</v>
      </c>
      <c r="D5" s="58" t="n">
        <f aca="false">IFERROR(COUNTIFS('01 - Job Database'!$C$3:$C$1000,"&lt;&gt;",'01 - Job Database'!$W$3:$W$1000,"&lt;&gt;Yes",'01 - Job Database'!$G$3:$G$1000,A5,'01 - Job Database'!$J$3:$J$1000,"Yes")/B5,"")</f>
        <v>0</v>
      </c>
      <c r="E5" s="58" t="n">
        <f aca="false">IFERROR(COUNTIFS('01 - Job Database'!$C$3:$C$1000,"&lt;&gt;",'01 - Job Database'!$W$3:$W$1000,"&lt;&gt;Yes",'01 - Job Database'!$G$3:$G$1000,A5,'01 - Job Database'!$K$3:$K$1000,"Yes")/B5,"")</f>
        <v>0</v>
      </c>
      <c r="F5" s="26" t="str">
        <f aca="false">IF(B5=0,"—",IFERROR(INDEX($J$3:$AO$3,MATCH(AP5,J5:AO5,0)),IFERROR(INDEX($BB$3:$BL$3,MATCH(AP5,BB5:BL5,0)),"—")))</f>
        <v>C++</v>
      </c>
      <c r="G5" s="26" t="n">
        <f aca="false">B5-ROW()*0.0001</f>
        <v>0.9995</v>
      </c>
      <c r="J5" s="1" t="n">
        <f aca="false">COUNTIFS('01 - Job Database'!$C$3:$C$1000,"&lt;&gt;",'01 - Job Database'!$W$3:$W$1000,"&lt;&gt;Yes",'01 - Job Database'!$G$3:$G$1000,$A5,'01 - Job Database'!$X$3:$X$1000,"Yes")</f>
        <v>1</v>
      </c>
      <c r="K5" s="1" t="n">
        <f aca="false">COUNTIFS('01 - Job Database'!$C$3:$C$1000,"&lt;&gt;",'01 - Job Database'!$W$3:$W$1000,"&lt;&gt;Yes",'01 - Job Database'!$G$3:$G$1000,$A5,'01 - Job Database'!$Y$3:$Y$1000,"Yes")</f>
        <v>0</v>
      </c>
      <c r="L5" s="1" t="n">
        <f aca="false">COUNTIFS('01 - Job Database'!$C$3:$C$1000,"&lt;&gt;",'01 - Job Database'!$W$3:$W$1000,"&lt;&gt;Yes",'01 - Job Database'!$G$3:$G$1000,$A5,'01 - Job Database'!$Z$3:$Z$1000,"Yes")</f>
        <v>1</v>
      </c>
      <c r="M5" s="1" t="n">
        <f aca="false">COUNTIFS('01 - Job Database'!$C$3:$C$1000,"&lt;&gt;",'01 - Job Database'!$W$3:$W$1000,"&lt;&gt;Yes",'01 - Job Database'!$G$3:$G$1000,$A5,'01 - Job Database'!$AA$3:$AA$1000,"Yes")</f>
        <v>0</v>
      </c>
      <c r="N5" s="1" t="n">
        <f aca="false">COUNTIFS('01 - Job Database'!$C$3:$C$1000,"&lt;&gt;",'01 - Job Database'!$W$3:$W$1000,"&lt;&gt;Yes",'01 - Job Database'!$G$3:$G$1000,$A5,'01 - Job Database'!$AB$3:$AB$1000,"Yes")</f>
        <v>0</v>
      </c>
      <c r="O5" s="1" t="n">
        <f aca="false">COUNTIFS('01 - Job Database'!$C$3:$C$1000,"&lt;&gt;",'01 - Job Database'!$W$3:$W$1000,"&lt;&gt;Yes",'01 - Job Database'!$G$3:$G$1000,$A5,'01 - Job Database'!$AC$3:$AC$1000,"Yes")</f>
        <v>0</v>
      </c>
      <c r="P5" s="1" t="n">
        <f aca="false">COUNTIFS('01 - Job Database'!$C$3:$C$1000,"&lt;&gt;",'01 - Job Database'!$W$3:$W$1000,"&lt;&gt;Yes",'01 - Job Database'!$G$3:$G$1000,$A5,'01 - Job Database'!$AD$3:$AD$1000,"Yes")</f>
        <v>0</v>
      </c>
      <c r="Q5" s="1" t="n">
        <f aca="false">COUNTIFS('01 - Job Database'!$C$3:$C$1000,"&lt;&gt;",'01 - Job Database'!$W$3:$W$1000,"&lt;&gt;Yes",'01 - Job Database'!$G$3:$G$1000,$A5,'01 - Job Database'!$AE$3:$AE$1000,"Yes")</f>
        <v>0</v>
      </c>
      <c r="R5" s="1" t="n">
        <f aca="false">COUNTIFS('01 - Job Database'!$C$3:$C$1000,"&lt;&gt;",'01 - Job Database'!$W$3:$W$1000,"&lt;&gt;Yes",'01 - Job Database'!$G$3:$G$1000,$A5,'01 - Job Database'!$AF$3:$AF$1000,"Yes")</f>
        <v>0</v>
      </c>
      <c r="S5" s="1" t="n">
        <f aca="false">COUNTIFS('01 - Job Database'!$C$3:$C$1000,"&lt;&gt;",'01 - Job Database'!$W$3:$W$1000,"&lt;&gt;Yes",'01 - Job Database'!$G$3:$G$1000,$A5,'01 - Job Database'!$AG$3:$AG$1000,"Yes")</f>
        <v>0</v>
      </c>
      <c r="T5" s="1" t="n">
        <f aca="false">COUNTIFS('01 - Job Database'!$C$3:$C$1000,"&lt;&gt;",'01 - Job Database'!$W$3:$W$1000,"&lt;&gt;Yes",'01 - Job Database'!$G$3:$G$1000,$A5,'01 - Job Database'!$AH$3:$AH$1000,"Yes")</f>
        <v>1</v>
      </c>
      <c r="U5" s="1" t="n">
        <f aca="false">COUNTIFS('01 - Job Database'!$C$3:$C$1000,"&lt;&gt;",'01 - Job Database'!$W$3:$W$1000,"&lt;&gt;Yes",'01 - Job Database'!$G$3:$G$1000,$A5,'01 - Job Database'!$AI$3:$AI$1000,"Yes")</f>
        <v>0</v>
      </c>
      <c r="V5" s="1" t="n">
        <f aca="false">COUNTIFS('01 - Job Database'!$C$3:$C$1000,"&lt;&gt;",'01 - Job Database'!$W$3:$W$1000,"&lt;&gt;Yes",'01 - Job Database'!$G$3:$G$1000,$A5,'01 - Job Database'!$AJ$3:$AJ$1000,"Yes")</f>
        <v>1</v>
      </c>
      <c r="W5" s="1" t="n">
        <f aca="false">COUNTIFS('01 - Job Database'!$C$3:$C$1000,"&lt;&gt;",'01 - Job Database'!$W$3:$W$1000,"&lt;&gt;Yes",'01 - Job Database'!$G$3:$G$1000,$A5,'01 - Job Database'!$AK$3:$AK$1000,"Yes")</f>
        <v>0</v>
      </c>
      <c r="X5" s="1" t="n">
        <f aca="false">COUNTIFS('01 - Job Database'!$C$3:$C$1000,"&lt;&gt;",'01 - Job Database'!$W$3:$W$1000,"&lt;&gt;Yes",'01 - Job Database'!$G$3:$G$1000,$A5,'01 - Job Database'!$AL$3:$AL$1000,"Yes")</f>
        <v>1</v>
      </c>
      <c r="Y5" s="1" t="n">
        <f aca="false">COUNTIFS('01 - Job Database'!$C$3:$C$1000,"&lt;&gt;",'01 - Job Database'!$W$3:$W$1000,"&lt;&gt;Yes",'01 - Job Database'!$G$3:$G$1000,$A5,'01 - Job Database'!$AM$3:$AM$1000,"Yes")</f>
        <v>0</v>
      </c>
      <c r="Z5" s="1" t="n">
        <f aca="false">COUNTIFS('01 - Job Database'!$C$3:$C$1000,"&lt;&gt;",'01 - Job Database'!$W$3:$W$1000,"&lt;&gt;Yes",'01 - Job Database'!$G$3:$G$1000,$A5,'01 - Job Database'!$AN$3:$AN$1000,"Yes")</f>
        <v>0</v>
      </c>
      <c r="AA5" s="1" t="n">
        <f aca="false">COUNTIFS('01 - Job Database'!$C$3:$C$1000,"&lt;&gt;",'01 - Job Database'!$W$3:$W$1000,"&lt;&gt;Yes",'01 - Job Database'!$G$3:$G$1000,$A5,'01 - Job Database'!$AO$3:$AO$1000,"Yes")</f>
        <v>0</v>
      </c>
      <c r="AB5" s="1" t="n">
        <f aca="false">COUNTIFS('01 - Job Database'!$C$3:$C$1000,"&lt;&gt;",'01 - Job Database'!$W$3:$W$1000,"&lt;&gt;Yes",'01 - Job Database'!$G$3:$G$1000,$A5,'01 - Job Database'!$AP$3:$AP$1000,"Yes")</f>
        <v>0</v>
      </c>
      <c r="AC5" s="1" t="n">
        <f aca="false">COUNTIFS('01 - Job Database'!$C$3:$C$1000,"&lt;&gt;",'01 - Job Database'!$W$3:$W$1000,"&lt;&gt;Yes",'01 - Job Database'!$G$3:$G$1000,$A5,'01 - Job Database'!$AQ$3:$AQ$1000,"Yes")</f>
        <v>0</v>
      </c>
      <c r="AD5" s="1" t="n">
        <f aca="false">COUNTIFS('01 - Job Database'!$C$3:$C$1000,"&lt;&gt;",'01 - Job Database'!$W$3:$W$1000,"&lt;&gt;Yes",'01 - Job Database'!$G$3:$G$1000,$A5,'01 - Job Database'!$AR$3:$AR$1000,"Yes")</f>
        <v>0</v>
      </c>
      <c r="AE5" s="1" t="n">
        <f aca="false">COUNTIFS('01 - Job Database'!$C$3:$C$1000,"&lt;&gt;",'01 - Job Database'!$W$3:$W$1000,"&lt;&gt;Yes",'01 - Job Database'!$G$3:$G$1000,$A5,'01 - Job Database'!$AS$3:$AS$1000,"Yes")</f>
        <v>0</v>
      </c>
      <c r="AF5" s="1" t="n">
        <f aca="false">COUNTIFS('01 - Job Database'!$C$3:$C$1000,"&lt;&gt;",'01 - Job Database'!$W$3:$W$1000,"&lt;&gt;Yes",'01 - Job Database'!$G$3:$G$1000,$A5,'01 - Job Database'!$AT$3:$AT$1000,"Yes")</f>
        <v>1</v>
      </c>
      <c r="AG5" s="1" t="n">
        <f aca="false">COUNTIFS('01 - Job Database'!$C$3:$C$1000,"&lt;&gt;",'01 - Job Database'!$W$3:$W$1000,"&lt;&gt;Yes",'01 - Job Database'!$G$3:$G$1000,$A5,'01 - Job Database'!$AU$3:$AU$1000,"Yes")</f>
        <v>1</v>
      </c>
      <c r="AH5" s="1" t="n">
        <f aca="false">COUNTIFS('01 - Job Database'!$C$3:$C$1000,"&lt;&gt;",'01 - Job Database'!$W$3:$W$1000,"&lt;&gt;Yes",'01 - Job Database'!$G$3:$G$1000,$A5,'01 - Job Database'!$AV$3:$AV$1000,"Yes")</f>
        <v>0</v>
      </c>
      <c r="AI5" s="1" t="n">
        <f aca="false">COUNTIFS('01 - Job Database'!$C$3:$C$1000,"&lt;&gt;",'01 - Job Database'!$W$3:$W$1000,"&lt;&gt;Yes",'01 - Job Database'!$G$3:$G$1000,$A5,'01 - Job Database'!$AW$3:$AW$1000,"Yes")</f>
        <v>1</v>
      </c>
      <c r="AJ5" s="1" t="n">
        <f aca="false">COUNTIFS('01 - Job Database'!$C$3:$C$1000,"&lt;&gt;",'01 - Job Database'!$W$3:$W$1000,"&lt;&gt;Yes",'01 - Job Database'!$G$3:$G$1000,$A5,'01 - Job Database'!$AX$3:$AX$1000,"Yes")</f>
        <v>0</v>
      </c>
      <c r="AK5" s="1" t="n">
        <f aca="false">COUNTIFS('01 - Job Database'!$C$3:$C$1000,"&lt;&gt;",'01 - Job Database'!$W$3:$W$1000,"&lt;&gt;Yes",'01 - Job Database'!$G$3:$G$1000,$A5,'01 - Job Database'!$AY$3:$AY$1000,"Yes")</f>
        <v>0</v>
      </c>
      <c r="AL5" s="1" t="n">
        <f aca="false">COUNTIFS('01 - Job Database'!$C$3:$C$1000,"&lt;&gt;",'01 - Job Database'!$W$3:$W$1000,"&lt;&gt;Yes",'01 - Job Database'!$G$3:$G$1000,$A5,'01 - Job Database'!$AZ$3:$AZ$1000,"Yes")</f>
        <v>1</v>
      </c>
      <c r="AM5" s="1" t="n">
        <f aca="false">COUNTIFS('01 - Job Database'!$C$3:$C$1000,"&lt;&gt;",'01 - Job Database'!$W$3:$W$1000,"&lt;&gt;Yes",'01 - Job Database'!$G$3:$G$1000,$A5,'01 - Job Database'!$BA$3:$BA$1000,"Yes")</f>
        <v>1</v>
      </c>
      <c r="AN5" s="1" t="n">
        <f aca="false">COUNTIFS('01 - Job Database'!$C$3:$C$1000,"&lt;&gt;",'01 - Job Database'!$W$3:$W$1000,"&lt;&gt;Yes",'01 - Job Database'!$G$3:$G$1000,$A5,'01 - Job Database'!$BB$3:$BB$1000,"Yes")</f>
        <v>1</v>
      </c>
      <c r="AO5" s="1" t="n">
        <f aca="false">COUNTIFS('01 - Job Database'!$C$3:$C$1000,"&lt;&gt;",'01 - Job Database'!$W$3:$W$1000,"&lt;&gt;Yes",'01 - Job Database'!$G$3:$G$1000,$A5,'01 - Job Database'!$BC$3:$BC$1000,"Yes")</f>
        <v>1</v>
      </c>
      <c r="AP5" s="1" t="n">
        <f aca="false">MAX(J5:AO5,BB5:BL5)</f>
        <v>1</v>
      </c>
      <c r="AQ5" s="34" t="n">
        <f aca="false">COUNTIFS('01 - Job Database'!$C$3:$C$1000,"&lt;&gt;",'01 - Job Database'!$W$3:$W$1000,"&lt;&gt;Yes",'01 - Job Database'!$G$3:$G$1000,$A5,'01 - Job Database'!$O$3:$O$1000,"&gt;=100")</f>
        <v>1</v>
      </c>
      <c r="AR5" s="34" t="n">
        <f aca="false">COUNTIFS('01 - Job Database'!$C$3:$C$1000,"&lt;&gt;",'01 - Job Database'!$W$3:$W$1000,"&lt;&gt;Yes",'01 - Job Database'!$G$3:$G$1000,$A5,'01 - Job Database'!$Q$3:$Q$1000,"&gt;=150000")</f>
        <v>0</v>
      </c>
      <c r="AS5" s="34" t="n">
        <f aca="false">COUNTIFS('01 - Job Database'!$C$3:$C$1000,"&lt;&gt;",'01 - Job Database'!$W$3:$W$1000,"&lt;&gt;Yes",'01 - Job Database'!$G$3:$G$1000,$A5,'01 - Job Database'!$BQ$3:$BQ$1000,"&lt;&gt;")</f>
        <v>0</v>
      </c>
      <c r="AT5" s="34" t="n">
        <f aca="false">COUNTIFS('01 - Job Database'!$C$3:$C$1000,"&lt;&gt;",'01 - Job Database'!$W$3:$W$1000,"&lt;&gt;Yes",'01 - Job Database'!$G$3:$G$1000,$A5,'01 - Job Database'!$O$3:$O$1000,"&gt;=20")</f>
        <v>1</v>
      </c>
      <c r="AU5" s="34" t="n">
        <f aca="false">COUNTIFS('01 - Job Database'!$C$3:$C$1000,"&lt;&gt;",'01 - Job Database'!$W$3:$W$1000,"&lt;&gt;Yes",'01 - Job Database'!$G$3:$G$1000,$A5,'01 - Job Database'!$O$3:$O$1000,"&gt;=30")</f>
        <v>1</v>
      </c>
      <c r="AV5" s="34" t="n">
        <f aca="false">COUNTIFS('01 - Job Database'!$C$3:$C$1000,"&lt;&gt;",'01 - Job Database'!$W$3:$W$1000,"&lt;&gt;Yes",'01 - Job Database'!$G$3:$G$1000,$A5,'01 - Job Database'!$O$3:$O$1000,"&gt;=75")</f>
        <v>1</v>
      </c>
      <c r="AW5" s="34" t="n">
        <f aca="false">COUNTIFS('01 - Job Database'!$C$3:$C$1000,"&lt;&gt;",'01 - Job Database'!$W$3:$W$1000,"&lt;&gt;Yes",'01 - Job Database'!$G$3:$G$1000,$A5,'01 - Job Database'!$O$3:$O$1000,"&gt;=150")</f>
        <v>0</v>
      </c>
      <c r="AX5" s="34" t="n">
        <f aca="false">COUNTIFS('01 - Job Database'!$C$3:$C$1000,"&lt;&gt;",'01 - Job Database'!$W$3:$W$1000,"&lt;&gt;Yes",'01 - Job Database'!$G$3:$G$1000,$A5,'01 - Job Database'!$O$3:$O$1000,"&gt;=200")</f>
        <v>0</v>
      </c>
      <c r="AY5" s="34" t="n">
        <f aca="false">COUNTIFS('01 - Job Database'!$C$3:$C$1000,"&lt;&gt;",'01 - Job Database'!$W$3:$W$1000,"&lt;&gt;Yes",'01 - Job Database'!$G$3:$G$1000,$A5,'01 - Job Database'!$Q$3:$Q$1000,"&gt;=200000")</f>
        <v>0</v>
      </c>
      <c r="AZ5" s="34" t="n">
        <f aca="false">COUNTIFS('01 - Job Database'!$C$3:$C$1000,"&lt;&gt;",'01 - Job Database'!$W$3:$W$1000,"&lt;&gt;Yes",'01 - Job Database'!$G$3:$G$1000,$A5,'01 - Job Database'!$Q$3:$Q$1000,"&gt;=250000")</f>
        <v>0</v>
      </c>
      <c r="BA5" s="34" t="n">
        <f aca="false">COUNTIFS('01 - Job Database'!$C$3:$C$1000,"&lt;&gt;",'01 - Job Database'!$W$3:$W$1000,"&lt;&gt;Yes",'01 - Job Database'!$G$3:$G$1000,$A5,'01 - Job Database'!$Q$3:$Q$1000,"&gt;=300000")</f>
        <v>0</v>
      </c>
      <c r="BB5" s="1" t="n">
        <f aca="false">COUNTIFS('01 - Job Database'!$C$3:$C$1000,"&lt;&gt;",'01 - Job Database'!$W$3:$W$1000,"&lt;&gt;Yes",'01 - Job Database'!$G$3:$G$1000,$A5,'01 - Job Database'!$CM$3:$CM$1000,"Yes")</f>
        <v>0</v>
      </c>
      <c r="BC5" s="1" t="n">
        <f aca="false">COUNTIFS('01 - Job Database'!$C$3:$C$1000,"&lt;&gt;",'01 - Job Database'!$W$3:$W$1000,"&lt;&gt;Yes",'01 - Job Database'!$G$3:$G$1000,$A5,'01 - Job Database'!$CN$3:$CN$1000,"Yes")</f>
        <v>0</v>
      </c>
      <c r="BD5" s="1" t="n">
        <f aca="false">COUNTIFS('01 - Job Database'!$C$3:$C$1000,"&lt;&gt;",'01 - Job Database'!$W$3:$W$1000,"&lt;&gt;Yes",'01 - Job Database'!$G$3:$G$1000,$A5,'01 - Job Database'!$CO$3:$CO$1000,"Yes")</f>
        <v>0</v>
      </c>
      <c r="BE5" s="1" t="n">
        <f aca="false">COUNTIFS('01 - Job Database'!$C$3:$C$1000,"&lt;&gt;",'01 - Job Database'!$W$3:$W$1000,"&lt;&gt;Yes",'01 - Job Database'!$G$3:$G$1000,$A5,'01 - Job Database'!$CP$3:$CP$1000,"Yes")</f>
        <v>0</v>
      </c>
      <c r="BF5" s="1" t="n">
        <f aca="false">COUNTIFS('01 - Job Database'!$C$3:$C$1000,"&lt;&gt;",'01 - Job Database'!$W$3:$W$1000,"&lt;&gt;Yes",'01 - Job Database'!$G$3:$G$1000,$A5,'01 - Job Database'!$CQ$3:$CQ$1000,"Yes")</f>
        <v>0</v>
      </c>
      <c r="BG5" s="1" t="n">
        <f aca="false">COUNTIFS('01 - Job Database'!$C$3:$C$1000,"&lt;&gt;",'01 - Job Database'!$W$3:$W$1000,"&lt;&gt;Yes",'01 - Job Database'!$G$3:$G$1000,$A5,'01 - Job Database'!$CR$3:$CR$1000,"Yes")</f>
        <v>0</v>
      </c>
      <c r="BH5" s="1" t="n">
        <f aca="false">COUNTIFS('01 - Job Database'!$C$3:$C$1000,"&lt;&gt;",'01 - Job Database'!$W$3:$W$1000,"&lt;&gt;Yes",'01 - Job Database'!$G$3:$G$1000,$A5,'01 - Job Database'!$CS$3:$CS$1000,"Yes")</f>
        <v>0</v>
      </c>
      <c r="BI5" s="1" t="n">
        <f aca="false">COUNTIFS('01 - Job Database'!$C$3:$C$1000,"&lt;&gt;",'01 - Job Database'!$W$3:$W$1000,"&lt;&gt;Yes",'01 - Job Database'!$G$3:$G$1000,$A5,'01 - Job Database'!$CT$3:$CT$1000,"Yes")</f>
        <v>0</v>
      </c>
      <c r="BJ5" s="1" t="n">
        <f aca="false">COUNTIFS('01 - Job Database'!$C$3:$C$1000,"&lt;&gt;",'01 - Job Database'!$W$3:$W$1000,"&lt;&gt;Yes",'01 - Job Database'!$G$3:$G$1000,$A5,'01 - Job Database'!$CU$3:$CU$1000,"Yes")</f>
        <v>0</v>
      </c>
      <c r="BK5" s="1" t="n">
        <f aca="false">COUNTIFS('01 - Job Database'!$C$3:$C$1000,"&lt;&gt;",'01 - Job Database'!$W$3:$W$1000,"&lt;&gt;Yes",'01 - Job Database'!$G$3:$G$1000,$A5,'01 - Job Database'!$CV$3:$CV$1000,"Yes")</f>
        <v>0</v>
      </c>
      <c r="BL5" s="1" t="n">
        <f aca="false">COUNTIFS('01 - Job Database'!$C$3:$C$1000,"&lt;&gt;",'01 - Job Database'!$W$3:$W$1000,"&lt;&gt;Yes",'01 - Job Database'!$G$3:$G$1000,$A5,'01 - Job Database'!$CW$3:$CW$1000,"Yes")</f>
        <v>0</v>
      </c>
    </row>
    <row r="6" customFormat="false" ht="15" hidden="false" customHeight="true" outlineLevel="0" collapsed="false">
      <c r="A6" s="57" t="s">
        <v>262</v>
      </c>
      <c r="B6" s="26" t="n">
        <f aca="false">COUNTIFS('01 - Job Database'!$C$3:$C$1000,"&lt;&gt;",'01 - Job Database'!$W$3:$W$1000,"&lt;&gt;Yes",'01 - Job Database'!$G$3:$G$1000,A6)</f>
        <v>0</v>
      </c>
      <c r="C6" s="26" t="n">
        <f aca="false">COUNTIFS('01 - Job Database'!$C$3:$C$1000,"&lt;&gt;",'01 - Job Database'!$W$3:$W$1000,"&lt;&gt;Yes",'01 - Job Database'!$G$3:$G$1000,A6,'01 - Job Database'!$S$3:$S$1000,"Yes")</f>
        <v>0</v>
      </c>
      <c r="D6" s="58" t="str">
        <f aca="false">IFERROR(COUNTIFS('01 - Job Database'!$C$3:$C$1000,"&lt;&gt;",'01 - Job Database'!$W$3:$W$1000,"&lt;&gt;Yes",'01 - Job Database'!$G$3:$G$1000,A6,'01 - Job Database'!$J$3:$J$1000,"Yes")/B6,"")</f>
        <v/>
      </c>
      <c r="E6" s="58" t="str">
        <f aca="false">IFERROR(COUNTIFS('01 - Job Database'!$C$3:$C$1000,"&lt;&gt;",'01 - Job Database'!$W$3:$W$1000,"&lt;&gt;Yes",'01 - Job Database'!$G$3:$G$1000,A6,'01 - Job Database'!$K$3:$K$1000,"Yes")/B6,"")</f>
        <v/>
      </c>
      <c r="F6" s="26" t="str">
        <f aca="false">IF(B6=0,"—",IFERROR(INDEX($J$3:$AO$3,MATCH(AP6,J6:AO6,0)),IFERROR(INDEX($BB$3:$BL$3,MATCH(AP6,BB6:BL6,0)),"—")))</f>
        <v>—</v>
      </c>
      <c r="G6" s="26" t="n">
        <f aca="false">B6-ROW()*0.0001</f>
        <v>-0.0006</v>
      </c>
      <c r="J6" s="1" t="n">
        <f aca="false">COUNTIFS('01 - Job Database'!$C$3:$C$1000,"&lt;&gt;",'01 - Job Database'!$W$3:$W$1000,"&lt;&gt;Yes",'01 - Job Database'!$G$3:$G$1000,$A6,'01 - Job Database'!$X$3:$X$1000,"Yes")</f>
        <v>0</v>
      </c>
      <c r="K6" s="1" t="n">
        <f aca="false">COUNTIFS('01 - Job Database'!$C$3:$C$1000,"&lt;&gt;",'01 - Job Database'!$W$3:$W$1000,"&lt;&gt;Yes",'01 - Job Database'!$G$3:$G$1000,$A6,'01 - Job Database'!$Y$3:$Y$1000,"Yes")</f>
        <v>0</v>
      </c>
      <c r="L6" s="1" t="n">
        <f aca="false">COUNTIFS('01 - Job Database'!$C$3:$C$1000,"&lt;&gt;",'01 - Job Database'!$W$3:$W$1000,"&lt;&gt;Yes",'01 - Job Database'!$G$3:$G$1000,$A6,'01 - Job Database'!$Z$3:$Z$1000,"Yes")</f>
        <v>0</v>
      </c>
      <c r="M6" s="1" t="n">
        <f aca="false">COUNTIFS('01 - Job Database'!$C$3:$C$1000,"&lt;&gt;",'01 - Job Database'!$W$3:$W$1000,"&lt;&gt;Yes",'01 - Job Database'!$G$3:$G$1000,$A6,'01 - Job Database'!$AA$3:$AA$1000,"Yes")</f>
        <v>0</v>
      </c>
      <c r="N6" s="1" t="n">
        <f aca="false">COUNTIFS('01 - Job Database'!$C$3:$C$1000,"&lt;&gt;",'01 - Job Database'!$W$3:$W$1000,"&lt;&gt;Yes",'01 - Job Database'!$G$3:$G$1000,$A6,'01 - Job Database'!$AB$3:$AB$1000,"Yes")</f>
        <v>0</v>
      </c>
      <c r="O6" s="1" t="n">
        <f aca="false">COUNTIFS('01 - Job Database'!$C$3:$C$1000,"&lt;&gt;",'01 - Job Database'!$W$3:$W$1000,"&lt;&gt;Yes",'01 - Job Database'!$G$3:$G$1000,$A6,'01 - Job Database'!$AC$3:$AC$1000,"Yes")</f>
        <v>0</v>
      </c>
      <c r="P6" s="1" t="n">
        <f aca="false">COUNTIFS('01 - Job Database'!$C$3:$C$1000,"&lt;&gt;",'01 - Job Database'!$W$3:$W$1000,"&lt;&gt;Yes",'01 - Job Database'!$G$3:$G$1000,$A6,'01 - Job Database'!$AD$3:$AD$1000,"Yes")</f>
        <v>0</v>
      </c>
      <c r="Q6" s="1" t="n">
        <f aca="false">COUNTIFS('01 - Job Database'!$C$3:$C$1000,"&lt;&gt;",'01 - Job Database'!$W$3:$W$1000,"&lt;&gt;Yes",'01 - Job Database'!$G$3:$G$1000,$A6,'01 - Job Database'!$AE$3:$AE$1000,"Yes")</f>
        <v>0</v>
      </c>
      <c r="R6" s="1" t="n">
        <f aca="false">COUNTIFS('01 - Job Database'!$C$3:$C$1000,"&lt;&gt;",'01 - Job Database'!$W$3:$W$1000,"&lt;&gt;Yes",'01 - Job Database'!$G$3:$G$1000,$A6,'01 - Job Database'!$AF$3:$AF$1000,"Yes")</f>
        <v>0</v>
      </c>
      <c r="S6" s="1" t="n">
        <f aca="false">COUNTIFS('01 - Job Database'!$C$3:$C$1000,"&lt;&gt;",'01 - Job Database'!$W$3:$W$1000,"&lt;&gt;Yes",'01 - Job Database'!$G$3:$G$1000,$A6,'01 - Job Database'!$AG$3:$AG$1000,"Yes")</f>
        <v>0</v>
      </c>
      <c r="T6" s="1" t="n">
        <f aca="false">COUNTIFS('01 - Job Database'!$C$3:$C$1000,"&lt;&gt;",'01 - Job Database'!$W$3:$W$1000,"&lt;&gt;Yes",'01 - Job Database'!$G$3:$G$1000,$A6,'01 - Job Database'!$AH$3:$AH$1000,"Yes")</f>
        <v>0</v>
      </c>
      <c r="U6" s="1" t="n">
        <f aca="false">COUNTIFS('01 - Job Database'!$C$3:$C$1000,"&lt;&gt;",'01 - Job Database'!$W$3:$W$1000,"&lt;&gt;Yes",'01 - Job Database'!$G$3:$G$1000,$A6,'01 - Job Database'!$AI$3:$AI$1000,"Yes")</f>
        <v>0</v>
      </c>
      <c r="V6" s="1" t="n">
        <f aca="false">COUNTIFS('01 - Job Database'!$C$3:$C$1000,"&lt;&gt;",'01 - Job Database'!$W$3:$W$1000,"&lt;&gt;Yes",'01 - Job Database'!$G$3:$G$1000,$A6,'01 - Job Database'!$AJ$3:$AJ$1000,"Yes")</f>
        <v>0</v>
      </c>
      <c r="W6" s="1" t="n">
        <f aca="false">COUNTIFS('01 - Job Database'!$C$3:$C$1000,"&lt;&gt;",'01 - Job Database'!$W$3:$W$1000,"&lt;&gt;Yes",'01 - Job Database'!$G$3:$G$1000,$A6,'01 - Job Database'!$AK$3:$AK$1000,"Yes")</f>
        <v>0</v>
      </c>
      <c r="X6" s="1" t="n">
        <f aca="false">COUNTIFS('01 - Job Database'!$C$3:$C$1000,"&lt;&gt;",'01 - Job Database'!$W$3:$W$1000,"&lt;&gt;Yes",'01 - Job Database'!$G$3:$G$1000,$A6,'01 - Job Database'!$AL$3:$AL$1000,"Yes")</f>
        <v>0</v>
      </c>
      <c r="Y6" s="1" t="n">
        <f aca="false">COUNTIFS('01 - Job Database'!$C$3:$C$1000,"&lt;&gt;",'01 - Job Database'!$W$3:$W$1000,"&lt;&gt;Yes",'01 - Job Database'!$G$3:$G$1000,$A6,'01 - Job Database'!$AM$3:$AM$1000,"Yes")</f>
        <v>0</v>
      </c>
      <c r="Z6" s="1" t="n">
        <f aca="false">COUNTIFS('01 - Job Database'!$C$3:$C$1000,"&lt;&gt;",'01 - Job Database'!$W$3:$W$1000,"&lt;&gt;Yes",'01 - Job Database'!$G$3:$G$1000,$A6,'01 - Job Database'!$AN$3:$AN$1000,"Yes")</f>
        <v>0</v>
      </c>
      <c r="AA6" s="1" t="n">
        <f aca="false">COUNTIFS('01 - Job Database'!$C$3:$C$1000,"&lt;&gt;",'01 - Job Database'!$W$3:$W$1000,"&lt;&gt;Yes",'01 - Job Database'!$G$3:$G$1000,$A6,'01 - Job Database'!$AO$3:$AO$1000,"Yes")</f>
        <v>0</v>
      </c>
      <c r="AB6" s="1" t="n">
        <f aca="false">COUNTIFS('01 - Job Database'!$C$3:$C$1000,"&lt;&gt;",'01 - Job Database'!$W$3:$W$1000,"&lt;&gt;Yes",'01 - Job Database'!$G$3:$G$1000,$A6,'01 - Job Database'!$AP$3:$AP$1000,"Yes")</f>
        <v>0</v>
      </c>
      <c r="AC6" s="1" t="n">
        <f aca="false">COUNTIFS('01 - Job Database'!$C$3:$C$1000,"&lt;&gt;",'01 - Job Database'!$W$3:$W$1000,"&lt;&gt;Yes",'01 - Job Database'!$G$3:$G$1000,$A6,'01 - Job Database'!$AQ$3:$AQ$1000,"Yes")</f>
        <v>0</v>
      </c>
      <c r="AD6" s="1" t="n">
        <f aca="false">COUNTIFS('01 - Job Database'!$C$3:$C$1000,"&lt;&gt;",'01 - Job Database'!$W$3:$W$1000,"&lt;&gt;Yes",'01 - Job Database'!$G$3:$G$1000,$A6,'01 - Job Database'!$AR$3:$AR$1000,"Yes")</f>
        <v>0</v>
      </c>
      <c r="AE6" s="1" t="n">
        <f aca="false">COUNTIFS('01 - Job Database'!$C$3:$C$1000,"&lt;&gt;",'01 - Job Database'!$W$3:$W$1000,"&lt;&gt;Yes",'01 - Job Database'!$G$3:$G$1000,$A6,'01 - Job Database'!$AS$3:$AS$1000,"Yes")</f>
        <v>0</v>
      </c>
      <c r="AF6" s="1" t="n">
        <f aca="false">COUNTIFS('01 - Job Database'!$C$3:$C$1000,"&lt;&gt;",'01 - Job Database'!$W$3:$W$1000,"&lt;&gt;Yes",'01 - Job Database'!$G$3:$G$1000,$A6,'01 - Job Database'!$AT$3:$AT$1000,"Yes")</f>
        <v>0</v>
      </c>
      <c r="AG6" s="1" t="n">
        <f aca="false">COUNTIFS('01 - Job Database'!$C$3:$C$1000,"&lt;&gt;",'01 - Job Database'!$W$3:$W$1000,"&lt;&gt;Yes",'01 - Job Database'!$G$3:$G$1000,$A6,'01 - Job Database'!$AU$3:$AU$1000,"Yes")</f>
        <v>0</v>
      </c>
      <c r="AH6" s="1" t="n">
        <f aca="false">COUNTIFS('01 - Job Database'!$C$3:$C$1000,"&lt;&gt;",'01 - Job Database'!$W$3:$W$1000,"&lt;&gt;Yes",'01 - Job Database'!$G$3:$G$1000,$A6,'01 - Job Database'!$AV$3:$AV$1000,"Yes")</f>
        <v>0</v>
      </c>
      <c r="AI6" s="1" t="n">
        <f aca="false">COUNTIFS('01 - Job Database'!$C$3:$C$1000,"&lt;&gt;",'01 - Job Database'!$W$3:$W$1000,"&lt;&gt;Yes",'01 - Job Database'!$G$3:$G$1000,$A6,'01 - Job Database'!$AW$3:$AW$1000,"Yes")</f>
        <v>0</v>
      </c>
      <c r="AJ6" s="1" t="n">
        <f aca="false">COUNTIFS('01 - Job Database'!$C$3:$C$1000,"&lt;&gt;",'01 - Job Database'!$W$3:$W$1000,"&lt;&gt;Yes",'01 - Job Database'!$G$3:$G$1000,$A6,'01 - Job Database'!$AX$3:$AX$1000,"Yes")</f>
        <v>0</v>
      </c>
      <c r="AK6" s="1" t="n">
        <f aca="false">COUNTIFS('01 - Job Database'!$C$3:$C$1000,"&lt;&gt;",'01 - Job Database'!$W$3:$W$1000,"&lt;&gt;Yes",'01 - Job Database'!$G$3:$G$1000,$A6,'01 - Job Database'!$AY$3:$AY$1000,"Yes")</f>
        <v>0</v>
      </c>
      <c r="AL6" s="1" t="n">
        <f aca="false">COUNTIFS('01 - Job Database'!$C$3:$C$1000,"&lt;&gt;",'01 - Job Database'!$W$3:$W$1000,"&lt;&gt;Yes",'01 - Job Database'!$G$3:$G$1000,$A6,'01 - Job Database'!$AZ$3:$AZ$1000,"Yes")</f>
        <v>0</v>
      </c>
      <c r="AM6" s="1" t="n">
        <f aca="false">COUNTIFS('01 - Job Database'!$C$3:$C$1000,"&lt;&gt;",'01 - Job Database'!$W$3:$W$1000,"&lt;&gt;Yes",'01 - Job Database'!$G$3:$G$1000,$A6,'01 - Job Database'!$BA$3:$BA$1000,"Yes")</f>
        <v>0</v>
      </c>
      <c r="AN6" s="1" t="n">
        <f aca="false">COUNTIFS('01 - Job Database'!$C$3:$C$1000,"&lt;&gt;",'01 - Job Database'!$W$3:$W$1000,"&lt;&gt;Yes",'01 - Job Database'!$G$3:$G$1000,$A6,'01 - Job Database'!$BB$3:$BB$1000,"Yes")</f>
        <v>0</v>
      </c>
      <c r="AO6" s="1" t="n">
        <f aca="false">COUNTIFS('01 - Job Database'!$C$3:$C$1000,"&lt;&gt;",'01 - Job Database'!$W$3:$W$1000,"&lt;&gt;Yes",'01 - Job Database'!$G$3:$G$1000,$A6,'01 - Job Database'!$BC$3:$BC$1000,"Yes")</f>
        <v>0</v>
      </c>
      <c r="AP6" s="1" t="n">
        <f aca="false">MAX(J6:AO6,BB6:BL6)</f>
        <v>0</v>
      </c>
      <c r="AQ6" s="34" t="n">
        <f aca="false">COUNTIFS('01 - Job Database'!$C$3:$C$1000,"&lt;&gt;",'01 - Job Database'!$W$3:$W$1000,"&lt;&gt;Yes",'01 - Job Database'!$G$3:$G$1000,$A6,'01 - Job Database'!$O$3:$O$1000,"&gt;=100")</f>
        <v>0</v>
      </c>
      <c r="AR6" s="34" t="n">
        <f aca="false">COUNTIFS('01 - Job Database'!$C$3:$C$1000,"&lt;&gt;",'01 - Job Database'!$W$3:$W$1000,"&lt;&gt;Yes",'01 - Job Database'!$G$3:$G$1000,$A6,'01 - Job Database'!$Q$3:$Q$1000,"&gt;=150000")</f>
        <v>0</v>
      </c>
      <c r="AS6" s="34" t="n">
        <f aca="false">COUNTIFS('01 - Job Database'!$C$3:$C$1000,"&lt;&gt;",'01 - Job Database'!$W$3:$W$1000,"&lt;&gt;Yes",'01 - Job Database'!$G$3:$G$1000,$A6,'01 - Job Database'!$BQ$3:$BQ$1000,"&lt;&gt;")</f>
        <v>0</v>
      </c>
      <c r="AT6" s="34" t="n">
        <f aca="false">COUNTIFS('01 - Job Database'!$C$3:$C$1000,"&lt;&gt;",'01 - Job Database'!$W$3:$W$1000,"&lt;&gt;Yes",'01 - Job Database'!$G$3:$G$1000,$A6,'01 - Job Database'!$O$3:$O$1000,"&gt;=20")</f>
        <v>0</v>
      </c>
      <c r="AU6" s="34" t="n">
        <f aca="false">COUNTIFS('01 - Job Database'!$C$3:$C$1000,"&lt;&gt;",'01 - Job Database'!$W$3:$W$1000,"&lt;&gt;Yes",'01 - Job Database'!$G$3:$G$1000,$A6,'01 - Job Database'!$O$3:$O$1000,"&gt;=30")</f>
        <v>0</v>
      </c>
      <c r="AV6" s="34" t="n">
        <f aca="false">COUNTIFS('01 - Job Database'!$C$3:$C$1000,"&lt;&gt;",'01 - Job Database'!$W$3:$W$1000,"&lt;&gt;Yes",'01 - Job Database'!$G$3:$G$1000,$A6,'01 - Job Database'!$O$3:$O$1000,"&gt;=75")</f>
        <v>0</v>
      </c>
      <c r="AW6" s="34" t="n">
        <f aca="false">COUNTIFS('01 - Job Database'!$C$3:$C$1000,"&lt;&gt;",'01 - Job Database'!$W$3:$W$1000,"&lt;&gt;Yes",'01 - Job Database'!$G$3:$G$1000,$A6,'01 - Job Database'!$O$3:$O$1000,"&gt;=150")</f>
        <v>0</v>
      </c>
      <c r="AX6" s="34" t="n">
        <f aca="false">COUNTIFS('01 - Job Database'!$C$3:$C$1000,"&lt;&gt;",'01 - Job Database'!$W$3:$W$1000,"&lt;&gt;Yes",'01 - Job Database'!$G$3:$G$1000,$A6,'01 - Job Database'!$O$3:$O$1000,"&gt;=200")</f>
        <v>0</v>
      </c>
      <c r="AY6" s="34" t="n">
        <f aca="false">COUNTIFS('01 - Job Database'!$C$3:$C$1000,"&lt;&gt;",'01 - Job Database'!$W$3:$W$1000,"&lt;&gt;Yes",'01 - Job Database'!$G$3:$G$1000,$A6,'01 - Job Database'!$Q$3:$Q$1000,"&gt;=200000")</f>
        <v>0</v>
      </c>
      <c r="AZ6" s="34" t="n">
        <f aca="false">COUNTIFS('01 - Job Database'!$C$3:$C$1000,"&lt;&gt;",'01 - Job Database'!$W$3:$W$1000,"&lt;&gt;Yes",'01 - Job Database'!$G$3:$G$1000,$A6,'01 - Job Database'!$Q$3:$Q$1000,"&gt;=250000")</f>
        <v>0</v>
      </c>
      <c r="BA6" s="34" t="n">
        <f aca="false">COUNTIFS('01 - Job Database'!$C$3:$C$1000,"&lt;&gt;",'01 - Job Database'!$W$3:$W$1000,"&lt;&gt;Yes",'01 - Job Database'!$G$3:$G$1000,$A6,'01 - Job Database'!$Q$3:$Q$1000,"&gt;=300000")</f>
        <v>0</v>
      </c>
      <c r="BB6" s="1" t="n">
        <f aca="false">COUNTIFS('01 - Job Database'!$C$3:$C$1000,"&lt;&gt;",'01 - Job Database'!$W$3:$W$1000,"&lt;&gt;Yes",'01 - Job Database'!$G$3:$G$1000,$A6,'01 - Job Database'!$CM$3:$CM$1000,"Yes")</f>
        <v>0</v>
      </c>
      <c r="BC6" s="1" t="n">
        <f aca="false">COUNTIFS('01 - Job Database'!$C$3:$C$1000,"&lt;&gt;",'01 - Job Database'!$W$3:$W$1000,"&lt;&gt;Yes",'01 - Job Database'!$G$3:$G$1000,$A6,'01 - Job Database'!$CN$3:$CN$1000,"Yes")</f>
        <v>0</v>
      </c>
      <c r="BD6" s="1" t="n">
        <f aca="false">COUNTIFS('01 - Job Database'!$C$3:$C$1000,"&lt;&gt;",'01 - Job Database'!$W$3:$W$1000,"&lt;&gt;Yes",'01 - Job Database'!$G$3:$G$1000,$A6,'01 - Job Database'!$CO$3:$CO$1000,"Yes")</f>
        <v>0</v>
      </c>
      <c r="BE6" s="1" t="n">
        <f aca="false">COUNTIFS('01 - Job Database'!$C$3:$C$1000,"&lt;&gt;",'01 - Job Database'!$W$3:$W$1000,"&lt;&gt;Yes",'01 - Job Database'!$G$3:$G$1000,$A6,'01 - Job Database'!$CP$3:$CP$1000,"Yes")</f>
        <v>0</v>
      </c>
      <c r="BF6" s="1" t="n">
        <f aca="false">COUNTIFS('01 - Job Database'!$C$3:$C$1000,"&lt;&gt;",'01 - Job Database'!$W$3:$W$1000,"&lt;&gt;Yes",'01 - Job Database'!$G$3:$G$1000,$A6,'01 - Job Database'!$CQ$3:$CQ$1000,"Yes")</f>
        <v>0</v>
      </c>
      <c r="BG6" s="1" t="n">
        <f aca="false">COUNTIFS('01 - Job Database'!$C$3:$C$1000,"&lt;&gt;",'01 - Job Database'!$W$3:$W$1000,"&lt;&gt;Yes",'01 - Job Database'!$G$3:$G$1000,$A6,'01 - Job Database'!$CR$3:$CR$1000,"Yes")</f>
        <v>0</v>
      </c>
      <c r="BH6" s="1" t="n">
        <f aca="false">COUNTIFS('01 - Job Database'!$C$3:$C$1000,"&lt;&gt;",'01 - Job Database'!$W$3:$W$1000,"&lt;&gt;Yes",'01 - Job Database'!$G$3:$G$1000,$A6,'01 - Job Database'!$CS$3:$CS$1000,"Yes")</f>
        <v>0</v>
      </c>
      <c r="BI6" s="1" t="n">
        <f aca="false">COUNTIFS('01 - Job Database'!$C$3:$C$1000,"&lt;&gt;",'01 - Job Database'!$W$3:$W$1000,"&lt;&gt;Yes",'01 - Job Database'!$G$3:$G$1000,$A6,'01 - Job Database'!$CT$3:$CT$1000,"Yes")</f>
        <v>0</v>
      </c>
      <c r="BJ6" s="1" t="n">
        <f aca="false">COUNTIFS('01 - Job Database'!$C$3:$C$1000,"&lt;&gt;",'01 - Job Database'!$W$3:$W$1000,"&lt;&gt;Yes",'01 - Job Database'!$G$3:$G$1000,$A6,'01 - Job Database'!$CU$3:$CU$1000,"Yes")</f>
        <v>0</v>
      </c>
      <c r="BK6" s="1" t="n">
        <f aca="false">COUNTIFS('01 - Job Database'!$C$3:$C$1000,"&lt;&gt;",'01 - Job Database'!$W$3:$W$1000,"&lt;&gt;Yes",'01 - Job Database'!$G$3:$G$1000,$A6,'01 - Job Database'!$CV$3:$CV$1000,"Yes")</f>
        <v>0</v>
      </c>
      <c r="BL6" s="1" t="n">
        <f aca="false">COUNTIFS('01 - Job Database'!$C$3:$C$1000,"&lt;&gt;",'01 - Job Database'!$W$3:$W$1000,"&lt;&gt;Yes",'01 - Job Database'!$G$3:$G$1000,$A6,'01 - Job Database'!$CW$3:$CW$1000,"Yes")</f>
        <v>0</v>
      </c>
    </row>
    <row r="7" customFormat="false" ht="15" hidden="false" customHeight="true" outlineLevel="0" collapsed="false">
      <c r="A7" s="57" t="s">
        <v>263</v>
      </c>
      <c r="B7" s="26" t="n">
        <f aca="false">COUNTIFS('01 - Job Database'!$C$3:$C$1000,"&lt;&gt;",'01 - Job Database'!$W$3:$W$1000,"&lt;&gt;Yes",'01 - Job Database'!$G$3:$G$1000,A7)</f>
        <v>0</v>
      </c>
      <c r="C7" s="26" t="n">
        <f aca="false">COUNTIFS('01 - Job Database'!$C$3:$C$1000,"&lt;&gt;",'01 - Job Database'!$W$3:$W$1000,"&lt;&gt;Yes",'01 - Job Database'!$G$3:$G$1000,A7,'01 - Job Database'!$S$3:$S$1000,"Yes")</f>
        <v>0</v>
      </c>
      <c r="D7" s="58" t="str">
        <f aca="false">IFERROR(COUNTIFS('01 - Job Database'!$C$3:$C$1000,"&lt;&gt;",'01 - Job Database'!$W$3:$W$1000,"&lt;&gt;Yes",'01 - Job Database'!$G$3:$G$1000,A7,'01 - Job Database'!$J$3:$J$1000,"Yes")/B7,"")</f>
        <v/>
      </c>
      <c r="E7" s="58" t="str">
        <f aca="false">IFERROR(COUNTIFS('01 - Job Database'!$C$3:$C$1000,"&lt;&gt;",'01 - Job Database'!$W$3:$W$1000,"&lt;&gt;Yes",'01 - Job Database'!$G$3:$G$1000,A7,'01 - Job Database'!$K$3:$K$1000,"Yes")/B7,"")</f>
        <v/>
      </c>
      <c r="F7" s="26" t="str">
        <f aca="false">IF(B7=0,"—",IFERROR(INDEX($J$3:$AO$3,MATCH(AP7,J7:AO7,0)),IFERROR(INDEX($BB$3:$BL$3,MATCH(AP7,BB7:BL7,0)),"—")))</f>
        <v>—</v>
      </c>
      <c r="G7" s="26" t="n">
        <f aca="false">B7-ROW()*0.0001</f>
        <v>-0.0007</v>
      </c>
      <c r="J7" s="1" t="n">
        <f aca="false">COUNTIFS('01 - Job Database'!$C$3:$C$1000,"&lt;&gt;",'01 - Job Database'!$W$3:$W$1000,"&lt;&gt;Yes",'01 - Job Database'!$G$3:$G$1000,$A7,'01 - Job Database'!$X$3:$X$1000,"Yes")</f>
        <v>0</v>
      </c>
      <c r="K7" s="1" t="n">
        <f aca="false">COUNTIFS('01 - Job Database'!$C$3:$C$1000,"&lt;&gt;",'01 - Job Database'!$W$3:$W$1000,"&lt;&gt;Yes",'01 - Job Database'!$G$3:$G$1000,$A7,'01 - Job Database'!$Y$3:$Y$1000,"Yes")</f>
        <v>0</v>
      </c>
      <c r="L7" s="1" t="n">
        <f aca="false">COUNTIFS('01 - Job Database'!$C$3:$C$1000,"&lt;&gt;",'01 - Job Database'!$W$3:$W$1000,"&lt;&gt;Yes",'01 - Job Database'!$G$3:$G$1000,$A7,'01 - Job Database'!$Z$3:$Z$1000,"Yes")</f>
        <v>0</v>
      </c>
      <c r="M7" s="1" t="n">
        <f aca="false">COUNTIFS('01 - Job Database'!$C$3:$C$1000,"&lt;&gt;",'01 - Job Database'!$W$3:$W$1000,"&lt;&gt;Yes",'01 - Job Database'!$G$3:$G$1000,$A7,'01 - Job Database'!$AA$3:$AA$1000,"Yes")</f>
        <v>0</v>
      </c>
      <c r="N7" s="1" t="n">
        <f aca="false">COUNTIFS('01 - Job Database'!$C$3:$C$1000,"&lt;&gt;",'01 - Job Database'!$W$3:$W$1000,"&lt;&gt;Yes",'01 - Job Database'!$G$3:$G$1000,$A7,'01 - Job Database'!$AB$3:$AB$1000,"Yes")</f>
        <v>0</v>
      </c>
      <c r="O7" s="1" t="n">
        <f aca="false">COUNTIFS('01 - Job Database'!$C$3:$C$1000,"&lt;&gt;",'01 - Job Database'!$W$3:$W$1000,"&lt;&gt;Yes",'01 - Job Database'!$G$3:$G$1000,$A7,'01 - Job Database'!$AC$3:$AC$1000,"Yes")</f>
        <v>0</v>
      </c>
      <c r="P7" s="1" t="n">
        <f aca="false">COUNTIFS('01 - Job Database'!$C$3:$C$1000,"&lt;&gt;",'01 - Job Database'!$W$3:$W$1000,"&lt;&gt;Yes",'01 - Job Database'!$G$3:$G$1000,$A7,'01 - Job Database'!$AD$3:$AD$1000,"Yes")</f>
        <v>0</v>
      </c>
      <c r="Q7" s="1" t="n">
        <f aca="false">COUNTIFS('01 - Job Database'!$C$3:$C$1000,"&lt;&gt;",'01 - Job Database'!$W$3:$W$1000,"&lt;&gt;Yes",'01 - Job Database'!$G$3:$G$1000,$A7,'01 - Job Database'!$AE$3:$AE$1000,"Yes")</f>
        <v>0</v>
      </c>
      <c r="R7" s="1" t="n">
        <f aca="false">COUNTIFS('01 - Job Database'!$C$3:$C$1000,"&lt;&gt;",'01 - Job Database'!$W$3:$W$1000,"&lt;&gt;Yes",'01 - Job Database'!$G$3:$G$1000,$A7,'01 - Job Database'!$AF$3:$AF$1000,"Yes")</f>
        <v>0</v>
      </c>
      <c r="S7" s="1" t="n">
        <f aca="false">COUNTIFS('01 - Job Database'!$C$3:$C$1000,"&lt;&gt;",'01 - Job Database'!$W$3:$W$1000,"&lt;&gt;Yes",'01 - Job Database'!$G$3:$G$1000,$A7,'01 - Job Database'!$AG$3:$AG$1000,"Yes")</f>
        <v>0</v>
      </c>
      <c r="T7" s="1" t="n">
        <f aca="false">COUNTIFS('01 - Job Database'!$C$3:$C$1000,"&lt;&gt;",'01 - Job Database'!$W$3:$W$1000,"&lt;&gt;Yes",'01 - Job Database'!$G$3:$G$1000,$A7,'01 - Job Database'!$AH$3:$AH$1000,"Yes")</f>
        <v>0</v>
      </c>
      <c r="U7" s="1" t="n">
        <f aca="false">COUNTIFS('01 - Job Database'!$C$3:$C$1000,"&lt;&gt;",'01 - Job Database'!$W$3:$W$1000,"&lt;&gt;Yes",'01 - Job Database'!$G$3:$G$1000,$A7,'01 - Job Database'!$AI$3:$AI$1000,"Yes")</f>
        <v>0</v>
      </c>
      <c r="V7" s="1" t="n">
        <f aca="false">COUNTIFS('01 - Job Database'!$C$3:$C$1000,"&lt;&gt;",'01 - Job Database'!$W$3:$W$1000,"&lt;&gt;Yes",'01 - Job Database'!$G$3:$G$1000,$A7,'01 - Job Database'!$AJ$3:$AJ$1000,"Yes")</f>
        <v>0</v>
      </c>
      <c r="W7" s="1" t="n">
        <f aca="false">COUNTIFS('01 - Job Database'!$C$3:$C$1000,"&lt;&gt;",'01 - Job Database'!$W$3:$W$1000,"&lt;&gt;Yes",'01 - Job Database'!$G$3:$G$1000,$A7,'01 - Job Database'!$AK$3:$AK$1000,"Yes")</f>
        <v>0</v>
      </c>
      <c r="X7" s="1" t="n">
        <f aca="false">COUNTIFS('01 - Job Database'!$C$3:$C$1000,"&lt;&gt;",'01 - Job Database'!$W$3:$W$1000,"&lt;&gt;Yes",'01 - Job Database'!$G$3:$G$1000,$A7,'01 - Job Database'!$AL$3:$AL$1000,"Yes")</f>
        <v>0</v>
      </c>
      <c r="Y7" s="1" t="n">
        <f aca="false">COUNTIFS('01 - Job Database'!$C$3:$C$1000,"&lt;&gt;",'01 - Job Database'!$W$3:$W$1000,"&lt;&gt;Yes",'01 - Job Database'!$G$3:$G$1000,$A7,'01 - Job Database'!$AM$3:$AM$1000,"Yes")</f>
        <v>0</v>
      </c>
      <c r="Z7" s="1" t="n">
        <f aca="false">COUNTIFS('01 - Job Database'!$C$3:$C$1000,"&lt;&gt;",'01 - Job Database'!$W$3:$W$1000,"&lt;&gt;Yes",'01 - Job Database'!$G$3:$G$1000,$A7,'01 - Job Database'!$AN$3:$AN$1000,"Yes")</f>
        <v>0</v>
      </c>
      <c r="AA7" s="1" t="n">
        <f aca="false">COUNTIFS('01 - Job Database'!$C$3:$C$1000,"&lt;&gt;",'01 - Job Database'!$W$3:$W$1000,"&lt;&gt;Yes",'01 - Job Database'!$G$3:$G$1000,$A7,'01 - Job Database'!$AO$3:$AO$1000,"Yes")</f>
        <v>0</v>
      </c>
      <c r="AB7" s="1" t="n">
        <f aca="false">COUNTIFS('01 - Job Database'!$C$3:$C$1000,"&lt;&gt;",'01 - Job Database'!$W$3:$W$1000,"&lt;&gt;Yes",'01 - Job Database'!$G$3:$G$1000,$A7,'01 - Job Database'!$AP$3:$AP$1000,"Yes")</f>
        <v>0</v>
      </c>
      <c r="AC7" s="1" t="n">
        <f aca="false">COUNTIFS('01 - Job Database'!$C$3:$C$1000,"&lt;&gt;",'01 - Job Database'!$W$3:$W$1000,"&lt;&gt;Yes",'01 - Job Database'!$G$3:$G$1000,$A7,'01 - Job Database'!$AQ$3:$AQ$1000,"Yes")</f>
        <v>0</v>
      </c>
      <c r="AD7" s="1" t="n">
        <f aca="false">COUNTIFS('01 - Job Database'!$C$3:$C$1000,"&lt;&gt;",'01 - Job Database'!$W$3:$W$1000,"&lt;&gt;Yes",'01 - Job Database'!$G$3:$G$1000,$A7,'01 - Job Database'!$AR$3:$AR$1000,"Yes")</f>
        <v>0</v>
      </c>
      <c r="AE7" s="1" t="n">
        <f aca="false">COUNTIFS('01 - Job Database'!$C$3:$C$1000,"&lt;&gt;",'01 - Job Database'!$W$3:$W$1000,"&lt;&gt;Yes",'01 - Job Database'!$G$3:$G$1000,$A7,'01 - Job Database'!$AS$3:$AS$1000,"Yes")</f>
        <v>0</v>
      </c>
      <c r="AF7" s="1" t="n">
        <f aca="false">COUNTIFS('01 - Job Database'!$C$3:$C$1000,"&lt;&gt;",'01 - Job Database'!$W$3:$W$1000,"&lt;&gt;Yes",'01 - Job Database'!$G$3:$G$1000,$A7,'01 - Job Database'!$AT$3:$AT$1000,"Yes")</f>
        <v>0</v>
      </c>
      <c r="AG7" s="1" t="n">
        <f aca="false">COUNTIFS('01 - Job Database'!$C$3:$C$1000,"&lt;&gt;",'01 - Job Database'!$W$3:$W$1000,"&lt;&gt;Yes",'01 - Job Database'!$G$3:$G$1000,$A7,'01 - Job Database'!$AU$3:$AU$1000,"Yes")</f>
        <v>0</v>
      </c>
      <c r="AH7" s="1" t="n">
        <f aca="false">COUNTIFS('01 - Job Database'!$C$3:$C$1000,"&lt;&gt;",'01 - Job Database'!$W$3:$W$1000,"&lt;&gt;Yes",'01 - Job Database'!$G$3:$G$1000,$A7,'01 - Job Database'!$AV$3:$AV$1000,"Yes")</f>
        <v>0</v>
      </c>
      <c r="AI7" s="1" t="n">
        <f aca="false">COUNTIFS('01 - Job Database'!$C$3:$C$1000,"&lt;&gt;",'01 - Job Database'!$W$3:$W$1000,"&lt;&gt;Yes",'01 - Job Database'!$G$3:$G$1000,$A7,'01 - Job Database'!$AW$3:$AW$1000,"Yes")</f>
        <v>0</v>
      </c>
      <c r="AJ7" s="1" t="n">
        <f aca="false">COUNTIFS('01 - Job Database'!$C$3:$C$1000,"&lt;&gt;",'01 - Job Database'!$W$3:$W$1000,"&lt;&gt;Yes",'01 - Job Database'!$G$3:$G$1000,$A7,'01 - Job Database'!$AX$3:$AX$1000,"Yes")</f>
        <v>0</v>
      </c>
      <c r="AK7" s="1" t="n">
        <f aca="false">COUNTIFS('01 - Job Database'!$C$3:$C$1000,"&lt;&gt;",'01 - Job Database'!$W$3:$W$1000,"&lt;&gt;Yes",'01 - Job Database'!$G$3:$G$1000,$A7,'01 - Job Database'!$AY$3:$AY$1000,"Yes")</f>
        <v>0</v>
      </c>
      <c r="AL7" s="1" t="n">
        <f aca="false">COUNTIFS('01 - Job Database'!$C$3:$C$1000,"&lt;&gt;",'01 - Job Database'!$W$3:$W$1000,"&lt;&gt;Yes",'01 - Job Database'!$G$3:$G$1000,$A7,'01 - Job Database'!$AZ$3:$AZ$1000,"Yes")</f>
        <v>0</v>
      </c>
      <c r="AM7" s="1" t="n">
        <f aca="false">COUNTIFS('01 - Job Database'!$C$3:$C$1000,"&lt;&gt;",'01 - Job Database'!$W$3:$W$1000,"&lt;&gt;Yes",'01 - Job Database'!$G$3:$G$1000,$A7,'01 - Job Database'!$BA$3:$BA$1000,"Yes")</f>
        <v>0</v>
      </c>
      <c r="AN7" s="1" t="n">
        <f aca="false">COUNTIFS('01 - Job Database'!$C$3:$C$1000,"&lt;&gt;",'01 - Job Database'!$W$3:$W$1000,"&lt;&gt;Yes",'01 - Job Database'!$G$3:$G$1000,$A7,'01 - Job Database'!$BB$3:$BB$1000,"Yes")</f>
        <v>0</v>
      </c>
      <c r="AO7" s="1" t="n">
        <f aca="false">COUNTIFS('01 - Job Database'!$C$3:$C$1000,"&lt;&gt;",'01 - Job Database'!$W$3:$W$1000,"&lt;&gt;Yes",'01 - Job Database'!$G$3:$G$1000,$A7,'01 - Job Database'!$BC$3:$BC$1000,"Yes")</f>
        <v>0</v>
      </c>
      <c r="AP7" s="1" t="n">
        <f aca="false">MAX(J7:AO7,BB7:BL7)</f>
        <v>0</v>
      </c>
      <c r="AQ7" s="34" t="n">
        <f aca="false">COUNTIFS('01 - Job Database'!$C$3:$C$1000,"&lt;&gt;",'01 - Job Database'!$W$3:$W$1000,"&lt;&gt;Yes",'01 - Job Database'!$G$3:$G$1000,$A7,'01 - Job Database'!$O$3:$O$1000,"&gt;=100")</f>
        <v>0</v>
      </c>
      <c r="AR7" s="34" t="n">
        <f aca="false">COUNTIFS('01 - Job Database'!$C$3:$C$1000,"&lt;&gt;",'01 - Job Database'!$W$3:$W$1000,"&lt;&gt;Yes",'01 - Job Database'!$G$3:$G$1000,$A7,'01 - Job Database'!$Q$3:$Q$1000,"&gt;=150000")</f>
        <v>0</v>
      </c>
      <c r="AS7" s="34" t="n">
        <f aca="false">COUNTIFS('01 - Job Database'!$C$3:$C$1000,"&lt;&gt;",'01 - Job Database'!$W$3:$W$1000,"&lt;&gt;Yes",'01 - Job Database'!$G$3:$G$1000,$A7,'01 - Job Database'!$BQ$3:$BQ$1000,"&lt;&gt;")</f>
        <v>0</v>
      </c>
      <c r="AT7" s="34" t="n">
        <f aca="false">COUNTIFS('01 - Job Database'!$C$3:$C$1000,"&lt;&gt;",'01 - Job Database'!$W$3:$W$1000,"&lt;&gt;Yes",'01 - Job Database'!$G$3:$G$1000,$A7,'01 - Job Database'!$O$3:$O$1000,"&gt;=20")</f>
        <v>0</v>
      </c>
      <c r="AU7" s="34" t="n">
        <f aca="false">COUNTIFS('01 - Job Database'!$C$3:$C$1000,"&lt;&gt;",'01 - Job Database'!$W$3:$W$1000,"&lt;&gt;Yes",'01 - Job Database'!$G$3:$G$1000,$A7,'01 - Job Database'!$O$3:$O$1000,"&gt;=30")</f>
        <v>0</v>
      </c>
      <c r="AV7" s="34" t="n">
        <f aca="false">COUNTIFS('01 - Job Database'!$C$3:$C$1000,"&lt;&gt;",'01 - Job Database'!$W$3:$W$1000,"&lt;&gt;Yes",'01 - Job Database'!$G$3:$G$1000,$A7,'01 - Job Database'!$O$3:$O$1000,"&gt;=75")</f>
        <v>0</v>
      </c>
      <c r="AW7" s="34" t="n">
        <f aca="false">COUNTIFS('01 - Job Database'!$C$3:$C$1000,"&lt;&gt;",'01 - Job Database'!$W$3:$W$1000,"&lt;&gt;Yes",'01 - Job Database'!$G$3:$G$1000,$A7,'01 - Job Database'!$O$3:$O$1000,"&gt;=150")</f>
        <v>0</v>
      </c>
      <c r="AX7" s="34" t="n">
        <f aca="false">COUNTIFS('01 - Job Database'!$C$3:$C$1000,"&lt;&gt;",'01 - Job Database'!$W$3:$W$1000,"&lt;&gt;Yes",'01 - Job Database'!$G$3:$G$1000,$A7,'01 - Job Database'!$O$3:$O$1000,"&gt;=200")</f>
        <v>0</v>
      </c>
      <c r="AY7" s="34" t="n">
        <f aca="false">COUNTIFS('01 - Job Database'!$C$3:$C$1000,"&lt;&gt;",'01 - Job Database'!$W$3:$W$1000,"&lt;&gt;Yes",'01 - Job Database'!$G$3:$G$1000,$A7,'01 - Job Database'!$Q$3:$Q$1000,"&gt;=200000")</f>
        <v>0</v>
      </c>
      <c r="AZ7" s="34" t="n">
        <f aca="false">COUNTIFS('01 - Job Database'!$C$3:$C$1000,"&lt;&gt;",'01 - Job Database'!$W$3:$W$1000,"&lt;&gt;Yes",'01 - Job Database'!$G$3:$G$1000,$A7,'01 - Job Database'!$Q$3:$Q$1000,"&gt;=250000")</f>
        <v>0</v>
      </c>
      <c r="BA7" s="34" t="n">
        <f aca="false">COUNTIFS('01 - Job Database'!$C$3:$C$1000,"&lt;&gt;",'01 - Job Database'!$W$3:$W$1000,"&lt;&gt;Yes",'01 - Job Database'!$G$3:$G$1000,$A7,'01 - Job Database'!$Q$3:$Q$1000,"&gt;=300000")</f>
        <v>0</v>
      </c>
      <c r="BB7" s="1" t="n">
        <f aca="false">COUNTIFS('01 - Job Database'!$C$3:$C$1000,"&lt;&gt;",'01 - Job Database'!$W$3:$W$1000,"&lt;&gt;Yes",'01 - Job Database'!$G$3:$G$1000,$A7,'01 - Job Database'!$CM$3:$CM$1000,"Yes")</f>
        <v>0</v>
      </c>
      <c r="BC7" s="1" t="n">
        <f aca="false">COUNTIFS('01 - Job Database'!$C$3:$C$1000,"&lt;&gt;",'01 - Job Database'!$W$3:$W$1000,"&lt;&gt;Yes",'01 - Job Database'!$G$3:$G$1000,$A7,'01 - Job Database'!$CN$3:$CN$1000,"Yes")</f>
        <v>0</v>
      </c>
      <c r="BD7" s="1" t="n">
        <f aca="false">COUNTIFS('01 - Job Database'!$C$3:$C$1000,"&lt;&gt;",'01 - Job Database'!$W$3:$W$1000,"&lt;&gt;Yes",'01 - Job Database'!$G$3:$G$1000,$A7,'01 - Job Database'!$CO$3:$CO$1000,"Yes")</f>
        <v>0</v>
      </c>
      <c r="BE7" s="1" t="n">
        <f aca="false">COUNTIFS('01 - Job Database'!$C$3:$C$1000,"&lt;&gt;",'01 - Job Database'!$W$3:$W$1000,"&lt;&gt;Yes",'01 - Job Database'!$G$3:$G$1000,$A7,'01 - Job Database'!$CP$3:$CP$1000,"Yes")</f>
        <v>0</v>
      </c>
      <c r="BF7" s="1" t="n">
        <f aca="false">COUNTIFS('01 - Job Database'!$C$3:$C$1000,"&lt;&gt;",'01 - Job Database'!$W$3:$W$1000,"&lt;&gt;Yes",'01 - Job Database'!$G$3:$G$1000,$A7,'01 - Job Database'!$CQ$3:$CQ$1000,"Yes")</f>
        <v>0</v>
      </c>
      <c r="BG7" s="1" t="n">
        <f aca="false">COUNTIFS('01 - Job Database'!$C$3:$C$1000,"&lt;&gt;",'01 - Job Database'!$W$3:$W$1000,"&lt;&gt;Yes",'01 - Job Database'!$G$3:$G$1000,$A7,'01 - Job Database'!$CR$3:$CR$1000,"Yes")</f>
        <v>0</v>
      </c>
      <c r="BH7" s="1" t="n">
        <f aca="false">COUNTIFS('01 - Job Database'!$C$3:$C$1000,"&lt;&gt;",'01 - Job Database'!$W$3:$W$1000,"&lt;&gt;Yes",'01 - Job Database'!$G$3:$G$1000,$A7,'01 - Job Database'!$CS$3:$CS$1000,"Yes")</f>
        <v>0</v>
      </c>
      <c r="BI7" s="1" t="n">
        <f aca="false">COUNTIFS('01 - Job Database'!$C$3:$C$1000,"&lt;&gt;",'01 - Job Database'!$W$3:$W$1000,"&lt;&gt;Yes",'01 - Job Database'!$G$3:$G$1000,$A7,'01 - Job Database'!$CT$3:$CT$1000,"Yes")</f>
        <v>0</v>
      </c>
      <c r="BJ7" s="1" t="n">
        <f aca="false">COUNTIFS('01 - Job Database'!$C$3:$C$1000,"&lt;&gt;",'01 - Job Database'!$W$3:$W$1000,"&lt;&gt;Yes",'01 - Job Database'!$G$3:$G$1000,$A7,'01 - Job Database'!$CU$3:$CU$1000,"Yes")</f>
        <v>0</v>
      </c>
      <c r="BK7" s="1" t="n">
        <f aca="false">COUNTIFS('01 - Job Database'!$C$3:$C$1000,"&lt;&gt;",'01 - Job Database'!$W$3:$W$1000,"&lt;&gt;Yes",'01 - Job Database'!$G$3:$G$1000,$A7,'01 - Job Database'!$CV$3:$CV$1000,"Yes")</f>
        <v>0</v>
      </c>
      <c r="BL7" s="1" t="n">
        <f aca="false">COUNTIFS('01 - Job Database'!$C$3:$C$1000,"&lt;&gt;",'01 - Job Database'!$W$3:$W$1000,"&lt;&gt;Yes",'01 - Job Database'!$G$3:$G$1000,$A7,'01 - Job Database'!$CW$3:$CW$1000,"Yes")</f>
        <v>0</v>
      </c>
    </row>
    <row r="8" customFormat="false" ht="15" hidden="false" customHeight="true" outlineLevel="0" collapsed="false">
      <c r="A8" s="57" t="s">
        <v>264</v>
      </c>
      <c r="B8" s="26" t="n">
        <f aca="false">COUNTIFS('01 - Job Database'!$C$3:$C$1000,"&lt;&gt;",'01 - Job Database'!$W$3:$W$1000,"&lt;&gt;Yes",'01 - Job Database'!$G$3:$G$1000,A8)</f>
        <v>0</v>
      </c>
      <c r="C8" s="26" t="n">
        <f aca="false">COUNTIFS('01 - Job Database'!$C$3:$C$1000,"&lt;&gt;",'01 - Job Database'!$W$3:$W$1000,"&lt;&gt;Yes",'01 - Job Database'!$G$3:$G$1000,A8,'01 - Job Database'!$S$3:$S$1000,"Yes")</f>
        <v>0</v>
      </c>
      <c r="D8" s="58" t="str">
        <f aca="false">IFERROR(COUNTIFS('01 - Job Database'!$C$3:$C$1000,"&lt;&gt;",'01 - Job Database'!$W$3:$W$1000,"&lt;&gt;Yes",'01 - Job Database'!$G$3:$G$1000,A8,'01 - Job Database'!$J$3:$J$1000,"Yes")/B8,"")</f>
        <v/>
      </c>
      <c r="E8" s="58" t="str">
        <f aca="false">IFERROR(COUNTIFS('01 - Job Database'!$C$3:$C$1000,"&lt;&gt;",'01 - Job Database'!$W$3:$W$1000,"&lt;&gt;Yes",'01 - Job Database'!$G$3:$G$1000,A8,'01 - Job Database'!$K$3:$K$1000,"Yes")/B8,"")</f>
        <v/>
      </c>
      <c r="F8" s="26" t="str">
        <f aca="false">IF(B8=0,"—",IFERROR(INDEX($J$3:$AO$3,MATCH(AP8,J8:AO8,0)),IFERROR(INDEX($BB$3:$BL$3,MATCH(AP8,BB8:BL8,0)),"—")))</f>
        <v>—</v>
      </c>
      <c r="G8" s="26" t="n">
        <f aca="false">B8-ROW()*0.0001</f>
        <v>-0.0008</v>
      </c>
      <c r="J8" s="1" t="n">
        <f aca="false">COUNTIFS('01 - Job Database'!$C$3:$C$1000,"&lt;&gt;",'01 - Job Database'!$W$3:$W$1000,"&lt;&gt;Yes",'01 - Job Database'!$G$3:$G$1000,$A8,'01 - Job Database'!$X$3:$X$1000,"Yes")</f>
        <v>0</v>
      </c>
      <c r="K8" s="1" t="n">
        <f aca="false">COUNTIFS('01 - Job Database'!$C$3:$C$1000,"&lt;&gt;",'01 - Job Database'!$W$3:$W$1000,"&lt;&gt;Yes",'01 - Job Database'!$G$3:$G$1000,$A8,'01 - Job Database'!$Y$3:$Y$1000,"Yes")</f>
        <v>0</v>
      </c>
      <c r="L8" s="1" t="n">
        <f aca="false">COUNTIFS('01 - Job Database'!$C$3:$C$1000,"&lt;&gt;",'01 - Job Database'!$W$3:$W$1000,"&lt;&gt;Yes",'01 - Job Database'!$G$3:$G$1000,$A8,'01 - Job Database'!$Z$3:$Z$1000,"Yes")</f>
        <v>0</v>
      </c>
      <c r="M8" s="1" t="n">
        <f aca="false">COUNTIFS('01 - Job Database'!$C$3:$C$1000,"&lt;&gt;",'01 - Job Database'!$W$3:$W$1000,"&lt;&gt;Yes",'01 - Job Database'!$G$3:$G$1000,$A8,'01 - Job Database'!$AA$3:$AA$1000,"Yes")</f>
        <v>0</v>
      </c>
      <c r="N8" s="1" t="n">
        <f aca="false">COUNTIFS('01 - Job Database'!$C$3:$C$1000,"&lt;&gt;",'01 - Job Database'!$W$3:$W$1000,"&lt;&gt;Yes",'01 - Job Database'!$G$3:$G$1000,$A8,'01 - Job Database'!$AB$3:$AB$1000,"Yes")</f>
        <v>0</v>
      </c>
      <c r="O8" s="1" t="n">
        <f aca="false">COUNTIFS('01 - Job Database'!$C$3:$C$1000,"&lt;&gt;",'01 - Job Database'!$W$3:$W$1000,"&lt;&gt;Yes",'01 - Job Database'!$G$3:$G$1000,$A8,'01 - Job Database'!$AC$3:$AC$1000,"Yes")</f>
        <v>0</v>
      </c>
      <c r="P8" s="1" t="n">
        <f aca="false">COUNTIFS('01 - Job Database'!$C$3:$C$1000,"&lt;&gt;",'01 - Job Database'!$W$3:$W$1000,"&lt;&gt;Yes",'01 - Job Database'!$G$3:$G$1000,$A8,'01 - Job Database'!$AD$3:$AD$1000,"Yes")</f>
        <v>0</v>
      </c>
      <c r="Q8" s="1" t="n">
        <f aca="false">COUNTIFS('01 - Job Database'!$C$3:$C$1000,"&lt;&gt;",'01 - Job Database'!$W$3:$W$1000,"&lt;&gt;Yes",'01 - Job Database'!$G$3:$G$1000,$A8,'01 - Job Database'!$AE$3:$AE$1000,"Yes")</f>
        <v>0</v>
      </c>
      <c r="R8" s="1" t="n">
        <f aca="false">COUNTIFS('01 - Job Database'!$C$3:$C$1000,"&lt;&gt;",'01 - Job Database'!$W$3:$W$1000,"&lt;&gt;Yes",'01 - Job Database'!$G$3:$G$1000,$A8,'01 - Job Database'!$AF$3:$AF$1000,"Yes")</f>
        <v>0</v>
      </c>
      <c r="S8" s="1" t="n">
        <f aca="false">COUNTIFS('01 - Job Database'!$C$3:$C$1000,"&lt;&gt;",'01 - Job Database'!$W$3:$W$1000,"&lt;&gt;Yes",'01 - Job Database'!$G$3:$G$1000,$A8,'01 - Job Database'!$AG$3:$AG$1000,"Yes")</f>
        <v>0</v>
      </c>
      <c r="T8" s="1" t="n">
        <f aca="false">COUNTIFS('01 - Job Database'!$C$3:$C$1000,"&lt;&gt;",'01 - Job Database'!$W$3:$W$1000,"&lt;&gt;Yes",'01 - Job Database'!$G$3:$G$1000,$A8,'01 - Job Database'!$AH$3:$AH$1000,"Yes")</f>
        <v>0</v>
      </c>
      <c r="U8" s="1" t="n">
        <f aca="false">COUNTIFS('01 - Job Database'!$C$3:$C$1000,"&lt;&gt;",'01 - Job Database'!$W$3:$W$1000,"&lt;&gt;Yes",'01 - Job Database'!$G$3:$G$1000,$A8,'01 - Job Database'!$AI$3:$AI$1000,"Yes")</f>
        <v>0</v>
      </c>
      <c r="V8" s="1" t="n">
        <f aca="false">COUNTIFS('01 - Job Database'!$C$3:$C$1000,"&lt;&gt;",'01 - Job Database'!$W$3:$W$1000,"&lt;&gt;Yes",'01 - Job Database'!$G$3:$G$1000,$A8,'01 - Job Database'!$AJ$3:$AJ$1000,"Yes")</f>
        <v>0</v>
      </c>
      <c r="W8" s="1" t="n">
        <f aca="false">COUNTIFS('01 - Job Database'!$C$3:$C$1000,"&lt;&gt;",'01 - Job Database'!$W$3:$W$1000,"&lt;&gt;Yes",'01 - Job Database'!$G$3:$G$1000,$A8,'01 - Job Database'!$AK$3:$AK$1000,"Yes")</f>
        <v>0</v>
      </c>
      <c r="X8" s="1" t="n">
        <f aca="false">COUNTIFS('01 - Job Database'!$C$3:$C$1000,"&lt;&gt;",'01 - Job Database'!$W$3:$W$1000,"&lt;&gt;Yes",'01 - Job Database'!$G$3:$G$1000,$A8,'01 - Job Database'!$AL$3:$AL$1000,"Yes")</f>
        <v>0</v>
      </c>
      <c r="Y8" s="1" t="n">
        <f aca="false">COUNTIFS('01 - Job Database'!$C$3:$C$1000,"&lt;&gt;",'01 - Job Database'!$W$3:$W$1000,"&lt;&gt;Yes",'01 - Job Database'!$G$3:$G$1000,$A8,'01 - Job Database'!$AM$3:$AM$1000,"Yes")</f>
        <v>0</v>
      </c>
      <c r="Z8" s="1" t="n">
        <f aca="false">COUNTIFS('01 - Job Database'!$C$3:$C$1000,"&lt;&gt;",'01 - Job Database'!$W$3:$W$1000,"&lt;&gt;Yes",'01 - Job Database'!$G$3:$G$1000,$A8,'01 - Job Database'!$AN$3:$AN$1000,"Yes")</f>
        <v>0</v>
      </c>
      <c r="AA8" s="1" t="n">
        <f aca="false">COUNTIFS('01 - Job Database'!$C$3:$C$1000,"&lt;&gt;",'01 - Job Database'!$W$3:$W$1000,"&lt;&gt;Yes",'01 - Job Database'!$G$3:$G$1000,$A8,'01 - Job Database'!$AO$3:$AO$1000,"Yes")</f>
        <v>0</v>
      </c>
      <c r="AB8" s="1" t="n">
        <f aca="false">COUNTIFS('01 - Job Database'!$C$3:$C$1000,"&lt;&gt;",'01 - Job Database'!$W$3:$W$1000,"&lt;&gt;Yes",'01 - Job Database'!$G$3:$G$1000,$A8,'01 - Job Database'!$AP$3:$AP$1000,"Yes")</f>
        <v>0</v>
      </c>
      <c r="AC8" s="1" t="n">
        <f aca="false">COUNTIFS('01 - Job Database'!$C$3:$C$1000,"&lt;&gt;",'01 - Job Database'!$W$3:$W$1000,"&lt;&gt;Yes",'01 - Job Database'!$G$3:$G$1000,$A8,'01 - Job Database'!$AQ$3:$AQ$1000,"Yes")</f>
        <v>0</v>
      </c>
      <c r="AD8" s="1" t="n">
        <f aca="false">COUNTIFS('01 - Job Database'!$C$3:$C$1000,"&lt;&gt;",'01 - Job Database'!$W$3:$W$1000,"&lt;&gt;Yes",'01 - Job Database'!$G$3:$G$1000,$A8,'01 - Job Database'!$AR$3:$AR$1000,"Yes")</f>
        <v>0</v>
      </c>
      <c r="AE8" s="1" t="n">
        <f aca="false">COUNTIFS('01 - Job Database'!$C$3:$C$1000,"&lt;&gt;",'01 - Job Database'!$W$3:$W$1000,"&lt;&gt;Yes",'01 - Job Database'!$G$3:$G$1000,$A8,'01 - Job Database'!$AS$3:$AS$1000,"Yes")</f>
        <v>0</v>
      </c>
      <c r="AF8" s="1" t="n">
        <f aca="false">COUNTIFS('01 - Job Database'!$C$3:$C$1000,"&lt;&gt;",'01 - Job Database'!$W$3:$W$1000,"&lt;&gt;Yes",'01 - Job Database'!$G$3:$G$1000,$A8,'01 - Job Database'!$AT$3:$AT$1000,"Yes")</f>
        <v>0</v>
      </c>
      <c r="AG8" s="1" t="n">
        <f aca="false">COUNTIFS('01 - Job Database'!$C$3:$C$1000,"&lt;&gt;",'01 - Job Database'!$W$3:$W$1000,"&lt;&gt;Yes",'01 - Job Database'!$G$3:$G$1000,$A8,'01 - Job Database'!$AU$3:$AU$1000,"Yes")</f>
        <v>0</v>
      </c>
      <c r="AH8" s="1" t="n">
        <f aca="false">COUNTIFS('01 - Job Database'!$C$3:$C$1000,"&lt;&gt;",'01 - Job Database'!$W$3:$W$1000,"&lt;&gt;Yes",'01 - Job Database'!$G$3:$G$1000,$A8,'01 - Job Database'!$AV$3:$AV$1000,"Yes")</f>
        <v>0</v>
      </c>
      <c r="AI8" s="1" t="n">
        <f aca="false">COUNTIFS('01 - Job Database'!$C$3:$C$1000,"&lt;&gt;",'01 - Job Database'!$W$3:$W$1000,"&lt;&gt;Yes",'01 - Job Database'!$G$3:$G$1000,$A8,'01 - Job Database'!$AW$3:$AW$1000,"Yes")</f>
        <v>0</v>
      </c>
      <c r="AJ8" s="1" t="n">
        <f aca="false">COUNTIFS('01 - Job Database'!$C$3:$C$1000,"&lt;&gt;",'01 - Job Database'!$W$3:$W$1000,"&lt;&gt;Yes",'01 - Job Database'!$G$3:$G$1000,$A8,'01 - Job Database'!$AX$3:$AX$1000,"Yes")</f>
        <v>0</v>
      </c>
      <c r="AK8" s="1" t="n">
        <f aca="false">COUNTIFS('01 - Job Database'!$C$3:$C$1000,"&lt;&gt;",'01 - Job Database'!$W$3:$W$1000,"&lt;&gt;Yes",'01 - Job Database'!$G$3:$G$1000,$A8,'01 - Job Database'!$AY$3:$AY$1000,"Yes")</f>
        <v>0</v>
      </c>
      <c r="AL8" s="1" t="n">
        <f aca="false">COUNTIFS('01 - Job Database'!$C$3:$C$1000,"&lt;&gt;",'01 - Job Database'!$W$3:$W$1000,"&lt;&gt;Yes",'01 - Job Database'!$G$3:$G$1000,$A8,'01 - Job Database'!$AZ$3:$AZ$1000,"Yes")</f>
        <v>0</v>
      </c>
      <c r="AM8" s="1" t="n">
        <f aca="false">COUNTIFS('01 - Job Database'!$C$3:$C$1000,"&lt;&gt;",'01 - Job Database'!$W$3:$W$1000,"&lt;&gt;Yes",'01 - Job Database'!$G$3:$G$1000,$A8,'01 - Job Database'!$BA$3:$BA$1000,"Yes")</f>
        <v>0</v>
      </c>
      <c r="AN8" s="1" t="n">
        <f aca="false">COUNTIFS('01 - Job Database'!$C$3:$C$1000,"&lt;&gt;",'01 - Job Database'!$W$3:$W$1000,"&lt;&gt;Yes",'01 - Job Database'!$G$3:$G$1000,$A8,'01 - Job Database'!$BB$3:$BB$1000,"Yes")</f>
        <v>0</v>
      </c>
      <c r="AO8" s="1" t="n">
        <f aca="false">COUNTIFS('01 - Job Database'!$C$3:$C$1000,"&lt;&gt;",'01 - Job Database'!$W$3:$W$1000,"&lt;&gt;Yes",'01 - Job Database'!$G$3:$G$1000,$A8,'01 - Job Database'!$BC$3:$BC$1000,"Yes")</f>
        <v>0</v>
      </c>
      <c r="AP8" s="1" t="n">
        <f aca="false">MAX(J8:AO8,BB8:BL8)</f>
        <v>0</v>
      </c>
      <c r="AQ8" s="34" t="n">
        <f aca="false">COUNTIFS('01 - Job Database'!$C$3:$C$1000,"&lt;&gt;",'01 - Job Database'!$W$3:$W$1000,"&lt;&gt;Yes",'01 - Job Database'!$G$3:$G$1000,$A8,'01 - Job Database'!$O$3:$O$1000,"&gt;=100")</f>
        <v>0</v>
      </c>
      <c r="AR8" s="34" t="n">
        <f aca="false">COUNTIFS('01 - Job Database'!$C$3:$C$1000,"&lt;&gt;",'01 - Job Database'!$W$3:$W$1000,"&lt;&gt;Yes",'01 - Job Database'!$G$3:$G$1000,$A8,'01 - Job Database'!$Q$3:$Q$1000,"&gt;=150000")</f>
        <v>0</v>
      </c>
      <c r="AS8" s="34" t="n">
        <f aca="false">COUNTIFS('01 - Job Database'!$C$3:$C$1000,"&lt;&gt;",'01 - Job Database'!$W$3:$W$1000,"&lt;&gt;Yes",'01 - Job Database'!$G$3:$G$1000,$A8,'01 - Job Database'!$BQ$3:$BQ$1000,"&lt;&gt;")</f>
        <v>0</v>
      </c>
      <c r="AT8" s="34" t="n">
        <f aca="false">COUNTIFS('01 - Job Database'!$C$3:$C$1000,"&lt;&gt;",'01 - Job Database'!$W$3:$W$1000,"&lt;&gt;Yes",'01 - Job Database'!$G$3:$G$1000,$A8,'01 - Job Database'!$O$3:$O$1000,"&gt;=20")</f>
        <v>0</v>
      </c>
      <c r="AU8" s="34" t="n">
        <f aca="false">COUNTIFS('01 - Job Database'!$C$3:$C$1000,"&lt;&gt;",'01 - Job Database'!$W$3:$W$1000,"&lt;&gt;Yes",'01 - Job Database'!$G$3:$G$1000,$A8,'01 - Job Database'!$O$3:$O$1000,"&gt;=30")</f>
        <v>0</v>
      </c>
      <c r="AV8" s="34" t="n">
        <f aca="false">COUNTIFS('01 - Job Database'!$C$3:$C$1000,"&lt;&gt;",'01 - Job Database'!$W$3:$W$1000,"&lt;&gt;Yes",'01 - Job Database'!$G$3:$G$1000,$A8,'01 - Job Database'!$O$3:$O$1000,"&gt;=75")</f>
        <v>0</v>
      </c>
      <c r="AW8" s="34" t="n">
        <f aca="false">COUNTIFS('01 - Job Database'!$C$3:$C$1000,"&lt;&gt;",'01 - Job Database'!$W$3:$W$1000,"&lt;&gt;Yes",'01 - Job Database'!$G$3:$G$1000,$A8,'01 - Job Database'!$O$3:$O$1000,"&gt;=150")</f>
        <v>0</v>
      </c>
      <c r="AX8" s="34" t="n">
        <f aca="false">COUNTIFS('01 - Job Database'!$C$3:$C$1000,"&lt;&gt;",'01 - Job Database'!$W$3:$W$1000,"&lt;&gt;Yes",'01 - Job Database'!$G$3:$G$1000,$A8,'01 - Job Database'!$O$3:$O$1000,"&gt;=200")</f>
        <v>0</v>
      </c>
      <c r="AY8" s="34" t="n">
        <f aca="false">COUNTIFS('01 - Job Database'!$C$3:$C$1000,"&lt;&gt;",'01 - Job Database'!$W$3:$W$1000,"&lt;&gt;Yes",'01 - Job Database'!$G$3:$G$1000,$A8,'01 - Job Database'!$Q$3:$Q$1000,"&gt;=200000")</f>
        <v>0</v>
      </c>
      <c r="AZ8" s="34" t="n">
        <f aca="false">COUNTIFS('01 - Job Database'!$C$3:$C$1000,"&lt;&gt;",'01 - Job Database'!$W$3:$W$1000,"&lt;&gt;Yes",'01 - Job Database'!$G$3:$G$1000,$A8,'01 - Job Database'!$Q$3:$Q$1000,"&gt;=250000")</f>
        <v>0</v>
      </c>
      <c r="BA8" s="34" t="n">
        <f aca="false">COUNTIFS('01 - Job Database'!$C$3:$C$1000,"&lt;&gt;",'01 - Job Database'!$W$3:$W$1000,"&lt;&gt;Yes",'01 - Job Database'!$G$3:$G$1000,$A8,'01 - Job Database'!$Q$3:$Q$1000,"&gt;=300000")</f>
        <v>0</v>
      </c>
      <c r="BB8" s="1" t="n">
        <f aca="false">COUNTIFS('01 - Job Database'!$C$3:$C$1000,"&lt;&gt;",'01 - Job Database'!$W$3:$W$1000,"&lt;&gt;Yes",'01 - Job Database'!$G$3:$G$1000,$A8,'01 - Job Database'!$CM$3:$CM$1000,"Yes")</f>
        <v>0</v>
      </c>
      <c r="BC8" s="1" t="n">
        <f aca="false">COUNTIFS('01 - Job Database'!$C$3:$C$1000,"&lt;&gt;",'01 - Job Database'!$W$3:$W$1000,"&lt;&gt;Yes",'01 - Job Database'!$G$3:$G$1000,$A8,'01 - Job Database'!$CN$3:$CN$1000,"Yes")</f>
        <v>0</v>
      </c>
      <c r="BD8" s="1" t="n">
        <f aca="false">COUNTIFS('01 - Job Database'!$C$3:$C$1000,"&lt;&gt;",'01 - Job Database'!$W$3:$W$1000,"&lt;&gt;Yes",'01 - Job Database'!$G$3:$G$1000,$A8,'01 - Job Database'!$CO$3:$CO$1000,"Yes")</f>
        <v>0</v>
      </c>
      <c r="BE8" s="1" t="n">
        <f aca="false">COUNTIFS('01 - Job Database'!$C$3:$C$1000,"&lt;&gt;",'01 - Job Database'!$W$3:$W$1000,"&lt;&gt;Yes",'01 - Job Database'!$G$3:$G$1000,$A8,'01 - Job Database'!$CP$3:$CP$1000,"Yes")</f>
        <v>0</v>
      </c>
      <c r="BF8" s="1" t="n">
        <f aca="false">COUNTIFS('01 - Job Database'!$C$3:$C$1000,"&lt;&gt;",'01 - Job Database'!$W$3:$W$1000,"&lt;&gt;Yes",'01 - Job Database'!$G$3:$G$1000,$A8,'01 - Job Database'!$CQ$3:$CQ$1000,"Yes")</f>
        <v>0</v>
      </c>
      <c r="BG8" s="1" t="n">
        <f aca="false">COUNTIFS('01 - Job Database'!$C$3:$C$1000,"&lt;&gt;",'01 - Job Database'!$W$3:$W$1000,"&lt;&gt;Yes",'01 - Job Database'!$G$3:$G$1000,$A8,'01 - Job Database'!$CR$3:$CR$1000,"Yes")</f>
        <v>0</v>
      </c>
      <c r="BH8" s="1" t="n">
        <f aca="false">COUNTIFS('01 - Job Database'!$C$3:$C$1000,"&lt;&gt;",'01 - Job Database'!$W$3:$W$1000,"&lt;&gt;Yes",'01 - Job Database'!$G$3:$G$1000,$A8,'01 - Job Database'!$CS$3:$CS$1000,"Yes")</f>
        <v>0</v>
      </c>
      <c r="BI8" s="1" t="n">
        <f aca="false">COUNTIFS('01 - Job Database'!$C$3:$C$1000,"&lt;&gt;",'01 - Job Database'!$W$3:$W$1000,"&lt;&gt;Yes",'01 - Job Database'!$G$3:$G$1000,$A8,'01 - Job Database'!$CT$3:$CT$1000,"Yes")</f>
        <v>0</v>
      </c>
      <c r="BJ8" s="1" t="n">
        <f aca="false">COUNTIFS('01 - Job Database'!$C$3:$C$1000,"&lt;&gt;",'01 - Job Database'!$W$3:$W$1000,"&lt;&gt;Yes",'01 - Job Database'!$G$3:$G$1000,$A8,'01 - Job Database'!$CU$3:$CU$1000,"Yes")</f>
        <v>0</v>
      </c>
      <c r="BK8" s="1" t="n">
        <f aca="false">COUNTIFS('01 - Job Database'!$C$3:$C$1000,"&lt;&gt;",'01 - Job Database'!$W$3:$W$1000,"&lt;&gt;Yes",'01 - Job Database'!$G$3:$G$1000,$A8,'01 - Job Database'!$CV$3:$CV$1000,"Yes")</f>
        <v>0</v>
      </c>
      <c r="BL8" s="1" t="n">
        <f aca="false">COUNTIFS('01 - Job Database'!$C$3:$C$1000,"&lt;&gt;",'01 - Job Database'!$W$3:$W$1000,"&lt;&gt;Yes",'01 - Job Database'!$G$3:$G$1000,$A8,'01 - Job Database'!$CW$3:$CW$1000,"Yes")</f>
        <v>0</v>
      </c>
    </row>
    <row r="9" customFormat="false" ht="15" hidden="false" customHeight="true" outlineLevel="0" collapsed="false">
      <c r="A9" s="57" t="s">
        <v>265</v>
      </c>
      <c r="B9" s="26" t="n">
        <f aca="false">COUNTIFS('01 - Job Database'!$C$3:$C$1000,"&lt;&gt;",'01 - Job Database'!$W$3:$W$1000,"&lt;&gt;Yes",'01 - Job Database'!$G$3:$G$1000,A9)</f>
        <v>0</v>
      </c>
      <c r="C9" s="26" t="n">
        <f aca="false">COUNTIFS('01 - Job Database'!$C$3:$C$1000,"&lt;&gt;",'01 - Job Database'!$W$3:$W$1000,"&lt;&gt;Yes",'01 - Job Database'!$G$3:$G$1000,A9,'01 - Job Database'!$S$3:$S$1000,"Yes")</f>
        <v>0</v>
      </c>
      <c r="D9" s="58" t="str">
        <f aca="false">IFERROR(COUNTIFS('01 - Job Database'!$C$3:$C$1000,"&lt;&gt;",'01 - Job Database'!$W$3:$W$1000,"&lt;&gt;Yes",'01 - Job Database'!$G$3:$G$1000,A9,'01 - Job Database'!$J$3:$J$1000,"Yes")/B9,"")</f>
        <v/>
      </c>
      <c r="E9" s="58" t="str">
        <f aca="false">IFERROR(COUNTIFS('01 - Job Database'!$C$3:$C$1000,"&lt;&gt;",'01 - Job Database'!$W$3:$W$1000,"&lt;&gt;Yes",'01 - Job Database'!$G$3:$G$1000,A9,'01 - Job Database'!$K$3:$K$1000,"Yes")/B9,"")</f>
        <v/>
      </c>
      <c r="F9" s="26" t="str">
        <f aca="false">IF(B9=0,"—",IFERROR(INDEX($J$3:$AO$3,MATCH(AP9,J9:AO9,0)),IFERROR(INDEX($BB$3:$BL$3,MATCH(AP9,BB9:BL9,0)),"—")))</f>
        <v>—</v>
      </c>
      <c r="G9" s="26" t="n">
        <f aca="false">B9-ROW()*0.0001</f>
        <v>-0.0009</v>
      </c>
      <c r="J9" s="1" t="n">
        <f aca="false">COUNTIFS('01 - Job Database'!$C$3:$C$1000,"&lt;&gt;",'01 - Job Database'!$W$3:$W$1000,"&lt;&gt;Yes",'01 - Job Database'!$G$3:$G$1000,$A9,'01 - Job Database'!$X$3:$X$1000,"Yes")</f>
        <v>0</v>
      </c>
      <c r="K9" s="1" t="n">
        <f aca="false">COUNTIFS('01 - Job Database'!$C$3:$C$1000,"&lt;&gt;",'01 - Job Database'!$W$3:$W$1000,"&lt;&gt;Yes",'01 - Job Database'!$G$3:$G$1000,$A9,'01 - Job Database'!$Y$3:$Y$1000,"Yes")</f>
        <v>0</v>
      </c>
      <c r="L9" s="1" t="n">
        <f aca="false">COUNTIFS('01 - Job Database'!$C$3:$C$1000,"&lt;&gt;",'01 - Job Database'!$W$3:$W$1000,"&lt;&gt;Yes",'01 - Job Database'!$G$3:$G$1000,$A9,'01 - Job Database'!$Z$3:$Z$1000,"Yes")</f>
        <v>0</v>
      </c>
      <c r="M9" s="1" t="n">
        <f aca="false">COUNTIFS('01 - Job Database'!$C$3:$C$1000,"&lt;&gt;",'01 - Job Database'!$W$3:$W$1000,"&lt;&gt;Yes",'01 - Job Database'!$G$3:$G$1000,$A9,'01 - Job Database'!$AA$3:$AA$1000,"Yes")</f>
        <v>0</v>
      </c>
      <c r="N9" s="1" t="n">
        <f aca="false">COUNTIFS('01 - Job Database'!$C$3:$C$1000,"&lt;&gt;",'01 - Job Database'!$W$3:$W$1000,"&lt;&gt;Yes",'01 - Job Database'!$G$3:$G$1000,$A9,'01 - Job Database'!$AB$3:$AB$1000,"Yes")</f>
        <v>0</v>
      </c>
      <c r="O9" s="1" t="n">
        <f aca="false">COUNTIFS('01 - Job Database'!$C$3:$C$1000,"&lt;&gt;",'01 - Job Database'!$W$3:$W$1000,"&lt;&gt;Yes",'01 - Job Database'!$G$3:$G$1000,$A9,'01 - Job Database'!$AC$3:$AC$1000,"Yes")</f>
        <v>0</v>
      </c>
      <c r="P9" s="1" t="n">
        <f aca="false">COUNTIFS('01 - Job Database'!$C$3:$C$1000,"&lt;&gt;",'01 - Job Database'!$W$3:$W$1000,"&lt;&gt;Yes",'01 - Job Database'!$G$3:$G$1000,$A9,'01 - Job Database'!$AD$3:$AD$1000,"Yes")</f>
        <v>0</v>
      </c>
      <c r="Q9" s="1" t="n">
        <f aca="false">COUNTIFS('01 - Job Database'!$C$3:$C$1000,"&lt;&gt;",'01 - Job Database'!$W$3:$W$1000,"&lt;&gt;Yes",'01 - Job Database'!$G$3:$G$1000,$A9,'01 - Job Database'!$AE$3:$AE$1000,"Yes")</f>
        <v>0</v>
      </c>
      <c r="R9" s="1" t="n">
        <f aca="false">COUNTIFS('01 - Job Database'!$C$3:$C$1000,"&lt;&gt;",'01 - Job Database'!$W$3:$W$1000,"&lt;&gt;Yes",'01 - Job Database'!$G$3:$G$1000,$A9,'01 - Job Database'!$AF$3:$AF$1000,"Yes")</f>
        <v>0</v>
      </c>
      <c r="S9" s="1" t="n">
        <f aca="false">COUNTIFS('01 - Job Database'!$C$3:$C$1000,"&lt;&gt;",'01 - Job Database'!$W$3:$W$1000,"&lt;&gt;Yes",'01 - Job Database'!$G$3:$G$1000,$A9,'01 - Job Database'!$AG$3:$AG$1000,"Yes")</f>
        <v>0</v>
      </c>
      <c r="T9" s="1" t="n">
        <f aca="false">COUNTIFS('01 - Job Database'!$C$3:$C$1000,"&lt;&gt;",'01 - Job Database'!$W$3:$W$1000,"&lt;&gt;Yes",'01 - Job Database'!$G$3:$G$1000,$A9,'01 - Job Database'!$AH$3:$AH$1000,"Yes")</f>
        <v>0</v>
      </c>
      <c r="U9" s="1" t="n">
        <f aca="false">COUNTIFS('01 - Job Database'!$C$3:$C$1000,"&lt;&gt;",'01 - Job Database'!$W$3:$W$1000,"&lt;&gt;Yes",'01 - Job Database'!$G$3:$G$1000,$A9,'01 - Job Database'!$AI$3:$AI$1000,"Yes")</f>
        <v>0</v>
      </c>
      <c r="V9" s="1" t="n">
        <f aca="false">COUNTIFS('01 - Job Database'!$C$3:$C$1000,"&lt;&gt;",'01 - Job Database'!$W$3:$W$1000,"&lt;&gt;Yes",'01 - Job Database'!$G$3:$G$1000,$A9,'01 - Job Database'!$AJ$3:$AJ$1000,"Yes")</f>
        <v>0</v>
      </c>
      <c r="W9" s="1" t="n">
        <f aca="false">COUNTIFS('01 - Job Database'!$C$3:$C$1000,"&lt;&gt;",'01 - Job Database'!$W$3:$W$1000,"&lt;&gt;Yes",'01 - Job Database'!$G$3:$G$1000,$A9,'01 - Job Database'!$AK$3:$AK$1000,"Yes")</f>
        <v>0</v>
      </c>
      <c r="X9" s="1" t="n">
        <f aca="false">COUNTIFS('01 - Job Database'!$C$3:$C$1000,"&lt;&gt;",'01 - Job Database'!$W$3:$W$1000,"&lt;&gt;Yes",'01 - Job Database'!$G$3:$G$1000,$A9,'01 - Job Database'!$AL$3:$AL$1000,"Yes")</f>
        <v>0</v>
      </c>
      <c r="Y9" s="1" t="n">
        <f aca="false">COUNTIFS('01 - Job Database'!$C$3:$C$1000,"&lt;&gt;",'01 - Job Database'!$W$3:$W$1000,"&lt;&gt;Yes",'01 - Job Database'!$G$3:$G$1000,$A9,'01 - Job Database'!$AM$3:$AM$1000,"Yes")</f>
        <v>0</v>
      </c>
      <c r="Z9" s="1" t="n">
        <f aca="false">COUNTIFS('01 - Job Database'!$C$3:$C$1000,"&lt;&gt;",'01 - Job Database'!$W$3:$W$1000,"&lt;&gt;Yes",'01 - Job Database'!$G$3:$G$1000,$A9,'01 - Job Database'!$AN$3:$AN$1000,"Yes")</f>
        <v>0</v>
      </c>
      <c r="AA9" s="1" t="n">
        <f aca="false">COUNTIFS('01 - Job Database'!$C$3:$C$1000,"&lt;&gt;",'01 - Job Database'!$W$3:$W$1000,"&lt;&gt;Yes",'01 - Job Database'!$G$3:$G$1000,$A9,'01 - Job Database'!$AO$3:$AO$1000,"Yes")</f>
        <v>0</v>
      </c>
      <c r="AB9" s="1" t="n">
        <f aca="false">COUNTIFS('01 - Job Database'!$C$3:$C$1000,"&lt;&gt;",'01 - Job Database'!$W$3:$W$1000,"&lt;&gt;Yes",'01 - Job Database'!$G$3:$G$1000,$A9,'01 - Job Database'!$AP$3:$AP$1000,"Yes")</f>
        <v>0</v>
      </c>
      <c r="AC9" s="1" t="n">
        <f aca="false">COUNTIFS('01 - Job Database'!$C$3:$C$1000,"&lt;&gt;",'01 - Job Database'!$W$3:$W$1000,"&lt;&gt;Yes",'01 - Job Database'!$G$3:$G$1000,$A9,'01 - Job Database'!$AQ$3:$AQ$1000,"Yes")</f>
        <v>0</v>
      </c>
      <c r="AD9" s="1" t="n">
        <f aca="false">COUNTIFS('01 - Job Database'!$C$3:$C$1000,"&lt;&gt;",'01 - Job Database'!$W$3:$W$1000,"&lt;&gt;Yes",'01 - Job Database'!$G$3:$G$1000,$A9,'01 - Job Database'!$AR$3:$AR$1000,"Yes")</f>
        <v>0</v>
      </c>
      <c r="AE9" s="1" t="n">
        <f aca="false">COUNTIFS('01 - Job Database'!$C$3:$C$1000,"&lt;&gt;",'01 - Job Database'!$W$3:$W$1000,"&lt;&gt;Yes",'01 - Job Database'!$G$3:$G$1000,$A9,'01 - Job Database'!$AS$3:$AS$1000,"Yes")</f>
        <v>0</v>
      </c>
      <c r="AF9" s="1" t="n">
        <f aca="false">COUNTIFS('01 - Job Database'!$C$3:$C$1000,"&lt;&gt;",'01 - Job Database'!$W$3:$W$1000,"&lt;&gt;Yes",'01 - Job Database'!$G$3:$G$1000,$A9,'01 - Job Database'!$AT$3:$AT$1000,"Yes")</f>
        <v>0</v>
      </c>
      <c r="AG9" s="1" t="n">
        <f aca="false">COUNTIFS('01 - Job Database'!$C$3:$C$1000,"&lt;&gt;",'01 - Job Database'!$W$3:$W$1000,"&lt;&gt;Yes",'01 - Job Database'!$G$3:$G$1000,$A9,'01 - Job Database'!$AU$3:$AU$1000,"Yes")</f>
        <v>0</v>
      </c>
      <c r="AH9" s="1" t="n">
        <f aca="false">COUNTIFS('01 - Job Database'!$C$3:$C$1000,"&lt;&gt;",'01 - Job Database'!$W$3:$W$1000,"&lt;&gt;Yes",'01 - Job Database'!$G$3:$G$1000,$A9,'01 - Job Database'!$AV$3:$AV$1000,"Yes")</f>
        <v>0</v>
      </c>
      <c r="AI9" s="1" t="n">
        <f aca="false">COUNTIFS('01 - Job Database'!$C$3:$C$1000,"&lt;&gt;",'01 - Job Database'!$W$3:$W$1000,"&lt;&gt;Yes",'01 - Job Database'!$G$3:$G$1000,$A9,'01 - Job Database'!$AW$3:$AW$1000,"Yes")</f>
        <v>0</v>
      </c>
      <c r="AJ9" s="1" t="n">
        <f aca="false">COUNTIFS('01 - Job Database'!$C$3:$C$1000,"&lt;&gt;",'01 - Job Database'!$W$3:$W$1000,"&lt;&gt;Yes",'01 - Job Database'!$G$3:$G$1000,$A9,'01 - Job Database'!$AX$3:$AX$1000,"Yes")</f>
        <v>0</v>
      </c>
      <c r="AK9" s="1" t="n">
        <f aca="false">COUNTIFS('01 - Job Database'!$C$3:$C$1000,"&lt;&gt;",'01 - Job Database'!$W$3:$W$1000,"&lt;&gt;Yes",'01 - Job Database'!$G$3:$G$1000,$A9,'01 - Job Database'!$AY$3:$AY$1000,"Yes")</f>
        <v>0</v>
      </c>
      <c r="AL9" s="1" t="n">
        <f aca="false">COUNTIFS('01 - Job Database'!$C$3:$C$1000,"&lt;&gt;",'01 - Job Database'!$W$3:$W$1000,"&lt;&gt;Yes",'01 - Job Database'!$G$3:$G$1000,$A9,'01 - Job Database'!$AZ$3:$AZ$1000,"Yes")</f>
        <v>0</v>
      </c>
      <c r="AM9" s="1" t="n">
        <f aca="false">COUNTIFS('01 - Job Database'!$C$3:$C$1000,"&lt;&gt;",'01 - Job Database'!$W$3:$W$1000,"&lt;&gt;Yes",'01 - Job Database'!$G$3:$G$1000,$A9,'01 - Job Database'!$BA$3:$BA$1000,"Yes")</f>
        <v>0</v>
      </c>
      <c r="AN9" s="1" t="n">
        <f aca="false">COUNTIFS('01 - Job Database'!$C$3:$C$1000,"&lt;&gt;",'01 - Job Database'!$W$3:$W$1000,"&lt;&gt;Yes",'01 - Job Database'!$G$3:$G$1000,$A9,'01 - Job Database'!$BB$3:$BB$1000,"Yes")</f>
        <v>0</v>
      </c>
      <c r="AO9" s="1" t="n">
        <f aca="false">COUNTIFS('01 - Job Database'!$C$3:$C$1000,"&lt;&gt;",'01 - Job Database'!$W$3:$W$1000,"&lt;&gt;Yes",'01 - Job Database'!$G$3:$G$1000,$A9,'01 - Job Database'!$BC$3:$BC$1000,"Yes")</f>
        <v>0</v>
      </c>
      <c r="AP9" s="1" t="n">
        <f aca="false">MAX(J9:AO9,BB9:BL9)</f>
        <v>0</v>
      </c>
      <c r="AQ9" s="34" t="n">
        <f aca="false">COUNTIFS('01 - Job Database'!$C$3:$C$1000,"&lt;&gt;",'01 - Job Database'!$W$3:$W$1000,"&lt;&gt;Yes",'01 - Job Database'!$G$3:$G$1000,$A9,'01 - Job Database'!$O$3:$O$1000,"&gt;=100")</f>
        <v>0</v>
      </c>
      <c r="AR9" s="34" t="n">
        <f aca="false">COUNTIFS('01 - Job Database'!$C$3:$C$1000,"&lt;&gt;",'01 - Job Database'!$W$3:$W$1000,"&lt;&gt;Yes",'01 - Job Database'!$G$3:$G$1000,$A9,'01 - Job Database'!$Q$3:$Q$1000,"&gt;=150000")</f>
        <v>0</v>
      </c>
      <c r="AS9" s="34" t="n">
        <f aca="false">COUNTIFS('01 - Job Database'!$C$3:$C$1000,"&lt;&gt;",'01 - Job Database'!$W$3:$W$1000,"&lt;&gt;Yes",'01 - Job Database'!$G$3:$G$1000,$A9,'01 - Job Database'!$BQ$3:$BQ$1000,"&lt;&gt;")</f>
        <v>0</v>
      </c>
      <c r="AT9" s="34" t="n">
        <f aca="false">COUNTIFS('01 - Job Database'!$C$3:$C$1000,"&lt;&gt;",'01 - Job Database'!$W$3:$W$1000,"&lt;&gt;Yes",'01 - Job Database'!$G$3:$G$1000,$A9,'01 - Job Database'!$O$3:$O$1000,"&gt;=20")</f>
        <v>0</v>
      </c>
      <c r="AU9" s="34" t="n">
        <f aca="false">COUNTIFS('01 - Job Database'!$C$3:$C$1000,"&lt;&gt;",'01 - Job Database'!$W$3:$W$1000,"&lt;&gt;Yes",'01 - Job Database'!$G$3:$G$1000,$A9,'01 - Job Database'!$O$3:$O$1000,"&gt;=30")</f>
        <v>0</v>
      </c>
      <c r="AV9" s="34" t="n">
        <f aca="false">COUNTIFS('01 - Job Database'!$C$3:$C$1000,"&lt;&gt;",'01 - Job Database'!$W$3:$W$1000,"&lt;&gt;Yes",'01 - Job Database'!$G$3:$G$1000,$A9,'01 - Job Database'!$O$3:$O$1000,"&gt;=75")</f>
        <v>0</v>
      </c>
      <c r="AW9" s="34" t="n">
        <f aca="false">COUNTIFS('01 - Job Database'!$C$3:$C$1000,"&lt;&gt;",'01 - Job Database'!$W$3:$W$1000,"&lt;&gt;Yes",'01 - Job Database'!$G$3:$G$1000,$A9,'01 - Job Database'!$O$3:$O$1000,"&gt;=150")</f>
        <v>0</v>
      </c>
      <c r="AX9" s="34" t="n">
        <f aca="false">COUNTIFS('01 - Job Database'!$C$3:$C$1000,"&lt;&gt;",'01 - Job Database'!$W$3:$W$1000,"&lt;&gt;Yes",'01 - Job Database'!$G$3:$G$1000,$A9,'01 - Job Database'!$O$3:$O$1000,"&gt;=200")</f>
        <v>0</v>
      </c>
      <c r="AY9" s="34" t="n">
        <f aca="false">COUNTIFS('01 - Job Database'!$C$3:$C$1000,"&lt;&gt;",'01 - Job Database'!$W$3:$W$1000,"&lt;&gt;Yes",'01 - Job Database'!$G$3:$G$1000,$A9,'01 - Job Database'!$Q$3:$Q$1000,"&gt;=200000")</f>
        <v>0</v>
      </c>
      <c r="AZ9" s="34" t="n">
        <f aca="false">COUNTIFS('01 - Job Database'!$C$3:$C$1000,"&lt;&gt;",'01 - Job Database'!$W$3:$W$1000,"&lt;&gt;Yes",'01 - Job Database'!$G$3:$G$1000,$A9,'01 - Job Database'!$Q$3:$Q$1000,"&gt;=250000")</f>
        <v>0</v>
      </c>
      <c r="BA9" s="34" t="n">
        <f aca="false">COUNTIFS('01 - Job Database'!$C$3:$C$1000,"&lt;&gt;",'01 - Job Database'!$W$3:$W$1000,"&lt;&gt;Yes",'01 - Job Database'!$G$3:$G$1000,$A9,'01 - Job Database'!$Q$3:$Q$1000,"&gt;=300000")</f>
        <v>0</v>
      </c>
      <c r="BB9" s="1" t="n">
        <f aca="false">COUNTIFS('01 - Job Database'!$C$3:$C$1000,"&lt;&gt;",'01 - Job Database'!$W$3:$W$1000,"&lt;&gt;Yes",'01 - Job Database'!$G$3:$G$1000,$A9,'01 - Job Database'!$CM$3:$CM$1000,"Yes")</f>
        <v>0</v>
      </c>
      <c r="BC9" s="1" t="n">
        <f aca="false">COUNTIFS('01 - Job Database'!$C$3:$C$1000,"&lt;&gt;",'01 - Job Database'!$W$3:$W$1000,"&lt;&gt;Yes",'01 - Job Database'!$G$3:$G$1000,$A9,'01 - Job Database'!$CN$3:$CN$1000,"Yes")</f>
        <v>0</v>
      </c>
      <c r="BD9" s="1" t="n">
        <f aca="false">COUNTIFS('01 - Job Database'!$C$3:$C$1000,"&lt;&gt;",'01 - Job Database'!$W$3:$W$1000,"&lt;&gt;Yes",'01 - Job Database'!$G$3:$G$1000,$A9,'01 - Job Database'!$CO$3:$CO$1000,"Yes")</f>
        <v>0</v>
      </c>
      <c r="BE9" s="1" t="n">
        <f aca="false">COUNTIFS('01 - Job Database'!$C$3:$C$1000,"&lt;&gt;",'01 - Job Database'!$W$3:$W$1000,"&lt;&gt;Yes",'01 - Job Database'!$G$3:$G$1000,$A9,'01 - Job Database'!$CP$3:$CP$1000,"Yes")</f>
        <v>0</v>
      </c>
      <c r="BF9" s="1" t="n">
        <f aca="false">COUNTIFS('01 - Job Database'!$C$3:$C$1000,"&lt;&gt;",'01 - Job Database'!$W$3:$W$1000,"&lt;&gt;Yes",'01 - Job Database'!$G$3:$G$1000,$A9,'01 - Job Database'!$CQ$3:$CQ$1000,"Yes")</f>
        <v>0</v>
      </c>
      <c r="BG9" s="1" t="n">
        <f aca="false">COUNTIFS('01 - Job Database'!$C$3:$C$1000,"&lt;&gt;",'01 - Job Database'!$W$3:$W$1000,"&lt;&gt;Yes",'01 - Job Database'!$G$3:$G$1000,$A9,'01 - Job Database'!$CR$3:$CR$1000,"Yes")</f>
        <v>0</v>
      </c>
      <c r="BH9" s="1" t="n">
        <f aca="false">COUNTIFS('01 - Job Database'!$C$3:$C$1000,"&lt;&gt;",'01 - Job Database'!$W$3:$W$1000,"&lt;&gt;Yes",'01 - Job Database'!$G$3:$G$1000,$A9,'01 - Job Database'!$CS$3:$CS$1000,"Yes")</f>
        <v>0</v>
      </c>
      <c r="BI9" s="1" t="n">
        <f aca="false">COUNTIFS('01 - Job Database'!$C$3:$C$1000,"&lt;&gt;",'01 - Job Database'!$W$3:$W$1000,"&lt;&gt;Yes",'01 - Job Database'!$G$3:$G$1000,$A9,'01 - Job Database'!$CT$3:$CT$1000,"Yes")</f>
        <v>0</v>
      </c>
      <c r="BJ9" s="1" t="n">
        <f aca="false">COUNTIFS('01 - Job Database'!$C$3:$C$1000,"&lt;&gt;",'01 - Job Database'!$W$3:$W$1000,"&lt;&gt;Yes",'01 - Job Database'!$G$3:$G$1000,$A9,'01 - Job Database'!$CU$3:$CU$1000,"Yes")</f>
        <v>0</v>
      </c>
      <c r="BK9" s="1" t="n">
        <f aca="false">COUNTIFS('01 - Job Database'!$C$3:$C$1000,"&lt;&gt;",'01 - Job Database'!$W$3:$W$1000,"&lt;&gt;Yes",'01 - Job Database'!$G$3:$G$1000,$A9,'01 - Job Database'!$CV$3:$CV$1000,"Yes")</f>
        <v>0</v>
      </c>
      <c r="BL9" s="1" t="n">
        <f aca="false">COUNTIFS('01 - Job Database'!$C$3:$C$1000,"&lt;&gt;",'01 - Job Database'!$W$3:$W$1000,"&lt;&gt;Yes",'01 - Job Database'!$G$3:$G$1000,$A9,'01 - Job Database'!$CW$3:$CW$1000,"Yes")</f>
        <v>0</v>
      </c>
    </row>
    <row r="10" customFormat="false" ht="15" hidden="false" customHeight="true" outlineLevel="0" collapsed="false">
      <c r="A10" s="57" t="s">
        <v>266</v>
      </c>
      <c r="B10" s="26" t="n">
        <f aca="false">COUNTIFS('01 - Job Database'!$C$3:$C$1000,"&lt;&gt;",'01 - Job Database'!$W$3:$W$1000,"&lt;&gt;Yes",'01 - Job Database'!$G$3:$G$1000,A10)</f>
        <v>0</v>
      </c>
      <c r="C10" s="26" t="n">
        <f aca="false">COUNTIFS('01 - Job Database'!$C$3:$C$1000,"&lt;&gt;",'01 - Job Database'!$W$3:$W$1000,"&lt;&gt;Yes",'01 - Job Database'!$G$3:$G$1000,A10,'01 - Job Database'!$S$3:$S$1000,"Yes")</f>
        <v>0</v>
      </c>
      <c r="D10" s="58" t="str">
        <f aca="false">IFERROR(COUNTIFS('01 - Job Database'!$C$3:$C$1000,"&lt;&gt;",'01 - Job Database'!$W$3:$W$1000,"&lt;&gt;Yes",'01 - Job Database'!$G$3:$G$1000,A10,'01 - Job Database'!$J$3:$J$1000,"Yes")/B10,"")</f>
        <v/>
      </c>
      <c r="E10" s="58" t="str">
        <f aca="false">IFERROR(COUNTIFS('01 - Job Database'!$C$3:$C$1000,"&lt;&gt;",'01 - Job Database'!$W$3:$W$1000,"&lt;&gt;Yes",'01 - Job Database'!$G$3:$G$1000,A10,'01 - Job Database'!$K$3:$K$1000,"Yes")/B10,"")</f>
        <v/>
      </c>
      <c r="F10" s="26" t="str">
        <f aca="false">IF(B10=0,"—",IFERROR(INDEX($J$3:$AO$3,MATCH(AP10,J10:AO10,0)),IFERROR(INDEX($BB$3:$BL$3,MATCH(AP10,BB10:BL10,0)),"—")))</f>
        <v>—</v>
      </c>
      <c r="G10" s="26" t="n">
        <f aca="false">B10-ROW()*0.0001</f>
        <v>-0.001</v>
      </c>
      <c r="J10" s="1" t="n">
        <f aca="false">COUNTIFS('01 - Job Database'!$C$3:$C$1000,"&lt;&gt;",'01 - Job Database'!$W$3:$W$1000,"&lt;&gt;Yes",'01 - Job Database'!$G$3:$G$1000,$A10,'01 - Job Database'!$X$3:$X$1000,"Yes")</f>
        <v>0</v>
      </c>
      <c r="K10" s="1" t="n">
        <f aca="false">COUNTIFS('01 - Job Database'!$C$3:$C$1000,"&lt;&gt;",'01 - Job Database'!$W$3:$W$1000,"&lt;&gt;Yes",'01 - Job Database'!$G$3:$G$1000,$A10,'01 - Job Database'!$Y$3:$Y$1000,"Yes")</f>
        <v>0</v>
      </c>
      <c r="L10" s="1" t="n">
        <f aca="false">COUNTIFS('01 - Job Database'!$C$3:$C$1000,"&lt;&gt;",'01 - Job Database'!$W$3:$W$1000,"&lt;&gt;Yes",'01 - Job Database'!$G$3:$G$1000,$A10,'01 - Job Database'!$Z$3:$Z$1000,"Yes")</f>
        <v>0</v>
      </c>
      <c r="M10" s="1" t="n">
        <f aca="false">COUNTIFS('01 - Job Database'!$C$3:$C$1000,"&lt;&gt;",'01 - Job Database'!$W$3:$W$1000,"&lt;&gt;Yes",'01 - Job Database'!$G$3:$G$1000,$A10,'01 - Job Database'!$AA$3:$AA$1000,"Yes")</f>
        <v>0</v>
      </c>
      <c r="N10" s="1" t="n">
        <f aca="false">COUNTIFS('01 - Job Database'!$C$3:$C$1000,"&lt;&gt;",'01 - Job Database'!$W$3:$W$1000,"&lt;&gt;Yes",'01 - Job Database'!$G$3:$G$1000,$A10,'01 - Job Database'!$AB$3:$AB$1000,"Yes")</f>
        <v>0</v>
      </c>
      <c r="O10" s="1" t="n">
        <f aca="false">COUNTIFS('01 - Job Database'!$C$3:$C$1000,"&lt;&gt;",'01 - Job Database'!$W$3:$W$1000,"&lt;&gt;Yes",'01 - Job Database'!$G$3:$G$1000,$A10,'01 - Job Database'!$AC$3:$AC$1000,"Yes")</f>
        <v>0</v>
      </c>
      <c r="P10" s="1" t="n">
        <f aca="false">COUNTIFS('01 - Job Database'!$C$3:$C$1000,"&lt;&gt;",'01 - Job Database'!$W$3:$W$1000,"&lt;&gt;Yes",'01 - Job Database'!$G$3:$G$1000,$A10,'01 - Job Database'!$AD$3:$AD$1000,"Yes")</f>
        <v>0</v>
      </c>
      <c r="Q10" s="1" t="n">
        <f aca="false">COUNTIFS('01 - Job Database'!$C$3:$C$1000,"&lt;&gt;",'01 - Job Database'!$W$3:$W$1000,"&lt;&gt;Yes",'01 - Job Database'!$G$3:$G$1000,$A10,'01 - Job Database'!$AE$3:$AE$1000,"Yes")</f>
        <v>0</v>
      </c>
      <c r="R10" s="1" t="n">
        <f aca="false">COUNTIFS('01 - Job Database'!$C$3:$C$1000,"&lt;&gt;",'01 - Job Database'!$W$3:$W$1000,"&lt;&gt;Yes",'01 - Job Database'!$G$3:$G$1000,$A10,'01 - Job Database'!$AF$3:$AF$1000,"Yes")</f>
        <v>0</v>
      </c>
      <c r="S10" s="1" t="n">
        <f aca="false">COUNTIFS('01 - Job Database'!$C$3:$C$1000,"&lt;&gt;",'01 - Job Database'!$W$3:$W$1000,"&lt;&gt;Yes",'01 - Job Database'!$G$3:$G$1000,$A10,'01 - Job Database'!$AG$3:$AG$1000,"Yes")</f>
        <v>0</v>
      </c>
      <c r="T10" s="1" t="n">
        <f aca="false">COUNTIFS('01 - Job Database'!$C$3:$C$1000,"&lt;&gt;",'01 - Job Database'!$W$3:$W$1000,"&lt;&gt;Yes",'01 - Job Database'!$G$3:$G$1000,$A10,'01 - Job Database'!$AH$3:$AH$1000,"Yes")</f>
        <v>0</v>
      </c>
      <c r="U10" s="1" t="n">
        <f aca="false">COUNTIFS('01 - Job Database'!$C$3:$C$1000,"&lt;&gt;",'01 - Job Database'!$W$3:$W$1000,"&lt;&gt;Yes",'01 - Job Database'!$G$3:$G$1000,$A10,'01 - Job Database'!$AI$3:$AI$1000,"Yes")</f>
        <v>0</v>
      </c>
      <c r="V10" s="1" t="n">
        <f aca="false">COUNTIFS('01 - Job Database'!$C$3:$C$1000,"&lt;&gt;",'01 - Job Database'!$W$3:$W$1000,"&lt;&gt;Yes",'01 - Job Database'!$G$3:$G$1000,$A10,'01 - Job Database'!$AJ$3:$AJ$1000,"Yes")</f>
        <v>0</v>
      </c>
      <c r="W10" s="1" t="n">
        <f aca="false">COUNTIFS('01 - Job Database'!$C$3:$C$1000,"&lt;&gt;",'01 - Job Database'!$W$3:$W$1000,"&lt;&gt;Yes",'01 - Job Database'!$G$3:$G$1000,$A10,'01 - Job Database'!$AK$3:$AK$1000,"Yes")</f>
        <v>0</v>
      </c>
      <c r="X10" s="1" t="n">
        <f aca="false">COUNTIFS('01 - Job Database'!$C$3:$C$1000,"&lt;&gt;",'01 - Job Database'!$W$3:$W$1000,"&lt;&gt;Yes",'01 - Job Database'!$G$3:$G$1000,$A10,'01 - Job Database'!$AL$3:$AL$1000,"Yes")</f>
        <v>0</v>
      </c>
      <c r="Y10" s="1" t="n">
        <f aca="false">COUNTIFS('01 - Job Database'!$C$3:$C$1000,"&lt;&gt;",'01 - Job Database'!$W$3:$W$1000,"&lt;&gt;Yes",'01 - Job Database'!$G$3:$G$1000,$A10,'01 - Job Database'!$AM$3:$AM$1000,"Yes")</f>
        <v>0</v>
      </c>
      <c r="Z10" s="1" t="n">
        <f aca="false">COUNTIFS('01 - Job Database'!$C$3:$C$1000,"&lt;&gt;",'01 - Job Database'!$W$3:$W$1000,"&lt;&gt;Yes",'01 - Job Database'!$G$3:$G$1000,$A10,'01 - Job Database'!$AN$3:$AN$1000,"Yes")</f>
        <v>0</v>
      </c>
      <c r="AA10" s="1" t="n">
        <f aca="false">COUNTIFS('01 - Job Database'!$C$3:$C$1000,"&lt;&gt;",'01 - Job Database'!$W$3:$W$1000,"&lt;&gt;Yes",'01 - Job Database'!$G$3:$G$1000,$A10,'01 - Job Database'!$AO$3:$AO$1000,"Yes")</f>
        <v>0</v>
      </c>
      <c r="AB10" s="1" t="n">
        <f aca="false">COUNTIFS('01 - Job Database'!$C$3:$C$1000,"&lt;&gt;",'01 - Job Database'!$W$3:$W$1000,"&lt;&gt;Yes",'01 - Job Database'!$G$3:$G$1000,$A10,'01 - Job Database'!$AP$3:$AP$1000,"Yes")</f>
        <v>0</v>
      </c>
      <c r="AC10" s="1" t="n">
        <f aca="false">COUNTIFS('01 - Job Database'!$C$3:$C$1000,"&lt;&gt;",'01 - Job Database'!$W$3:$W$1000,"&lt;&gt;Yes",'01 - Job Database'!$G$3:$G$1000,$A10,'01 - Job Database'!$AQ$3:$AQ$1000,"Yes")</f>
        <v>0</v>
      </c>
      <c r="AD10" s="1" t="n">
        <f aca="false">COUNTIFS('01 - Job Database'!$C$3:$C$1000,"&lt;&gt;",'01 - Job Database'!$W$3:$W$1000,"&lt;&gt;Yes",'01 - Job Database'!$G$3:$G$1000,$A10,'01 - Job Database'!$AR$3:$AR$1000,"Yes")</f>
        <v>0</v>
      </c>
      <c r="AE10" s="1" t="n">
        <f aca="false">COUNTIFS('01 - Job Database'!$C$3:$C$1000,"&lt;&gt;",'01 - Job Database'!$W$3:$W$1000,"&lt;&gt;Yes",'01 - Job Database'!$G$3:$G$1000,$A10,'01 - Job Database'!$AS$3:$AS$1000,"Yes")</f>
        <v>0</v>
      </c>
      <c r="AF10" s="1" t="n">
        <f aca="false">COUNTIFS('01 - Job Database'!$C$3:$C$1000,"&lt;&gt;",'01 - Job Database'!$W$3:$W$1000,"&lt;&gt;Yes",'01 - Job Database'!$G$3:$G$1000,$A10,'01 - Job Database'!$AT$3:$AT$1000,"Yes")</f>
        <v>0</v>
      </c>
      <c r="AG10" s="1" t="n">
        <f aca="false">COUNTIFS('01 - Job Database'!$C$3:$C$1000,"&lt;&gt;",'01 - Job Database'!$W$3:$W$1000,"&lt;&gt;Yes",'01 - Job Database'!$G$3:$G$1000,$A10,'01 - Job Database'!$AU$3:$AU$1000,"Yes")</f>
        <v>0</v>
      </c>
      <c r="AH10" s="1" t="n">
        <f aca="false">COUNTIFS('01 - Job Database'!$C$3:$C$1000,"&lt;&gt;",'01 - Job Database'!$W$3:$W$1000,"&lt;&gt;Yes",'01 - Job Database'!$G$3:$G$1000,$A10,'01 - Job Database'!$AV$3:$AV$1000,"Yes")</f>
        <v>0</v>
      </c>
      <c r="AI10" s="1" t="n">
        <f aca="false">COUNTIFS('01 - Job Database'!$C$3:$C$1000,"&lt;&gt;",'01 - Job Database'!$W$3:$W$1000,"&lt;&gt;Yes",'01 - Job Database'!$G$3:$G$1000,$A10,'01 - Job Database'!$AW$3:$AW$1000,"Yes")</f>
        <v>0</v>
      </c>
      <c r="AJ10" s="1" t="n">
        <f aca="false">COUNTIFS('01 - Job Database'!$C$3:$C$1000,"&lt;&gt;",'01 - Job Database'!$W$3:$W$1000,"&lt;&gt;Yes",'01 - Job Database'!$G$3:$G$1000,$A10,'01 - Job Database'!$AX$3:$AX$1000,"Yes")</f>
        <v>0</v>
      </c>
      <c r="AK10" s="1" t="n">
        <f aca="false">COUNTIFS('01 - Job Database'!$C$3:$C$1000,"&lt;&gt;",'01 - Job Database'!$W$3:$W$1000,"&lt;&gt;Yes",'01 - Job Database'!$G$3:$G$1000,$A10,'01 - Job Database'!$AY$3:$AY$1000,"Yes")</f>
        <v>0</v>
      </c>
      <c r="AL10" s="1" t="n">
        <f aca="false">COUNTIFS('01 - Job Database'!$C$3:$C$1000,"&lt;&gt;",'01 - Job Database'!$W$3:$W$1000,"&lt;&gt;Yes",'01 - Job Database'!$G$3:$G$1000,$A10,'01 - Job Database'!$AZ$3:$AZ$1000,"Yes")</f>
        <v>0</v>
      </c>
      <c r="AM10" s="1" t="n">
        <f aca="false">COUNTIFS('01 - Job Database'!$C$3:$C$1000,"&lt;&gt;",'01 - Job Database'!$W$3:$W$1000,"&lt;&gt;Yes",'01 - Job Database'!$G$3:$G$1000,$A10,'01 - Job Database'!$BA$3:$BA$1000,"Yes")</f>
        <v>0</v>
      </c>
      <c r="AN10" s="1" t="n">
        <f aca="false">COUNTIFS('01 - Job Database'!$C$3:$C$1000,"&lt;&gt;",'01 - Job Database'!$W$3:$W$1000,"&lt;&gt;Yes",'01 - Job Database'!$G$3:$G$1000,$A10,'01 - Job Database'!$BB$3:$BB$1000,"Yes")</f>
        <v>0</v>
      </c>
      <c r="AO10" s="1" t="n">
        <f aca="false">COUNTIFS('01 - Job Database'!$C$3:$C$1000,"&lt;&gt;",'01 - Job Database'!$W$3:$W$1000,"&lt;&gt;Yes",'01 - Job Database'!$G$3:$G$1000,$A10,'01 - Job Database'!$BC$3:$BC$1000,"Yes")</f>
        <v>0</v>
      </c>
      <c r="AP10" s="1" t="n">
        <f aca="false">MAX(J10:AO10,BB10:BL10)</f>
        <v>0</v>
      </c>
      <c r="AQ10" s="34" t="n">
        <f aca="false">COUNTIFS('01 - Job Database'!$C$3:$C$1000,"&lt;&gt;",'01 - Job Database'!$W$3:$W$1000,"&lt;&gt;Yes",'01 - Job Database'!$G$3:$G$1000,$A10,'01 - Job Database'!$O$3:$O$1000,"&gt;=100")</f>
        <v>0</v>
      </c>
      <c r="AR10" s="34" t="n">
        <f aca="false">COUNTIFS('01 - Job Database'!$C$3:$C$1000,"&lt;&gt;",'01 - Job Database'!$W$3:$W$1000,"&lt;&gt;Yes",'01 - Job Database'!$G$3:$G$1000,$A10,'01 - Job Database'!$Q$3:$Q$1000,"&gt;=150000")</f>
        <v>0</v>
      </c>
      <c r="AS10" s="34" t="n">
        <f aca="false">COUNTIFS('01 - Job Database'!$C$3:$C$1000,"&lt;&gt;",'01 - Job Database'!$W$3:$W$1000,"&lt;&gt;Yes",'01 - Job Database'!$G$3:$G$1000,$A10,'01 - Job Database'!$BQ$3:$BQ$1000,"&lt;&gt;")</f>
        <v>0</v>
      </c>
      <c r="AT10" s="34" t="n">
        <f aca="false">COUNTIFS('01 - Job Database'!$C$3:$C$1000,"&lt;&gt;",'01 - Job Database'!$W$3:$W$1000,"&lt;&gt;Yes",'01 - Job Database'!$G$3:$G$1000,$A10,'01 - Job Database'!$O$3:$O$1000,"&gt;=20")</f>
        <v>0</v>
      </c>
      <c r="AU10" s="34" t="n">
        <f aca="false">COUNTIFS('01 - Job Database'!$C$3:$C$1000,"&lt;&gt;",'01 - Job Database'!$W$3:$W$1000,"&lt;&gt;Yes",'01 - Job Database'!$G$3:$G$1000,$A10,'01 - Job Database'!$O$3:$O$1000,"&gt;=30")</f>
        <v>0</v>
      </c>
      <c r="AV10" s="34" t="n">
        <f aca="false">COUNTIFS('01 - Job Database'!$C$3:$C$1000,"&lt;&gt;",'01 - Job Database'!$W$3:$W$1000,"&lt;&gt;Yes",'01 - Job Database'!$G$3:$G$1000,$A10,'01 - Job Database'!$O$3:$O$1000,"&gt;=75")</f>
        <v>0</v>
      </c>
      <c r="AW10" s="34" t="n">
        <f aca="false">COUNTIFS('01 - Job Database'!$C$3:$C$1000,"&lt;&gt;",'01 - Job Database'!$W$3:$W$1000,"&lt;&gt;Yes",'01 - Job Database'!$G$3:$G$1000,$A10,'01 - Job Database'!$O$3:$O$1000,"&gt;=150")</f>
        <v>0</v>
      </c>
      <c r="AX10" s="34" t="n">
        <f aca="false">COUNTIFS('01 - Job Database'!$C$3:$C$1000,"&lt;&gt;",'01 - Job Database'!$W$3:$W$1000,"&lt;&gt;Yes",'01 - Job Database'!$G$3:$G$1000,$A10,'01 - Job Database'!$O$3:$O$1000,"&gt;=200")</f>
        <v>0</v>
      </c>
      <c r="AY10" s="34" t="n">
        <f aca="false">COUNTIFS('01 - Job Database'!$C$3:$C$1000,"&lt;&gt;",'01 - Job Database'!$W$3:$W$1000,"&lt;&gt;Yes",'01 - Job Database'!$G$3:$G$1000,$A10,'01 - Job Database'!$Q$3:$Q$1000,"&gt;=200000")</f>
        <v>0</v>
      </c>
      <c r="AZ10" s="34" t="n">
        <f aca="false">COUNTIFS('01 - Job Database'!$C$3:$C$1000,"&lt;&gt;",'01 - Job Database'!$W$3:$W$1000,"&lt;&gt;Yes",'01 - Job Database'!$G$3:$G$1000,$A10,'01 - Job Database'!$Q$3:$Q$1000,"&gt;=250000")</f>
        <v>0</v>
      </c>
      <c r="BA10" s="34" t="n">
        <f aca="false">COUNTIFS('01 - Job Database'!$C$3:$C$1000,"&lt;&gt;",'01 - Job Database'!$W$3:$W$1000,"&lt;&gt;Yes",'01 - Job Database'!$G$3:$G$1000,$A10,'01 - Job Database'!$Q$3:$Q$1000,"&gt;=300000")</f>
        <v>0</v>
      </c>
      <c r="BB10" s="1" t="n">
        <f aca="false">COUNTIFS('01 - Job Database'!$C$3:$C$1000,"&lt;&gt;",'01 - Job Database'!$W$3:$W$1000,"&lt;&gt;Yes",'01 - Job Database'!$G$3:$G$1000,$A10,'01 - Job Database'!$CM$3:$CM$1000,"Yes")</f>
        <v>0</v>
      </c>
      <c r="BC10" s="1" t="n">
        <f aca="false">COUNTIFS('01 - Job Database'!$C$3:$C$1000,"&lt;&gt;",'01 - Job Database'!$W$3:$W$1000,"&lt;&gt;Yes",'01 - Job Database'!$G$3:$G$1000,$A10,'01 - Job Database'!$CN$3:$CN$1000,"Yes")</f>
        <v>0</v>
      </c>
      <c r="BD10" s="1" t="n">
        <f aca="false">COUNTIFS('01 - Job Database'!$C$3:$C$1000,"&lt;&gt;",'01 - Job Database'!$W$3:$W$1000,"&lt;&gt;Yes",'01 - Job Database'!$G$3:$G$1000,$A10,'01 - Job Database'!$CO$3:$CO$1000,"Yes")</f>
        <v>0</v>
      </c>
      <c r="BE10" s="1" t="n">
        <f aca="false">COUNTIFS('01 - Job Database'!$C$3:$C$1000,"&lt;&gt;",'01 - Job Database'!$W$3:$W$1000,"&lt;&gt;Yes",'01 - Job Database'!$G$3:$G$1000,$A10,'01 - Job Database'!$CP$3:$CP$1000,"Yes")</f>
        <v>0</v>
      </c>
      <c r="BF10" s="1" t="n">
        <f aca="false">COUNTIFS('01 - Job Database'!$C$3:$C$1000,"&lt;&gt;",'01 - Job Database'!$W$3:$W$1000,"&lt;&gt;Yes",'01 - Job Database'!$G$3:$G$1000,$A10,'01 - Job Database'!$CQ$3:$CQ$1000,"Yes")</f>
        <v>0</v>
      </c>
      <c r="BG10" s="1" t="n">
        <f aca="false">COUNTIFS('01 - Job Database'!$C$3:$C$1000,"&lt;&gt;",'01 - Job Database'!$W$3:$W$1000,"&lt;&gt;Yes",'01 - Job Database'!$G$3:$G$1000,$A10,'01 - Job Database'!$CR$3:$CR$1000,"Yes")</f>
        <v>0</v>
      </c>
      <c r="BH10" s="1" t="n">
        <f aca="false">COUNTIFS('01 - Job Database'!$C$3:$C$1000,"&lt;&gt;",'01 - Job Database'!$W$3:$W$1000,"&lt;&gt;Yes",'01 - Job Database'!$G$3:$G$1000,$A10,'01 - Job Database'!$CS$3:$CS$1000,"Yes")</f>
        <v>0</v>
      </c>
      <c r="BI10" s="1" t="n">
        <f aca="false">COUNTIFS('01 - Job Database'!$C$3:$C$1000,"&lt;&gt;",'01 - Job Database'!$W$3:$W$1000,"&lt;&gt;Yes",'01 - Job Database'!$G$3:$G$1000,$A10,'01 - Job Database'!$CT$3:$CT$1000,"Yes")</f>
        <v>0</v>
      </c>
      <c r="BJ10" s="1" t="n">
        <f aca="false">COUNTIFS('01 - Job Database'!$C$3:$C$1000,"&lt;&gt;",'01 - Job Database'!$W$3:$W$1000,"&lt;&gt;Yes",'01 - Job Database'!$G$3:$G$1000,$A10,'01 - Job Database'!$CU$3:$CU$1000,"Yes")</f>
        <v>0</v>
      </c>
      <c r="BK10" s="1" t="n">
        <f aca="false">COUNTIFS('01 - Job Database'!$C$3:$C$1000,"&lt;&gt;",'01 - Job Database'!$W$3:$W$1000,"&lt;&gt;Yes",'01 - Job Database'!$G$3:$G$1000,$A10,'01 - Job Database'!$CV$3:$CV$1000,"Yes")</f>
        <v>0</v>
      </c>
      <c r="BL10" s="1" t="n">
        <f aca="false">COUNTIFS('01 - Job Database'!$C$3:$C$1000,"&lt;&gt;",'01 - Job Database'!$W$3:$W$1000,"&lt;&gt;Yes",'01 - Job Database'!$G$3:$G$1000,$A10,'01 - Job Database'!$CW$3:$CW$1000,"Yes")</f>
        <v>0</v>
      </c>
    </row>
    <row r="11" customFormat="false" ht="15" hidden="false" customHeight="true" outlineLevel="0" collapsed="false">
      <c r="A11" s="57" t="s">
        <v>267</v>
      </c>
      <c r="B11" s="26" t="n">
        <f aca="false">COUNTIFS('01 - Job Database'!$C$3:$C$1000,"&lt;&gt;",'01 - Job Database'!$W$3:$W$1000,"&lt;&gt;Yes",'01 - Job Database'!$G$3:$G$1000,A11)</f>
        <v>0</v>
      </c>
      <c r="C11" s="26" t="n">
        <f aca="false">COUNTIFS('01 - Job Database'!$C$3:$C$1000,"&lt;&gt;",'01 - Job Database'!$W$3:$W$1000,"&lt;&gt;Yes",'01 - Job Database'!$G$3:$G$1000,A11,'01 - Job Database'!$S$3:$S$1000,"Yes")</f>
        <v>0</v>
      </c>
      <c r="D11" s="58" t="str">
        <f aca="false">IFERROR(COUNTIFS('01 - Job Database'!$C$3:$C$1000,"&lt;&gt;",'01 - Job Database'!$W$3:$W$1000,"&lt;&gt;Yes",'01 - Job Database'!$G$3:$G$1000,A11,'01 - Job Database'!$J$3:$J$1000,"Yes")/B11,"")</f>
        <v/>
      </c>
      <c r="E11" s="58" t="str">
        <f aca="false">IFERROR(COUNTIFS('01 - Job Database'!$C$3:$C$1000,"&lt;&gt;",'01 - Job Database'!$W$3:$W$1000,"&lt;&gt;Yes",'01 - Job Database'!$G$3:$G$1000,A11,'01 - Job Database'!$K$3:$K$1000,"Yes")/B11,"")</f>
        <v/>
      </c>
      <c r="F11" s="26" t="str">
        <f aca="false">IF(B11=0,"—",IFERROR(INDEX($J$3:$AO$3,MATCH(AP11,J11:AO11,0)),IFERROR(INDEX($BB$3:$BL$3,MATCH(AP11,BB11:BL11,0)),"—")))</f>
        <v>—</v>
      </c>
      <c r="G11" s="26" t="n">
        <f aca="false">B11-ROW()*0.0001</f>
        <v>-0.0011</v>
      </c>
      <c r="J11" s="1" t="n">
        <f aca="false">COUNTIFS('01 - Job Database'!$C$3:$C$1000,"&lt;&gt;",'01 - Job Database'!$W$3:$W$1000,"&lt;&gt;Yes",'01 - Job Database'!$G$3:$G$1000,$A11,'01 - Job Database'!$X$3:$X$1000,"Yes")</f>
        <v>0</v>
      </c>
      <c r="K11" s="1" t="n">
        <f aca="false">COUNTIFS('01 - Job Database'!$C$3:$C$1000,"&lt;&gt;",'01 - Job Database'!$W$3:$W$1000,"&lt;&gt;Yes",'01 - Job Database'!$G$3:$G$1000,$A11,'01 - Job Database'!$Y$3:$Y$1000,"Yes")</f>
        <v>0</v>
      </c>
      <c r="L11" s="1" t="n">
        <f aca="false">COUNTIFS('01 - Job Database'!$C$3:$C$1000,"&lt;&gt;",'01 - Job Database'!$W$3:$W$1000,"&lt;&gt;Yes",'01 - Job Database'!$G$3:$G$1000,$A11,'01 - Job Database'!$Z$3:$Z$1000,"Yes")</f>
        <v>0</v>
      </c>
      <c r="M11" s="1" t="n">
        <f aca="false">COUNTIFS('01 - Job Database'!$C$3:$C$1000,"&lt;&gt;",'01 - Job Database'!$W$3:$W$1000,"&lt;&gt;Yes",'01 - Job Database'!$G$3:$G$1000,$A11,'01 - Job Database'!$AA$3:$AA$1000,"Yes")</f>
        <v>0</v>
      </c>
      <c r="N11" s="1" t="n">
        <f aca="false">COUNTIFS('01 - Job Database'!$C$3:$C$1000,"&lt;&gt;",'01 - Job Database'!$W$3:$W$1000,"&lt;&gt;Yes",'01 - Job Database'!$G$3:$G$1000,$A11,'01 - Job Database'!$AB$3:$AB$1000,"Yes")</f>
        <v>0</v>
      </c>
      <c r="O11" s="1" t="n">
        <f aca="false">COUNTIFS('01 - Job Database'!$C$3:$C$1000,"&lt;&gt;",'01 - Job Database'!$W$3:$W$1000,"&lt;&gt;Yes",'01 - Job Database'!$G$3:$G$1000,$A11,'01 - Job Database'!$AC$3:$AC$1000,"Yes")</f>
        <v>0</v>
      </c>
      <c r="P11" s="1" t="n">
        <f aca="false">COUNTIFS('01 - Job Database'!$C$3:$C$1000,"&lt;&gt;",'01 - Job Database'!$W$3:$W$1000,"&lt;&gt;Yes",'01 - Job Database'!$G$3:$G$1000,$A11,'01 - Job Database'!$AD$3:$AD$1000,"Yes")</f>
        <v>0</v>
      </c>
      <c r="Q11" s="1" t="n">
        <f aca="false">COUNTIFS('01 - Job Database'!$C$3:$C$1000,"&lt;&gt;",'01 - Job Database'!$W$3:$W$1000,"&lt;&gt;Yes",'01 - Job Database'!$G$3:$G$1000,$A11,'01 - Job Database'!$AE$3:$AE$1000,"Yes")</f>
        <v>0</v>
      </c>
      <c r="R11" s="1" t="n">
        <f aca="false">COUNTIFS('01 - Job Database'!$C$3:$C$1000,"&lt;&gt;",'01 - Job Database'!$W$3:$W$1000,"&lt;&gt;Yes",'01 - Job Database'!$G$3:$G$1000,$A11,'01 - Job Database'!$AF$3:$AF$1000,"Yes")</f>
        <v>0</v>
      </c>
      <c r="S11" s="1" t="n">
        <f aca="false">COUNTIFS('01 - Job Database'!$C$3:$C$1000,"&lt;&gt;",'01 - Job Database'!$W$3:$W$1000,"&lt;&gt;Yes",'01 - Job Database'!$G$3:$G$1000,$A11,'01 - Job Database'!$AG$3:$AG$1000,"Yes")</f>
        <v>0</v>
      </c>
      <c r="T11" s="1" t="n">
        <f aca="false">COUNTIFS('01 - Job Database'!$C$3:$C$1000,"&lt;&gt;",'01 - Job Database'!$W$3:$W$1000,"&lt;&gt;Yes",'01 - Job Database'!$G$3:$G$1000,$A11,'01 - Job Database'!$AH$3:$AH$1000,"Yes")</f>
        <v>0</v>
      </c>
      <c r="U11" s="1" t="n">
        <f aca="false">COUNTIFS('01 - Job Database'!$C$3:$C$1000,"&lt;&gt;",'01 - Job Database'!$W$3:$W$1000,"&lt;&gt;Yes",'01 - Job Database'!$G$3:$G$1000,$A11,'01 - Job Database'!$AI$3:$AI$1000,"Yes")</f>
        <v>0</v>
      </c>
      <c r="V11" s="1" t="n">
        <f aca="false">COUNTIFS('01 - Job Database'!$C$3:$C$1000,"&lt;&gt;",'01 - Job Database'!$W$3:$W$1000,"&lt;&gt;Yes",'01 - Job Database'!$G$3:$G$1000,$A11,'01 - Job Database'!$AJ$3:$AJ$1000,"Yes")</f>
        <v>0</v>
      </c>
      <c r="W11" s="1" t="n">
        <f aca="false">COUNTIFS('01 - Job Database'!$C$3:$C$1000,"&lt;&gt;",'01 - Job Database'!$W$3:$W$1000,"&lt;&gt;Yes",'01 - Job Database'!$G$3:$G$1000,$A11,'01 - Job Database'!$AK$3:$AK$1000,"Yes")</f>
        <v>0</v>
      </c>
      <c r="X11" s="1" t="n">
        <f aca="false">COUNTIFS('01 - Job Database'!$C$3:$C$1000,"&lt;&gt;",'01 - Job Database'!$W$3:$W$1000,"&lt;&gt;Yes",'01 - Job Database'!$G$3:$G$1000,$A11,'01 - Job Database'!$AL$3:$AL$1000,"Yes")</f>
        <v>0</v>
      </c>
      <c r="Y11" s="1" t="n">
        <f aca="false">COUNTIFS('01 - Job Database'!$C$3:$C$1000,"&lt;&gt;",'01 - Job Database'!$W$3:$W$1000,"&lt;&gt;Yes",'01 - Job Database'!$G$3:$G$1000,$A11,'01 - Job Database'!$AM$3:$AM$1000,"Yes")</f>
        <v>0</v>
      </c>
      <c r="Z11" s="1" t="n">
        <f aca="false">COUNTIFS('01 - Job Database'!$C$3:$C$1000,"&lt;&gt;",'01 - Job Database'!$W$3:$W$1000,"&lt;&gt;Yes",'01 - Job Database'!$G$3:$G$1000,$A11,'01 - Job Database'!$AN$3:$AN$1000,"Yes")</f>
        <v>0</v>
      </c>
      <c r="AA11" s="1" t="n">
        <f aca="false">COUNTIFS('01 - Job Database'!$C$3:$C$1000,"&lt;&gt;",'01 - Job Database'!$W$3:$W$1000,"&lt;&gt;Yes",'01 - Job Database'!$G$3:$G$1000,$A11,'01 - Job Database'!$AO$3:$AO$1000,"Yes")</f>
        <v>0</v>
      </c>
      <c r="AB11" s="1" t="n">
        <f aca="false">COUNTIFS('01 - Job Database'!$C$3:$C$1000,"&lt;&gt;",'01 - Job Database'!$W$3:$W$1000,"&lt;&gt;Yes",'01 - Job Database'!$G$3:$G$1000,$A11,'01 - Job Database'!$AP$3:$AP$1000,"Yes")</f>
        <v>0</v>
      </c>
      <c r="AC11" s="1" t="n">
        <f aca="false">COUNTIFS('01 - Job Database'!$C$3:$C$1000,"&lt;&gt;",'01 - Job Database'!$W$3:$W$1000,"&lt;&gt;Yes",'01 - Job Database'!$G$3:$G$1000,$A11,'01 - Job Database'!$AQ$3:$AQ$1000,"Yes")</f>
        <v>0</v>
      </c>
      <c r="AD11" s="1" t="n">
        <f aca="false">COUNTIFS('01 - Job Database'!$C$3:$C$1000,"&lt;&gt;",'01 - Job Database'!$W$3:$W$1000,"&lt;&gt;Yes",'01 - Job Database'!$G$3:$G$1000,$A11,'01 - Job Database'!$AR$3:$AR$1000,"Yes")</f>
        <v>0</v>
      </c>
      <c r="AE11" s="1" t="n">
        <f aca="false">COUNTIFS('01 - Job Database'!$C$3:$C$1000,"&lt;&gt;",'01 - Job Database'!$W$3:$W$1000,"&lt;&gt;Yes",'01 - Job Database'!$G$3:$G$1000,$A11,'01 - Job Database'!$AS$3:$AS$1000,"Yes")</f>
        <v>0</v>
      </c>
      <c r="AF11" s="1" t="n">
        <f aca="false">COUNTIFS('01 - Job Database'!$C$3:$C$1000,"&lt;&gt;",'01 - Job Database'!$W$3:$W$1000,"&lt;&gt;Yes",'01 - Job Database'!$G$3:$G$1000,$A11,'01 - Job Database'!$AT$3:$AT$1000,"Yes")</f>
        <v>0</v>
      </c>
      <c r="AG11" s="1" t="n">
        <f aca="false">COUNTIFS('01 - Job Database'!$C$3:$C$1000,"&lt;&gt;",'01 - Job Database'!$W$3:$W$1000,"&lt;&gt;Yes",'01 - Job Database'!$G$3:$G$1000,$A11,'01 - Job Database'!$AU$3:$AU$1000,"Yes")</f>
        <v>0</v>
      </c>
      <c r="AH11" s="1" t="n">
        <f aca="false">COUNTIFS('01 - Job Database'!$C$3:$C$1000,"&lt;&gt;",'01 - Job Database'!$W$3:$W$1000,"&lt;&gt;Yes",'01 - Job Database'!$G$3:$G$1000,$A11,'01 - Job Database'!$AV$3:$AV$1000,"Yes")</f>
        <v>0</v>
      </c>
      <c r="AI11" s="1" t="n">
        <f aca="false">COUNTIFS('01 - Job Database'!$C$3:$C$1000,"&lt;&gt;",'01 - Job Database'!$W$3:$W$1000,"&lt;&gt;Yes",'01 - Job Database'!$G$3:$G$1000,$A11,'01 - Job Database'!$AW$3:$AW$1000,"Yes")</f>
        <v>0</v>
      </c>
      <c r="AJ11" s="1" t="n">
        <f aca="false">COUNTIFS('01 - Job Database'!$C$3:$C$1000,"&lt;&gt;",'01 - Job Database'!$W$3:$W$1000,"&lt;&gt;Yes",'01 - Job Database'!$G$3:$G$1000,$A11,'01 - Job Database'!$AX$3:$AX$1000,"Yes")</f>
        <v>0</v>
      </c>
      <c r="AK11" s="1" t="n">
        <f aca="false">COUNTIFS('01 - Job Database'!$C$3:$C$1000,"&lt;&gt;",'01 - Job Database'!$W$3:$W$1000,"&lt;&gt;Yes",'01 - Job Database'!$G$3:$G$1000,$A11,'01 - Job Database'!$AY$3:$AY$1000,"Yes")</f>
        <v>0</v>
      </c>
      <c r="AL11" s="1" t="n">
        <f aca="false">COUNTIFS('01 - Job Database'!$C$3:$C$1000,"&lt;&gt;",'01 - Job Database'!$W$3:$W$1000,"&lt;&gt;Yes",'01 - Job Database'!$G$3:$G$1000,$A11,'01 - Job Database'!$AZ$3:$AZ$1000,"Yes")</f>
        <v>0</v>
      </c>
      <c r="AM11" s="1" t="n">
        <f aca="false">COUNTIFS('01 - Job Database'!$C$3:$C$1000,"&lt;&gt;",'01 - Job Database'!$W$3:$W$1000,"&lt;&gt;Yes",'01 - Job Database'!$G$3:$G$1000,$A11,'01 - Job Database'!$BA$3:$BA$1000,"Yes")</f>
        <v>0</v>
      </c>
      <c r="AN11" s="1" t="n">
        <f aca="false">COUNTIFS('01 - Job Database'!$C$3:$C$1000,"&lt;&gt;",'01 - Job Database'!$W$3:$W$1000,"&lt;&gt;Yes",'01 - Job Database'!$G$3:$G$1000,$A11,'01 - Job Database'!$BB$3:$BB$1000,"Yes")</f>
        <v>0</v>
      </c>
      <c r="AO11" s="1" t="n">
        <f aca="false">COUNTIFS('01 - Job Database'!$C$3:$C$1000,"&lt;&gt;",'01 - Job Database'!$W$3:$W$1000,"&lt;&gt;Yes",'01 - Job Database'!$G$3:$G$1000,$A11,'01 - Job Database'!$BC$3:$BC$1000,"Yes")</f>
        <v>0</v>
      </c>
      <c r="AP11" s="1" t="n">
        <f aca="false">MAX(J11:AO11,BB11:BL11)</f>
        <v>0</v>
      </c>
      <c r="AQ11" s="34" t="n">
        <f aca="false">COUNTIFS('01 - Job Database'!$C$3:$C$1000,"&lt;&gt;",'01 - Job Database'!$W$3:$W$1000,"&lt;&gt;Yes",'01 - Job Database'!$G$3:$G$1000,$A11,'01 - Job Database'!$O$3:$O$1000,"&gt;=100")</f>
        <v>0</v>
      </c>
      <c r="AR11" s="34" t="n">
        <f aca="false">COUNTIFS('01 - Job Database'!$C$3:$C$1000,"&lt;&gt;",'01 - Job Database'!$W$3:$W$1000,"&lt;&gt;Yes",'01 - Job Database'!$G$3:$G$1000,$A11,'01 - Job Database'!$Q$3:$Q$1000,"&gt;=150000")</f>
        <v>0</v>
      </c>
      <c r="AS11" s="34" t="n">
        <f aca="false">COUNTIFS('01 - Job Database'!$C$3:$C$1000,"&lt;&gt;",'01 - Job Database'!$W$3:$W$1000,"&lt;&gt;Yes",'01 - Job Database'!$G$3:$G$1000,$A11,'01 - Job Database'!$BQ$3:$BQ$1000,"&lt;&gt;")</f>
        <v>0</v>
      </c>
      <c r="AT11" s="34" t="n">
        <f aca="false">COUNTIFS('01 - Job Database'!$C$3:$C$1000,"&lt;&gt;",'01 - Job Database'!$W$3:$W$1000,"&lt;&gt;Yes",'01 - Job Database'!$G$3:$G$1000,$A11,'01 - Job Database'!$O$3:$O$1000,"&gt;=20")</f>
        <v>0</v>
      </c>
      <c r="AU11" s="34" t="n">
        <f aca="false">COUNTIFS('01 - Job Database'!$C$3:$C$1000,"&lt;&gt;",'01 - Job Database'!$W$3:$W$1000,"&lt;&gt;Yes",'01 - Job Database'!$G$3:$G$1000,$A11,'01 - Job Database'!$O$3:$O$1000,"&gt;=30")</f>
        <v>0</v>
      </c>
      <c r="AV11" s="34" t="n">
        <f aca="false">COUNTIFS('01 - Job Database'!$C$3:$C$1000,"&lt;&gt;",'01 - Job Database'!$W$3:$W$1000,"&lt;&gt;Yes",'01 - Job Database'!$G$3:$G$1000,$A11,'01 - Job Database'!$O$3:$O$1000,"&gt;=75")</f>
        <v>0</v>
      </c>
      <c r="AW11" s="34" t="n">
        <f aca="false">COUNTIFS('01 - Job Database'!$C$3:$C$1000,"&lt;&gt;",'01 - Job Database'!$W$3:$W$1000,"&lt;&gt;Yes",'01 - Job Database'!$G$3:$G$1000,$A11,'01 - Job Database'!$O$3:$O$1000,"&gt;=150")</f>
        <v>0</v>
      </c>
      <c r="AX11" s="34" t="n">
        <f aca="false">COUNTIFS('01 - Job Database'!$C$3:$C$1000,"&lt;&gt;",'01 - Job Database'!$W$3:$W$1000,"&lt;&gt;Yes",'01 - Job Database'!$G$3:$G$1000,$A11,'01 - Job Database'!$O$3:$O$1000,"&gt;=200")</f>
        <v>0</v>
      </c>
      <c r="AY11" s="34" t="n">
        <f aca="false">COUNTIFS('01 - Job Database'!$C$3:$C$1000,"&lt;&gt;",'01 - Job Database'!$W$3:$W$1000,"&lt;&gt;Yes",'01 - Job Database'!$G$3:$G$1000,$A11,'01 - Job Database'!$Q$3:$Q$1000,"&gt;=200000")</f>
        <v>0</v>
      </c>
      <c r="AZ11" s="34" t="n">
        <f aca="false">COUNTIFS('01 - Job Database'!$C$3:$C$1000,"&lt;&gt;",'01 - Job Database'!$W$3:$W$1000,"&lt;&gt;Yes",'01 - Job Database'!$G$3:$G$1000,$A11,'01 - Job Database'!$Q$3:$Q$1000,"&gt;=250000")</f>
        <v>0</v>
      </c>
      <c r="BA11" s="34" t="n">
        <f aca="false">COUNTIFS('01 - Job Database'!$C$3:$C$1000,"&lt;&gt;",'01 - Job Database'!$W$3:$W$1000,"&lt;&gt;Yes",'01 - Job Database'!$G$3:$G$1000,$A11,'01 - Job Database'!$Q$3:$Q$1000,"&gt;=300000")</f>
        <v>0</v>
      </c>
      <c r="BB11" s="1" t="n">
        <f aca="false">COUNTIFS('01 - Job Database'!$C$3:$C$1000,"&lt;&gt;",'01 - Job Database'!$W$3:$W$1000,"&lt;&gt;Yes",'01 - Job Database'!$G$3:$G$1000,$A11,'01 - Job Database'!$CM$3:$CM$1000,"Yes")</f>
        <v>0</v>
      </c>
      <c r="BC11" s="1" t="n">
        <f aca="false">COUNTIFS('01 - Job Database'!$C$3:$C$1000,"&lt;&gt;",'01 - Job Database'!$W$3:$W$1000,"&lt;&gt;Yes",'01 - Job Database'!$G$3:$G$1000,$A11,'01 - Job Database'!$CN$3:$CN$1000,"Yes")</f>
        <v>0</v>
      </c>
      <c r="BD11" s="1" t="n">
        <f aca="false">COUNTIFS('01 - Job Database'!$C$3:$C$1000,"&lt;&gt;",'01 - Job Database'!$W$3:$W$1000,"&lt;&gt;Yes",'01 - Job Database'!$G$3:$G$1000,$A11,'01 - Job Database'!$CO$3:$CO$1000,"Yes")</f>
        <v>0</v>
      </c>
      <c r="BE11" s="1" t="n">
        <f aca="false">COUNTIFS('01 - Job Database'!$C$3:$C$1000,"&lt;&gt;",'01 - Job Database'!$W$3:$W$1000,"&lt;&gt;Yes",'01 - Job Database'!$G$3:$G$1000,$A11,'01 - Job Database'!$CP$3:$CP$1000,"Yes")</f>
        <v>0</v>
      </c>
      <c r="BF11" s="1" t="n">
        <f aca="false">COUNTIFS('01 - Job Database'!$C$3:$C$1000,"&lt;&gt;",'01 - Job Database'!$W$3:$W$1000,"&lt;&gt;Yes",'01 - Job Database'!$G$3:$G$1000,$A11,'01 - Job Database'!$CQ$3:$CQ$1000,"Yes")</f>
        <v>0</v>
      </c>
      <c r="BG11" s="1" t="n">
        <f aca="false">COUNTIFS('01 - Job Database'!$C$3:$C$1000,"&lt;&gt;",'01 - Job Database'!$W$3:$W$1000,"&lt;&gt;Yes",'01 - Job Database'!$G$3:$G$1000,$A11,'01 - Job Database'!$CR$3:$CR$1000,"Yes")</f>
        <v>0</v>
      </c>
      <c r="BH11" s="1" t="n">
        <f aca="false">COUNTIFS('01 - Job Database'!$C$3:$C$1000,"&lt;&gt;",'01 - Job Database'!$W$3:$W$1000,"&lt;&gt;Yes",'01 - Job Database'!$G$3:$G$1000,$A11,'01 - Job Database'!$CS$3:$CS$1000,"Yes")</f>
        <v>0</v>
      </c>
      <c r="BI11" s="1" t="n">
        <f aca="false">COUNTIFS('01 - Job Database'!$C$3:$C$1000,"&lt;&gt;",'01 - Job Database'!$W$3:$W$1000,"&lt;&gt;Yes",'01 - Job Database'!$G$3:$G$1000,$A11,'01 - Job Database'!$CT$3:$CT$1000,"Yes")</f>
        <v>0</v>
      </c>
      <c r="BJ11" s="1" t="n">
        <f aca="false">COUNTIFS('01 - Job Database'!$C$3:$C$1000,"&lt;&gt;",'01 - Job Database'!$W$3:$W$1000,"&lt;&gt;Yes",'01 - Job Database'!$G$3:$G$1000,$A11,'01 - Job Database'!$CU$3:$CU$1000,"Yes")</f>
        <v>0</v>
      </c>
      <c r="BK11" s="1" t="n">
        <f aca="false">COUNTIFS('01 - Job Database'!$C$3:$C$1000,"&lt;&gt;",'01 - Job Database'!$W$3:$W$1000,"&lt;&gt;Yes",'01 - Job Database'!$G$3:$G$1000,$A11,'01 - Job Database'!$CV$3:$CV$1000,"Yes")</f>
        <v>0</v>
      </c>
      <c r="BL11" s="1" t="n">
        <f aca="false">COUNTIFS('01 - Job Database'!$C$3:$C$1000,"&lt;&gt;",'01 - Job Database'!$W$3:$W$1000,"&lt;&gt;Yes",'01 - Job Database'!$G$3:$G$1000,$A11,'01 - Job Database'!$CW$3:$CW$1000,"Yes")</f>
        <v>0</v>
      </c>
    </row>
    <row r="12" customFormat="false" ht="15" hidden="false" customHeight="true" outlineLevel="0" collapsed="false">
      <c r="A12" s="57" t="s">
        <v>268</v>
      </c>
      <c r="B12" s="26" t="n">
        <f aca="false">COUNTIFS('01 - Job Database'!$C$3:$C$1000,"&lt;&gt;",'01 - Job Database'!$W$3:$W$1000,"&lt;&gt;Yes",'01 - Job Database'!$G$3:$G$1000,A12)</f>
        <v>0</v>
      </c>
      <c r="C12" s="26" t="n">
        <f aca="false">COUNTIFS('01 - Job Database'!$C$3:$C$1000,"&lt;&gt;",'01 - Job Database'!$W$3:$W$1000,"&lt;&gt;Yes",'01 - Job Database'!$G$3:$G$1000,A12,'01 - Job Database'!$S$3:$S$1000,"Yes")</f>
        <v>0</v>
      </c>
      <c r="D12" s="58" t="str">
        <f aca="false">IFERROR(COUNTIFS('01 - Job Database'!$C$3:$C$1000,"&lt;&gt;",'01 - Job Database'!$W$3:$W$1000,"&lt;&gt;Yes",'01 - Job Database'!$G$3:$G$1000,A12,'01 - Job Database'!$J$3:$J$1000,"Yes")/B12,"")</f>
        <v/>
      </c>
      <c r="E12" s="58" t="str">
        <f aca="false">IFERROR(COUNTIFS('01 - Job Database'!$C$3:$C$1000,"&lt;&gt;",'01 - Job Database'!$W$3:$W$1000,"&lt;&gt;Yes",'01 - Job Database'!$G$3:$G$1000,A12,'01 - Job Database'!$K$3:$K$1000,"Yes")/B12,"")</f>
        <v/>
      </c>
      <c r="F12" s="26" t="str">
        <f aca="false">IF(B12=0,"—",IFERROR(INDEX($J$3:$AO$3,MATCH(AP12,J12:AO12,0)),IFERROR(INDEX($BB$3:$BL$3,MATCH(AP12,BB12:BL12,0)),"—")))</f>
        <v>—</v>
      </c>
      <c r="G12" s="26" t="n">
        <f aca="false">B12-ROW()*0.0001</f>
        <v>-0.0012</v>
      </c>
      <c r="J12" s="1" t="n">
        <f aca="false">COUNTIFS('01 - Job Database'!$C$3:$C$1000,"&lt;&gt;",'01 - Job Database'!$W$3:$W$1000,"&lt;&gt;Yes",'01 - Job Database'!$G$3:$G$1000,$A12,'01 - Job Database'!$X$3:$X$1000,"Yes")</f>
        <v>0</v>
      </c>
      <c r="K12" s="1" t="n">
        <f aca="false">COUNTIFS('01 - Job Database'!$C$3:$C$1000,"&lt;&gt;",'01 - Job Database'!$W$3:$W$1000,"&lt;&gt;Yes",'01 - Job Database'!$G$3:$G$1000,$A12,'01 - Job Database'!$Y$3:$Y$1000,"Yes")</f>
        <v>0</v>
      </c>
      <c r="L12" s="1" t="n">
        <f aca="false">COUNTIFS('01 - Job Database'!$C$3:$C$1000,"&lt;&gt;",'01 - Job Database'!$W$3:$W$1000,"&lt;&gt;Yes",'01 - Job Database'!$G$3:$G$1000,$A12,'01 - Job Database'!$Z$3:$Z$1000,"Yes")</f>
        <v>0</v>
      </c>
      <c r="M12" s="1" t="n">
        <f aca="false">COUNTIFS('01 - Job Database'!$C$3:$C$1000,"&lt;&gt;",'01 - Job Database'!$W$3:$W$1000,"&lt;&gt;Yes",'01 - Job Database'!$G$3:$G$1000,$A12,'01 - Job Database'!$AA$3:$AA$1000,"Yes")</f>
        <v>0</v>
      </c>
      <c r="N12" s="1" t="n">
        <f aca="false">COUNTIFS('01 - Job Database'!$C$3:$C$1000,"&lt;&gt;",'01 - Job Database'!$W$3:$W$1000,"&lt;&gt;Yes",'01 - Job Database'!$G$3:$G$1000,$A12,'01 - Job Database'!$AB$3:$AB$1000,"Yes")</f>
        <v>0</v>
      </c>
      <c r="O12" s="1" t="n">
        <f aca="false">COUNTIFS('01 - Job Database'!$C$3:$C$1000,"&lt;&gt;",'01 - Job Database'!$W$3:$W$1000,"&lt;&gt;Yes",'01 - Job Database'!$G$3:$G$1000,$A12,'01 - Job Database'!$AC$3:$AC$1000,"Yes")</f>
        <v>0</v>
      </c>
      <c r="P12" s="1" t="n">
        <f aca="false">COUNTIFS('01 - Job Database'!$C$3:$C$1000,"&lt;&gt;",'01 - Job Database'!$W$3:$W$1000,"&lt;&gt;Yes",'01 - Job Database'!$G$3:$G$1000,$A12,'01 - Job Database'!$AD$3:$AD$1000,"Yes")</f>
        <v>0</v>
      </c>
      <c r="Q12" s="1" t="n">
        <f aca="false">COUNTIFS('01 - Job Database'!$C$3:$C$1000,"&lt;&gt;",'01 - Job Database'!$W$3:$W$1000,"&lt;&gt;Yes",'01 - Job Database'!$G$3:$G$1000,$A12,'01 - Job Database'!$AE$3:$AE$1000,"Yes")</f>
        <v>0</v>
      </c>
      <c r="R12" s="1" t="n">
        <f aca="false">COUNTIFS('01 - Job Database'!$C$3:$C$1000,"&lt;&gt;",'01 - Job Database'!$W$3:$W$1000,"&lt;&gt;Yes",'01 - Job Database'!$G$3:$G$1000,$A12,'01 - Job Database'!$AF$3:$AF$1000,"Yes")</f>
        <v>0</v>
      </c>
      <c r="S12" s="1" t="n">
        <f aca="false">COUNTIFS('01 - Job Database'!$C$3:$C$1000,"&lt;&gt;",'01 - Job Database'!$W$3:$W$1000,"&lt;&gt;Yes",'01 - Job Database'!$G$3:$G$1000,$A12,'01 - Job Database'!$AG$3:$AG$1000,"Yes")</f>
        <v>0</v>
      </c>
      <c r="T12" s="1" t="n">
        <f aca="false">COUNTIFS('01 - Job Database'!$C$3:$C$1000,"&lt;&gt;",'01 - Job Database'!$W$3:$W$1000,"&lt;&gt;Yes",'01 - Job Database'!$G$3:$G$1000,$A12,'01 - Job Database'!$AH$3:$AH$1000,"Yes")</f>
        <v>0</v>
      </c>
      <c r="U12" s="1" t="n">
        <f aca="false">COUNTIFS('01 - Job Database'!$C$3:$C$1000,"&lt;&gt;",'01 - Job Database'!$W$3:$W$1000,"&lt;&gt;Yes",'01 - Job Database'!$G$3:$G$1000,$A12,'01 - Job Database'!$AI$3:$AI$1000,"Yes")</f>
        <v>0</v>
      </c>
      <c r="V12" s="1" t="n">
        <f aca="false">COUNTIFS('01 - Job Database'!$C$3:$C$1000,"&lt;&gt;",'01 - Job Database'!$W$3:$W$1000,"&lt;&gt;Yes",'01 - Job Database'!$G$3:$G$1000,$A12,'01 - Job Database'!$AJ$3:$AJ$1000,"Yes")</f>
        <v>0</v>
      </c>
      <c r="W12" s="1" t="n">
        <f aca="false">COUNTIFS('01 - Job Database'!$C$3:$C$1000,"&lt;&gt;",'01 - Job Database'!$W$3:$W$1000,"&lt;&gt;Yes",'01 - Job Database'!$G$3:$G$1000,$A12,'01 - Job Database'!$AK$3:$AK$1000,"Yes")</f>
        <v>0</v>
      </c>
      <c r="X12" s="1" t="n">
        <f aca="false">COUNTIFS('01 - Job Database'!$C$3:$C$1000,"&lt;&gt;",'01 - Job Database'!$W$3:$W$1000,"&lt;&gt;Yes",'01 - Job Database'!$G$3:$G$1000,$A12,'01 - Job Database'!$AL$3:$AL$1000,"Yes")</f>
        <v>0</v>
      </c>
      <c r="Y12" s="1" t="n">
        <f aca="false">COUNTIFS('01 - Job Database'!$C$3:$C$1000,"&lt;&gt;",'01 - Job Database'!$W$3:$W$1000,"&lt;&gt;Yes",'01 - Job Database'!$G$3:$G$1000,$A12,'01 - Job Database'!$AM$3:$AM$1000,"Yes")</f>
        <v>0</v>
      </c>
      <c r="Z12" s="1" t="n">
        <f aca="false">COUNTIFS('01 - Job Database'!$C$3:$C$1000,"&lt;&gt;",'01 - Job Database'!$W$3:$W$1000,"&lt;&gt;Yes",'01 - Job Database'!$G$3:$G$1000,$A12,'01 - Job Database'!$AN$3:$AN$1000,"Yes")</f>
        <v>0</v>
      </c>
      <c r="AA12" s="1" t="n">
        <f aca="false">COUNTIFS('01 - Job Database'!$C$3:$C$1000,"&lt;&gt;",'01 - Job Database'!$W$3:$W$1000,"&lt;&gt;Yes",'01 - Job Database'!$G$3:$G$1000,$A12,'01 - Job Database'!$AO$3:$AO$1000,"Yes")</f>
        <v>0</v>
      </c>
      <c r="AB12" s="1" t="n">
        <f aca="false">COUNTIFS('01 - Job Database'!$C$3:$C$1000,"&lt;&gt;",'01 - Job Database'!$W$3:$W$1000,"&lt;&gt;Yes",'01 - Job Database'!$G$3:$G$1000,$A12,'01 - Job Database'!$AP$3:$AP$1000,"Yes")</f>
        <v>0</v>
      </c>
      <c r="AC12" s="1" t="n">
        <f aca="false">COUNTIFS('01 - Job Database'!$C$3:$C$1000,"&lt;&gt;",'01 - Job Database'!$W$3:$W$1000,"&lt;&gt;Yes",'01 - Job Database'!$G$3:$G$1000,$A12,'01 - Job Database'!$AQ$3:$AQ$1000,"Yes")</f>
        <v>0</v>
      </c>
      <c r="AD12" s="1" t="n">
        <f aca="false">COUNTIFS('01 - Job Database'!$C$3:$C$1000,"&lt;&gt;",'01 - Job Database'!$W$3:$W$1000,"&lt;&gt;Yes",'01 - Job Database'!$G$3:$G$1000,$A12,'01 - Job Database'!$AR$3:$AR$1000,"Yes")</f>
        <v>0</v>
      </c>
      <c r="AE12" s="1" t="n">
        <f aca="false">COUNTIFS('01 - Job Database'!$C$3:$C$1000,"&lt;&gt;",'01 - Job Database'!$W$3:$W$1000,"&lt;&gt;Yes",'01 - Job Database'!$G$3:$G$1000,$A12,'01 - Job Database'!$AS$3:$AS$1000,"Yes")</f>
        <v>0</v>
      </c>
      <c r="AF12" s="1" t="n">
        <f aca="false">COUNTIFS('01 - Job Database'!$C$3:$C$1000,"&lt;&gt;",'01 - Job Database'!$W$3:$W$1000,"&lt;&gt;Yes",'01 - Job Database'!$G$3:$G$1000,$A12,'01 - Job Database'!$AT$3:$AT$1000,"Yes")</f>
        <v>0</v>
      </c>
      <c r="AG12" s="1" t="n">
        <f aca="false">COUNTIFS('01 - Job Database'!$C$3:$C$1000,"&lt;&gt;",'01 - Job Database'!$W$3:$W$1000,"&lt;&gt;Yes",'01 - Job Database'!$G$3:$G$1000,$A12,'01 - Job Database'!$AU$3:$AU$1000,"Yes")</f>
        <v>0</v>
      </c>
      <c r="AH12" s="1" t="n">
        <f aca="false">COUNTIFS('01 - Job Database'!$C$3:$C$1000,"&lt;&gt;",'01 - Job Database'!$W$3:$W$1000,"&lt;&gt;Yes",'01 - Job Database'!$G$3:$G$1000,$A12,'01 - Job Database'!$AV$3:$AV$1000,"Yes")</f>
        <v>0</v>
      </c>
      <c r="AI12" s="1" t="n">
        <f aca="false">COUNTIFS('01 - Job Database'!$C$3:$C$1000,"&lt;&gt;",'01 - Job Database'!$W$3:$W$1000,"&lt;&gt;Yes",'01 - Job Database'!$G$3:$G$1000,$A12,'01 - Job Database'!$AW$3:$AW$1000,"Yes")</f>
        <v>0</v>
      </c>
      <c r="AJ12" s="1" t="n">
        <f aca="false">COUNTIFS('01 - Job Database'!$C$3:$C$1000,"&lt;&gt;",'01 - Job Database'!$W$3:$W$1000,"&lt;&gt;Yes",'01 - Job Database'!$G$3:$G$1000,$A12,'01 - Job Database'!$AX$3:$AX$1000,"Yes")</f>
        <v>0</v>
      </c>
      <c r="AK12" s="1" t="n">
        <f aca="false">COUNTIFS('01 - Job Database'!$C$3:$C$1000,"&lt;&gt;",'01 - Job Database'!$W$3:$W$1000,"&lt;&gt;Yes",'01 - Job Database'!$G$3:$G$1000,$A12,'01 - Job Database'!$AY$3:$AY$1000,"Yes")</f>
        <v>0</v>
      </c>
      <c r="AL12" s="1" t="n">
        <f aca="false">COUNTIFS('01 - Job Database'!$C$3:$C$1000,"&lt;&gt;",'01 - Job Database'!$W$3:$W$1000,"&lt;&gt;Yes",'01 - Job Database'!$G$3:$G$1000,$A12,'01 - Job Database'!$AZ$3:$AZ$1000,"Yes")</f>
        <v>0</v>
      </c>
      <c r="AM12" s="1" t="n">
        <f aca="false">COUNTIFS('01 - Job Database'!$C$3:$C$1000,"&lt;&gt;",'01 - Job Database'!$W$3:$W$1000,"&lt;&gt;Yes",'01 - Job Database'!$G$3:$G$1000,$A12,'01 - Job Database'!$BA$3:$BA$1000,"Yes")</f>
        <v>0</v>
      </c>
      <c r="AN12" s="1" t="n">
        <f aca="false">COUNTIFS('01 - Job Database'!$C$3:$C$1000,"&lt;&gt;",'01 - Job Database'!$W$3:$W$1000,"&lt;&gt;Yes",'01 - Job Database'!$G$3:$G$1000,$A12,'01 - Job Database'!$BB$3:$BB$1000,"Yes")</f>
        <v>0</v>
      </c>
      <c r="AO12" s="1" t="n">
        <f aca="false">COUNTIFS('01 - Job Database'!$C$3:$C$1000,"&lt;&gt;",'01 - Job Database'!$W$3:$W$1000,"&lt;&gt;Yes",'01 - Job Database'!$G$3:$G$1000,$A12,'01 - Job Database'!$BC$3:$BC$1000,"Yes")</f>
        <v>0</v>
      </c>
      <c r="AP12" s="1" t="n">
        <f aca="false">MAX(J12:AO12,BB12:BL12)</f>
        <v>0</v>
      </c>
      <c r="AQ12" s="34" t="n">
        <f aca="false">COUNTIFS('01 - Job Database'!$C$3:$C$1000,"&lt;&gt;",'01 - Job Database'!$W$3:$W$1000,"&lt;&gt;Yes",'01 - Job Database'!$G$3:$G$1000,$A12,'01 - Job Database'!$O$3:$O$1000,"&gt;=100")</f>
        <v>0</v>
      </c>
      <c r="AR12" s="34" t="n">
        <f aca="false">COUNTIFS('01 - Job Database'!$C$3:$C$1000,"&lt;&gt;",'01 - Job Database'!$W$3:$W$1000,"&lt;&gt;Yes",'01 - Job Database'!$G$3:$G$1000,$A12,'01 - Job Database'!$Q$3:$Q$1000,"&gt;=150000")</f>
        <v>0</v>
      </c>
      <c r="AS12" s="34" t="n">
        <f aca="false">COUNTIFS('01 - Job Database'!$C$3:$C$1000,"&lt;&gt;",'01 - Job Database'!$W$3:$W$1000,"&lt;&gt;Yes",'01 - Job Database'!$G$3:$G$1000,$A12,'01 - Job Database'!$BQ$3:$BQ$1000,"&lt;&gt;")</f>
        <v>0</v>
      </c>
      <c r="AT12" s="34" t="n">
        <f aca="false">COUNTIFS('01 - Job Database'!$C$3:$C$1000,"&lt;&gt;",'01 - Job Database'!$W$3:$W$1000,"&lt;&gt;Yes",'01 - Job Database'!$G$3:$G$1000,$A12,'01 - Job Database'!$O$3:$O$1000,"&gt;=20")</f>
        <v>0</v>
      </c>
      <c r="AU12" s="34" t="n">
        <f aca="false">COUNTIFS('01 - Job Database'!$C$3:$C$1000,"&lt;&gt;",'01 - Job Database'!$W$3:$W$1000,"&lt;&gt;Yes",'01 - Job Database'!$G$3:$G$1000,$A12,'01 - Job Database'!$O$3:$O$1000,"&gt;=30")</f>
        <v>0</v>
      </c>
      <c r="AV12" s="34" t="n">
        <f aca="false">COUNTIFS('01 - Job Database'!$C$3:$C$1000,"&lt;&gt;",'01 - Job Database'!$W$3:$W$1000,"&lt;&gt;Yes",'01 - Job Database'!$G$3:$G$1000,$A12,'01 - Job Database'!$O$3:$O$1000,"&gt;=75")</f>
        <v>0</v>
      </c>
      <c r="AW12" s="34" t="n">
        <f aca="false">COUNTIFS('01 - Job Database'!$C$3:$C$1000,"&lt;&gt;",'01 - Job Database'!$W$3:$W$1000,"&lt;&gt;Yes",'01 - Job Database'!$G$3:$G$1000,$A12,'01 - Job Database'!$O$3:$O$1000,"&gt;=150")</f>
        <v>0</v>
      </c>
      <c r="AX12" s="34" t="n">
        <f aca="false">COUNTIFS('01 - Job Database'!$C$3:$C$1000,"&lt;&gt;",'01 - Job Database'!$W$3:$W$1000,"&lt;&gt;Yes",'01 - Job Database'!$G$3:$G$1000,$A12,'01 - Job Database'!$O$3:$O$1000,"&gt;=200")</f>
        <v>0</v>
      </c>
      <c r="AY12" s="34" t="n">
        <f aca="false">COUNTIFS('01 - Job Database'!$C$3:$C$1000,"&lt;&gt;",'01 - Job Database'!$W$3:$W$1000,"&lt;&gt;Yes",'01 - Job Database'!$G$3:$G$1000,$A12,'01 - Job Database'!$Q$3:$Q$1000,"&gt;=200000")</f>
        <v>0</v>
      </c>
      <c r="AZ12" s="34" t="n">
        <f aca="false">COUNTIFS('01 - Job Database'!$C$3:$C$1000,"&lt;&gt;",'01 - Job Database'!$W$3:$W$1000,"&lt;&gt;Yes",'01 - Job Database'!$G$3:$G$1000,$A12,'01 - Job Database'!$Q$3:$Q$1000,"&gt;=250000")</f>
        <v>0</v>
      </c>
      <c r="BA12" s="34" t="n">
        <f aca="false">COUNTIFS('01 - Job Database'!$C$3:$C$1000,"&lt;&gt;",'01 - Job Database'!$W$3:$W$1000,"&lt;&gt;Yes",'01 - Job Database'!$G$3:$G$1000,$A12,'01 - Job Database'!$Q$3:$Q$1000,"&gt;=300000")</f>
        <v>0</v>
      </c>
      <c r="BB12" s="1" t="n">
        <f aca="false">COUNTIFS('01 - Job Database'!$C$3:$C$1000,"&lt;&gt;",'01 - Job Database'!$W$3:$W$1000,"&lt;&gt;Yes",'01 - Job Database'!$G$3:$G$1000,$A12,'01 - Job Database'!$CM$3:$CM$1000,"Yes")</f>
        <v>0</v>
      </c>
      <c r="BC12" s="1" t="n">
        <f aca="false">COUNTIFS('01 - Job Database'!$C$3:$C$1000,"&lt;&gt;",'01 - Job Database'!$W$3:$W$1000,"&lt;&gt;Yes",'01 - Job Database'!$G$3:$G$1000,$A12,'01 - Job Database'!$CN$3:$CN$1000,"Yes")</f>
        <v>0</v>
      </c>
      <c r="BD12" s="1" t="n">
        <f aca="false">COUNTIFS('01 - Job Database'!$C$3:$C$1000,"&lt;&gt;",'01 - Job Database'!$W$3:$W$1000,"&lt;&gt;Yes",'01 - Job Database'!$G$3:$G$1000,$A12,'01 - Job Database'!$CO$3:$CO$1000,"Yes")</f>
        <v>0</v>
      </c>
      <c r="BE12" s="1" t="n">
        <f aca="false">COUNTIFS('01 - Job Database'!$C$3:$C$1000,"&lt;&gt;",'01 - Job Database'!$W$3:$W$1000,"&lt;&gt;Yes",'01 - Job Database'!$G$3:$G$1000,$A12,'01 - Job Database'!$CP$3:$CP$1000,"Yes")</f>
        <v>0</v>
      </c>
      <c r="BF12" s="1" t="n">
        <f aca="false">COUNTIFS('01 - Job Database'!$C$3:$C$1000,"&lt;&gt;",'01 - Job Database'!$W$3:$W$1000,"&lt;&gt;Yes",'01 - Job Database'!$G$3:$G$1000,$A12,'01 - Job Database'!$CQ$3:$CQ$1000,"Yes")</f>
        <v>0</v>
      </c>
      <c r="BG12" s="1" t="n">
        <f aca="false">COUNTIFS('01 - Job Database'!$C$3:$C$1000,"&lt;&gt;",'01 - Job Database'!$W$3:$W$1000,"&lt;&gt;Yes",'01 - Job Database'!$G$3:$G$1000,$A12,'01 - Job Database'!$CR$3:$CR$1000,"Yes")</f>
        <v>0</v>
      </c>
      <c r="BH12" s="1" t="n">
        <f aca="false">COUNTIFS('01 - Job Database'!$C$3:$C$1000,"&lt;&gt;",'01 - Job Database'!$W$3:$W$1000,"&lt;&gt;Yes",'01 - Job Database'!$G$3:$G$1000,$A12,'01 - Job Database'!$CS$3:$CS$1000,"Yes")</f>
        <v>0</v>
      </c>
      <c r="BI12" s="1" t="n">
        <f aca="false">COUNTIFS('01 - Job Database'!$C$3:$C$1000,"&lt;&gt;",'01 - Job Database'!$W$3:$W$1000,"&lt;&gt;Yes",'01 - Job Database'!$G$3:$G$1000,$A12,'01 - Job Database'!$CT$3:$CT$1000,"Yes")</f>
        <v>0</v>
      </c>
      <c r="BJ12" s="1" t="n">
        <f aca="false">COUNTIFS('01 - Job Database'!$C$3:$C$1000,"&lt;&gt;",'01 - Job Database'!$W$3:$W$1000,"&lt;&gt;Yes",'01 - Job Database'!$G$3:$G$1000,$A12,'01 - Job Database'!$CU$3:$CU$1000,"Yes")</f>
        <v>0</v>
      </c>
      <c r="BK12" s="1" t="n">
        <f aca="false">COUNTIFS('01 - Job Database'!$C$3:$C$1000,"&lt;&gt;",'01 - Job Database'!$W$3:$W$1000,"&lt;&gt;Yes",'01 - Job Database'!$G$3:$G$1000,$A12,'01 - Job Database'!$CV$3:$CV$1000,"Yes")</f>
        <v>0</v>
      </c>
      <c r="BL12" s="1" t="n">
        <f aca="false">COUNTIFS('01 - Job Database'!$C$3:$C$1000,"&lt;&gt;",'01 - Job Database'!$W$3:$W$1000,"&lt;&gt;Yes",'01 - Job Database'!$G$3:$G$1000,$A12,'01 - Job Database'!$CW$3:$CW$1000,"Yes")</f>
        <v>0</v>
      </c>
    </row>
    <row r="13" customFormat="false" ht="15" hidden="false" customHeight="true" outlineLevel="0" collapsed="false">
      <c r="A13" s="57" t="s">
        <v>269</v>
      </c>
      <c r="B13" s="26" t="n">
        <f aca="false">COUNTIFS('01 - Job Database'!$C$3:$C$1000,"&lt;&gt;",'01 - Job Database'!$W$3:$W$1000,"&lt;&gt;Yes",'01 - Job Database'!$G$3:$G$1000,A13)</f>
        <v>0</v>
      </c>
      <c r="C13" s="26" t="n">
        <f aca="false">COUNTIFS('01 - Job Database'!$C$3:$C$1000,"&lt;&gt;",'01 - Job Database'!$W$3:$W$1000,"&lt;&gt;Yes",'01 - Job Database'!$G$3:$G$1000,A13,'01 - Job Database'!$S$3:$S$1000,"Yes")</f>
        <v>0</v>
      </c>
      <c r="D13" s="58" t="str">
        <f aca="false">IFERROR(COUNTIFS('01 - Job Database'!$C$3:$C$1000,"&lt;&gt;",'01 - Job Database'!$W$3:$W$1000,"&lt;&gt;Yes",'01 - Job Database'!$G$3:$G$1000,A13,'01 - Job Database'!$J$3:$J$1000,"Yes")/B13,"")</f>
        <v/>
      </c>
      <c r="E13" s="58" t="str">
        <f aca="false">IFERROR(COUNTIFS('01 - Job Database'!$C$3:$C$1000,"&lt;&gt;",'01 - Job Database'!$W$3:$W$1000,"&lt;&gt;Yes",'01 - Job Database'!$G$3:$G$1000,A13,'01 - Job Database'!$K$3:$K$1000,"Yes")/B13,"")</f>
        <v/>
      </c>
      <c r="F13" s="26" t="str">
        <f aca="false">IF(B13=0,"—",IFERROR(INDEX($J$3:$AO$3,MATCH(AP13,J13:AO13,0)),IFERROR(INDEX($BB$3:$BL$3,MATCH(AP13,BB13:BL13,0)),"—")))</f>
        <v>—</v>
      </c>
      <c r="G13" s="26" t="n">
        <f aca="false">B13-ROW()*0.0001</f>
        <v>-0.0013</v>
      </c>
      <c r="J13" s="1" t="n">
        <f aca="false">COUNTIFS('01 - Job Database'!$C$3:$C$1000,"&lt;&gt;",'01 - Job Database'!$W$3:$W$1000,"&lt;&gt;Yes",'01 - Job Database'!$G$3:$G$1000,$A13,'01 - Job Database'!$X$3:$X$1000,"Yes")</f>
        <v>0</v>
      </c>
      <c r="K13" s="1" t="n">
        <f aca="false">COUNTIFS('01 - Job Database'!$C$3:$C$1000,"&lt;&gt;",'01 - Job Database'!$W$3:$W$1000,"&lt;&gt;Yes",'01 - Job Database'!$G$3:$G$1000,$A13,'01 - Job Database'!$Y$3:$Y$1000,"Yes")</f>
        <v>0</v>
      </c>
      <c r="L13" s="1" t="n">
        <f aca="false">COUNTIFS('01 - Job Database'!$C$3:$C$1000,"&lt;&gt;",'01 - Job Database'!$W$3:$W$1000,"&lt;&gt;Yes",'01 - Job Database'!$G$3:$G$1000,$A13,'01 - Job Database'!$Z$3:$Z$1000,"Yes")</f>
        <v>0</v>
      </c>
      <c r="M13" s="1" t="n">
        <f aca="false">COUNTIFS('01 - Job Database'!$C$3:$C$1000,"&lt;&gt;",'01 - Job Database'!$W$3:$W$1000,"&lt;&gt;Yes",'01 - Job Database'!$G$3:$G$1000,$A13,'01 - Job Database'!$AA$3:$AA$1000,"Yes")</f>
        <v>0</v>
      </c>
      <c r="N13" s="1" t="n">
        <f aca="false">COUNTIFS('01 - Job Database'!$C$3:$C$1000,"&lt;&gt;",'01 - Job Database'!$W$3:$W$1000,"&lt;&gt;Yes",'01 - Job Database'!$G$3:$G$1000,$A13,'01 - Job Database'!$AB$3:$AB$1000,"Yes")</f>
        <v>0</v>
      </c>
      <c r="O13" s="1" t="n">
        <f aca="false">COUNTIFS('01 - Job Database'!$C$3:$C$1000,"&lt;&gt;",'01 - Job Database'!$W$3:$W$1000,"&lt;&gt;Yes",'01 - Job Database'!$G$3:$G$1000,$A13,'01 - Job Database'!$AC$3:$AC$1000,"Yes")</f>
        <v>0</v>
      </c>
      <c r="P13" s="1" t="n">
        <f aca="false">COUNTIFS('01 - Job Database'!$C$3:$C$1000,"&lt;&gt;",'01 - Job Database'!$W$3:$W$1000,"&lt;&gt;Yes",'01 - Job Database'!$G$3:$G$1000,$A13,'01 - Job Database'!$AD$3:$AD$1000,"Yes")</f>
        <v>0</v>
      </c>
      <c r="Q13" s="1" t="n">
        <f aca="false">COUNTIFS('01 - Job Database'!$C$3:$C$1000,"&lt;&gt;",'01 - Job Database'!$W$3:$W$1000,"&lt;&gt;Yes",'01 - Job Database'!$G$3:$G$1000,$A13,'01 - Job Database'!$AE$3:$AE$1000,"Yes")</f>
        <v>0</v>
      </c>
      <c r="R13" s="1" t="n">
        <f aca="false">COUNTIFS('01 - Job Database'!$C$3:$C$1000,"&lt;&gt;",'01 - Job Database'!$W$3:$W$1000,"&lt;&gt;Yes",'01 - Job Database'!$G$3:$G$1000,$A13,'01 - Job Database'!$AF$3:$AF$1000,"Yes")</f>
        <v>0</v>
      </c>
      <c r="S13" s="1" t="n">
        <f aca="false">COUNTIFS('01 - Job Database'!$C$3:$C$1000,"&lt;&gt;",'01 - Job Database'!$W$3:$W$1000,"&lt;&gt;Yes",'01 - Job Database'!$G$3:$G$1000,$A13,'01 - Job Database'!$AG$3:$AG$1000,"Yes")</f>
        <v>0</v>
      </c>
      <c r="T13" s="1" t="n">
        <f aca="false">COUNTIFS('01 - Job Database'!$C$3:$C$1000,"&lt;&gt;",'01 - Job Database'!$W$3:$W$1000,"&lt;&gt;Yes",'01 - Job Database'!$G$3:$G$1000,$A13,'01 - Job Database'!$AH$3:$AH$1000,"Yes")</f>
        <v>0</v>
      </c>
      <c r="U13" s="1" t="n">
        <f aca="false">COUNTIFS('01 - Job Database'!$C$3:$C$1000,"&lt;&gt;",'01 - Job Database'!$W$3:$W$1000,"&lt;&gt;Yes",'01 - Job Database'!$G$3:$G$1000,$A13,'01 - Job Database'!$AI$3:$AI$1000,"Yes")</f>
        <v>0</v>
      </c>
      <c r="V13" s="1" t="n">
        <f aca="false">COUNTIFS('01 - Job Database'!$C$3:$C$1000,"&lt;&gt;",'01 - Job Database'!$W$3:$W$1000,"&lt;&gt;Yes",'01 - Job Database'!$G$3:$G$1000,$A13,'01 - Job Database'!$AJ$3:$AJ$1000,"Yes")</f>
        <v>0</v>
      </c>
      <c r="W13" s="1" t="n">
        <f aca="false">COUNTIFS('01 - Job Database'!$C$3:$C$1000,"&lt;&gt;",'01 - Job Database'!$W$3:$W$1000,"&lt;&gt;Yes",'01 - Job Database'!$G$3:$G$1000,$A13,'01 - Job Database'!$AK$3:$AK$1000,"Yes")</f>
        <v>0</v>
      </c>
      <c r="X13" s="1" t="n">
        <f aca="false">COUNTIFS('01 - Job Database'!$C$3:$C$1000,"&lt;&gt;",'01 - Job Database'!$W$3:$W$1000,"&lt;&gt;Yes",'01 - Job Database'!$G$3:$G$1000,$A13,'01 - Job Database'!$AL$3:$AL$1000,"Yes")</f>
        <v>0</v>
      </c>
      <c r="Y13" s="1" t="n">
        <f aca="false">COUNTIFS('01 - Job Database'!$C$3:$C$1000,"&lt;&gt;",'01 - Job Database'!$W$3:$W$1000,"&lt;&gt;Yes",'01 - Job Database'!$G$3:$G$1000,$A13,'01 - Job Database'!$AM$3:$AM$1000,"Yes")</f>
        <v>0</v>
      </c>
      <c r="Z13" s="1" t="n">
        <f aca="false">COUNTIFS('01 - Job Database'!$C$3:$C$1000,"&lt;&gt;",'01 - Job Database'!$W$3:$W$1000,"&lt;&gt;Yes",'01 - Job Database'!$G$3:$G$1000,$A13,'01 - Job Database'!$AN$3:$AN$1000,"Yes")</f>
        <v>0</v>
      </c>
      <c r="AA13" s="1" t="n">
        <f aca="false">COUNTIFS('01 - Job Database'!$C$3:$C$1000,"&lt;&gt;",'01 - Job Database'!$W$3:$W$1000,"&lt;&gt;Yes",'01 - Job Database'!$G$3:$G$1000,$A13,'01 - Job Database'!$AO$3:$AO$1000,"Yes")</f>
        <v>0</v>
      </c>
      <c r="AB13" s="1" t="n">
        <f aca="false">COUNTIFS('01 - Job Database'!$C$3:$C$1000,"&lt;&gt;",'01 - Job Database'!$W$3:$W$1000,"&lt;&gt;Yes",'01 - Job Database'!$G$3:$G$1000,$A13,'01 - Job Database'!$AP$3:$AP$1000,"Yes")</f>
        <v>0</v>
      </c>
      <c r="AC13" s="1" t="n">
        <f aca="false">COUNTIFS('01 - Job Database'!$C$3:$C$1000,"&lt;&gt;",'01 - Job Database'!$W$3:$W$1000,"&lt;&gt;Yes",'01 - Job Database'!$G$3:$G$1000,$A13,'01 - Job Database'!$AQ$3:$AQ$1000,"Yes")</f>
        <v>0</v>
      </c>
      <c r="AD13" s="1" t="n">
        <f aca="false">COUNTIFS('01 - Job Database'!$C$3:$C$1000,"&lt;&gt;",'01 - Job Database'!$W$3:$W$1000,"&lt;&gt;Yes",'01 - Job Database'!$G$3:$G$1000,$A13,'01 - Job Database'!$AR$3:$AR$1000,"Yes")</f>
        <v>0</v>
      </c>
      <c r="AE13" s="1" t="n">
        <f aca="false">COUNTIFS('01 - Job Database'!$C$3:$C$1000,"&lt;&gt;",'01 - Job Database'!$W$3:$W$1000,"&lt;&gt;Yes",'01 - Job Database'!$G$3:$G$1000,$A13,'01 - Job Database'!$AS$3:$AS$1000,"Yes")</f>
        <v>0</v>
      </c>
      <c r="AF13" s="1" t="n">
        <f aca="false">COUNTIFS('01 - Job Database'!$C$3:$C$1000,"&lt;&gt;",'01 - Job Database'!$W$3:$W$1000,"&lt;&gt;Yes",'01 - Job Database'!$G$3:$G$1000,$A13,'01 - Job Database'!$AT$3:$AT$1000,"Yes")</f>
        <v>0</v>
      </c>
      <c r="AG13" s="1" t="n">
        <f aca="false">COUNTIFS('01 - Job Database'!$C$3:$C$1000,"&lt;&gt;",'01 - Job Database'!$W$3:$W$1000,"&lt;&gt;Yes",'01 - Job Database'!$G$3:$G$1000,$A13,'01 - Job Database'!$AU$3:$AU$1000,"Yes")</f>
        <v>0</v>
      </c>
      <c r="AH13" s="1" t="n">
        <f aca="false">COUNTIFS('01 - Job Database'!$C$3:$C$1000,"&lt;&gt;",'01 - Job Database'!$W$3:$W$1000,"&lt;&gt;Yes",'01 - Job Database'!$G$3:$G$1000,$A13,'01 - Job Database'!$AV$3:$AV$1000,"Yes")</f>
        <v>0</v>
      </c>
      <c r="AI13" s="1" t="n">
        <f aca="false">COUNTIFS('01 - Job Database'!$C$3:$C$1000,"&lt;&gt;",'01 - Job Database'!$W$3:$W$1000,"&lt;&gt;Yes",'01 - Job Database'!$G$3:$G$1000,$A13,'01 - Job Database'!$AW$3:$AW$1000,"Yes")</f>
        <v>0</v>
      </c>
      <c r="AJ13" s="1" t="n">
        <f aca="false">COUNTIFS('01 - Job Database'!$C$3:$C$1000,"&lt;&gt;",'01 - Job Database'!$W$3:$W$1000,"&lt;&gt;Yes",'01 - Job Database'!$G$3:$G$1000,$A13,'01 - Job Database'!$AX$3:$AX$1000,"Yes")</f>
        <v>0</v>
      </c>
      <c r="AK13" s="1" t="n">
        <f aca="false">COUNTIFS('01 - Job Database'!$C$3:$C$1000,"&lt;&gt;",'01 - Job Database'!$W$3:$W$1000,"&lt;&gt;Yes",'01 - Job Database'!$G$3:$G$1000,$A13,'01 - Job Database'!$AY$3:$AY$1000,"Yes")</f>
        <v>0</v>
      </c>
      <c r="AL13" s="1" t="n">
        <f aca="false">COUNTIFS('01 - Job Database'!$C$3:$C$1000,"&lt;&gt;",'01 - Job Database'!$W$3:$W$1000,"&lt;&gt;Yes",'01 - Job Database'!$G$3:$G$1000,$A13,'01 - Job Database'!$AZ$3:$AZ$1000,"Yes")</f>
        <v>0</v>
      </c>
      <c r="AM13" s="1" t="n">
        <f aca="false">COUNTIFS('01 - Job Database'!$C$3:$C$1000,"&lt;&gt;",'01 - Job Database'!$W$3:$W$1000,"&lt;&gt;Yes",'01 - Job Database'!$G$3:$G$1000,$A13,'01 - Job Database'!$BA$3:$BA$1000,"Yes")</f>
        <v>0</v>
      </c>
      <c r="AN13" s="1" t="n">
        <f aca="false">COUNTIFS('01 - Job Database'!$C$3:$C$1000,"&lt;&gt;",'01 - Job Database'!$W$3:$W$1000,"&lt;&gt;Yes",'01 - Job Database'!$G$3:$G$1000,$A13,'01 - Job Database'!$BB$3:$BB$1000,"Yes")</f>
        <v>0</v>
      </c>
      <c r="AO13" s="1" t="n">
        <f aca="false">COUNTIFS('01 - Job Database'!$C$3:$C$1000,"&lt;&gt;",'01 - Job Database'!$W$3:$W$1000,"&lt;&gt;Yes",'01 - Job Database'!$G$3:$G$1000,$A13,'01 - Job Database'!$BC$3:$BC$1000,"Yes")</f>
        <v>0</v>
      </c>
      <c r="AP13" s="1" t="n">
        <f aca="false">MAX(J13:AO13,BB13:BL13)</f>
        <v>0</v>
      </c>
      <c r="AQ13" s="34" t="n">
        <f aca="false">COUNTIFS('01 - Job Database'!$C$3:$C$1000,"&lt;&gt;",'01 - Job Database'!$W$3:$W$1000,"&lt;&gt;Yes",'01 - Job Database'!$G$3:$G$1000,$A13,'01 - Job Database'!$O$3:$O$1000,"&gt;=100")</f>
        <v>0</v>
      </c>
      <c r="AR13" s="34" t="n">
        <f aca="false">COUNTIFS('01 - Job Database'!$C$3:$C$1000,"&lt;&gt;",'01 - Job Database'!$W$3:$W$1000,"&lt;&gt;Yes",'01 - Job Database'!$G$3:$G$1000,$A13,'01 - Job Database'!$Q$3:$Q$1000,"&gt;=150000")</f>
        <v>0</v>
      </c>
      <c r="AS13" s="34" t="n">
        <f aca="false">COUNTIFS('01 - Job Database'!$C$3:$C$1000,"&lt;&gt;",'01 - Job Database'!$W$3:$W$1000,"&lt;&gt;Yes",'01 - Job Database'!$G$3:$G$1000,$A13,'01 - Job Database'!$BQ$3:$BQ$1000,"&lt;&gt;")</f>
        <v>0</v>
      </c>
      <c r="AT13" s="34" t="n">
        <f aca="false">COUNTIFS('01 - Job Database'!$C$3:$C$1000,"&lt;&gt;",'01 - Job Database'!$W$3:$W$1000,"&lt;&gt;Yes",'01 - Job Database'!$G$3:$G$1000,$A13,'01 - Job Database'!$O$3:$O$1000,"&gt;=20")</f>
        <v>0</v>
      </c>
      <c r="AU13" s="34" t="n">
        <f aca="false">COUNTIFS('01 - Job Database'!$C$3:$C$1000,"&lt;&gt;",'01 - Job Database'!$W$3:$W$1000,"&lt;&gt;Yes",'01 - Job Database'!$G$3:$G$1000,$A13,'01 - Job Database'!$O$3:$O$1000,"&gt;=30")</f>
        <v>0</v>
      </c>
      <c r="AV13" s="34" t="n">
        <f aca="false">COUNTIFS('01 - Job Database'!$C$3:$C$1000,"&lt;&gt;",'01 - Job Database'!$W$3:$W$1000,"&lt;&gt;Yes",'01 - Job Database'!$G$3:$G$1000,$A13,'01 - Job Database'!$O$3:$O$1000,"&gt;=75")</f>
        <v>0</v>
      </c>
      <c r="AW13" s="34" t="n">
        <f aca="false">COUNTIFS('01 - Job Database'!$C$3:$C$1000,"&lt;&gt;",'01 - Job Database'!$W$3:$W$1000,"&lt;&gt;Yes",'01 - Job Database'!$G$3:$G$1000,$A13,'01 - Job Database'!$O$3:$O$1000,"&gt;=150")</f>
        <v>0</v>
      </c>
      <c r="AX13" s="34" t="n">
        <f aca="false">COUNTIFS('01 - Job Database'!$C$3:$C$1000,"&lt;&gt;",'01 - Job Database'!$W$3:$W$1000,"&lt;&gt;Yes",'01 - Job Database'!$G$3:$G$1000,$A13,'01 - Job Database'!$O$3:$O$1000,"&gt;=200")</f>
        <v>0</v>
      </c>
      <c r="AY13" s="34" t="n">
        <f aca="false">COUNTIFS('01 - Job Database'!$C$3:$C$1000,"&lt;&gt;",'01 - Job Database'!$W$3:$W$1000,"&lt;&gt;Yes",'01 - Job Database'!$G$3:$G$1000,$A13,'01 - Job Database'!$Q$3:$Q$1000,"&gt;=200000")</f>
        <v>0</v>
      </c>
      <c r="AZ13" s="34" t="n">
        <f aca="false">COUNTIFS('01 - Job Database'!$C$3:$C$1000,"&lt;&gt;",'01 - Job Database'!$W$3:$W$1000,"&lt;&gt;Yes",'01 - Job Database'!$G$3:$G$1000,$A13,'01 - Job Database'!$Q$3:$Q$1000,"&gt;=250000")</f>
        <v>0</v>
      </c>
      <c r="BA13" s="34" t="n">
        <f aca="false">COUNTIFS('01 - Job Database'!$C$3:$C$1000,"&lt;&gt;",'01 - Job Database'!$W$3:$W$1000,"&lt;&gt;Yes",'01 - Job Database'!$G$3:$G$1000,$A13,'01 - Job Database'!$Q$3:$Q$1000,"&gt;=300000")</f>
        <v>0</v>
      </c>
      <c r="BB13" s="1" t="n">
        <f aca="false">COUNTIFS('01 - Job Database'!$C$3:$C$1000,"&lt;&gt;",'01 - Job Database'!$W$3:$W$1000,"&lt;&gt;Yes",'01 - Job Database'!$G$3:$G$1000,$A13,'01 - Job Database'!$CM$3:$CM$1000,"Yes")</f>
        <v>0</v>
      </c>
      <c r="BC13" s="1" t="n">
        <f aca="false">COUNTIFS('01 - Job Database'!$C$3:$C$1000,"&lt;&gt;",'01 - Job Database'!$W$3:$W$1000,"&lt;&gt;Yes",'01 - Job Database'!$G$3:$G$1000,$A13,'01 - Job Database'!$CN$3:$CN$1000,"Yes")</f>
        <v>0</v>
      </c>
      <c r="BD13" s="1" t="n">
        <f aca="false">COUNTIFS('01 - Job Database'!$C$3:$C$1000,"&lt;&gt;",'01 - Job Database'!$W$3:$W$1000,"&lt;&gt;Yes",'01 - Job Database'!$G$3:$G$1000,$A13,'01 - Job Database'!$CO$3:$CO$1000,"Yes")</f>
        <v>0</v>
      </c>
      <c r="BE13" s="1" t="n">
        <f aca="false">COUNTIFS('01 - Job Database'!$C$3:$C$1000,"&lt;&gt;",'01 - Job Database'!$W$3:$W$1000,"&lt;&gt;Yes",'01 - Job Database'!$G$3:$G$1000,$A13,'01 - Job Database'!$CP$3:$CP$1000,"Yes")</f>
        <v>0</v>
      </c>
      <c r="BF13" s="1" t="n">
        <f aca="false">COUNTIFS('01 - Job Database'!$C$3:$C$1000,"&lt;&gt;",'01 - Job Database'!$W$3:$W$1000,"&lt;&gt;Yes",'01 - Job Database'!$G$3:$G$1000,$A13,'01 - Job Database'!$CQ$3:$CQ$1000,"Yes")</f>
        <v>0</v>
      </c>
      <c r="BG13" s="1" t="n">
        <f aca="false">COUNTIFS('01 - Job Database'!$C$3:$C$1000,"&lt;&gt;",'01 - Job Database'!$W$3:$W$1000,"&lt;&gt;Yes",'01 - Job Database'!$G$3:$G$1000,$A13,'01 - Job Database'!$CR$3:$CR$1000,"Yes")</f>
        <v>0</v>
      </c>
      <c r="BH13" s="1" t="n">
        <f aca="false">COUNTIFS('01 - Job Database'!$C$3:$C$1000,"&lt;&gt;",'01 - Job Database'!$W$3:$W$1000,"&lt;&gt;Yes",'01 - Job Database'!$G$3:$G$1000,$A13,'01 - Job Database'!$CS$3:$CS$1000,"Yes")</f>
        <v>0</v>
      </c>
      <c r="BI13" s="1" t="n">
        <f aca="false">COUNTIFS('01 - Job Database'!$C$3:$C$1000,"&lt;&gt;",'01 - Job Database'!$W$3:$W$1000,"&lt;&gt;Yes",'01 - Job Database'!$G$3:$G$1000,$A13,'01 - Job Database'!$CT$3:$CT$1000,"Yes")</f>
        <v>0</v>
      </c>
      <c r="BJ13" s="1" t="n">
        <f aca="false">COUNTIFS('01 - Job Database'!$C$3:$C$1000,"&lt;&gt;",'01 - Job Database'!$W$3:$W$1000,"&lt;&gt;Yes",'01 - Job Database'!$G$3:$G$1000,$A13,'01 - Job Database'!$CU$3:$CU$1000,"Yes")</f>
        <v>0</v>
      </c>
      <c r="BK13" s="1" t="n">
        <f aca="false">COUNTIFS('01 - Job Database'!$C$3:$C$1000,"&lt;&gt;",'01 - Job Database'!$W$3:$W$1000,"&lt;&gt;Yes",'01 - Job Database'!$G$3:$G$1000,$A13,'01 - Job Database'!$CV$3:$CV$1000,"Yes")</f>
        <v>0</v>
      </c>
      <c r="BL13" s="1" t="n">
        <f aca="false">COUNTIFS('01 - Job Database'!$C$3:$C$1000,"&lt;&gt;",'01 - Job Database'!$W$3:$W$1000,"&lt;&gt;Yes",'01 - Job Database'!$G$3:$G$1000,$A13,'01 - Job Database'!$CW$3:$CW$1000,"Yes")</f>
        <v>0</v>
      </c>
    </row>
    <row r="14" customFormat="false" ht="15" hidden="false" customHeight="true" outlineLevel="0" collapsed="false">
      <c r="A14" s="57" t="s">
        <v>270</v>
      </c>
      <c r="B14" s="26" t="n">
        <f aca="false">COUNTIFS('01 - Job Database'!$C$3:$C$1000,"&lt;&gt;",'01 - Job Database'!$W$3:$W$1000,"&lt;&gt;Yes",'01 - Job Database'!$G$3:$G$1000,A14)</f>
        <v>0</v>
      </c>
      <c r="C14" s="26" t="n">
        <f aca="false">COUNTIFS('01 - Job Database'!$C$3:$C$1000,"&lt;&gt;",'01 - Job Database'!$W$3:$W$1000,"&lt;&gt;Yes",'01 - Job Database'!$G$3:$G$1000,A14,'01 - Job Database'!$S$3:$S$1000,"Yes")</f>
        <v>0</v>
      </c>
      <c r="D14" s="58" t="str">
        <f aca="false">IFERROR(COUNTIFS('01 - Job Database'!$C$3:$C$1000,"&lt;&gt;",'01 - Job Database'!$W$3:$W$1000,"&lt;&gt;Yes",'01 - Job Database'!$G$3:$G$1000,A14,'01 - Job Database'!$J$3:$J$1000,"Yes")/B14,"")</f>
        <v/>
      </c>
      <c r="E14" s="58" t="str">
        <f aca="false">IFERROR(COUNTIFS('01 - Job Database'!$C$3:$C$1000,"&lt;&gt;",'01 - Job Database'!$W$3:$W$1000,"&lt;&gt;Yes",'01 - Job Database'!$G$3:$G$1000,A14,'01 - Job Database'!$K$3:$K$1000,"Yes")/B14,"")</f>
        <v/>
      </c>
      <c r="F14" s="26" t="str">
        <f aca="false">IF(B14=0,"—",IFERROR(INDEX($J$3:$AO$3,MATCH(AP14,J14:AO14,0)),IFERROR(INDEX($BB$3:$BL$3,MATCH(AP14,BB14:BL14,0)),"—")))</f>
        <v>—</v>
      </c>
      <c r="G14" s="26" t="n">
        <f aca="false">B14-ROW()*0.0001</f>
        <v>-0.0014</v>
      </c>
      <c r="J14" s="1" t="n">
        <f aca="false">COUNTIFS('01 - Job Database'!$C$3:$C$1000,"&lt;&gt;",'01 - Job Database'!$W$3:$W$1000,"&lt;&gt;Yes",'01 - Job Database'!$G$3:$G$1000,$A14,'01 - Job Database'!$X$3:$X$1000,"Yes")</f>
        <v>0</v>
      </c>
      <c r="K14" s="1" t="n">
        <f aca="false">COUNTIFS('01 - Job Database'!$C$3:$C$1000,"&lt;&gt;",'01 - Job Database'!$W$3:$W$1000,"&lt;&gt;Yes",'01 - Job Database'!$G$3:$G$1000,$A14,'01 - Job Database'!$Y$3:$Y$1000,"Yes")</f>
        <v>0</v>
      </c>
      <c r="L14" s="1" t="n">
        <f aca="false">COUNTIFS('01 - Job Database'!$C$3:$C$1000,"&lt;&gt;",'01 - Job Database'!$W$3:$W$1000,"&lt;&gt;Yes",'01 - Job Database'!$G$3:$G$1000,$A14,'01 - Job Database'!$Z$3:$Z$1000,"Yes")</f>
        <v>0</v>
      </c>
      <c r="M14" s="1" t="n">
        <f aca="false">COUNTIFS('01 - Job Database'!$C$3:$C$1000,"&lt;&gt;",'01 - Job Database'!$W$3:$W$1000,"&lt;&gt;Yes",'01 - Job Database'!$G$3:$G$1000,$A14,'01 - Job Database'!$AA$3:$AA$1000,"Yes")</f>
        <v>0</v>
      </c>
      <c r="N14" s="1" t="n">
        <f aca="false">COUNTIFS('01 - Job Database'!$C$3:$C$1000,"&lt;&gt;",'01 - Job Database'!$W$3:$W$1000,"&lt;&gt;Yes",'01 - Job Database'!$G$3:$G$1000,$A14,'01 - Job Database'!$AB$3:$AB$1000,"Yes")</f>
        <v>0</v>
      </c>
      <c r="O14" s="1" t="n">
        <f aca="false">COUNTIFS('01 - Job Database'!$C$3:$C$1000,"&lt;&gt;",'01 - Job Database'!$W$3:$W$1000,"&lt;&gt;Yes",'01 - Job Database'!$G$3:$G$1000,$A14,'01 - Job Database'!$AC$3:$AC$1000,"Yes")</f>
        <v>0</v>
      </c>
      <c r="P14" s="1" t="n">
        <f aca="false">COUNTIFS('01 - Job Database'!$C$3:$C$1000,"&lt;&gt;",'01 - Job Database'!$W$3:$W$1000,"&lt;&gt;Yes",'01 - Job Database'!$G$3:$G$1000,$A14,'01 - Job Database'!$AD$3:$AD$1000,"Yes")</f>
        <v>0</v>
      </c>
      <c r="Q14" s="1" t="n">
        <f aca="false">COUNTIFS('01 - Job Database'!$C$3:$C$1000,"&lt;&gt;",'01 - Job Database'!$W$3:$W$1000,"&lt;&gt;Yes",'01 - Job Database'!$G$3:$G$1000,$A14,'01 - Job Database'!$AE$3:$AE$1000,"Yes")</f>
        <v>0</v>
      </c>
      <c r="R14" s="1" t="n">
        <f aca="false">COUNTIFS('01 - Job Database'!$C$3:$C$1000,"&lt;&gt;",'01 - Job Database'!$W$3:$W$1000,"&lt;&gt;Yes",'01 - Job Database'!$G$3:$G$1000,$A14,'01 - Job Database'!$AF$3:$AF$1000,"Yes")</f>
        <v>0</v>
      </c>
      <c r="S14" s="1" t="n">
        <f aca="false">COUNTIFS('01 - Job Database'!$C$3:$C$1000,"&lt;&gt;",'01 - Job Database'!$W$3:$W$1000,"&lt;&gt;Yes",'01 - Job Database'!$G$3:$G$1000,$A14,'01 - Job Database'!$AG$3:$AG$1000,"Yes")</f>
        <v>0</v>
      </c>
      <c r="T14" s="1" t="n">
        <f aca="false">COUNTIFS('01 - Job Database'!$C$3:$C$1000,"&lt;&gt;",'01 - Job Database'!$W$3:$W$1000,"&lt;&gt;Yes",'01 - Job Database'!$G$3:$G$1000,$A14,'01 - Job Database'!$AH$3:$AH$1000,"Yes")</f>
        <v>0</v>
      </c>
      <c r="U14" s="1" t="n">
        <f aca="false">COUNTIFS('01 - Job Database'!$C$3:$C$1000,"&lt;&gt;",'01 - Job Database'!$W$3:$W$1000,"&lt;&gt;Yes",'01 - Job Database'!$G$3:$G$1000,$A14,'01 - Job Database'!$AI$3:$AI$1000,"Yes")</f>
        <v>0</v>
      </c>
      <c r="V14" s="1" t="n">
        <f aca="false">COUNTIFS('01 - Job Database'!$C$3:$C$1000,"&lt;&gt;",'01 - Job Database'!$W$3:$W$1000,"&lt;&gt;Yes",'01 - Job Database'!$G$3:$G$1000,$A14,'01 - Job Database'!$AJ$3:$AJ$1000,"Yes")</f>
        <v>0</v>
      </c>
      <c r="W14" s="1" t="n">
        <f aca="false">COUNTIFS('01 - Job Database'!$C$3:$C$1000,"&lt;&gt;",'01 - Job Database'!$W$3:$W$1000,"&lt;&gt;Yes",'01 - Job Database'!$G$3:$G$1000,$A14,'01 - Job Database'!$AK$3:$AK$1000,"Yes")</f>
        <v>0</v>
      </c>
      <c r="X14" s="1" t="n">
        <f aca="false">COUNTIFS('01 - Job Database'!$C$3:$C$1000,"&lt;&gt;",'01 - Job Database'!$W$3:$W$1000,"&lt;&gt;Yes",'01 - Job Database'!$G$3:$G$1000,$A14,'01 - Job Database'!$AL$3:$AL$1000,"Yes")</f>
        <v>0</v>
      </c>
      <c r="Y14" s="1" t="n">
        <f aca="false">COUNTIFS('01 - Job Database'!$C$3:$C$1000,"&lt;&gt;",'01 - Job Database'!$W$3:$W$1000,"&lt;&gt;Yes",'01 - Job Database'!$G$3:$G$1000,$A14,'01 - Job Database'!$AM$3:$AM$1000,"Yes")</f>
        <v>0</v>
      </c>
      <c r="Z14" s="1" t="n">
        <f aca="false">COUNTIFS('01 - Job Database'!$C$3:$C$1000,"&lt;&gt;",'01 - Job Database'!$W$3:$W$1000,"&lt;&gt;Yes",'01 - Job Database'!$G$3:$G$1000,$A14,'01 - Job Database'!$AN$3:$AN$1000,"Yes")</f>
        <v>0</v>
      </c>
      <c r="AA14" s="1" t="n">
        <f aca="false">COUNTIFS('01 - Job Database'!$C$3:$C$1000,"&lt;&gt;",'01 - Job Database'!$W$3:$W$1000,"&lt;&gt;Yes",'01 - Job Database'!$G$3:$G$1000,$A14,'01 - Job Database'!$AO$3:$AO$1000,"Yes")</f>
        <v>0</v>
      </c>
      <c r="AB14" s="1" t="n">
        <f aca="false">COUNTIFS('01 - Job Database'!$C$3:$C$1000,"&lt;&gt;",'01 - Job Database'!$W$3:$W$1000,"&lt;&gt;Yes",'01 - Job Database'!$G$3:$G$1000,$A14,'01 - Job Database'!$AP$3:$AP$1000,"Yes")</f>
        <v>0</v>
      </c>
      <c r="AC14" s="1" t="n">
        <f aca="false">COUNTIFS('01 - Job Database'!$C$3:$C$1000,"&lt;&gt;",'01 - Job Database'!$W$3:$W$1000,"&lt;&gt;Yes",'01 - Job Database'!$G$3:$G$1000,$A14,'01 - Job Database'!$AQ$3:$AQ$1000,"Yes")</f>
        <v>0</v>
      </c>
      <c r="AD14" s="1" t="n">
        <f aca="false">COUNTIFS('01 - Job Database'!$C$3:$C$1000,"&lt;&gt;",'01 - Job Database'!$W$3:$W$1000,"&lt;&gt;Yes",'01 - Job Database'!$G$3:$G$1000,$A14,'01 - Job Database'!$AR$3:$AR$1000,"Yes")</f>
        <v>0</v>
      </c>
      <c r="AE14" s="1" t="n">
        <f aca="false">COUNTIFS('01 - Job Database'!$C$3:$C$1000,"&lt;&gt;",'01 - Job Database'!$W$3:$W$1000,"&lt;&gt;Yes",'01 - Job Database'!$G$3:$G$1000,$A14,'01 - Job Database'!$AS$3:$AS$1000,"Yes")</f>
        <v>0</v>
      </c>
      <c r="AF14" s="1" t="n">
        <f aca="false">COUNTIFS('01 - Job Database'!$C$3:$C$1000,"&lt;&gt;",'01 - Job Database'!$W$3:$W$1000,"&lt;&gt;Yes",'01 - Job Database'!$G$3:$G$1000,$A14,'01 - Job Database'!$AT$3:$AT$1000,"Yes")</f>
        <v>0</v>
      </c>
      <c r="AG14" s="1" t="n">
        <f aca="false">COUNTIFS('01 - Job Database'!$C$3:$C$1000,"&lt;&gt;",'01 - Job Database'!$W$3:$W$1000,"&lt;&gt;Yes",'01 - Job Database'!$G$3:$G$1000,$A14,'01 - Job Database'!$AU$3:$AU$1000,"Yes")</f>
        <v>0</v>
      </c>
      <c r="AH14" s="1" t="n">
        <f aca="false">COUNTIFS('01 - Job Database'!$C$3:$C$1000,"&lt;&gt;",'01 - Job Database'!$W$3:$W$1000,"&lt;&gt;Yes",'01 - Job Database'!$G$3:$G$1000,$A14,'01 - Job Database'!$AV$3:$AV$1000,"Yes")</f>
        <v>0</v>
      </c>
      <c r="AI14" s="1" t="n">
        <f aca="false">COUNTIFS('01 - Job Database'!$C$3:$C$1000,"&lt;&gt;",'01 - Job Database'!$W$3:$W$1000,"&lt;&gt;Yes",'01 - Job Database'!$G$3:$G$1000,$A14,'01 - Job Database'!$AW$3:$AW$1000,"Yes")</f>
        <v>0</v>
      </c>
      <c r="AJ14" s="1" t="n">
        <f aca="false">COUNTIFS('01 - Job Database'!$C$3:$C$1000,"&lt;&gt;",'01 - Job Database'!$W$3:$W$1000,"&lt;&gt;Yes",'01 - Job Database'!$G$3:$G$1000,$A14,'01 - Job Database'!$AX$3:$AX$1000,"Yes")</f>
        <v>0</v>
      </c>
      <c r="AK14" s="1" t="n">
        <f aca="false">COUNTIFS('01 - Job Database'!$C$3:$C$1000,"&lt;&gt;",'01 - Job Database'!$W$3:$W$1000,"&lt;&gt;Yes",'01 - Job Database'!$G$3:$G$1000,$A14,'01 - Job Database'!$AY$3:$AY$1000,"Yes")</f>
        <v>0</v>
      </c>
      <c r="AL14" s="1" t="n">
        <f aca="false">COUNTIFS('01 - Job Database'!$C$3:$C$1000,"&lt;&gt;",'01 - Job Database'!$W$3:$W$1000,"&lt;&gt;Yes",'01 - Job Database'!$G$3:$G$1000,$A14,'01 - Job Database'!$AZ$3:$AZ$1000,"Yes")</f>
        <v>0</v>
      </c>
      <c r="AM14" s="1" t="n">
        <f aca="false">COUNTIFS('01 - Job Database'!$C$3:$C$1000,"&lt;&gt;",'01 - Job Database'!$W$3:$W$1000,"&lt;&gt;Yes",'01 - Job Database'!$G$3:$G$1000,$A14,'01 - Job Database'!$BA$3:$BA$1000,"Yes")</f>
        <v>0</v>
      </c>
      <c r="AN14" s="1" t="n">
        <f aca="false">COUNTIFS('01 - Job Database'!$C$3:$C$1000,"&lt;&gt;",'01 - Job Database'!$W$3:$W$1000,"&lt;&gt;Yes",'01 - Job Database'!$G$3:$G$1000,$A14,'01 - Job Database'!$BB$3:$BB$1000,"Yes")</f>
        <v>0</v>
      </c>
      <c r="AO14" s="1" t="n">
        <f aca="false">COUNTIFS('01 - Job Database'!$C$3:$C$1000,"&lt;&gt;",'01 - Job Database'!$W$3:$W$1000,"&lt;&gt;Yes",'01 - Job Database'!$G$3:$G$1000,$A14,'01 - Job Database'!$BC$3:$BC$1000,"Yes")</f>
        <v>0</v>
      </c>
      <c r="AP14" s="1" t="n">
        <f aca="false">MAX(J14:AO14,BB14:BL14)</f>
        <v>0</v>
      </c>
      <c r="AQ14" s="34" t="n">
        <f aca="false">COUNTIFS('01 - Job Database'!$C$3:$C$1000,"&lt;&gt;",'01 - Job Database'!$W$3:$W$1000,"&lt;&gt;Yes",'01 - Job Database'!$G$3:$G$1000,$A14,'01 - Job Database'!$O$3:$O$1000,"&gt;=100")</f>
        <v>0</v>
      </c>
      <c r="AR14" s="34" t="n">
        <f aca="false">COUNTIFS('01 - Job Database'!$C$3:$C$1000,"&lt;&gt;",'01 - Job Database'!$W$3:$W$1000,"&lt;&gt;Yes",'01 - Job Database'!$G$3:$G$1000,$A14,'01 - Job Database'!$Q$3:$Q$1000,"&gt;=150000")</f>
        <v>0</v>
      </c>
      <c r="AS14" s="34" t="n">
        <f aca="false">COUNTIFS('01 - Job Database'!$C$3:$C$1000,"&lt;&gt;",'01 - Job Database'!$W$3:$W$1000,"&lt;&gt;Yes",'01 - Job Database'!$G$3:$G$1000,$A14,'01 - Job Database'!$BQ$3:$BQ$1000,"&lt;&gt;")</f>
        <v>0</v>
      </c>
      <c r="AT14" s="34" t="n">
        <f aca="false">COUNTIFS('01 - Job Database'!$C$3:$C$1000,"&lt;&gt;",'01 - Job Database'!$W$3:$W$1000,"&lt;&gt;Yes",'01 - Job Database'!$G$3:$G$1000,$A14,'01 - Job Database'!$O$3:$O$1000,"&gt;=20")</f>
        <v>0</v>
      </c>
      <c r="AU14" s="34" t="n">
        <f aca="false">COUNTIFS('01 - Job Database'!$C$3:$C$1000,"&lt;&gt;",'01 - Job Database'!$W$3:$W$1000,"&lt;&gt;Yes",'01 - Job Database'!$G$3:$G$1000,$A14,'01 - Job Database'!$O$3:$O$1000,"&gt;=30")</f>
        <v>0</v>
      </c>
      <c r="AV14" s="34" t="n">
        <f aca="false">COUNTIFS('01 - Job Database'!$C$3:$C$1000,"&lt;&gt;",'01 - Job Database'!$W$3:$W$1000,"&lt;&gt;Yes",'01 - Job Database'!$G$3:$G$1000,$A14,'01 - Job Database'!$O$3:$O$1000,"&gt;=75")</f>
        <v>0</v>
      </c>
      <c r="AW14" s="34" t="n">
        <f aca="false">COUNTIFS('01 - Job Database'!$C$3:$C$1000,"&lt;&gt;",'01 - Job Database'!$W$3:$W$1000,"&lt;&gt;Yes",'01 - Job Database'!$G$3:$G$1000,$A14,'01 - Job Database'!$O$3:$O$1000,"&gt;=150")</f>
        <v>0</v>
      </c>
      <c r="AX14" s="34" t="n">
        <f aca="false">COUNTIFS('01 - Job Database'!$C$3:$C$1000,"&lt;&gt;",'01 - Job Database'!$W$3:$W$1000,"&lt;&gt;Yes",'01 - Job Database'!$G$3:$G$1000,$A14,'01 - Job Database'!$O$3:$O$1000,"&gt;=200")</f>
        <v>0</v>
      </c>
      <c r="AY14" s="34" t="n">
        <f aca="false">COUNTIFS('01 - Job Database'!$C$3:$C$1000,"&lt;&gt;",'01 - Job Database'!$W$3:$W$1000,"&lt;&gt;Yes",'01 - Job Database'!$G$3:$G$1000,$A14,'01 - Job Database'!$Q$3:$Q$1000,"&gt;=200000")</f>
        <v>0</v>
      </c>
      <c r="AZ14" s="34" t="n">
        <f aca="false">COUNTIFS('01 - Job Database'!$C$3:$C$1000,"&lt;&gt;",'01 - Job Database'!$W$3:$W$1000,"&lt;&gt;Yes",'01 - Job Database'!$G$3:$G$1000,$A14,'01 - Job Database'!$Q$3:$Q$1000,"&gt;=250000")</f>
        <v>0</v>
      </c>
      <c r="BA14" s="34" t="n">
        <f aca="false">COUNTIFS('01 - Job Database'!$C$3:$C$1000,"&lt;&gt;",'01 - Job Database'!$W$3:$W$1000,"&lt;&gt;Yes",'01 - Job Database'!$G$3:$G$1000,$A14,'01 - Job Database'!$Q$3:$Q$1000,"&gt;=300000")</f>
        <v>0</v>
      </c>
      <c r="BB14" s="1" t="n">
        <f aca="false">COUNTIFS('01 - Job Database'!$C$3:$C$1000,"&lt;&gt;",'01 - Job Database'!$W$3:$W$1000,"&lt;&gt;Yes",'01 - Job Database'!$G$3:$G$1000,$A14,'01 - Job Database'!$CM$3:$CM$1000,"Yes")</f>
        <v>0</v>
      </c>
      <c r="BC14" s="1" t="n">
        <f aca="false">COUNTIFS('01 - Job Database'!$C$3:$C$1000,"&lt;&gt;",'01 - Job Database'!$W$3:$W$1000,"&lt;&gt;Yes",'01 - Job Database'!$G$3:$G$1000,$A14,'01 - Job Database'!$CN$3:$CN$1000,"Yes")</f>
        <v>0</v>
      </c>
      <c r="BD14" s="1" t="n">
        <f aca="false">COUNTIFS('01 - Job Database'!$C$3:$C$1000,"&lt;&gt;",'01 - Job Database'!$W$3:$W$1000,"&lt;&gt;Yes",'01 - Job Database'!$G$3:$G$1000,$A14,'01 - Job Database'!$CO$3:$CO$1000,"Yes")</f>
        <v>0</v>
      </c>
      <c r="BE14" s="1" t="n">
        <f aca="false">COUNTIFS('01 - Job Database'!$C$3:$C$1000,"&lt;&gt;",'01 - Job Database'!$W$3:$W$1000,"&lt;&gt;Yes",'01 - Job Database'!$G$3:$G$1000,$A14,'01 - Job Database'!$CP$3:$CP$1000,"Yes")</f>
        <v>0</v>
      </c>
      <c r="BF14" s="1" t="n">
        <f aca="false">COUNTIFS('01 - Job Database'!$C$3:$C$1000,"&lt;&gt;",'01 - Job Database'!$W$3:$W$1000,"&lt;&gt;Yes",'01 - Job Database'!$G$3:$G$1000,$A14,'01 - Job Database'!$CQ$3:$CQ$1000,"Yes")</f>
        <v>0</v>
      </c>
      <c r="BG14" s="1" t="n">
        <f aca="false">COUNTIFS('01 - Job Database'!$C$3:$C$1000,"&lt;&gt;",'01 - Job Database'!$W$3:$W$1000,"&lt;&gt;Yes",'01 - Job Database'!$G$3:$G$1000,$A14,'01 - Job Database'!$CR$3:$CR$1000,"Yes")</f>
        <v>0</v>
      </c>
      <c r="BH14" s="1" t="n">
        <f aca="false">COUNTIFS('01 - Job Database'!$C$3:$C$1000,"&lt;&gt;",'01 - Job Database'!$W$3:$W$1000,"&lt;&gt;Yes",'01 - Job Database'!$G$3:$G$1000,$A14,'01 - Job Database'!$CS$3:$CS$1000,"Yes")</f>
        <v>0</v>
      </c>
      <c r="BI14" s="1" t="n">
        <f aca="false">COUNTIFS('01 - Job Database'!$C$3:$C$1000,"&lt;&gt;",'01 - Job Database'!$W$3:$W$1000,"&lt;&gt;Yes",'01 - Job Database'!$G$3:$G$1000,$A14,'01 - Job Database'!$CT$3:$CT$1000,"Yes")</f>
        <v>0</v>
      </c>
      <c r="BJ14" s="1" t="n">
        <f aca="false">COUNTIFS('01 - Job Database'!$C$3:$C$1000,"&lt;&gt;",'01 - Job Database'!$W$3:$W$1000,"&lt;&gt;Yes",'01 - Job Database'!$G$3:$G$1000,$A14,'01 - Job Database'!$CU$3:$CU$1000,"Yes")</f>
        <v>0</v>
      </c>
      <c r="BK14" s="1" t="n">
        <f aca="false">COUNTIFS('01 - Job Database'!$C$3:$C$1000,"&lt;&gt;",'01 - Job Database'!$W$3:$W$1000,"&lt;&gt;Yes",'01 - Job Database'!$G$3:$G$1000,$A14,'01 - Job Database'!$CV$3:$CV$1000,"Yes")</f>
        <v>0</v>
      </c>
      <c r="BL14" s="1" t="n">
        <f aca="false">COUNTIFS('01 - Job Database'!$C$3:$C$1000,"&lt;&gt;",'01 - Job Database'!$W$3:$W$1000,"&lt;&gt;Yes",'01 - Job Database'!$G$3:$G$1000,$A14,'01 - Job Database'!$CW$3:$CW$1000,"Yes")</f>
        <v>0</v>
      </c>
    </row>
    <row r="15" customFormat="false" ht="15" hidden="false" customHeight="true" outlineLevel="0" collapsed="false">
      <c r="A15" s="57" t="s">
        <v>271</v>
      </c>
      <c r="B15" s="26" t="n">
        <f aca="false">COUNTIFS('01 - Job Database'!$C$3:$C$1000,"&lt;&gt;",'01 - Job Database'!$W$3:$W$1000,"&lt;&gt;Yes",'01 - Job Database'!$G$3:$G$1000,A15)</f>
        <v>0</v>
      </c>
      <c r="C15" s="26" t="n">
        <f aca="false">COUNTIFS('01 - Job Database'!$C$3:$C$1000,"&lt;&gt;",'01 - Job Database'!$W$3:$W$1000,"&lt;&gt;Yes",'01 - Job Database'!$G$3:$G$1000,A15,'01 - Job Database'!$S$3:$S$1000,"Yes")</f>
        <v>0</v>
      </c>
      <c r="D15" s="58" t="str">
        <f aca="false">IFERROR(COUNTIFS('01 - Job Database'!$C$3:$C$1000,"&lt;&gt;",'01 - Job Database'!$W$3:$W$1000,"&lt;&gt;Yes",'01 - Job Database'!$G$3:$G$1000,A15,'01 - Job Database'!$J$3:$J$1000,"Yes")/B15,"")</f>
        <v/>
      </c>
      <c r="E15" s="58" t="str">
        <f aca="false">IFERROR(COUNTIFS('01 - Job Database'!$C$3:$C$1000,"&lt;&gt;",'01 - Job Database'!$W$3:$W$1000,"&lt;&gt;Yes",'01 - Job Database'!$G$3:$G$1000,A15,'01 - Job Database'!$K$3:$K$1000,"Yes")/B15,"")</f>
        <v/>
      </c>
      <c r="F15" s="26" t="str">
        <f aca="false">IF(B15=0,"—",IFERROR(INDEX($J$3:$AO$3,MATCH(AP15,J15:AO15,0)),IFERROR(INDEX($BB$3:$BL$3,MATCH(AP15,BB15:BL15,0)),"—")))</f>
        <v>—</v>
      </c>
      <c r="G15" s="26" t="n">
        <f aca="false">B15-ROW()*0.0001</f>
        <v>-0.0015</v>
      </c>
      <c r="J15" s="1" t="n">
        <f aca="false">COUNTIFS('01 - Job Database'!$C$3:$C$1000,"&lt;&gt;",'01 - Job Database'!$W$3:$W$1000,"&lt;&gt;Yes",'01 - Job Database'!$G$3:$G$1000,$A15,'01 - Job Database'!$X$3:$X$1000,"Yes")</f>
        <v>0</v>
      </c>
      <c r="K15" s="1" t="n">
        <f aca="false">COUNTIFS('01 - Job Database'!$C$3:$C$1000,"&lt;&gt;",'01 - Job Database'!$W$3:$W$1000,"&lt;&gt;Yes",'01 - Job Database'!$G$3:$G$1000,$A15,'01 - Job Database'!$Y$3:$Y$1000,"Yes")</f>
        <v>0</v>
      </c>
      <c r="L15" s="1" t="n">
        <f aca="false">COUNTIFS('01 - Job Database'!$C$3:$C$1000,"&lt;&gt;",'01 - Job Database'!$W$3:$W$1000,"&lt;&gt;Yes",'01 - Job Database'!$G$3:$G$1000,$A15,'01 - Job Database'!$Z$3:$Z$1000,"Yes")</f>
        <v>0</v>
      </c>
      <c r="M15" s="1" t="n">
        <f aca="false">COUNTIFS('01 - Job Database'!$C$3:$C$1000,"&lt;&gt;",'01 - Job Database'!$W$3:$W$1000,"&lt;&gt;Yes",'01 - Job Database'!$G$3:$G$1000,$A15,'01 - Job Database'!$AA$3:$AA$1000,"Yes")</f>
        <v>0</v>
      </c>
      <c r="N15" s="1" t="n">
        <f aca="false">COUNTIFS('01 - Job Database'!$C$3:$C$1000,"&lt;&gt;",'01 - Job Database'!$W$3:$W$1000,"&lt;&gt;Yes",'01 - Job Database'!$G$3:$G$1000,$A15,'01 - Job Database'!$AB$3:$AB$1000,"Yes")</f>
        <v>0</v>
      </c>
      <c r="O15" s="1" t="n">
        <f aca="false">COUNTIFS('01 - Job Database'!$C$3:$C$1000,"&lt;&gt;",'01 - Job Database'!$W$3:$W$1000,"&lt;&gt;Yes",'01 - Job Database'!$G$3:$G$1000,$A15,'01 - Job Database'!$AC$3:$AC$1000,"Yes")</f>
        <v>0</v>
      </c>
      <c r="P15" s="1" t="n">
        <f aca="false">COUNTIFS('01 - Job Database'!$C$3:$C$1000,"&lt;&gt;",'01 - Job Database'!$W$3:$W$1000,"&lt;&gt;Yes",'01 - Job Database'!$G$3:$G$1000,$A15,'01 - Job Database'!$AD$3:$AD$1000,"Yes")</f>
        <v>0</v>
      </c>
      <c r="Q15" s="1" t="n">
        <f aca="false">COUNTIFS('01 - Job Database'!$C$3:$C$1000,"&lt;&gt;",'01 - Job Database'!$W$3:$W$1000,"&lt;&gt;Yes",'01 - Job Database'!$G$3:$G$1000,$A15,'01 - Job Database'!$AE$3:$AE$1000,"Yes")</f>
        <v>0</v>
      </c>
      <c r="R15" s="1" t="n">
        <f aca="false">COUNTIFS('01 - Job Database'!$C$3:$C$1000,"&lt;&gt;",'01 - Job Database'!$W$3:$W$1000,"&lt;&gt;Yes",'01 - Job Database'!$G$3:$G$1000,$A15,'01 - Job Database'!$AF$3:$AF$1000,"Yes")</f>
        <v>0</v>
      </c>
      <c r="S15" s="1" t="n">
        <f aca="false">COUNTIFS('01 - Job Database'!$C$3:$C$1000,"&lt;&gt;",'01 - Job Database'!$W$3:$W$1000,"&lt;&gt;Yes",'01 - Job Database'!$G$3:$G$1000,$A15,'01 - Job Database'!$AG$3:$AG$1000,"Yes")</f>
        <v>0</v>
      </c>
      <c r="T15" s="1" t="n">
        <f aca="false">COUNTIFS('01 - Job Database'!$C$3:$C$1000,"&lt;&gt;",'01 - Job Database'!$W$3:$W$1000,"&lt;&gt;Yes",'01 - Job Database'!$G$3:$G$1000,$A15,'01 - Job Database'!$AH$3:$AH$1000,"Yes")</f>
        <v>0</v>
      </c>
      <c r="U15" s="1" t="n">
        <f aca="false">COUNTIFS('01 - Job Database'!$C$3:$C$1000,"&lt;&gt;",'01 - Job Database'!$W$3:$W$1000,"&lt;&gt;Yes",'01 - Job Database'!$G$3:$G$1000,$A15,'01 - Job Database'!$AI$3:$AI$1000,"Yes")</f>
        <v>0</v>
      </c>
      <c r="V15" s="1" t="n">
        <f aca="false">COUNTIFS('01 - Job Database'!$C$3:$C$1000,"&lt;&gt;",'01 - Job Database'!$W$3:$W$1000,"&lt;&gt;Yes",'01 - Job Database'!$G$3:$G$1000,$A15,'01 - Job Database'!$AJ$3:$AJ$1000,"Yes")</f>
        <v>0</v>
      </c>
      <c r="W15" s="1" t="n">
        <f aca="false">COUNTIFS('01 - Job Database'!$C$3:$C$1000,"&lt;&gt;",'01 - Job Database'!$W$3:$W$1000,"&lt;&gt;Yes",'01 - Job Database'!$G$3:$G$1000,$A15,'01 - Job Database'!$AK$3:$AK$1000,"Yes")</f>
        <v>0</v>
      </c>
      <c r="X15" s="1" t="n">
        <f aca="false">COUNTIFS('01 - Job Database'!$C$3:$C$1000,"&lt;&gt;",'01 - Job Database'!$W$3:$W$1000,"&lt;&gt;Yes",'01 - Job Database'!$G$3:$G$1000,$A15,'01 - Job Database'!$AL$3:$AL$1000,"Yes")</f>
        <v>0</v>
      </c>
      <c r="Y15" s="1" t="n">
        <f aca="false">COUNTIFS('01 - Job Database'!$C$3:$C$1000,"&lt;&gt;",'01 - Job Database'!$W$3:$W$1000,"&lt;&gt;Yes",'01 - Job Database'!$G$3:$G$1000,$A15,'01 - Job Database'!$AM$3:$AM$1000,"Yes")</f>
        <v>0</v>
      </c>
      <c r="Z15" s="1" t="n">
        <f aca="false">COUNTIFS('01 - Job Database'!$C$3:$C$1000,"&lt;&gt;",'01 - Job Database'!$W$3:$W$1000,"&lt;&gt;Yes",'01 - Job Database'!$G$3:$G$1000,$A15,'01 - Job Database'!$AN$3:$AN$1000,"Yes")</f>
        <v>0</v>
      </c>
      <c r="AA15" s="1" t="n">
        <f aca="false">COUNTIFS('01 - Job Database'!$C$3:$C$1000,"&lt;&gt;",'01 - Job Database'!$W$3:$W$1000,"&lt;&gt;Yes",'01 - Job Database'!$G$3:$G$1000,$A15,'01 - Job Database'!$AO$3:$AO$1000,"Yes")</f>
        <v>0</v>
      </c>
      <c r="AB15" s="1" t="n">
        <f aca="false">COUNTIFS('01 - Job Database'!$C$3:$C$1000,"&lt;&gt;",'01 - Job Database'!$W$3:$W$1000,"&lt;&gt;Yes",'01 - Job Database'!$G$3:$G$1000,$A15,'01 - Job Database'!$AP$3:$AP$1000,"Yes")</f>
        <v>0</v>
      </c>
      <c r="AC15" s="1" t="n">
        <f aca="false">COUNTIFS('01 - Job Database'!$C$3:$C$1000,"&lt;&gt;",'01 - Job Database'!$W$3:$W$1000,"&lt;&gt;Yes",'01 - Job Database'!$G$3:$G$1000,$A15,'01 - Job Database'!$AQ$3:$AQ$1000,"Yes")</f>
        <v>0</v>
      </c>
      <c r="AD15" s="1" t="n">
        <f aca="false">COUNTIFS('01 - Job Database'!$C$3:$C$1000,"&lt;&gt;",'01 - Job Database'!$W$3:$W$1000,"&lt;&gt;Yes",'01 - Job Database'!$G$3:$G$1000,$A15,'01 - Job Database'!$AR$3:$AR$1000,"Yes")</f>
        <v>0</v>
      </c>
      <c r="AE15" s="1" t="n">
        <f aca="false">COUNTIFS('01 - Job Database'!$C$3:$C$1000,"&lt;&gt;",'01 - Job Database'!$W$3:$W$1000,"&lt;&gt;Yes",'01 - Job Database'!$G$3:$G$1000,$A15,'01 - Job Database'!$AS$3:$AS$1000,"Yes")</f>
        <v>0</v>
      </c>
      <c r="AF15" s="1" t="n">
        <f aca="false">COUNTIFS('01 - Job Database'!$C$3:$C$1000,"&lt;&gt;",'01 - Job Database'!$W$3:$W$1000,"&lt;&gt;Yes",'01 - Job Database'!$G$3:$G$1000,$A15,'01 - Job Database'!$AT$3:$AT$1000,"Yes")</f>
        <v>0</v>
      </c>
      <c r="AG15" s="1" t="n">
        <f aca="false">COUNTIFS('01 - Job Database'!$C$3:$C$1000,"&lt;&gt;",'01 - Job Database'!$W$3:$W$1000,"&lt;&gt;Yes",'01 - Job Database'!$G$3:$G$1000,$A15,'01 - Job Database'!$AU$3:$AU$1000,"Yes")</f>
        <v>0</v>
      </c>
      <c r="AH15" s="1" t="n">
        <f aca="false">COUNTIFS('01 - Job Database'!$C$3:$C$1000,"&lt;&gt;",'01 - Job Database'!$W$3:$W$1000,"&lt;&gt;Yes",'01 - Job Database'!$G$3:$G$1000,$A15,'01 - Job Database'!$AV$3:$AV$1000,"Yes")</f>
        <v>0</v>
      </c>
      <c r="AI15" s="1" t="n">
        <f aca="false">COUNTIFS('01 - Job Database'!$C$3:$C$1000,"&lt;&gt;",'01 - Job Database'!$W$3:$W$1000,"&lt;&gt;Yes",'01 - Job Database'!$G$3:$G$1000,$A15,'01 - Job Database'!$AW$3:$AW$1000,"Yes")</f>
        <v>0</v>
      </c>
      <c r="AJ15" s="1" t="n">
        <f aca="false">COUNTIFS('01 - Job Database'!$C$3:$C$1000,"&lt;&gt;",'01 - Job Database'!$W$3:$W$1000,"&lt;&gt;Yes",'01 - Job Database'!$G$3:$G$1000,$A15,'01 - Job Database'!$AX$3:$AX$1000,"Yes")</f>
        <v>0</v>
      </c>
      <c r="AK15" s="1" t="n">
        <f aca="false">COUNTIFS('01 - Job Database'!$C$3:$C$1000,"&lt;&gt;",'01 - Job Database'!$W$3:$W$1000,"&lt;&gt;Yes",'01 - Job Database'!$G$3:$G$1000,$A15,'01 - Job Database'!$AY$3:$AY$1000,"Yes")</f>
        <v>0</v>
      </c>
      <c r="AL15" s="1" t="n">
        <f aca="false">COUNTIFS('01 - Job Database'!$C$3:$C$1000,"&lt;&gt;",'01 - Job Database'!$W$3:$W$1000,"&lt;&gt;Yes",'01 - Job Database'!$G$3:$G$1000,$A15,'01 - Job Database'!$AZ$3:$AZ$1000,"Yes")</f>
        <v>0</v>
      </c>
      <c r="AM15" s="1" t="n">
        <f aca="false">COUNTIFS('01 - Job Database'!$C$3:$C$1000,"&lt;&gt;",'01 - Job Database'!$W$3:$W$1000,"&lt;&gt;Yes",'01 - Job Database'!$G$3:$G$1000,$A15,'01 - Job Database'!$BA$3:$BA$1000,"Yes")</f>
        <v>0</v>
      </c>
      <c r="AN15" s="1" t="n">
        <f aca="false">COUNTIFS('01 - Job Database'!$C$3:$C$1000,"&lt;&gt;",'01 - Job Database'!$W$3:$W$1000,"&lt;&gt;Yes",'01 - Job Database'!$G$3:$G$1000,$A15,'01 - Job Database'!$BB$3:$BB$1000,"Yes")</f>
        <v>0</v>
      </c>
      <c r="AO15" s="1" t="n">
        <f aca="false">COUNTIFS('01 - Job Database'!$C$3:$C$1000,"&lt;&gt;",'01 - Job Database'!$W$3:$W$1000,"&lt;&gt;Yes",'01 - Job Database'!$G$3:$G$1000,$A15,'01 - Job Database'!$BC$3:$BC$1000,"Yes")</f>
        <v>0</v>
      </c>
      <c r="AP15" s="1" t="n">
        <f aca="false">MAX(J15:AO15,BB15:BL15)</f>
        <v>0</v>
      </c>
      <c r="AQ15" s="34" t="n">
        <f aca="false">COUNTIFS('01 - Job Database'!$C$3:$C$1000,"&lt;&gt;",'01 - Job Database'!$W$3:$W$1000,"&lt;&gt;Yes",'01 - Job Database'!$G$3:$G$1000,$A15,'01 - Job Database'!$O$3:$O$1000,"&gt;=100")</f>
        <v>0</v>
      </c>
      <c r="AR15" s="34" t="n">
        <f aca="false">COUNTIFS('01 - Job Database'!$C$3:$C$1000,"&lt;&gt;",'01 - Job Database'!$W$3:$W$1000,"&lt;&gt;Yes",'01 - Job Database'!$G$3:$G$1000,$A15,'01 - Job Database'!$Q$3:$Q$1000,"&gt;=150000")</f>
        <v>0</v>
      </c>
      <c r="AS15" s="34" t="n">
        <f aca="false">COUNTIFS('01 - Job Database'!$C$3:$C$1000,"&lt;&gt;",'01 - Job Database'!$W$3:$W$1000,"&lt;&gt;Yes",'01 - Job Database'!$G$3:$G$1000,$A15,'01 - Job Database'!$BQ$3:$BQ$1000,"&lt;&gt;")</f>
        <v>0</v>
      </c>
      <c r="AT15" s="34" t="n">
        <f aca="false">COUNTIFS('01 - Job Database'!$C$3:$C$1000,"&lt;&gt;",'01 - Job Database'!$W$3:$W$1000,"&lt;&gt;Yes",'01 - Job Database'!$G$3:$G$1000,$A15,'01 - Job Database'!$O$3:$O$1000,"&gt;=20")</f>
        <v>0</v>
      </c>
      <c r="AU15" s="34" t="n">
        <f aca="false">COUNTIFS('01 - Job Database'!$C$3:$C$1000,"&lt;&gt;",'01 - Job Database'!$W$3:$W$1000,"&lt;&gt;Yes",'01 - Job Database'!$G$3:$G$1000,$A15,'01 - Job Database'!$O$3:$O$1000,"&gt;=30")</f>
        <v>0</v>
      </c>
      <c r="AV15" s="34" t="n">
        <f aca="false">COUNTIFS('01 - Job Database'!$C$3:$C$1000,"&lt;&gt;",'01 - Job Database'!$W$3:$W$1000,"&lt;&gt;Yes",'01 - Job Database'!$G$3:$G$1000,$A15,'01 - Job Database'!$O$3:$O$1000,"&gt;=75")</f>
        <v>0</v>
      </c>
      <c r="AW15" s="34" t="n">
        <f aca="false">COUNTIFS('01 - Job Database'!$C$3:$C$1000,"&lt;&gt;",'01 - Job Database'!$W$3:$W$1000,"&lt;&gt;Yes",'01 - Job Database'!$G$3:$G$1000,$A15,'01 - Job Database'!$O$3:$O$1000,"&gt;=150")</f>
        <v>0</v>
      </c>
      <c r="AX15" s="34" t="n">
        <f aca="false">COUNTIFS('01 - Job Database'!$C$3:$C$1000,"&lt;&gt;",'01 - Job Database'!$W$3:$W$1000,"&lt;&gt;Yes",'01 - Job Database'!$G$3:$G$1000,$A15,'01 - Job Database'!$O$3:$O$1000,"&gt;=200")</f>
        <v>0</v>
      </c>
      <c r="AY15" s="34" t="n">
        <f aca="false">COUNTIFS('01 - Job Database'!$C$3:$C$1000,"&lt;&gt;",'01 - Job Database'!$W$3:$W$1000,"&lt;&gt;Yes",'01 - Job Database'!$G$3:$G$1000,$A15,'01 - Job Database'!$Q$3:$Q$1000,"&gt;=200000")</f>
        <v>0</v>
      </c>
      <c r="AZ15" s="34" t="n">
        <f aca="false">COUNTIFS('01 - Job Database'!$C$3:$C$1000,"&lt;&gt;",'01 - Job Database'!$W$3:$W$1000,"&lt;&gt;Yes",'01 - Job Database'!$G$3:$G$1000,$A15,'01 - Job Database'!$Q$3:$Q$1000,"&gt;=250000")</f>
        <v>0</v>
      </c>
      <c r="BA15" s="34" t="n">
        <f aca="false">COUNTIFS('01 - Job Database'!$C$3:$C$1000,"&lt;&gt;",'01 - Job Database'!$W$3:$W$1000,"&lt;&gt;Yes",'01 - Job Database'!$G$3:$G$1000,$A15,'01 - Job Database'!$Q$3:$Q$1000,"&gt;=300000")</f>
        <v>0</v>
      </c>
      <c r="BB15" s="1" t="n">
        <f aca="false">COUNTIFS('01 - Job Database'!$C$3:$C$1000,"&lt;&gt;",'01 - Job Database'!$W$3:$W$1000,"&lt;&gt;Yes",'01 - Job Database'!$G$3:$G$1000,$A15,'01 - Job Database'!$CM$3:$CM$1000,"Yes")</f>
        <v>0</v>
      </c>
      <c r="BC15" s="1" t="n">
        <f aca="false">COUNTIFS('01 - Job Database'!$C$3:$C$1000,"&lt;&gt;",'01 - Job Database'!$W$3:$W$1000,"&lt;&gt;Yes",'01 - Job Database'!$G$3:$G$1000,$A15,'01 - Job Database'!$CN$3:$CN$1000,"Yes")</f>
        <v>0</v>
      </c>
      <c r="BD15" s="1" t="n">
        <f aca="false">COUNTIFS('01 - Job Database'!$C$3:$C$1000,"&lt;&gt;",'01 - Job Database'!$W$3:$W$1000,"&lt;&gt;Yes",'01 - Job Database'!$G$3:$G$1000,$A15,'01 - Job Database'!$CO$3:$CO$1000,"Yes")</f>
        <v>0</v>
      </c>
      <c r="BE15" s="1" t="n">
        <f aca="false">COUNTIFS('01 - Job Database'!$C$3:$C$1000,"&lt;&gt;",'01 - Job Database'!$W$3:$W$1000,"&lt;&gt;Yes",'01 - Job Database'!$G$3:$G$1000,$A15,'01 - Job Database'!$CP$3:$CP$1000,"Yes")</f>
        <v>0</v>
      </c>
      <c r="BF15" s="1" t="n">
        <f aca="false">COUNTIFS('01 - Job Database'!$C$3:$C$1000,"&lt;&gt;",'01 - Job Database'!$W$3:$W$1000,"&lt;&gt;Yes",'01 - Job Database'!$G$3:$G$1000,$A15,'01 - Job Database'!$CQ$3:$CQ$1000,"Yes")</f>
        <v>0</v>
      </c>
      <c r="BG15" s="1" t="n">
        <f aca="false">COUNTIFS('01 - Job Database'!$C$3:$C$1000,"&lt;&gt;",'01 - Job Database'!$W$3:$W$1000,"&lt;&gt;Yes",'01 - Job Database'!$G$3:$G$1000,$A15,'01 - Job Database'!$CR$3:$CR$1000,"Yes")</f>
        <v>0</v>
      </c>
      <c r="BH15" s="1" t="n">
        <f aca="false">COUNTIFS('01 - Job Database'!$C$3:$C$1000,"&lt;&gt;",'01 - Job Database'!$W$3:$W$1000,"&lt;&gt;Yes",'01 - Job Database'!$G$3:$G$1000,$A15,'01 - Job Database'!$CS$3:$CS$1000,"Yes")</f>
        <v>0</v>
      </c>
      <c r="BI15" s="1" t="n">
        <f aca="false">COUNTIFS('01 - Job Database'!$C$3:$C$1000,"&lt;&gt;",'01 - Job Database'!$W$3:$W$1000,"&lt;&gt;Yes",'01 - Job Database'!$G$3:$G$1000,$A15,'01 - Job Database'!$CT$3:$CT$1000,"Yes")</f>
        <v>0</v>
      </c>
      <c r="BJ15" s="1" t="n">
        <f aca="false">COUNTIFS('01 - Job Database'!$C$3:$C$1000,"&lt;&gt;",'01 - Job Database'!$W$3:$W$1000,"&lt;&gt;Yes",'01 - Job Database'!$G$3:$G$1000,$A15,'01 - Job Database'!$CU$3:$CU$1000,"Yes")</f>
        <v>0</v>
      </c>
      <c r="BK15" s="1" t="n">
        <f aca="false">COUNTIFS('01 - Job Database'!$C$3:$C$1000,"&lt;&gt;",'01 - Job Database'!$W$3:$W$1000,"&lt;&gt;Yes",'01 - Job Database'!$G$3:$G$1000,$A15,'01 - Job Database'!$CV$3:$CV$1000,"Yes")</f>
        <v>0</v>
      </c>
      <c r="BL15" s="1" t="n">
        <f aca="false">COUNTIFS('01 - Job Database'!$C$3:$C$1000,"&lt;&gt;",'01 - Job Database'!$W$3:$W$1000,"&lt;&gt;Yes",'01 - Job Database'!$G$3:$G$1000,$A15,'01 - Job Database'!$CW$3:$CW$1000,"Yes")</f>
        <v>0</v>
      </c>
    </row>
    <row r="16" customFormat="false" ht="15" hidden="false" customHeight="true" outlineLevel="0" collapsed="false">
      <c r="A16" s="57" t="s">
        <v>272</v>
      </c>
      <c r="B16" s="26" t="n">
        <f aca="false">COUNTIFS('01 - Job Database'!$C$3:$C$1000,"&lt;&gt;",'01 - Job Database'!$W$3:$W$1000,"&lt;&gt;Yes",'01 - Job Database'!$G$3:$G$1000,A16)</f>
        <v>0</v>
      </c>
      <c r="C16" s="26" t="n">
        <f aca="false">COUNTIFS('01 - Job Database'!$C$3:$C$1000,"&lt;&gt;",'01 - Job Database'!$W$3:$W$1000,"&lt;&gt;Yes",'01 - Job Database'!$G$3:$G$1000,A16,'01 - Job Database'!$S$3:$S$1000,"Yes")</f>
        <v>0</v>
      </c>
      <c r="D16" s="58" t="str">
        <f aca="false">IFERROR(COUNTIFS('01 - Job Database'!$C$3:$C$1000,"&lt;&gt;",'01 - Job Database'!$W$3:$W$1000,"&lt;&gt;Yes",'01 - Job Database'!$G$3:$G$1000,A16,'01 - Job Database'!$J$3:$J$1000,"Yes")/B16,"")</f>
        <v/>
      </c>
      <c r="E16" s="58" t="str">
        <f aca="false">IFERROR(COUNTIFS('01 - Job Database'!$C$3:$C$1000,"&lt;&gt;",'01 - Job Database'!$W$3:$W$1000,"&lt;&gt;Yes",'01 - Job Database'!$G$3:$G$1000,A16,'01 - Job Database'!$K$3:$K$1000,"Yes")/B16,"")</f>
        <v/>
      </c>
      <c r="F16" s="26" t="str">
        <f aca="false">IF(B16=0,"—",IFERROR(INDEX($J$3:$AO$3,MATCH(AP16,J16:AO16,0)),IFERROR(INDEX($BB$3:$BL$3,MATCH(AP16,BB16:BL16,0)),"—")))</f>
        <v>—</v>
      </c>
      <c r="G16" s="26" t="n">
        <f aca="false">B16-ROW()*0.0001</f>
        <v>-0.0016</v>
      </c>
      <c r="J16" s="1" t="n">
        <f aca="false">COUNTIFS('01 - Job Database'!$C$3:$C$1000,"&lt;&gt;",'01 - Job Database'!$W$3:$W$1000,"&lt;&gt;Yes",'01 - Job Database'!$G$3:$G$1000,$A16,'01 - Job Database'!$X$3:$X$1000,"Yes")</f>
        <v>0</v>
      </c>
      <c r="K16" s="1" t="n">
        <f aca="false">COUNTIFS('01 - Job Database'!$C$3:$C$1000,"&lt;&gt;",'01 - Job Database'!$W$3:$W$1000,"&lt;&gt;Yes",'01 - Job Database'!$G$3:$G$1000,$A16,'01 - Job Database'!$Y$3:$Y$1000,"Yes")</f>
        <v>0</v>
      </c>
      <c r="L16" s="1" t="n">
        <f aca="false">COUNTIFS('01 - Job Database'!$C$3:$C$1000,"&lt;&gt;",'01 - Job Database'!$W$3:$W$1000,"&lt;&gt;Yes",'01 - Job Database'!$G$3:$G$1000,$A16,'01 - Job Database'!$Z$3:$Z$1000,"Yes")</f>
        <v>0</v>
      </c>
      <c r="M16" s="1" t="n">
        <f aca="false">COUNTIFS('01 - Job Database'!$C$3:$C$1000,"&lt;&gt;",'01 - Job Database'!$W$3:$W$1000,"&lt;&gt;Yes",'01 - Job Database'!$G$3:$G$1000,$A16,'01 - Job Database'!$AA$3:$AA$1000,"Yes")</f>
        <v>0</v>
      </c>
      <c r="N16" s="1" t="n">
        <f aca="false">COUNTIFS('01 - Job Database'!$C$3:$C$1000,"&lt;&gt;",'01 - Job Database'!$W$3:$W$1000,"&lt;&gt;Yes",'01 - Job Database'!$G$3:$G$1000,$A16,'01 - Job Database'!$AB$3:$AB$1000,"Yes")</f>
        <v>0</v>
      </c>
      <c r="O16" s="1" t="n">
        <f aca="false">COUNTIFS('01 - Job Database'!$C$3:$C$1000,"&lt;&gt;",'01 - Job Database'!$W$3:$W$1000,"&lt;&gt;Yes",'01 - Job Database'!$G$3:$G$1000,$A16,'01 - Job Database'!$AC$3:$AC$1000,"Yes")</f>
        <v>0</v>
      </c>
      <c r="P16" s="1" t="n">
        <f aca="false">COUNTIFS('01 - Job Database'!$C$3:$C$1000,"&lt;&gt;",'01 - Job Database'!$W$3:$W$1000,"&lt;&gt;Yes",'01 - Job Database'!$G$3:$G$1000,$A16,'01 - Job Database'!$AD$3:$AD$1000,"Yes")</f>
        <v>0</v>
      </c>
      <c r="Q16" s="1" t="n">
        <f aca="false">COUNTIFS('01 - Job Database'!$C$3:$C$1000,"&lt;&gt;",'01 - Job Database'!$W$3:$W$1000,"&lt;&gt;Yes",'01 - Job Database'!$G$3:$G$1000,$A16,'01 - Job Database'!$AE$3:$AE$1000,"Yes")</f>
        <v>0</v>
      </c>
      <c r="R16" s="1" t="n">
        <f aca="false">COUNTIFS('01 - Job Database'!$C$3:$C$1000,"&lt;&gt;",'01 - Job Database'!$W$3:$W$1000,"&lt;&gt;Yes",'01 - Job Database'!$G$3:$G$1000,$A16,'01 - Job Database'!$AF$3:$AF$1000,"Yes")</f>
        <v>0</v>
      </c>
      <c r="S16" s="1" t="n">
        <f aca="false">COUNTIFS('01 - Job Database'!$C$3:$C$1000,"&lt;&gt;",'01 - Job Database'!$W$3:$W$1000,"&lt;&gt;Yes",'01 - Job Database'!$G$3:$G$1000,$A16,'01 - Job Database'!$AG$3:$AG$1000,"Yes")</f>
        <v>0</v>
      </c>
      <c r="T16" s="1" t="n">
        <f aca="false">COUNTIFS('01 - Job Database'!$C$3:$C$1000,"&lt;&gt;",'01 - Job Database'!$W$3:$W$1000,"&lt;&gt;Yes",'01 - Job Database'!$G$3:$G$1000,$A16,'01 - Job Database'!$AH$3:$AH$1000,"Yes")</f>
        <v>0</v>
      </c>
      <c r="U16" s="1" t="n">
        <f aca="false">COUNTIFS('01 - Job Database'!$C$3:$C$1000,"&lt;&gt;",'01 - Job Database'!$W$3:$W$1000,"&lt;&gt;Yes",'01 - Job Database'!$G$3:$G$1000,$A16,'01 - Job Database'!$AI$3:$AI$1000,"Yes")</f>
        <v>0</v>
      </c>
      <c r="V16" s="1" t="n">
        <f aca="false">COUNTIFS('01 - Job Database'!$C$3:$C$1000,"&lt;&gt;",'01 - Job Database'!$W$3:$W$1000,"&lt;&gt;Yes",'01 - Job Database'!$G$3:$G$1000,$A16,'01 - Job Database'!$AJ$3:$AJ$1000,"Yes")</f>
        <v>0</v>
      </c>
      <c r="W16" s="1" t="n">
        <f aca="false">COUNTIFS('01 - Job Database'!$C$3:$C$1000,"&lt;&gt;",'01 - Job Database'!$W$3:$W$1000,"&lt;&gt;Yes",'01 - Job Database'!$G$3:$G$1000,$A16,'01 - Job Database'!$AK$3:$AK$1000,"Yes")</f>
        <v>0</v>
      </c>
      <c r="X16" s="1" t="n">
        <f aca="false">COUNTIFS('01 - Job Database'!$C$3:$C$1000,"&lt;&gt;",'01 - Job Database'!$W$3:$W$1000,"&lt;&gt;Yes",'01 - Job Database'!$G$3:$G$1000,$A16,'01 - Job Database'!$AL$3:$AL$1000,"Yes")</f>
        <v>0</v>
      </c>
      <c r="Y16" s="1" t="n">
        <f aca="false">COUNTIFS('01 - Job Database'!$C$3:$C$1000,"&lt;&gt;",'01 - Job Database'!$W$3:$W$1000,"&lt;&gt;Yes",'01 - Job Database'!$G$3:$G$1000,$A16,'01 - Job Database'!$AM$3:$AM$1000,"Yes")</f>
        <v>0</v>
      </c>
      <c r="Z16" s="1" t="n">
        <f aca="false">COUNTIFS('01 - Job Database'!$C$3:$C$1000,"&lt;&gt;",'01 - Job Database'!$W$3:$W$1000,"&lt;&gt;Yes",'01 - Job Database'!$G$3:$G$1000,$A16,'01 - Job Database'!$AN$3:$AN$1000,"Yes")</f>
        <v>0</v>
      </c>
      <c r="AA16" s="1" t="n">
        <f aca="false">COUNTIFS('01 - Job Database'!$C$3:$C$1000,"&lt;&gt;",'01 - Job Database'!$W$3:$W$1000,"&lt;&gt;Yes",'01 - Job Database'!$G$3:$G$1000,$A16,'01 - Job Database'!$AO$3:$AO$1000,"Yes")</f>
        <v>0</v>
      </c>
      <c r="AB16" s="1" t="n">
        <f aca="false">COUNTIFS('01 - Job Database'!$C$3:$C$1000,"&lt;&gt;",'01 - Job Database'!$W$3:$W$1000,"&lt;&gt;Yes",'01 - Job Database'!$G$3:$G$1000,$A16,'01 - Job Database'!$AP$3:$AP$1000,"Yes")</f>
        <v>0</v>
      </c>
      <c r="AC16" s="1" t="n">
        <f aca="false">COUNTIFS('01 - Job Database'!$C$3:$C$1000,"&lt;&gt;",'01 - Job Database'!$W$3:$W$1000,"&lt;&gt;Yes",'01 - Job Database'!$G$3:$G$1000,$A16,'01 - Job Database'!$AQ$3:$AQ$1000,"Yes")</f>
        <v>0</v>
      </c>
      <c r="AD16" s="1" t="n">
        <f aca="false">COUNTIFS('01 - Job Database'!$C$3:$C$1000,"&lt;&gt;",'01 - Job Database'!$W$3:$W$1000,"&lt;&gt;Yes",'01 - Job Database'!$G$3:$G$1000,$A16,'01 - Job Database'!$AR$3:$AR$1000,"Yes")</f>
        <v>0</v>
      </c>
      <c r="AE16" s="1" t="n">
        <f aca="false">COUNTIFS('01 - Job Database'!$C$3:$C$1000,"&lt;&gt;",'01 - Job Database'!$W$3:$W$1000,"&lt;&gt;Yes",'01 - Job Database'!$G$3:$G$1000,$A16,'01 - Job Database'!$AS$3:$AS$1000,"Yes")</f>
        <v>0</v>
      </c>
      <c r="AF16" s="1" t="n">
        <f aca="false">COUNTIFS('01 - Job Database'!$C$3:$C$1000,"&lt;&gt;",'01 - Job Database'!$W$3:$W$1000,"&lt;&gt;Yes",'01 - Job Database'!$G$3:$G$1000,$A16,'01 - Job Database'!$AT$3:$AT$1000,"Yes")</f>
        <v>0</v>
      </c>
      <c r="AG16" s="1" t="n">
        <f aca="false">COUNTIFS('01 - Job Database'!$C$3:$C$1000,"&lt;&gt;",'01 - Job Database'!$W$3:$W$1000,"&lt;&gt;Yes",'01 - Job Database'!$G$3:$G$1000,$A16,'01 - Job Database'!$AU$3:$AU$1000,"Yes")</f>
        <v>0</v>
      </c>
      <c r="AH16" s="1" t="n">
        <f aca="false">COUNTIFS('01 - Job Database'!$C$3:$C$1000,"&lt;&gt;",'01 - Job Database'!$W$3:$W$1000,"&lt;&gt;Yes",'01 - Job Database'!$G$3:$G$1000,$A16,'01 - Job Database'!$AV$3:$AV$1000,"Yes")</f>
        <v>0</v>
      </c>
      <c r="AI16" s="1" t="n">
        <f aca="false">COUNTIFS('01 - Job Database'!$C$3:$C$1000,"&lt;&gt;",'01 - Job Database'!$W$3:$W$1000,"&lt;&gt;Yes",'01 - Job Database'!$G$3:$G$1000,$A16,'01 - Job Database'!$AW$3:$AW$1000,"Yes")</f>
        <v>0</v>
      </c>
      <c r="AJ16" s="1" t="n">
        <f aca="false">COUNTIFS('01 - Job Database'!$C$3:$C$1000,"&lt;&gt;",'01 - Job Database'!$W$3:$W$1000,"&lt;&gt;Yes",'01 - Job Database'!$G$3:$G$1000,$A16,'01 - Job Database'!$AX$3:$AX$1000,"Yes")</f>
        <v>0</v>
      </c>
      <c r="AK16" s="1" t="n">
        <f aca="false">COUNTIFS('01 - Job Database'!$C$3:$C$1000,"&lt;&gt;",'01 - Job Database'!$W$3:$W$1000,"&lt;&gt;Yes",'01 - Job Database'!$G$3:$G$1000,$A16,'01 - Job Database'!$AY$3:$AY$1000,"Yes")</f>
        <v>0</v>
      </c>
      <c r="AL16" s="1" t="n">
        <f aca="false">COUNTIFS('01 - Job Database'!$C$3:$C$1000,"&lt;&gt;",'01 - Job Database'!$W$3:$W$1000,"&lt;&gt;Yes",'01 - Job Database'!$G$3:$G$1000,$A16,'01 - Job Database'!$AZ$3:$AZ$1000,"Yes")</f>
        <v>0</v>
      </c>
      <c r="AM16" s="1" t="n">
        <f aca="false">COUNTIFS('01 - Job Database'!$C$3:$C$1000,"&lt;&gt;",'01 - Job Database'!$W$3:$W$1000,"&lt;&gt;Yes",'01 - Job Database'!$G$3:$G$1000,$A16,'01 - Job Database'!$BA$3:$BA$1000,"Yes")</f>
        <v>0</v>
      </c>
      <c r="AN16" s="1" t="n">
        <f aca="false">COUNTIFS('01 - Job Database'!$C$3:$C$1000,"&lt;&gt;",'01 - Job Database'!$W$3:$W$1000,"&lt;&gt;Yes",'01 - Job Database'!$G$3:$G$1000,$A16,'01 - Job Database'!$BB$3:$BB$1000,"Yes")</f>
        <v>0</v>
      </c>
      <c r="AO16" s="1" t="n">
        <f aca="false">COUNTIFS('01 - Job Database'!$C$3:$C$1000,"&lt;&gt;",'01 - Job Database'!$W$3:$W$1000,"&lt;&gt;Yes",'01 - Job Database'!$G$3:$G$1000,$A16,'01 - Job Database'!$BC$3:$BC$1000,"Yes")</f>
        <v>0</v>
      </c>
      <c r="AP16" s="1" t="n">
        <f aca="false">MAX(J16:AO16,BB16:BL16)</f>
        <v>0</v>
      </c>
      <c r="AQ16" s="34" t="n">
        <f aca="false">COUNTIFS('01 - Job Database'!$C$3:$C$1000,"&lt;&gt;",'01 - Job Database'!$W$3:$W$1000,"&lt;&gt;Yes",'01 - Job Database'!$G$3:$G$1000,$A16,'01 - Job Database'!$O$3:$O$1000,"&gt;=100")</f>
        <v>0</v>
      </c>
      <c r="AR16" s="34" t="n">
        <f aca="false">COUNTIFS('01 - Job Database'!$C$3:$C$1000,"&lt;&gt;",'01 - Job Database'!$W$3:$W$1000,"&lt;&gt;Yes",'01 - Job Database'!$G$3:$G$1000,$A16,'01 - Job Database'!$Q$3:$Q$1000,"&gt;=150000")</f>
        <v>0</v>
      </c>
      <c r="AS16" s="34" t="n">
        <f aca="false">COUNTIFS('01 - Job Database'!$C$3:$C$1000,"&lt;&gt;",'01 - Job Database'!$W$3:$W$1000,"&lt;&gt;Yes",'01 - Job Database'!$G$3:$G$1000,$A16,'01 - Job Database'!$BQ$3:$BQ$1000,"&lt;&gt;")</f>
        <v>0</v>
      </c>
      <c r="AT16" s="34" t="n">
        <f aca="false">COUNTIFS('01 - Job Database'!$C$3:$C$1000,"&lt;&gt;",'01 - Job Database'!$W$3:$W$1000,"&lt;&gt;Yes",'01 - Job Database'!$G$3:$G$1000,$A16,'01 - Job Database'!$O$3:$O$1000,"&gt;=20")</f>
        <v>0</v>
      </c>
      <c r="AU16" s="34" t="n">
        <f aca="false">COUNTIFS('01 - Job Database'!$C$3:$C$1000,"&lt;&gt;",'01 - Job Database'!$W$3:$W$1000,"&lt;&gt;Yes",'01 - Job Database'!$G$3:$G$1000,$A16,'01 - Job Database'!$O$3:$O$1000,"&gt;=30")</f>
        <v>0</v>
      </c>
      <c r="AV16" s="34" t="n">
        <f aca="false">COUNTIFS('01 - Job Database'!$C$3:$C$1000,"&lt;&gt;",'01 - Job Database'!$W$3:$W$1000,"&lt;&gt;Yes",'01 - Job Database'!$G$3:$G$1000,$A16,'01 - Job Database'!$O$3:$O$1000,"&gt;=75")</f>
        <v>0</v>
      </c>
      <c r="AW16" s="34" t="n">
        <f aca="false">COUNTIFS('01 - Job Database'!$C$3:$C$1000,"&lt;&gt;",'01 - Job Database'!$W$3:$W$1000,"&lt;&gt;Yes",'01 - Job Database'!$G$3:$G$1000,$A16,'01 - Job Database'!$O$3:$O$1000,"&gt;=150")</f>
        <v>0</v>
      </c>
      <c r="AX16" s="34" t="n">
        <f aca="false">COUNTIFS('01 - Job Database'!$C$3:$C$1000,"&lt;&gt;",'01 - Job Database'!$W$3:$W$1000,"&lt;&gt;Yes",'01 - Job Database'!$G$3:$G$1000,$A16,'01 - Job Database'!$O$3:$O$1000,"&gt;=200")</f>
        <v>0</v>
      </c>
      <c r="AY16" s="34" t="n">
        <f aca="false">COUNTIFS('01 - Job Database'!$C$3:$C$1000,"&lt;&gt;",'01 - Job Database'!$W$3:$W$1000,"&lt;&gt;Yes",'01 - Job Database'!$G$3:$G$1000,$A16,'01 - Job Database'!$Q$3:$Q$1000,"&gt;=200000")</f>
        <v>0</v>
      </c>
      <c r="AZ16" s="34" t="n">
        <f aca="false">COUNTIFS('01 - Job Database'!$C$3:$C$1000,"&lt;&gt;",'01 - Job Database'!$W$3:$W$1000,"&lt;&gt;Yes",'01 - Job Database'!$G$3:$G$1000,$A16,'01 - Job Database'!$Q$3:$Q$1000,"&gt;=250000")</f>
        <v>0</v>
      </c>
      <c r="BA16" s="34" t="n">
        <f aca="false">COUNTIFS('01 - Job Database'!$C$3:$C$1000,"&lt;&gt;",'01 - Job Database'!$W$3:$W$1000,"&lt;&gt;Yes",'01 - Job Database'!$G$3:$G$1000,$A16,'01 - Job Database'!$Q$3:$Q$1000,"&gt;=300000")</f>
        <v>0</v>
      </c>
      <c r="BB16" s="1" t="n">
        <f aca="false">COUNTIFS('01 - Job Database'!$C$3:$C$1000,"&lt;&gt;",'01 - Job Database'!$W$3:$W$1000,"&lt;&gt;Yes",'01 - Job Database'!$G$3:$G$1000,$A16,'01 - Job Database'!$CM$3:$CM$1000,"Yes")</f>
        <v>0</v>
      </c>
      <c r="BC16" s="1" t="n">
        <f aca="false">COUNTIFS('01 - Job Database'!$C$3:$C$1000,"&lt;&gt;",'01 - Job Database'!$W$3:$W$1000,"&lt;&gt;Yes",'01 - Job Database'!$G$3:$G$1000,$A16,'01 - Job Database'!$CN$3:$CN$1000,"Yes")</f>
        <v>0</v>
      </c>
      <c r="BD16" s="1" t="n">
        <f aca="false">COUNTIFS('01 - Job Database'!$C$3:$C$1000,"&lt;&gt;",'01 - Job Database'!$W$3:$W$1000,"&lt;&gt;Yes",'01 - Job Database'!$G$3:$G$1000,$A16,'01 - Job Database'!$CO$3:$CO$1000,"Yes")</f>
        <v>0</v>
      </c>
      <c r="BE16" s="1" t="n">
        <f aca="false">COUNTIFS('01 - Job Database'!$C$3:$C$1000,"&lt;&gt;",'01 - Job Database'!$W$3:$W$1000,"&lt;&gt;Yes",'01 - Job Database'!$G$3:$G$1000,$A16,'01 - Job Database'!$CP$3:$CP$1000,"Yes")</f>
        <v>0</v>
      </c>
      <c r="BF16" s="1" t="n">
        <f aca="false">COUNTIFS('01 - Job Database'!$C$3:$C$1000,"&lt;&gt;",'01 - Job Database'!$W$3:$W$1000,"&lt;&gt;Yes",'01 - Job Database'!$G$3:$G$1000,$A16,'01 - Job Database'!$CQ$3:$CQ$1000,"Yes")</f>
        <v>0</v>
      </c>
      <c r="BG16" s="1" t="n">
        <f aca="false">COUNTIFS('01 - Job Database'!$C$3:$C$1000,"&lt;&gt;",'01 - Job Database'!$W$3:$W$1000,"&lt;&gt;Yes",'01 - Job Database'!$G$3:$G$1000,$A16,'01 - Job Database'!$CR$3:$CR$1000,"Yes")</f>
        <v>0</v>
      </c>
      <c r="BH16" s="1" t="n">
        <f aca="false">COUNTIFS('01 - Job Database'!$C$3:$C$1000,"&lt;&gt;",'01 - Job Database'!$W$3:$W$1000,"&lt;&gt;Yes",'01 - Job Database'!$G$3:$G$1000,$A16,'01 - Job Database'!$CS$3:$CS$1000,"Yes")</f>
        <v>0</v>
      </c>
      <c r="BI16" s="1" t="n">
        <f aca="false">COUNTIFS('01 - Job Database'!$C$3:$C$1000,"&lt;&gt;",'01 - Job Database'!$W$3:$W$1000,"&lt;&gt;Yes",'01 - Job Database'!$G$3:$G$1000,$A16,'01 - Job Database'!$CT$3:$CT$1000,"Yes")</f>
        <v>0</v>
      </c>
      <c r="BJ16" s="1" t="n">
        <f aca="false">COUNTIFS('01 - Job Database'!$C$3:$C$1000,"&lt;&gt;",'01 - Job Database'!$W$3:$W$1000,"&lt;&gt;Yes",'01 - Job Database'!$G$3:$G$1000,$A16,'01 - Job Database'!$CU$3:$CU$1000,"Yes")</f>
        <v>0</v>
      </c>
      <c r="BK16" s="1" t="n">
        <f aca="false">COUNTIFS('01 - Job Database'!$C$3:$C$1000,"&lt;&gt;",'01 - Job Database'!$W$3:$W$1000,"&lt;&gt;Yes",'01 - Job Database'!$G$3:$G$1000,$A16,'01 - Job Database'!$CV$3:$CV$1000,"Yes")</f>
        <v>0</v>
      </c>
      <c r="BL16" s="1" t="n">
        <f aca="false">COUNTIFS('01 - Job Database'!$C$3:$C$1000,"&lt;&gt;",'01 - Job Database'!$W$3:$W$1000,"&lt;&gt;Yes",'01 - Job Database'!$G$3:$G$1000,$A16,'01 - Job Database'!$CW$3:$CW$1000,"Yes")</f>
        <v>0</v>
      </c>
    </row>
    <row r="17" customFormat="false" ht="15" hidden="false" customHeight="true" outlineLevel="0" collapsed="false">
      <c r="A17" s="57" t="s">
        <v>273</v>
      </c>
      <c r="B17" s="26" t="n">
        <f aca="false">COUNTIFS('01 - Job Database'!$C$3:$C$1000,"&lt;&gt;",'01 - Job Database'!$W$3:$W$1000,"&lt;&gt;Yes",'01 - Job Database'!$G$3:$G$1000,A17)</f>
        <v>0</v>
      </c>
      <c r="C17" s="26" t="n">
        <f aca="false">COUNTIFS('01 - Job Database'!$C$3:$C$1000,"&lt;&gt;",'01 - Job Database'!$W$3:$W$1000,"&lt;&gt;Yes",'01 - Job Database'!$G$3:$G$1000,A17,'01 - Job Database'!$S$3:$S$1000,"Yes")</f>
        <v>0</v>
      </c>
      <c r="D17" s="58" t="str">
        <f aca="false">IFERROR(COUNTIFS('01 - Job Database'!$C$3:$C$1000,"&lt;&gt;",'01 - Job Database'!$W$3:$W$1000,"&lt;&gt;Yes",'01 - Job Database'!$G$3:$G$1000,A17,'01 - Job Database'!$J$3:$J$1000,"Yes")/B17,"")</f>
        <v/>
      </c>
      <c r="E17" s="58" t="str">
        <f aca="false">IFERROR(COUNTIFS('01 - Job Database'!$C$3:$C$1000,"&lt;&gt;",'01 - Job Database'!$W$3:$W$1000,"&lt;&gt;Yes",'01 - Job Database'!$G$3:$G$1000,A17,'01 - Job Database'!$K$3:$K$1000,"Yes")/B17,"")</f>
        <v/>
      </c>
      <c r="F17" s="26" t="str">
        <f aca="false">IF(B17=0,"—",IFERROR(INDEX($J$3:$AO$3,MATCH(AP17,J17:AO17,0)),IFERROR(INDEX($BB$3:$BL$3,MATCH(AP17,BB17:BL17,0)),"—")))</f>
        <v>—</v>
      </c>
      <c r="G17" s="26" t="n">
        <f aca="false">B17-ROW()*0.0001</f>
        <v>-0.0017</v>
      </c>
      <c r="J17" s="1" t="n">
        <f aca="false">COUNTIFS('01 - Job Database'!$C$3:$C$1000,"&lt;&gt;",'01 - Job Database'!$W$3:$W$1000,"&lt;&gt;Yes",'01 - Job Database'!$G$3:$G$1000,$A17,'01 - Job Database'!$X$3:$X$1000,"Yes")</f>
        <v>0</v>
      </c>
      <c r="K17" s="1" t="n">
        <f aca="false">COUNTIFS('01 - Job Database'!$C$3:$C$1000,"&lt;&gt;",'01 - Job Database'!$W$3:$W$1000,"&lt;&gt;Yes",'01 - Job Database'!$G$3:$G$1000,$A17,'01 - Job Database'!$Y$3:$Y$1000,"Yes")</f>
        <v>0</v>
      </c>
      <c r="L17" s="1" t="n">
        <f aca="false">COUNTIFS('01 - Job Database'!$C$3:$C$1000,"&lt;&gt;",'01 - Job Database'!$W$3:$W$1000,"&lt;&gt;Yes",'01 - Job Database'!$G$3:$G$1000,$A17,'01 - Job Database'!$Z$3:$Z$1000,"Yes")</f>
        <v>0</v>
      </c>
      <c r="M17" s="1" t="n">
        <f aca="false">COUNTIFS('01 - Job Database'!$C$3:$C$1000,"&lt;&gt;",'01 - Job Database'!$W$3:$W$1000,"&lt;&gt;Yes",'01 - Job Database'!$G$3:$G$1000,$A17,'01 - Job Database'!$AA$3:$AA$1000,"Yes")</f>
        <v>0</v>
      </c>
      <c r="N17" s="1" t="n">
        <f aca="false">COUNTIFS('01 - Job Database'!$C$3:$C$1000,"&lt;&gt;",'01 - Job Database'!$W$3:$W$1000,"&lt;&gt;Yes",'01 - Job Database'!$G$3:$G$1000,$A17,'01 - Job Database'!$AB$3:$AB$1000,"Yes")</f>
        <v>0</v>
      </c>
      <c r="O17" s="1" t="n">
        <f aca="false">COUNTIFS('01 - Job Database'!$C$3:$C$1000,"&lt;&gt;",'01 - Job Database'!$W$3:$W$1000,"&lt;&gt;Yes",'01 - Job Database'!$G$3:$G$1000,$A17,'01 - Job Database'!$AC$3:$AC$1000,"Yes")</f>
        <v>0</v>
      </c>
      <c r="P17" s="1" t="n">
        <f aca="false">COUNTIFS('01 - Job Database'!$C$3:$C$1000,"&lt;&gt;",'01 - Job Database'!$W$3:$W$1000,"&lt;&gt;Yes",'01 - Job Database'!$G$3:$G$1000,$A17,'01 - Job Database'!$AD$3:$AD$1000,"Yes")</f>
        <v>0</v>
      </c>
      <c r="Q17" s="1" t="n">
        <f aca="false">COUNTIFS('01 - Job Database'!$C$3:$C$1000,"&lt;&gt;",'01 - Job Database'!$W$3:$W$1000,"&lt;&gt;Yes",'01 - Job Database'!$G$3:$G$1000,$A17,'01 - Job Database'!$AE$3:$AE$1000,"Yes")</f>
        <v>0</v>
      </c>
      <c r="R17" s="1" t="n">
        <f aca="false">COUNTIFS('01 - Job Database'!$C$3:$C$1000,"&lt;&gt;",'01 - Job Database'!$W$3:$W$1000,"&lt;&gt;Yes",'01 - Job Database'!$G$3:$G$1000,$A17,'01 - Job Database'!$AF$3:$AF$1000,"Yes")</f>
        <v>0</v>
      </c>
      <c r="S17" s="1" t="n">
        <f aca="false">COUNTIFS('01 - Job Database'!$C$3:$C$1000,"&lt;&gt;",'01 - Job Database'!$W$3:$W$1000,"&lt;&gt;Yes",'01 - Job Database'!$G$3:$G$1000,$A17,'01 - Job Database'!$AG$3:$AG$1000,"Yes")</f>
        <v>0</v>
      </c>
      <c r="T17" s="1" t="n">
        <f aca="false">COUNTIFS('01 - Job Database'!$C$3:$C$1000,"&lt;&gt;",'01 - Job Database'!$W$3:$W$1000,"&lt;&gt;Yes",'01 - Job Database'!$G$3:$G$1000,$A17,'01 - Job Database'!$AH$3:$AH$1000,"Yes")</f>
        <v>0</v>
      </c>
      <c r="U17" s="1" t="n">
        <f aca="false">COUNTIFS('01 - Job Database'!$C$3:$C$1000,"&lt;&gt;",'01 - Job Database'!$W$3:$W$1000,"&lt;&gt;Yes",'01 - Job Database'!$G$3:$G$1000,$A17,'01 - Job Database'!$AI$3:$AI$1000,"Yes")</f>
        <v>0</v>
      </c>
      <c r="V17" s="1" t="n">
        <f aca="false">COUNTIFS('01 - Job Database'!$C$3:$C$1000,"&lt;&gt;",'01 - Job Database'!$W$3:$W$1000,"&lt;&gt;Yes",'01 - Job Database'!$G$3:$G$1000,$A17,'01 - Job Database'!$AJ$3:$AJ$1000,"Yes")</f>
        <v>0</v>
      </c>
      <c r="W17" s="1" t="n">
        <f aca="false">COUNTIFS('01 - Job Database'!$C$3:$C$1000,"&lt;&gt;",'01 - Job Database'!$W$3:$W$1000,"&lt;&gt;Yes",'01 - Job Database'!$G$3:$G$1000,$A17,'01 - Job Database'!$AK$3:$AK$1000,"Yes")</f>
        <v>0</v>
      </c>
      <c r="X17" s="1" t="n">
        <f aca="false">COUNTIFS('01 - Job Database'!$C$3:$C$1000,"&lt;&gt;",'01 - Job Database'!$W$3:$W$1000,"&lt;&gt;Yes",'01 - Job Database'!$G$3:$G$1000,$A17,'01 - Job Database'!$AL$3:$AL$1000,"Yes")</f>
        <v>0</v>
      </c>
      <c r="Y17" s="1" t="n">
        <f aca="false">COUNTIFS('01 - Job Database'!$C$3:$C$1000,"&lt;&gt;",'01 - Job Database'!$W$3:$W$1000,"&lt;&gt;Yes",'01 - Job Database'!$G$3:$G$1000,$A17,'01 - Job Database'!$AM$3:$AM$1000,"Yes")</f>
        <v>0</v>
      </c>
      <c r="Z17" s="1" t="n">
        <f aca="false">COUNTIFS('01 - Job Database'!$C$3:$C$1000,"&lt;&gt;",'01 - Job Database'!$W$3:$W$1000,"&lt;&gt;Yes",'01 - Job Database'!$G$3:$G$1000,$A17,'01 - Job Database'!$AN$3:$AN$1000,"Yes")</f>
        <v>0</v>
      </c>
      <c r="AA17" s="1" t="n">
        <f aca="false">COUNTIFS('01 - Job Database'!$C$3:$C$1000,"&lt;&gt;",'01 - Job Database'!$W$3:$W$1000,"&lt;&gt;Yes",'01 - Job Database'!$G$3:$G$1000,$A17,'01 - Job Database'!$AO$3:$AO$1000,"Yes")</f>
        <v>0</v>
      </c>
      <c r="AB17" s="1" t="n">
        <f aca="false">COUNTIFS('01 - Job Database'!$C$3:$C$1000,"&lt;&gt;",'01 - Job Database'!$W$3:$W$1000,"&lt;&gt;Yes",'01 - Job Database'!$G$3:$G$1000,$A17,'01 - Job Database'!$AP$3:$AP$1000,"Yes")</f>
        <v>0</v>
      </c>
      <c r="AC17" s="1" t="n">
        <f aca="false">COUNTIFS('01 - Job Database'!$C$3:$C$1000,"&lt;&gt;",'01 - Job Database'!$W$3:$W$1000,"&lt;&gt;Yes",'01 - Job Database'!$G$3:$G$1000,$A17,'01 - Job Database'!$AQ$3:$AQ$1000,"Yes")</f>
        <v>0</v>
      </c>
      <c r="AD17" s="1" t="n">
        <f aca="false">COUNTIFS('01 - Job Database'!$C$3:$C$1000,"&lt;&gt;",'01 - Job Database'!$W$3:$W$1000,"&lt;&gt;Yes",'01 - Job Database'!$G$3:$G$1000,$A17,'01 - Job Database'!$AR$3:$AR$1000,"Yes")</f>
        <v>0</v>
      </c>
      <c r="AE17" s="1" t="n">
        <f aca="false">COUNTIFS('01 - Job Database'!$C$3:$C$1000,"&lt;&gt;",'01 - Job Database'!$W$3:$W$1000,"&lt;&gt;Yes",'01 - Job Database'!$G$3:$G$1000,$A17,'01 - Job Database'!$AS$3:$AS$1000,"Yes")</f>
        <v>0</v>
      </c>
      <c r="AF17" s="1" t="n">
        <f aca="false">COUNTIFS('01 - Job Database'!$C$3:$C$1000,"&lt;&gt;",'01 - Job Database'!$W$3:$W$1000,"&lt;&gt;Yes",'01 - Job Database'!$G$3:$G$1000,$A17,'01 - Job Database'!$AT$3:$AT$1000,"Yes")</f>
        <v>0</v>
      </c>
      <c r="AG17" s="1" t="n">
        <f aca="false">COUNTIFS('01 - Job Database'!$C$3:$C$1000,"&lt;&gt;",'01 - Job Database'!$W$3:$W$1000,"&lt;&gt;Yes",'01 - Job Database'!$G$3:$G$1000,$A17,'01 - Job Database'!$AU$3:$AU$1000,"Yes")</f>
        <v>0</v>
      </c>
      <c r="AH17" s="1" t="n">
        <f aca="false">COUNTIFS('01 - Job Database'!$C$3:$C$1000,"&lt;&gt;",'01 - Job Database'!$W$3:$W$1000,"&lt;&gt;Yes",'01 - Job Database'!$G$3:$G$1000,$A17,'01 - Job Database'!$AV$3:$AV$1000,"Yes")</f>
        <v>0</v>
      </c>
      <c r="AI17" s="1" t="n">
        <f aca="false">COUNTIFS('01 - Job Database'!$C$3:$C$1000,"&lt;&gt;",'01 - Job Database'!$W$3:$W$1000,"&lt;&gt;Yes",'01 - Job Database'!$G$3:$G$1000,$A17,'01 - Job Database'!$AW$3:$AW$1000,"Yes")</f>
        <v>0</v>
      </c>
      <c r="AJ17" s="1" t="n">
        <f aca="false">COUNTIFS('01 - Job Database'!$C$3:$C$1000,"&lt;&gt;",'01 - Job Database'!$W$3:$W$1000,"&lt;&gt;Yes",'01 - Job Database'!$G$3:$G$1000,$A17,'01 - Job Database'!$AX$3:$AX$1000,"Yes")</f>
        <v>0</v>
      </c>
      <c r="AK17" s="1" t="n">
        <f aca="false">COUNTIFS('01 - Job Database'!$C$3:$C$1000,"&lt;&gt;",'01 - Job Database'!$W$3:$W$1000,"&lt;&gt;Yes",'01 - Job Database'!$G$3:$G$1000,$A17,'01 - Job Database'!$AY$3:$AY$1000,"Yes")</f>
        <v>0</v>
      </c>
      <c r="AL17" s="1" t="n">
        <f aca="false">COUNTIFS('01 - Job Database'!$C$3:$C$1000,"&lt;&gt;",'01 - Job Database'!$W$3:$W$1000,"&lt;&gt;Yes",'01 - Job Database'!$G$3:$G$1000,$A17,'01 - Job Database'!$AZ$3:$AZ$1000,"Yes")</f>
        <v>0</v>
      </c>
      <c r="AM17" s="1" t="n">
        <f aca="false">COUNTIFS('01 - Job Database'!$C$3:$C$1000,"&lt;&gt;",'01 - Job Database'!$W$3:$W$1000,"&lt;&gt;Yes",'01 - Job Database'!$G$3:$G$1000,$A17,'01 - Job Database'!$BA$3:$BA$1000,"Yes")</f>
        <v>0</v>
      </c>
      <c r="AN17" s="1" t="n">
        <f aca="false">COUNTIFS('01 - Job Database'!$C$3:$C$1000,"&lt;&gt;",'01 - Job Database'!$W$3:$W$1000,"&lt;&gt;Yes",'01 - Job Database'!$G$3:$G$1000,$A17,'01 - Job Database'!$BB$3:$BB$1000,"Yes")</f>
        <v>0</v>
      </c>
      <c r="AO17" s="1" t="n">
        <f aca="false">COUNTIFS('01 - Job Database'!$C$3:$C$1000,"&lt;&gt;",'01 - Job Database'!$W$3:$W$1000,"&lt;&gt;Yes",'01 - Job Database'!$G$3:$G$1000,$A17,'01 - Job Database'!$BC$3:$BC$1000,"Yes")</f>
        <v>0</v>
      </c>
      <c r="AP17" s="1" t="n">
        <f aca="false">MAX(J17:AO17,BB17:BL17)</f>
        <v>0</v>
      </c>
      <c r="AQ17" s="34" t="n">
        <f aca="false">COUNTIFS('01 - Job Database'!$C$3:$C$1000,"&lt;&gt;",'01 - Job Database'!$W$3:$W$1000,"&lt;&gt;Yes",'01 - Job Database'!$G$3:$G$1000,$A17,'01 - Job Database'!$O$3:$O$1000,"&gt;=100")</f>
        <v>0</v>
      </c>
      <c r="AR17" s="34" t="n">
        <f aca="false">COUNTIFS('01 - Job Database'!$C$3:$C$1000,"&lt;&gt;",'01 - Job Database'!$W$3:$W$1000,"&lt;&gt;Yes",'01 - Job Database'!$G$3:$G$1000,$A17,'01 - Job Database'!$Q$3:$Q$1000,"&gt;=150000")</f>
        <v>0</v>
      </c>
      <c r="AS17" s="34" t="n">
        <f aca="false">COUNTIFS('01 - Job Database'!$C$3:$C$1000,"&lt;&gt;",'01 - Job Database'!$W$3:$W$1000,"&lt;&gt;Yes",'01 - Job Database'!$G$3:$G$1000,$A17,'01 - Job Database'!$BQ$3:$BQ$1000,"&lt;&gt;")</f>
        <v>0</v>
      </c>
      <c r="AT17" s="34" t="n">
        <f aca="false">COUNTIFS('01 - Job Database'!$C$3:$C$1000,"&lt;&gt;",'01 - Job Database'!$W$3:$W$1000,"&lt;&gt;Yes",'01 - Job Database'!$G$3:$G$1000,$A17,'01 - Job Database'!$O$3:$O$1000,"&gt;=20")</f>
        <v>0</v>
      </c>
      <c r="AU17" s="34" t="n">
        <f aca="false">COUNTIFS('01 - Job Database'!$C$3:$C$1000,"&lt;&gt;",'01 - Job Database'!$W$3:$W$1000,"&lt;&gt;Yes",'01 - Job Database'!$G$3:$G$1000,$A17,'01 - Job Database'!$O$3:$O$1000,"&gt;=30")</f>
        <v>0</v>
      </c>
      <c r="AV17" s="34" t="n">
        <f aca="false">COUNTIFS('01 - Job Database'!$C$3:$C$1000,"&lt;&gt;",'01 - Job Database'!$W$3:$W$1000,"&lt;&gt;Yes",'01 - Job Database'!$G$3:$G$1000,$A17,'01 - Job Database'!$O$3:$O$1000,"&gt;=75")</f>
        <v>0</v>
      </c>
      <c r="AW17" s="34" t="n">
        <f aca="false">COUNTIFS('01 - Job Database'!$C$3:$C$1000,"&lt;&gt;",'01 - Job Database'!$W$3:$W$1000,"&lt;&gt;Yes",'01 - Job Database'!$G$3:$G$1000,$A17,'01 - Job Database'!$O$3:$O$1000,"&gt;=150")</f>
        <v>0</v>
      </c>
      <c r="AX17" s="34" t="n">
        <f aca="false">COUNTIFS('01 - Job Database'!$C$3:$C$1000,"&lt;&gt;",'01 - Job Database'!$W$3:$W$1000,"&lt;&gt;Yes",'01 - Job Database'!$G$3:$G$1000,$A17,'01 - Job Database'!$O$3:$O$1000,"&gt;=200")</f>
        <v>0</v>
      </c>
      <c r="AY17" s="34" t="n">
        <f aca="false">COUNTIFS('01 - Job Database'!$C$3:$C$1000,"&lt;&gt;",'01 - Job Database'!$W$3:$W$1000,"&lt;&gt;Yes",'01 - Job Database'!$G$3:$G$1000,$A17,'01 - Job Database'!$Q$3:$Q$1000,"&gt;=200000")</f>
        <v>0</v>
      </c>
      <c r="AZ17" s="34" t="n">
        <f aca="false">COUNTIFS('01 - Job Database'!$C$3:$C$1000,"&lt;&gt;",'01 - Job Database'!$W$3:$W$1000,"&lt;&gt;Yes",'01 - Job Database'!$G$3:$G$1000,$A17,'01 - Job Database'!$Q$3:$Q$1000,"&gt;=250000")</f>
        <v>0</v>
      </c>
      <c r="BA17" s="34" t="n">
        <f aca="false">COUNTIFS('01 - Job Database'!$C$3:$C$1000,"&lt;&gt;",'01 - Job Database'!$W$3:$W$1000,"&lt;&gt;Yes",'01 - Job Database'!$G$3:$G$1000,$A17,'01 - Job Database'!$Q$3:$Q$1000,"&gt;=300000")</f>
        <v>0</v>
      </c>
      <c r="BB17" s="1" t="n">
        <f aca="false">COUNTIFS('01 - Job Database'!$C$3:$C$1000,"&lt;&gt;",'01 - Job Database'!$W$3:$W$1000,"&lt;&gt;Yes",'01 - Job Database'!$G$3:$G$1000,$A17,'01 - Job Database'!$CM$3:$CM$1000,"Yes")</f>
        <v>0</v>
      </c>
      <c r="BC17" s="1" t="n">
        <f aca="false">COUNTIFS('01 - Job Database'!$C$3:$C$1000,"&lt;&gt;",'01 - Job Database'!$W$3:$W$1000,"&lt;&gt;Yes",'01 - Job Database'!$G$3:$G$1000,$A17,'01 - Job Database'!$CN$3:$CN$1000,"Yes")</f>
        <v>0</v>
      </c>
      <c r="BD17" s="1" t="n">
        <f aca="false">COUNTIFS('01 - Job Database'!$C$3:$C$1000,"&lt;&gt;",'01 - Job Database'!$W$3:$W$1000,"&lt;&gt;Yes",'01 - Job Database'!$G$3:$G$1000,$A17,'01 - Job Database'!$CO$3:$CO$1000,"Yes")</f>
        <v>0</v>
      </c>
      <c r="BE17" s="1" t="n">
        <f aca="false">COUNTIFS('01 - Job Database'!$C$3:$C$1000,"&lt;&gt;",'01 - Job Database'!$W$3:$W$1000,"&lt;&gt;Yes",'01 - Job Database'!$G$3:$G$1000,$A17,'01 - Job Database'!$CP$3:$CP$1000,"Yes")</f>
        <v>0</v>
      </c>
      <c r="BF17" s="1" t="n">
        <f aca="false">COUNTIFS('01 - Job Database'!$C$3:$C$1000,"&lt;&gt;",'01 - Job Database'!$W$3:$W$1000,"&lt;&gt;Yes",'01 - Job Database'!$G$3:$G$1000,$A17,'01 - Job Database'!$CQ$3:$CQ$1000,"Yes")</f>
        <v>0</v>
      </c>
      <c r="BG17" s="1" t="n">
        <f aca="false">COUNTIFS('01 - Job Database'!$C$3:$C$1000,"&lt;&gt;",'01 - Job Database'!$W$3:$W$1000,"&lt;&gt;Yes",'01 - Job Database'!$G$3:$G$1000,$A17,'01 - Job Database'!$CR$3:$CR$1000,"Yes")</f>
        <v>0</v>
      </c>
      <c r="BH17" s="1" t="n">
        <f aca="false">COUNTIFS('01 - Job Database'!$C$3:$C$1000,"&lt;&gt;",'01 - Job Database'!$W$3:$W$1000,"&lt;&gt;Yes",'01 - Job Database'!$G$3:$G$1000,$A17,'01 - Job Database'!$CS$3:$CS$1000,"Yes")</f>
        <v>0</v>
      </c>
      <c r="BI17" s="1" t="n">
        <f aca="false">COUNTIFS('01 - Job Database'!$C$3:$C$1000,"&lt;&gt;",'01 - Job Database'!$W$3:$W$1000,"&lt;&gt;Yes",'01 - Job Database'!$G$3:$G$1000,$A17,'01 - Job Database'!$CT$3:$CT$1000,"Yes")</f>
        <v>0</v>
      </c>
      <c r="BJ17" s="1" t="n">
        <f aca="false">COUNTIFS('01 - Job Database'!$C$3:$C$1000,"&lt;&gt;",'01 - Job Database'!$W$3:$W$1000,"&lt;&gt;Yes",'01 - Job Database'!$G$3:$G$1000,$A17,'01 - Job Database'!$CU$3:$CU$1000,"Yes")</f>
        <v>0</v>
      </c>
      <c r="BK17" s="1" t="n">
        <f aca="false">COUNTIFS('01 - Job Database'!$C$3:$C$1000,"&lt;&gt;",'01 - Job Database'!$W$3:$W$1000,"&lt;&gt;Yes",'01 - Job Database'!$G$3:$G$1000,$A17,'01 - Job Database'!$CV$3:$CV$1000,"Yes")</f>
        <v>0</v>
      </c>
      <c r="BL17" s="1" t="n">
        <f aca="false">COUNTIFS('01 - Job Database'!$C$3:$C$1000,"&lt;&gt;",'01 - Job Database'!$W$3:$W$1000,"&lt;&gt;Yes",'01 - Job Database'!$G$3:$G$1000,$A17,'01 - Job Database'!$CW$3:$CW$1000,"Yes")</f>
        <v>0</v>
      </c>
    </row>
    <row r="18" customFormat="false" ht="15" hidden="false" customHeight="true" outlineLevel="0" collapsed="false">
      <c r="A18" s="57" t="s">
        <v>274</v>
      </c>
      <c r="B18" s="26" t="n">
        <f aca="false">COUNTIFS('01 - Job Database'!$C$3:$C$1000,"&lt;&gt;",'01 - Job Database'!$W$3:$W$1000,"&lt;&gt;Yes",'01 - Job Database'!$G$3:$G$1000,A18)</f>
        <v>0</v>
      </c>
      <c r="C18" s="26" t="n">
        <f aca="false">COUNTIFS('01 - Job Database'!$C$3:$C$1000,"&lt;&gt;",'01 - Job Database'!$W$3:$W$1000,"&lt;&gt;Yes",'01 - Job Database'!$G$3:$G$1000,A18,'01 - Job Database'!$S$3:$S$1000,"Yes")</f>
        <v>0</v>
      </c>
      <c r="D18" s="58" t="str">
        <f aca="false">IFERROR(COUNTIFS('01 - Job Database'!$C$3:$C$1000,"&lt;&gt;",'01 - Job Database'!$W$3:$W$1000,"&lt;&gt;Yes",'01 - Job Database'!$G$3:$G$1000,A18,'01 - Job Database'!$J$3:$J$1000,"Yes")/B18,"")</f>
        <v/>
      </c>
      <c r="E18" s="58" t="str">
        <f aca="false">IFERROR(COUNTIFS('01 - Job Database'!$C$3:$C$1000,"&lt;&gt;",'01 - Job Database'!$W$3:$W$1000,"&lt;&gt;Yes",'01 - Job Database'!$G$3:$G$1000,A18,'01 - Job Database'!$K$3:$K$1000,"Yes")/B18,"")</f>
        <v/>
      </c>
      <c r="F18" s="26" t="str">
        <f aca="false">IF(B18=0,"—",IFERROR(INDEX($J$3:$AO$3,MATCH(AP18,J18:AO18,0)),IFERROR(INDEX($BB$3:$BL$3,MATCH(AP18,BB18:BL18,0)),"—")))</f>
        <v>—</v>
      </c>
      <c r="G18" s="26" t="n">
        <f aca="false">B18-ROW()*0.0001</f>
        <v>-0.0018</v>
      </c>
      <c r="J18" s="1" t="n">
        <f aca="false">COUNTIFS('01 - Job Database'!$C$3:$C$1000,"&lt;&gt;",'01 - Job Database'!$W$3:$W$1000,"&lt;&gt;Yes",'01 - Job Database'!$G$3:$G$1000,$A18,'01 - Job Database'!$X$3:$X$1000,"Yes")</f>
        <v>0</v>
      </c>
      <c r="K18" s="1" t="n">
        <f aca="false">COUNTIFS('01 - Job Database'!$C$3:$C$1000,"&lt;&gt;",'01 - Job Database'!$W$3:$W$1000,"&lt;&gt;Yes",'01 - Job Database'!$G$3:$G$1000,$A18,'01 - Job Database'!$Y$3:$Y$1000,"Yes")</f>
        <v>0</v>
      </c>
      <c r="L18" s="1" t="n">
        <f aca="false">COUNTIFS('01 - Job Database'!$C$3:$C$1000,"&lt;&gt;",'01 - Job Database'!$W$3:$W$1000,"&lt;&gt;Yes",'01 - Job Database'!$G$3:$G$1000,$A18,'01 - Job Database'!$Z$3:$Z$1000,"Yes")</f>
        <v>0</v>
      </c>
      <c r="M18" s="1" t="n">
        <f aca="false">COUNTIFS('01 - Job Database'!$C$3:$C$1000,"&lt;&gt;",'01 - Job Database'!$W$3:$W$1000,"&lt;&gt;Yes",'01 - Job Database'!$G$3:$G$1000,$A18,'01 - Job Database'!$AA$3:$AA$1000,"Yes")</f>
        <v>0</v>
      </c>
      <c r="N18" s="1" t="n">
        <f aca="false">COUNTIFS('01 - Job Database'!$C$3:$C$1000,"&lt;&gt;",'01 - Job Database'!$W$3:$W$1000,"&lt;&gt;Yes",'01 - Job Database'!$G$3:$G$1000,$A18,'01 - Job Database'!$AB$3:$AB$1000,"Yes")</f>
        <v>0</v>
      </c>
      <c r="O18" s="1" t="n">
        <f aca="false">COUNTIFS('01 - Job Database'!$C$3:$C$1000,"&lt;&gt;",'01 - Job Database'!$W$3:$W$1000,"&lt;&gt;Yes",'01 - Job Database'!$G$3:$G$1000,$A18,'01 - Job Database'!$AC$3:$AC$1000,"Yes")</f>
        <v>0</v>
      </c>
      <c r="P18" s="1" t="n">
        <f aca="false">COUNTIFS('01 - Job Database'!$C$3:$C$1000,"&lt;&gt;",'01 - Job Database'!$W$3:$W$1000,"&lt;&gt;Yes",'01 - Job Database'!$G$3:$G$1000,$A18,'01 - Job Database'!$AD$3:$AD$1000,"Yes")</f>
        <v>0</v>
      </c>
      <c r="Q18" s="1" t="n">
        <f aca="false">COUNTIFS('01 - Job Database'!$C$3:$C$1000,"&lt;&gt;",'01 - Job Database'!$W$3:$W$1000,"&lt;&gt;Yes",'01 - Job Database'!$G$3:$G$1000,$A18,'01 - Job Database'!$AE$3:$AE$1000,"Yes")</f>
        <v>0</v>
      </c>
      <c r="R18" s="1" t="n">
        <f aca="false">COUNTIFS('01 - Job Database'!$C$3:$C$1000,"&lt;&gt;",'01 - Job Database'!$W$3:$W$1000,"&lt;&gt;Yes",'01 - Job Database'!$G$3:$G$1000,$A18,'01 - Job Database'!$AF$3:$AF$1000,"Yes")</f>
        <v>0</v>
      </c>
      <c r="S18" s="1" t="n">
        <f aca="false">COUNTIFS('01 - Job Database'!$C$3:$C$1000,"&lt;&gt;",'01 - Job Database'!$W$3:$W$1000,"&lt;&gt;Yes",'01 - Job Database'!$G$3:$G$1000,$A18,'01 - Job Database'!$AG$3:$AG$1000,"Yes")</f>
        <v>0</v>
      </c>
      <c r="T18" s="1" t="n">
        <f aca="false">COUNTIFS('01 - Job Database'!$C$3:$C$1000,"&lt;&gt;",'01 - Job Database'!$W$3:$W$1000,"&lt;&gt;Yes",'01 - Job Database'!$G$3:$G$1000,$A18,'01 - Job Database'!$AH$3:$AH$1000,"Yes")</f>
        <v>0</v>
      </c>
      <c r="U18" s="1" t="n">
        <f aca="false">COUNTIFS('01 - Job Database'!$C$3:$C$1000,"&lt;&gt;",'01 - Job Database'!$W$3:$W$1000,"&lt;&gt;Yes",'01 - Job Database'!$G$3:$G$1000,$A18,'01 - Job Database'!$AI$3:$AI$1000,"Yes")</f>
        <v>0</v>
      </c>
      <c r="V18" s="1" t="n">
        <f aca="false">COUNTIFS('01 - Job Database'!$C$3:$C$1000,"&lt;&gt;",'01 - Job Database'!$W$3:$W$1000,"&lt;&gt;Yes",'01 - Job Database'!$G$3:$G$1000,$A18,'01 - Job Database'!$AJ$3:$AJ$1000,"Yes")</f>
        <v>0</v>
      </c>
      <c r="W18" s="1" t="n">
        <f aca="false">COUNTIFS('01 - Job Database'!$C$3:$C$1000,"&lt;&gt;",'01 - Job Database'!$W$3:$W$1000,"&lt;&gt;Yes",'01 - Job Database'!$G$3:$G$1000,$A18,'01 - Job Database'!$AK$3:$AK$1000,"Yes")</f>
        <v>0</v>
      </c>
      <c r="X18" s="1" t="n">
        <f aca="false">COUNTIFS('01 - Job Database'!$C$3:$C$1000,"&lt;&gt;",'01 - Job Database'!$W$3:$W$1000,"&lt;&gt;Yes",'01 - Job Database'!$G$3:$G$1000,$A18,'01 - Job Database'!$AL$3:$AL$1000,"Yes")</f>
        <v>0</v>
      </c>
      <c r="Y18" s="1" t="n">
        <f aca="false">COUNTIFS('01 - Job Database'!$C$3:$C$1000,"&lt;&gt;",'01 - Job Database'!$W$3:$W$1000,"&lt;&gt;Yes",'01 - Job Database'!$G$3:$G$1000,$A18,'01 - Job Database'!$AM$3:$AM$1000,"Yes")</f>
        <v>0</v>
      </c>
      <c r="Z18" s="1" t="n">
        <f aca="false">COUNTIFS('01 - Job Database'!$C$3:$C$1000,"&lt;&gt;",'01 - Job Database'!$W$3:$W$1000,"&lt;&gt;Yes",'01 - Job Database'!$G$3:$G$1000,$A18,'01 - Job Database'!$AN$3:$AN$1000,"Yes")</f>
        <v>0</v>
      </c>
      <c r="AA18" s="1" t="n">
        <f aca="false">COUNTIFS('01 - Job Database'!$C$3:$C$1000,"&lt;&gt;",'01 - Job Database'!$W$3:$W$1000,"&lt;&gt;Yes",'01 - Job Database'!$G$3:$G$1000,$A18,'01 - Job Database'!$AO$3:$AO$1000,"Yes")</f>
        <v>0</v>
      </c>
      <c r="AB18" s="1" t="n">
        <f aca="false">COUNTIFS('01 - Job Database'!$C$3:$C$1000,"&lt;&gt;",'01 - Job Database'!$W$3:$W$1000,"&lt;&gt;Yes",'01 - Job Database'!$G$3:$G$1000,$A18,'01 - Job Database'!$AP$3:$AP$1000,"Yes")</f>
        <v>0</v>
      </c>
      <c r="AC18" s="1" t="n">
        <f aca="false">COUNTIFS('01 - Job Database'!$C$3:$C$1000,"&lt;&gt;",'01 - Job Database'!$W$3:$W$1000,"&lt;&gt;Yes",'01 - Job Database'!$G$3:$G$1000,$A18,'01 - Job Database'!$AQ$3:$AQ$1000,"Yes")</f>
        <v>0</v>
      </c>
      <c r="AD18" s="1" t="n">
        <f aca="false">COUNTIFS('01 - Job Database'!$C$3:$C$1000,"&lt;&gt;",'01 - Job Database'!$W$3:$W$1000,"&lt;&gt;Yes",'01 - Job Database'!$G$3:$G$1000,$A18,'01 - Job Database'!$AR$3:$AR$1000,"Yes")</f>
        <v>0</v>
      </c>
      <c r="AE18" s="1" t="n">
        <f aca="false">COUNTIFS('01 - Job Database'!$C$3:$C$1000,"&lt;&gt;",'01 - Job Database'!$W$3:$W$1000,"&lt;&gt;Yes",'01 - Job Database'!$G$3:$G$1000,$A18,'01 - Job Database'!$AS$3:$AS$1000,"Yes")</f>
        <v>0</v>
      </c>
      <c r="AF18" s="1" t="n">
        <f aca="false">COUNTIFS('01 - Job Database'!$C$3:$C$1000,"&lt;&gt;",'01 - Job Database'!$W$3:$W$1000,"&lt;&gt;Yes",'01 - Job Database'!$G$3:$G$1000,$A18,'01 - Job Database'!$AT$3:$AT$1000,"Yes")</f>
        <v>0</v>
      </c>
      <c r="AG18" s="1" t="n">
        <f aca="false">COUNTIFS('01 - Job Database'!$C$3:$C$1000,"&lt;&gt;",'01 - Job Database'!$W$3:$W$1000,"&lt;&gt;Yes",'01 - Job Database'!$G$3:$G$1000,$A18,'01 - Job Database'!$AU$3:$AU$1000,"Yes")</f>
        <v>0</v>
      </c>
      <c r="AH18" s="1" t="n">
        <f aca="false">COUNTIFS('01 - Job Database'!$C$3:$C$1000,"&lt;&gt;",'01 - Job Database'!$W$3:$W$1000,"&lt;&gt;Yes",'01 - Job Database'!$G$3:$G$1000,$A18,'01 - Job Database'!$AV$3:$AV$1000,"Yes")</f>
        <v>0</v>
      </c>
      <c r="AI18" s="1" t="n">
        <f aca="false">COUNTIFS('01 - Job Database'!$C$3:$C$1000,"&lt;&gt;",'01 - Job Database'!$W$3:$W$1000,"&lt;&gt;Yes",'01 - Job Database'!$G$3:$G$1000,$A18,'01 - Job Database'!$AW$3:$AW$1000,"Yes")</f>
        <v>0</v>
      </c>
      <c r="AJ18" s="1" t="n">
        <f aca="false">COUNTIFS('01 - Job Database'!$C$3:$C$1000,"&lt;&gt;",'01 - Job Database'!$W$3:$W$1000,"&lt;&gt;Yes",'01 - Job Database'!$G$3:$G$1000,$A18,'01 - Job Database'!$AX$3:$AX$1000,"Yes")</f>
        <v>0</v>
      </c>
      <c r="AK18" s="1" t="n">
        <f aca="false">COUNTIFS('01 - Job Database'!$C$3:$C$1000,"&lt;&gt;",'01 - Job Database'!$W$3:$W$1000,"&lt;&gt;Yes",'01 - Job Database'!$G$3:$G$1000,$A18,'01 - Job Database'!$AY$3:$AY$1000,"Yes")</f>
        <v>0</v>
      </c>
      <c r="AL18" s="1" t="n">
        <f aca="false">COUNTIFS('01 - Job Database'!$C$3:$C$1000,"&lt;&gt;",'01 - Job Database'!$W$3:$W$1000,"&lt;&gt;Yes",'01 - Job Database'!$G$3:$G$1000,$A18,'01 - Job Database'!$AZ$3:$AZ$1000,"Yes")</f>
        <v>0</v>
      </c>
      <c r="AM18" s="1" t="n">
        <f aca="false">COUNTIFS('01 - Job Database'!$C$3:$C$1000,"&lt;&gt;",'01 - Job Database'!$W$3:$W$1000,"&lt;&gt;Yes",'01 - Job Database'!$G$3:$G$1000,$A18,'01 - Job Database'!$BA$3:$BA$1000,"Yes")</f>
        <v>0</v>
      </c>
      <c r="AN18" s="1" t="n">
        <f aca="false">COUNTIFS('01 - Job Database'!$C$3:$C$1000,"&lt;&gt;",'01 - Job Database'!$W$3:$W$1000,"&lt;&gt;Yes",'01 - Job Database'!$G$3:$G$1000,$A18,'01 - Job Database'!$BB$3:$BB$1000,"Yes")</f>
        <v>0</v>
      </c>
      <c r="AO18" s="1" t="n">
        <f aca="false">COUNTIFS('01 - Job Database'!$C$3:$C$1000,"&lt;&gt;",'01 - Job Database'!$W$3:$W$1000,"&lt;&gt;Yes",'01 - Job Database'!$G$3:$G$1000,$A18,'01 - Job Database'!$BC$3:$BC$1000,"Yes")</f>
        <v>0</v>
      </c>
      <c r="AP18" s="1" t="n">
        <f aca="false">MAX(J18:AO18,BB18:BL18)</f>
        <v>0</v>
      </c>
      <c r="AQ18" s="34" t="n">
        <f aca="false">COUNTIFS('01 - Job Database'!$C$3:$C$1000,"&lt;&gt;",'01 - Job Database'!$W$3:$W$1000,"&lt;&gt;Yes",'01 - Job Database'!$G$3:$G$1000,$A18,'01 - Job Database'!$O$3:$O$1000,"&gt;=100")</f>
        <v>0</v>
      </c>
      <c r="AR18" s="34" t="n">
        <f aca="false">COUNTIFS('01 - Job Database'!$C$3:$C$1000,"&lt;&gt;",'01 - Job Database'!$W$3:$W$1000,"&lt;&gt;Yes",'01 - Job Database'!$G$3:$G$1000,$A18,'01 - Job Database'!$Q$3:$Q$1000,"&gt;=150000")</f>
        <v>0</v>
      </c>
      <c r="AS18" s="34" t="n">
        <f aca="false">COUNTIFS('01 - Job Database'!$C$3:$C$1000,"&lt;&gt;",'01 - Job Database'!$W$3:$W$1000,"&lt;&gt;Yes",'01 - Job Database'!$G$3:$G$1000,$A18,'01 - Job Database'!$BQ$3:$BQ$1000,"&lt;&gt;")</f>
        <v>0</v>
      </c>
      <c r="AT18" s="34" t="n">
        <f aca="false">COUNTIFS('01 - Job Database'!$C$3:$C$1000,"&lt;&gt;",'01 - Job Database'!$W$3:$W$1000,"&lt;&gt;Yes",'01 - Job Database'!$G$3:$G$1000,$A18,'01 - Job Database'!$O$3:$O$1000,"&gt;=20")</f>
        <v>0</v>
      </c>
      <c r="AU18" s="34" t="n">
        <f aca="false">COUNTIFS('01 - Job Database'!$C$3:$C$1000,"&lt;&gt;",'01 - Job Database'!$W$3:$W$1000,"&lt;&gt;Yes",'01 - Job Database'!$G$3:$G$1000,$A18,'01 - Job Database'!$O$3:$O$1000,"&gt;=30")</f>
        <v>0</v>
      </c>
      <c r="AV18" s="34" t="n">
        <f aca="false">COUNTIFS('01 - Job Database'!$C$3:$C$1000,"&lt;&gt;",'01 - Job Database'!$W$3:$W$1000,"&lt;&gt;Yes",'01 - Job Database'!$G$3:$G$1000,$A18,'01 - Job Database'!$O$3:$O$1000,"&gt;=75")</f>
        <v>0</v>
      </c>
      <c r="AW18" s="34" t="n">
        <f aca="false">COUNTIFS('01 - Job Database'!$C$3:$C$1000,"&lt;&gt;",'01 - Job Database'!$W$3:$W$1000,"&lt;&gt;Yes",'01 - Job Database'!$G$3:$G$1000,$A18,'01 - Job Database'!$O$3:$O$1000,"&gt;=150")</f>
        <v>0</v>
      </c>
      <c r="AX18" s="34" t="n">
        <f aca="false">COUNTIFS('01 - Job Database'!$C$3:$C$1000,"&lt;&gt;",'01 - Job Database'!$W$3:$W$1000,"&lt;&gt;Yes",'01 - Job Database'!$G$3:$G$1000,$A18,'01 - Job Database'!$O$3:$O$1000,"&gt;=200")</f>
        <v>0</v>
      </c>
      <c r="AY18" s="34" t="n">
        <f aca="false">COUNTIFS('01 - Job Database'!$C$3:$C$1000,"&lt;&gt;",'01 - Job Database'!$W$3:$W$1000,"&lt;&gt;Yes",'01 - Job Database'!$G$3:$G$1000,$A18,'01 - Job Database'!$Q$3:$Q$1000,"&gt;=200000")</f>
        <v>0</v>
      </c>
      <c r="AZ18" s="34" t="n">
        <f aca="false">COUNTIFS('01 - Job Database'!$C$3:$C$1000,"&lt;&gt;",'01 - Job Database'!$W$3:$W$1000,"&lt;&gt;Yes",'01 - Job Database'!$G$3:$G$1000,$A18,'01 - Job Database'!$Q$3:$Q$1000,"&gt;=250000")</f>
        <v>0</v>
      </c>
      <c r="BA18" s="34" t="n">
        <f aca="false">COUNTIFS('01 - Job Database'!$C$3:$C$1000,"&lt;&gt;",'01 - Job Database'!$W$3:$W$1000,"&lt;&gt;Yes",'01 - Job Database'!$G$3:$G$1000,$A18,'01 - Job Database'!$Q$3:$Q$1000,"&gt;=300000")</f>
        <v>0</v>
      </c>
      <c r="BB18" s="1" t="n">
        <f aca="false">COUNTIFS('01 - Job Database'!$C$3:$C$1000,"&lt;&gt;",'01 - Job Database'!$W$3:$W$1000,"&lt;&gt;Yes",'01 - Job Database'!$G$3:$G$1000,$A18,'01 - Job Database'!$CM$3:$CM$1000,"Yes")</f>
        <v>0</v>
      </c>
      <c r="BC18" s="1" t="n">
        <f aca="false">COUNTIFS('01 - Job Database'!$C$3:$C$1000,"&lt;&gt;",'01 - Job Database'!$W$3:$W$1000,"&lt;&gt;Yes",'01 - Job Database'!$G$3:$G$1000,$A18,'01 - Job Database'!$CN$3:$CN$1000,"Yes")</f>
        <v>0</v>
      </c>
      <c r="BD18" s="1" t="n">
        <f aca="false">COUNTIFS('01 - Job Database'!$C$3:$C$1000,"&lt;&gt;",'01 - Job Database'!$W$3:$W$1000,"&lt;&gt;Yes",'01 - Job Database'!$G$3:$G$1000,$A18,'01 - Job Database'!$CO$3:$CO$1000,"Yes")</f>
        <v>0</v>
      </c>
      <c r="BE18" s="1" t="n">
        <f aca="false">COUNTIFS('01 - Job Database'!$C$3:$C$1000,"&lt;&gt;",'01 - Job Database'!$W$3:$W$1000,"&lt;&gt;Yes",'01 - Job Database'!$G$3:$G$1000,$A18,'01 - Job Database'!$CP$3:$CP$1000,"Yes")</f>
        <v>0</v>
      </c>
      <c r="BF18" s="1" t="n">
        <f aca="false">COUNTIFS('01 - Job Database'!$C$3:$C$1000,"&lt;&gt;",'01 - Job Database'!$W$3:$W$1000,"&lt;&gt;Yes",'01 - Job Database'!$G$3:$G$1000,$A18,'01 - Job Database'!$CQ$3:$CQ$1000,"Yes")</f>
        <v>0</v>
      </c>
      <c r="BG18" s="1" t="n">
        <f aca="false">COUNTIFS('01 - Job Database'!$C$3:$C$1000,"&lt;&gt;",'01 - Job Database'!$W$3:$W$1000,"&lt;&gt;Yes",'01 - Job Database'!$G$3:$G$1000,$A18,'01 - Job Database'!$CR$3:$CR$1000,"Yes")</f>
        <v>0</v>
      </c>
      <c r="BH18" s="1" t="n">
        <f aca="false">COUNTIFS('01 - Job Database'!$C$3:$C$1000,"&lt;&gt;",'01 - Job Database'!$W$3:$W$1000,"&lt;&gt;Yes",'01 - Job Database'!$G$3:$G$1000,$A18,'01 - Job Database'!$CS$3:$CS$1000,"Yes")</f>
        <v>0</v>
      </c>
      <c r="BI18" s="1" t="n">
        <f aca="false">COUNTIFS('01 - Job Database'!$C$3:$C$1000,"&lt;&gt;",'01 - Job Database'!$W$3:$W$1000,"&lt;&gt;Yes",'01 - Job Database'!$G$3:$G$1000,$A18,'01 - Job Database'!$CT$3:$CT$1000,"Yes")</f>
        <v>0</v>
      </c>
      <c r="BJ18" s="1" t="n">
        <f aca="false">COUNTIFS('01 - Job Database'!$C$3:$C$1000,"&lt;&gt;",'01 - Job Database'!$W$3:$W$1000,"&lt;&gt;Yes",'01 - Job Database'!$G$3:$G$1000,$A18,'01 - Job Database'!$CU$3:$CU$1000,"Yes")</f>
        <v>0</v>
      </c>
      <c r="BK18" s="1" t="n">
        <f aca="false">COUNTIFS('01 - Job Database'!$C$3:$C$1000,"&lt;&gt;",'01 - Job Database'!$W$3:$W$1000,"&lt;&gt;Yes",'01 - Job Database'!$G$3:$G$1000,$A18,'01 - Job Database'!$CV$3:$CV$1000,"Yes")</f>
        <v>0</v>
      </c>
      <c r="BL18" s="1" t="n">
        <f aca="false">COUNTIFS('01 - Job Database'!$C$3:$C$1000,"&lt;&gt;",'01 - Job Database'!$W$3:$W$1000,"&lt;&gt;Yes",'01 - Job Database'!$G$3:$G$1000,$A18,'01 - Job Database'!$CW$3:$CW$1000,"Yes")</f>
        <v>0</v>
      </c>
    </row>
    <row r="19" customFormat="false" ht="15" hidden="false" customHeight="true" outlineLevel="0" collapsed="false">
      <c r="A19" s="57" t="s">
        <v>275</v>
      </c>
      <c r="B19" s="26" t="n">
        <f aca="false">COUNTIFS('01 - Job Database'!$C$3:$C$1000,"&lt;&gt;",'01 - Job Database'!$W$3:$W$1000,"&lt;&gt;Yes",'01 - Job Database'!$G$3:$G$1000,A19)</f>
        <v>0</v>
      </c>
      <c r="C19" s="26" t="n">
        <f aca="false">COUNTIFS('01 - Job Database'!$C$3:$C$1000,"&lt;&gt;",'01 - Job Database'!$W$3:$W$1000,"&lt;&gt;Yes",'01 - Job Database'!$G$3:$G$1000,A19,'01 - Job Database'!$S$3:$S$1000,"Yes")</f>
        <v>0</v>
      </c>
      <c r="D19" s="58" t="str">
        <f aca="false">IFERROR(COUNTIFS('01 - Job Database'!$C$3:$C$1000,"&lt;&gt;",'01 - Job Database'!$W$3:$W$1000,"&lt;&gt;Yes",'01 - Job Database'!$G$3:$G$1000,A19,'01 - Job Database'!$J$3:$J$1000,"Yes")/B19,"")</f>
        <v/>
      </c>
      <c r="E19" s="58" t="str">
        <f aca="false">IFERROR(COUNTIFS('01 - Job Database'!$C$3:$C$1000,"&lt;&gt;",'01 - Job Database'!$W$3:$W$1000,"&lt;&gt;Yes",'01 - Job Database'!$G$3:$G$1000,A19,'01 - Job Database'!$K$3:$K$1000,"Yes")/B19,"")</f>
        <v/>
      </c>
      <c r="F19" s="26" t="str">
        <f aca="false">IF(B19=0,"—",IFERROR(INDEX($J$3:$AO$3,MATCH(AP19,J19:AO19,0)),IFERROR(INDEX($BB$3:$BL$3,MATCH(AP19,BB19:BL19,0)),"—")))</f>
        <v>—</v>
      </c>
      <c r="G19" s="26" t="n">
        <f aca="false">B19-ROW()*0.0001</f>
        <v>-0.0019</v>
      </c>
      <c r="J19" s="1" t="n">
        <f aca="false">COUNTIFS('01 - Job Database'!$C$3:$C$1000,"&lt;&gt;",'01 - Job Database'!$W$3:$W$1000,"&lt;&gt;Yes",'01 - Job Database'!$G$3:$G$1000,$A19,'01 - Job Database'!$X$3:$X$1000,"Yes")</f>
        <v>0</v>
      </c>
      <c r="K19" s="1" t="n">
        <f aca="false">COUNTIFS('01 - Job Database'!$C$3:$C$1000,"&lt;&gt;",'01 - Job Database'!$W$3:$W$1000,"&lt;&gt;Yes",'01 - Job Database'!$G$3:$G$1000,$A19,'01 - Job Database'!$Y$3:$Y$1000,"Yes")</f>
        <v>0</v>
      </c>
      <c r="L19" s="1" t="n">
        <f aca="false">COUNTIFS('01 - Job Database'!$C$3:$C$1000,"&lt;&gt;",'01 - Job Database'!$W$3:$W$1000,"&lt;&gt;Yes",'01 - Job Database'!$G$3:$G$1000,$A19,'01 - Job Database'!$Z$3:$Z$1000,"Yes")</f>
        <v>0</v>
      </c>
      <c r="M19" s="1" t="n">
        <f aca="false">COUNTIFS('01 - Job Database'!$C$3:$C$1000,"&lt;&gt;",'01 - Job Database'!$W$3:$W$1000,"&lt;&gt;Yes",'01 - Job Database'!$G$3:$G$1000,$A19,'01 - Job Database'!$AA$3:$AA$1000,"Yes")</f>
        <v>0</v>
      </c>
      <c r="N19" s="1" t="n">
        <f aca="false">COUNTIFS('01 - Job Database'!$C$3:$C$1000,"&lt;&gt;",'01 - Job Database'!$W$3:$W$1000,"&lt;&gt;Yes",'01 - Job Database'!$G$3:$G$1000,$A19,'01 - Job Database'!$AB$3:$AB$1000,"Yes")</f>
        <v>0</v>
      </c>
      <c r="O19" s="1" t="n">
        <f aca="false">COUNTIFS('01 - Job Database'!$C$3:$C$1000,"&lt;&gt;",'01 - Job Database'!$W$3:$W$1000,"&lt;&gt;Yes",'01 - Job Database'!$G$3:$G$1000,$A19,'01 - Job Database'!$AC$3:$AC$1000,"Yes")</f>
        <v>0</v>
      </c>
      <c r="P19" s="1" t="n">
        <f aca="false">COUNTIFS('01 - Job Database'!$C$3:$C$1000,"&lt;&gt;",'01 - Job Database'!$W$3:$W$1000,"&lt;&gt;Yes",'01 - Job Database'!$G$3:$G$1000,$A19,'01 - Job Database'!$AD$3:$AD$1000,"Yes")</f>
        <v>0</v>
      </c>
      <c r="Q19" s="1" t="n">
        <f aca="false">COUNTIFS('01 - Job Database'!$C$3:$C$1000,"&lt;&gt;",'01 - Job Database'!$W$3:$W$1000,"&lt;&gt;Yes",'01 - Job Database'!$G$3:$G$1000,$A19,'01 - Job Database'!$AE$3:$AE$1000,"Yes")</f>
        <v>0</v>
      </c>
      <c r="R19" s="1" t="n">
        <f aca="false">COUNTIFS('01 - Job Database'!$C$3:$C$1000,"&lt;&gt;",'01 - Job Database'!$W$3:$W$1000,"&lt;&gt;Yes",'01 - Job Database'!$G$3:$G$1000,$A19,'01 - Job Database'!$AF$3:$AF$1000,"Yes")</f>
        <v>0</v>
      </c>
      <c r="S19" s="1" t="n">
        <f aca="false">COUNTIFS('01 - Job Database'!$C$3:$C$1000,"&lt;&gt;",'01 - Job Database'!$W$3:$W$1000,"&lt;&gt;Yes",'01 - Job Database'!$G$3:$G$1000,$A19,'01 - Job Database'!$AG$3:$AG$1000,"Yes")</f>
        <v>0</v>
      </c>
      <c r="T19" s="1" t="n">
        <f aca="false">COUNTIFS('01 - Job Database'!$C$3:$C$1000,"&lt;&gt;",'01 - Job Database'!$W$3:$W$1000,"&lt;&gt;Yes",'01 - Job Database'!$G$3:$G$1000,$A19,'01 - Job Database'!$AH$3:$AH$1000,"Yes")</f>
        <v>0</v>
      </c>
      <c r="U19" s="1" t="n">
        <f aca="false">COUNTIFS('01 - Job Database'!$C$3:$C$1000,"&lt;&gt;",'01 - Job Database'!$W$3:$W$1000,"&lt;&gt;Yes",'01 - Job Database'!$G$3:$G$1000,$A19,'01 - Job Database'!$AI$3:$AI$1000,"Yes")</f>
        <v>0</v>
      </c>
      <c r="V19" s="1" t="n">
        <f aca="false">COUNTIFS('01 - Job Database'!$C$3:$C$1000,"&lt;&gt;",'01 - Job Database'!$W$3:$W$1000,"&lt;&gt;Yes",'01 - Job Database'!$G$3:$G$1000,$A19,'01 - Job Database'!$AJ$3:$AJ$1000,"Yes")</f>
        <v>0</v>
      </c>
      <c r="W19" s="1" t="n">
        <f aca="false">COUNTIFS('01 - Job Database'!$C$3:$C$1000,"&lt;&gt;",'01 - Job Database'!$W$3:$W$1000,"&lt;&gt;Yes",'01 - Job Database'!$G$3:$G$1000,$A19,'01 - Job Database'!$AK$3:$AK$1000,"Yes")</f>
        <v>0</v>
      </c>
      <c r="X19" s="1" t="n">
        <f aca="false">COUNTIFS('01 - Job Database'!$C$3:$C$1000,"&lt;&gt;",'01 - Job Database'!$W$3:$W$1000,"&lt;&gt;Yes",'01 - Job Database'!$G$3:$G$1000,$A19,'01 - Job Database'!$AL$3:$AL$1000,"Yes")</f>
        <v>0</v>
      </c>
      <c r="Y19" s="1" t="n">
        <f aca="false">COUNTIFS('01 - Job Database'!$C$3:$C$1000,"&lt;&gt;",'01 - Job Database'!$W$3:$W$1000,"&lt;&gt;Yes",'01 - Job Database'!$G$3:$G$1000,$A19,'01 - Job Database'!$AM$3:$AM$1000,"Yes")</f>
        <v>0</v>
      </c>
      <c r="Z19" s="1" t="n">
        <f aca="false">COUNTIFS('01 - Job Database'!$C$3:$C$1000,"&lt;&gt;",'01 - Job Database'!$W$3:$W$1000,"&lt;&gt;Yes",'01 - Job Database'!$G$3:$G$1000,$A19,'01 - Job Database'!$AN$3:$AN$1000,"Yes")</f>
        <v>0</v>
      </c>
      <c r="AA19" s="1" t="n">
        <f aca="false">COUNTIFS('01 - Job Database'!$C$3:$C$1000,"&lt;&gt;",'01 - Job Database'!$W$3:$W$1000,"&lt;&gt;Yes",'01 - Job Database'!$G$3:$G$1000,$A19,'01 - Job Database'!$AO$3:$AO$1000,"Yes")</f>
        <v>0</v>
      </c>
      <c r="AB19" s="1" t="n">
        <f aca="false">COUNTIFS('01 - Job Database'!$C$3:$C$1000,"&lt;&gt;",'01 - Job Database'!$W$3:$W$1000,"&lt;&gt;Yes",'01 - Job Database'!$G$3:$G$1000,$A19,'01 - Job Database'!$AP$3:$AP$1000,"Yes")</f>
        <v>0</v>
      </c>
      <c r="AC19" s="1" t="n">
        <f aca="false">COUNTIFS('01 - Job Database'!$C$3:$C$1000,"&lt;&gt;",'01 - Job Database'!$W$3:$W$1000,"&lt;&gt;Yes",'01 - Job Database'!$G$3:$G$1000,$A19,'01 - Job Database'!$AQ$3:$AQ$1000,"Yes")</f>
        <v>0</v>
      </c>
      <c r="AD19" s="1" t="n">
        <f aca="false">COUNTIFS('01 - Job Database'!$C$3:$C$1000,"&lt;&gt;",'01 - Job Database'!$W$3:$W$1000,"&lt;&gt;Yes",'01 - Job Database'!$G$3:$G$1000,$A19,'01 - Job Database'!$AR$3:$AR$1000,"Yes")</f>
        <v>0</v>
      </c>
      <c r="AE19" s="1" t="n">
        <f aca="false">COUNTIFS('01 - Job Database'!$C$3:$C$1000,"&lt;&gt;",'01 - Job Database'!$W$3:$W$1000,"&lt;&gt;Yes",'01 - Job Database'!$G$3:$G$1000,$A19,'01 - Job Database'!$AS$3:$AS$1000,"Yes")</f>
        <v>0</v>
      </c>
      <c r="AF19" s="1" t="n">
        <f aca="false">COUNTIFS('01 - Job Database'!$C$3:$C$1000,"&lt;&gt;",'01 - Job Database'!$W$3:$W$1000,"&lt;&gt;Yes",'01 - Job Database'!$G$3:$G$1000,$A19,'01 - Job Database'!$AT$3:$AT$1000,"Yes")</f>
        <v>0</v>
      </c>
      <c r="AG19" s="1" t="n">
        <f aca="false">COUNTIFS('01 - Job Database'!$C$3:$C$1000,"&lt;&gt;",'01 - Job Database'!$W$3:$W$1000,"&lt;&gt;Yes",'01 - Job Database'!$G$3:$G$1000,$A19,'01 - Job Database'!$AU$3:$AU$1000,"Yes")</f>
        <v>0</v>
      </c>
      <c r="AH19" s="1" t="n">
        <f aca="false">COUNTIFS('01 - Job Database'!$C$3:$C$1000,"&lt;&gt;",'01 - Job Database'!$W$3:$W$1000,"&lt;&gt;Yes",'01 - Job Database'!$G$3:$G$1000,$A19,'01 - Job Database'!$AV$3:$AV$1000,"Yes")</f>
        <v>0</v>
      </c>
      <c r="AI19" s="1" t="n">
        <f aca="false">COUNTIFS('01 - Job Database'!$C$3:$C$1000,"&lt;&gt;",'01 - Job Database'!$W$3:$W$1000,"&lt;&gt;Yes",'01 - Job Database'!$G$3:$G$1000,$A19,'01 - Job Database'!$AW$3:$AW$1000,"Yes")</f>
        <v>0</v>
      </c>
      <c r="AJ19" s="1" t="n">
        <f aca="false">COUNTIFS('01 - Job Database'!$C$3:$C$1000,"&lt;&gt;",'01 - Job Database'!$W$3:$W$1000,"&lt;&gt;Yes",'01 - Job Database'!$G$3:$G$1000,$A19,'01 - Job Database'!$AX$3:$AX$1000,"Yes")</f>
        <v>0</v>
      </c>
      <c r="AK19" s="1" t="n">
        <f aca="false">COUNTIFS('01 - Job Database'!$C$3:$C$1000,"&lt;&gt;",'01 - Job Database'!$W$3:$W$1000,"&lt;&gt;Yes",'01 - Job Database'!$G$3:$G$1000,$A19,'01 - Job Database'!$AY$3:$AY$1000,"Yes")</f>
        <v>0</v>
      </c>
      <c r="AL19" s="1" t="n">
        <f aca="false">COUNTIFS('01 - Job Database'!$C$3:$C$1000,"&lt;&gt;",'01 - Job Database'!$W$3:$W$1000,"&lt;&gt;Yes",'01 - Job Database'!$G$3:$G$1000,$A19,'01 - Job Database'!$AZ$3:$AZ$1000,"Yes")</f>
        <v>0</v>
      </c>
      <c r="AM19" s="1" t="n">
        <f aca="false">COUNTIFS('01 - Job Database'!$C$3:$C$1000,"&lt;&gt;",'01 - Job Database'!$W$3:$W$1000,"&lt;&gt;Yes",'01 - Job Database'!$G$3:$G$1000,$A19,'01 - Job Database'!$BA$3:$BA$1000,"Yes")</f>
        <v>0</v>
      </c>
      <c r="AN19" s="1" t="n">
        <f aca="false">COUNTIFS('01 - Job Database'!$C$3:$C$1000,"&lt;&gt;",'01 - Job Database'!$W$3:$W$1000,"&lt;&gt;Yes",'01 - Job Database'!$G$3:$G$1000,$A19,'01 - Job Database'!$BB$3:$BB$1000,"Yes")</f>
        <v>0</v>
      </c>
      <c r="AO19" s="1" t="n">
        <f aca="false">COUNTIFS('01 - Job Database'!$C$3:$C$1000,"&lt;&gt;",'01 - Job Database'!$W$3:$W$1000,"&lt;&gt;Yes",'01 - Job Database'!$G$3:$G$1000,$A19,'01 - Job Database'!$BC$3:$BC$1000,"Yes")</f>
        <v>0</v>
      </c>
      <c r="AP19" s="1" t="n">
        <f aca="false">MAX(J19:AO19,BB19:BL19)</f>
        <v>0</v>
      </c>
      <c r="AQ19" s="34" t="n">
        <f aca="false">COUNTIFS('01 - Job Database'!$C$3:$C$1000,"&lt;&gt;",'01 - Job Database'!$W$3:$W$1000,"&lt;&gt;Yes",'01 - Job Database'!$G$3:$G$1000,$A19,'01 - Job Database'!$O$3:$O$1000,"&gt;=100")</f>
        <v>0</v>
      </c>
      <c r="AR19" s="34" t="n">
        <f aca="false">COUNTIFS('01 - Job Database'!$C$3:$C$1000,"&lt;&gt;",'01 - Job Database'!$W$3:$W$1000,"&lt;&gt;Yes",'01 - Job Database'!$G$3:$G$1000,$A19,'01 - Job Database'!$Q$3:$Q$1000,"&gt;=150000")</f>
        <v>0</v>
      </c>
      <c r="AS19" s="34" t="n">
        <f aca="false">COUNTIFS('01 - Job Database'!$C$3:$C$1000,"&lt;&gt;",'01 - Job Database'!$W$3:$W$1000,"&lt;&gt;Yes",'01 - Job Database'!$G$3:$G$1000,$A19,'01 - Job Database'!$BQ$3:$BQ$1000,"&lt;&gt;")</f>
        <v>0</v>
      </c>
      <c r="AT19" s="34" t="n">
        <f aca="false">COUNTIFS('01 - Job Database'!$C$3:$C$1000,"&lt;&gt;",'01 - Job Database'!$W$3:$W$1000,"&lt;&gt;Yes",'01 - Job Database'!$G$3:$G$1000,$A19,'01 - Job Database'!$O$3:$O$1000,"&gt;=20")</f>
        <v>0</v>
      </c>
      <c r="AU19" s="34" t="n">
        <f aca="false">COUNTIFS('01 - Job Database'!$C$3:$C$1000,"&lt;&gt;",'01 - Job Database'!$W$3:$W$1000,"&lt;&gt;Yes",'01 - Job Database'!$G$3:$G$1000,$A19,'01 - Job Database'!$O$3:$O$1000,"&gt;=30")</f>
        <v>0</v>
      </c>
      <c r="AV19" s="34" t="n">
        <f aca="false">COUNTIFS('01 - Job Database'!$C$3:$C$1000,"&lt;&gt;",'01 - Job Database'!$W$3:$W$1000,"&lt;&gt;Yes",'01 - Job Database'!$G$3:$G$1000,$A19,'01 - Job Database'!$O$3:$O$1000,"&gt;=75")</f>
        <v>0</v>
      </c>
      <c r="AW19" s="34" t="n">
        <f aca="false">COUNTIFS('01 - Job Database'!$C$3:$C$1000,"&lt;&gt;",'01 - Job Database'!$W$3:$W$1000,"&lt;&gt;Yes",'01 - Job Database'!$G$3:$G$1000,$A19,'01 - Job Database'!$O$3:$O$1000,"&gt;=150")</f>
        <v>0</v>
      </c>
      <c r="AX19" s="34" t="n">
        <f aca="false">COUNTIFS('01 - Job Database'!$C$3:$C$1000,"&lt;&gt;",'01 - Job Database'!$W$3:$W$1000,"&lt;&gt;Yes",'01 - Job Database'!$G$3:$G$1000,$A19,'01 - Job Database'!$O$3:$O$1000,"&gt;=200")</f>
        <v>0</v>
      </c>
      <c r="AY19" s="34" t="n">
        <f aca="false">COUNTIFS('01 - Job Database'!$C$3:$C$1000,"&lt;&gt;",'01 - Job Database'!$W$3:$W$1000,"&lt;&gt;Yes",'01 - Job Database'!$G$3:$G$1000,$A19,'01 - Job Database'!$Q$3:$Q$1000,"&gt;=200000")</f>
        <v>0</v>
      </c>
      <c r="AZ19" s="34" t="n">
        <f aca="false">COUNTIFS('01 - Job Database'!$C$3:$C$1000,"&lt;&gt;",'01 - Job Database'!$W$3:$W$1000,"&lt;&gt;Yes",'01 - Job Database'!$G$3:$G$1000,$A19,'01 - Job Database'!$Q$3:$Q$1000,"&gt;=250000")</f>
        <v>0</v>
      </c>
      <c r="BA19" s="34" t="n">
        <f aca="false">COUNTIFS('01 - Job Database'!$C$3:$C$1000,"&lt;&gt;",'01 - Job Database'!$W$3:$W$1000,"&lt;&gt;Yes",'01 - Job Database'!$G$3:$G$1000,$A19,'01 - Job Database'!$Q$3:$Q$1000,"&gt;=300000")</f>
        <v>0</v>
      </c>
      <c r="BB19" s="1" t="n">
        <f aca="false">COUNTIFS('01 - Job Database'!$C$3:$C$1000,"&lt;&gt;",'01 - Job Database'!$W$3:$W$1000,"&lt;&gt;Yes",'01 - Job Database'!$G$3:$G$1000,$A19,'01 - Job Database'!$CM$3:$CM$1000,"Yes")</f>
        <v>0</v>
      </c>
      <c r="BC19" s="1" t="n">
        <f aca="false">COUNTIFS('01 - Job Database'!$C$3:$C$1000,"&lt;&gt;",'01 - Job Database'!$W$3:$W$1000,"&lt;&gt;Yes",'01 - Job Database'!$G$3:$G$1000,$A19,'01 - Job Database'!$CN$3:$CN$1000,"Yes")</f>
        <v>0</v>
      </c>
      <c r="BD19" s="1" t="n">
        <f aca="false">COUNTIFS('01 - Job Database'!$C$3:$C$1000,"&lt;&gt;",'01 - Job Database'!$W$3:$W$1000,"&lt;&gt;Yes",'01 - Job Database'!$G$3:$G$1000,$A19,'01 - Job Database'!$CO$3:$CO$1000,"Yes")</f>
        <v>0</v>
      </c>
      <c r="BE19" s="1" t="n">
        <f aca="false">COUNTIFS('01 - Job Database'!$C$3:$C$1000,"&lt;&gt;",'01 - Job Database'!$W$3:$W$1000,"&lt;&gt;Yes",'01 - Job Database'!$G$3:$G$1000,$A19,'01 - Job Database'!$CP$3:$CP$1000,"Yes")</f>
        <v>0</v>
      </c>
      <c r="BF19" s="1" t="n">
        <f aca="false">COUNTIFS('01 - Job Database'!$C$3:$C$1000,"&lt;&gt;",'01 - Job Database'!$W$3:$W$1000,"&lt;&gt;Yes",'01 - Job Database'!$G$3:$G$1000,$A19,'01 - Job Database'!$CQ$3:$CQ$1000,"Yes")</f>
        <v>0</v>
      </c>
      <c r="BG19" s="1" t="n">
        <f aca="false">COUNTIFS('01 - Job Database'!$C$3:$C$1000,"&lt;&gt;",'01 - Job Database'!$W$3:$W$1000,"&lt;&gt;Yes",'01 - Job Database'!$G$3:$G$1000,$A19,'01 - Job Database'!$CR$3:$CR$1000,"Yes")</f>
        <v>0</v>
      </c>
      <c r="BH19" s="1" t="n">
        <f aca="false">COUNTIFS('01 - Job Database'!$C$3:$C$1000,"&lt;&gt;",'01 - Job Database'!$W$3:$W$1000,"&lt;&gt;Yes",'01 - Job Database'!$G$3:$G$1000,$A19,'01 - Job Database'!$CS$3:$CS$1000,"Yes")</f>
        <v>0</v>
      </c>
      <c r="BI19" s="1" t="n">
        <f aca="false">COUNTIFS('01 - Job Database'!$C$3:$C$1000,"&lt;&gt;",'01 - Job Database'!$W$3:$W$1000,"&lt;&gt;Yes",'01 - Job Database'!$G$3:$G$1000,$A19,'01 - Job Database'!$CT$3:$CT$1000,"Yes")</f>
        <v>0</v>
      </c>
      <c r="BJ19" s="1" t="n">
        <f aca="false">COUNTIFS('01 - Job Database'!$C$3:$C$1000,"&lt;&gt;",'01 - Job Database'!$W$3:$W$1000,"&lt;&gt;Yes",'01 - Job Database'!$G$3:$G$1000,$A19,'01 - Job Database'!$CU$3:$CU$1000,"Yes")</f>
        <v>0</v>
      </c>
      <c r="BK19" s="1" t="n">
        <f aca="false">COUNTIFS('01 - Job Database'!$C$3:$C$1000,"&lt;&gt;",'01 - Job Database'!$W$3:$W$1000,"&lt;&gt;Yes",'01 - Job Database'!$G$3:$G$1000,$A19,'01 - Job Database'!$CV$3:$CV$1000,"Yes")</f>
        <v>0</v>
      </c>
      <c r="BL19" s="1" t="n">
        <f aca="false">COUNTIFS('01 - Job Database'!$C$3:$C$1000,"&lt;&gt;",'01 - Job Database'!$W$3:$W$1000,"&lt;&gt;Yes",'01 - Job Database'!$G$3:$G$1000,$A19,'01 - Job Database'!$CW$3:$CW$1000,"Yes")</f>
        <v>0</v>
      </c>
    </row>
    <row r="20" customFormat="false" ht="15" hidden="false" customHeight="true" outlineLevel="0" collapsed="false">
      <c r="A20" s="57" t="s">
        <v>276</v>
      </c>
      <c r="B20" s="26" t="n">
        <f aca="false">COUNTIFS('01 - Job Database'!$C$3:$C$1000,"&lt;&gt;",'01 - Job Database'!$W$3:$W$1000,"&lt;&gt;Yes",'01 - Job Database'!$G$3:$G$1000,A20)</f>
        <v>0</v>
      </c>
      <c r="C20" s="26" t="n">
        <f aca="false">COUNTIFS('01 - Job Database'!$C$3:$C$1000,"&lt;&gt;",'01 - Job Database'!$W$3:$W$1000,"&lt;&gt;Yes",'01 - Job Database'!$G$3:$G$1000,A20,'01 - Job Database'!$S$3:$S$1000,"Yes")</f>
        <v>0</v>
      </c>
      <c r="D20" s="58" t="str">
        <f aca="false">IFERROR(COUNTIFS('01 - Job Database'!$C$3:$C$1000,"&lt;&gt;",'01 - Job Database'!$W$3:$W$1000,"&lt;&gt;Yes",'01 - Job Database'!$G$3:$G$1000,A20,'01 - Job Database'!$J$3:$J$1000,"Yes")/B20,"")</f>
        <v/>
      </c>
      <c r="E20" s="58" t="str">
        <f aca="false">IFERROR(COUNTIFS('01 - Job Database'!$C$3:$C$1000,"&lt;&gt;",'01 - Job Database'!$W$3:$W$1000,"&lt;&gt;Yes",'01 - Job Database'!$G$3:$G$1000,A20,'01 - Job Database'!$K$3:$K$1000,"Yes")/B20,"")</f>
        <v/>
      </c>
      <c r="F20" s="26" t="str">
        <f aca="false">IF(B20=0,"—",IFERROR(INDEX($J$3:$AO$3,MATCH(AP20,J20:AO20,0)),IFERROR(INDEX($BB$3:$BL$3,MATCH(AP20,BB20:BL20,0)),"—")))</f>
        <v>—</v>
      </c>
      <c r="G20" s="26" t="n">
        <f aca="false">B20-ROW()*0.0001</f>
        <v>-0.002</v>
      </c>
      <c r="J20" s="1" t="n">
        <f aca="false">COUNTIFS('01 - Job Database'!$C$3:$C$1000,"&lt;&gt;",'01 - Job Database'!$W$3:$W$1000,"&lt;&gt;Yes",'01 - Job Database'!$G$3:$G$1000,$A20,'01 - Job Database'!$X$3:$X$1000,"Yes")</f>
        <v>0</v>
      </c>
      <c r="K20" s="1" t="n">
        <f aca="false">COUNTIFS('01 - Job Database'!$C$3:$C$1000,"&lt;&gt;",'01 - Job Database'!$W$3:$W$1000,"&lt;&gt;Yes",'01 - Job Database'!$G$3:$G$1000,$A20,'01 - Job Database'!$Y$3:$Y$1000,"Yes")</f>
        <v>0</v>
      </c>
      <c r="L20" s="1" t="n">
        <f aca="false">COUNTIFS('01 - Job Database'!$C$3:$C$1000,"&lt;&gt;",'01 - Job Database'!$W$3:$W$1000,"&lt;&gt;Yes",'01 - Job Database'!$G$3:$G$1000,$A20,'01 - Job Database'!$Z$3:$Z$1000,"Yes")</f>
        <v>0</v>
      </c>
      <c r="M20" s="1" t="n">
        <f aca="false">COUNTIFS('01 - Job Database'!$C$3:$C$1000,"&lt;&gt;",'01 - Job Database'!$W$3:$W$1000,"&lt;&gt;Yes",'01 - Job Database'!$G$3:$G$1000,$A20,'01 - Job Database'!$AA$3:$AA$1000,"Yes")</f>
        <v>0</v>
      </c>
      <c r="N20" s="1" t="n">
        <f aca="false">COUNTIFS('01 - Job Database'!$C$3:$C$1000,"&lt;&gt;",'01 - Job Database'!$W$3:$W$1000,"&lt;&gt;Yes",'01 - Job Database'!$G$3:$G$1000,$A20,'01 - Job Database'!$AB$3:$AB$1000,"Yes")</f>
        <v>0</v>
      </c>
      <c r="O20" s="1" t="n">
        <f aca="false">COUNTIFS('01 - Job Database'!$C$3:$C$1000,"&lt;&gt;",'01 - Job Database'!$W$3:$W$1000,"&lt;&gt;Yes",'01 - Job Database'!$G$3:$G$1000,$A20,'01 - Job Database'!$AC$3:$AC$1000,"Yes")</f>
        <v>0</v>
      </c>
      <c r="P20" s="1" t="n">
        <f aca="false">COUNTIFS('01 - Job Database'!$C$3:$C$1000,"&lt;&gt;",'01 - Job Database'!$W$3:$W$1000,"&lt;&gt;Yes",'01 - Job Database'!$G$3:$G$1000,$A20,'01 - Job Database'!$AD$3:$AD$1000,"Yes")</f>
        <v>0</v>
      </c>
      <c r="Q20" s="1" t="n">
        <f aca="false">COUNTIFS('01 - Job Database'!$C$3:$C$1000,"&lt;&gt;",'01 - Job Database'!$W$3:$W$1000,"&lt;&gt;Yes",'01 - Job Database'!$G$3:$G$1000,$A20,'01 - Job Database'!$AE$3:$AE$1000,"Yes")</f>
        <v>0</v>
      </c>
      <c r="R20" s="1" t="n">
        <f aca="false">COUNTIFS('01 - Job Database'!$C$3:$C$1000,"&lt;&gt;",'01 - Job Database'!$W$3:$W$1000,"&lt;&gt;Yes",'01 - Job Database'!$G$3:$G$1000,$A20,'01 - Job Database'!$AF$3:$AF$1000,"Yes")</f>
        <v>0</v>
      </c>
      <c r="S20" s="1" t="n">
        <f aca="false">COUNTIFS('01 - Job Database'!$C$3:$C$1000,"&lt;&gt;",'01 - Job Database'!$W$3:$W$1000,"&lt;&gt;Yes",'01 - Job Database'!$G$3:$G$1000,$A20,'01 - Job Database'!$AG$3:$AG$1000,"Yes")</f>
        <v>0</v>
      </c>
      <c r="T20" s="1" t="n">
        <f aca="false">COUNTIFS('01 - Job Database'!$C$3:$C$1000,"&lt;&gt;",'01 - Job Database'!$W$3:$W$1000,"&lt;&gt;Yes",'01 - Job Database'!$G$3:$G$1000,$A20,'01 - Job Database'!$AH$3:$AH$1000,"Yes")</f>
        <v>0</v>
      </c>
      <c r="U20" s="1" t="n">
        <f aca="false">COUNTIFS('01 - Job Database'!$C$3:$C$1000,"&lt;&gt;",'01 - Job Database'!$W$3:$W$1000,"&lt;&gt;Yes",'01 - Job Database'!$G$3:$G$1000,$A20,'01 - Job Database'!$AI$3:$AI$1000,"Yes")</f>
        <v>0</v>
      </c>
      <c r="V20" s="1" t="n">
        <f aca="false">COUNTIFS('01 - Job Database'!$C$3:$C$1000,"&lt;&gt;",'01 - Job Database'!$W$3:$W$1000,"&lt;&gt;Yes",'01 - Job Database'!$G$3:$G$1000,$A20,'01 - Job Database'!$AJ$3:$AJ$1000,"Yes")</f>
        <v>0</v>
      </c>
      <c r="W20" s="1" t="n">
        <f aca="false">COUNTIFS('01 - Job Database'!$C$3:$C$1000,"&lt;&gt;",'01 - Job Database'!$W$3:$W$1000,"&lt;&gt;Yes",'01 - Job Database'!$G$3:$G$1000,$A20,'01 - Job Database'!$AK$3:$AK$1000,"Yes")</f>
        <v>0</v>
      </c>
      <c r="X20" s="1" t="n">
        <f aca="false">COUNTIFS('01 - Job Database'!$C$3:$C$1000,"&lt;&gt;",'01 - Job Database'!$W$3:$W$1000,"&lt;&gt;Yes",'01 - Job Database'!$G$3:$G$1000,$A20,'01 - Job Database'!$AL$3:$AL$1000,"Yes")</f>
        <v>0</v>
      </c>
      <c r="Y20" s="1" t="n">
        <f aca="false">COUNTIFS('01 - Job Database'!$C$3:$C$1000,"&lt;&gt;",'01 - Job Database'!$W$3:$W$1000,"&lt;&gt;Yes",'01 - Job Database'!$G$3:$G$1000,$A20,'01 - Job Database'!$AM$3:$AM$1000,"Yes")</f>
        <v>0</v>
      </c>
      <c r="Z20" s="1" t="n">
        <f aca="false">COUNTIFS('01 - Job Database'!$C$3:$C$1000,"&lt;&gt;",'01 - Job Database'!$W$3:$W$1000,"&lt;&gt;Yes",'01 - Job Database'!$G$3:$G$1000,$A20,'01 - Job Database'!$AN$3:$AN$1000,"Yes")</f>
        <v>0</v>
      </c>
      <c r="AA20" s="1" t="n">
        <f aca="false">COUNTIFS('01 - Job Database'!$C$3:$C$1000,"&lt;&gt;",'01 - Job Database'!$W$3:$W$1000,"&lt;&gt;Yes",'01 - Job Database'!$G$3:$G$1000,$A20,'01 - Job Database'!$AO$3:$AO$1000,"Yes")</f>
        <v>0</v>
      </c>
      <c r="AB20" s="1" t="n">
        <f aca="false">COUNTIFS('01 - Job Database'!$C$3:$C$1000,"&lt;&gt;",'01 - Job Database'!$W$3:$W$1000,"&lt;&gt;Yes",'01 - Job Database'!$G$3:$G$1000,$A20,'01 - Job Database'!$AP$3:$AP$1000,"Yes")</f>
        <v>0</v>
      </c>
      <c r="AC20" s="1" t="n">
        <f aca="false">COUNTIFS('01 - Job Database'!$C$3:$C$1000,"&lt;&gt;",'01 - Job Database'!$W$3:$W$1000,"&lt;&gt;Yes",'01 - Job Database'!$G$3:$G$1000,$A20,'01 - Job Database'!$AQ$3:$AQ$1000,"Yes")</f>
        <v>0</v>
      </c>
      <c r="AD20" s="1" t="n">
        <f aca="false">COUNTIFS('01 - Job Database'!$C$3:$C$1000,"&lt;&gt;",'01 - Job Database'!$W$3:$W$1000,"&lt;&gt;Yes",'01 - Job Database'!$G$3:$G$1000,$A20,'01 - Job Database'!$AR$3:$AR$1000,"Yes")</f>
        <v>0</v>
      </c>
      <c r="AE20" s="1" t="n">
        <f aca="false">COUNTIFS('01 - Job Database'!$C$3:$C$1000,"&lt;&gt;",'01 - Job Database'!$W$3:$W$1000,"&lt;&gt;Yes",'01 - Job Database'!$G$3:$G$1000,$A20,'01 - Job Database'!$AS$3:$AS$1000,"Yes")</f>
        <v>0</v>
      </c>
      <c r="AF20" s="1" t="n">
        <f aca="false">COUNTIFS('01 - Job Database'!$C$3:$C$1000,"&lt;&gt;",'01 - Job Database'!$W$3:$W$1000,"&lt;&gt;Yes",'01 - Job Database'!$G$3:$G$1000,$A20,'01 - Job Database'!$AT$3:$AT$1000,"Yes")</f>
        <v>0</v>
      </c>
      <c r="AG20" s="1" t="n">
        <f aca="false">COUNTIFS('01 - Job Database'!$C$3:$C$1000,"&lt;&gt;",'01 - Job Database'!$W$3:$W$1000,"&lt;&gt;Yes",'01 - Job Database'!$G$3:$G$1000,$A20,'01 - Job Database'!$AU$3:$AU$1000,"Yes")</f>
        <v>0</v>
      </c>
      <c r="AH20" s="1" t="n">
        <f aca="false">COUNTIFS('01 - Job Database'!$C$3:$C$1000,"&lt;&gt;",'01 - Job Database'!$W$3:$W$1000,"&lt;&gt;Yes",'01 - Job Database'!$G$3:$G$1000,$A20,'01 - Job Database'!$AV$3:$AV$1000,"Yes")</f>
        <v>0</v>
      </c>
      <c r="AI20" s="1" t="n">
        <f aca="false">COUNTIFS('01 - Job Database'!$C$3:$C$1000,"&lt;&gt;",'01 - Job Database'!$W$3:$W$1000,"&lt;&gt;Yes",'01 - Job Database'!$G$3:$G$1000,$A20,'01 - Job Database'!$AW$3:$AW$1000,"Yes")</f>
        <v>0</v>
      </c>
      <c r="AJ20" s="1" t="n">
        <f aca="false">COUNTIFS('01 - Job Database'!$C$3:$C$1000,"&lt;&gt;",'01 - Job Database'!$W$3:$W$1000,"&lt;&gt;Yes",'01 - Job Database'!$G$3:$G$1000,$A20,'01 - Job Database'!$AX$3:$AX$1000,"Yes")</f>
        <v>0</v>
      </c>
      <c r="AK20" s="1" t="n">
        <f aca="false">COUNTIFS('01 - Job Database'!$C$3:$C$1000,"&lt;&gt;",'01 - Job Database'!$W$3:$W$1000,"&lt;&gt;Yes",'01 - Job Database'!$G$3:$G$1000,$A20,'01 - Job Database'!$AY$3:$AY$1000,"Yes")</f>
        <v>0</v>
      </c>
      <c r="AL20" s="1" t="n">
        <f aca="false">COUNTIFS('01 - Job Database'!$C$3:$C$1000,"&lt;&gt;",'01 - Job Database'!$W$3:$W$1000,"&lt;&gt;Yes",'01 - Job Database'!$G$3:$G$1000,$A20,'01 - Job Database'!$AZ$3:$AZ$1000,"Yes")</f>
        <v>0</v>
      </c>
      <c r="AM20" s="1" t="n">
        <f aca="false">COUNTIFS('01 - Job Database'!$C$3:$C$1000,"&lt;&gt;",'01 - Job Database'!$W$3:$W$1000,"&lt;&gt;Yes",'01 - Job Database'!$G$3:$G$1000,$A20,'01 - Job Database'!$BA$3:$BA$1000,"Yes")</f>
        <v>0</v>
      </c>
      <c r="AN20" s="1" t="n">
        <f aca="false">COUNTIFS('01 - Job Database'!$C$3:$C$1000,"&lt;&gt;",'01 - Job Database'!$W$3:$W$1000,"&lt;&gt;Yes",'01 - Job Database'!$G$3:$G$1000,$A20,'01 - Job Database'!$BB$3:$BB$1000,"Yes")</f>
        <v>0</v>
      </c>
      <c r="AO20" s="1" t="n">
        <f aca="false">COUNTIFS('01 - Job Database'!$C$3:$C$1000,"&lt;&gt;",'01 - Job Database'!$W$3:$W$1000,"&lt;&gt;Yes",'01 - Job Database'!$G$3:$G$1000,$A20,'01 - Job Database'!$BC$3:$BC$1000,"Yes")</f>
        <v>0</v>
      </c>
      <c r="AP20" s="1" t="n">
        <f aca="false">MAX(J20:AO20,BB20:BL20)</f>
        <v>0</v>
      </c>
      <c r="AQ20" s="34" t="n">
        <f aca="false">COUNTIFS('01 - Job Database'!$C$3:$C$1000,"&lt;&gt;",'01 - Job Database'!$W$3:$W$1000,"&lt;&gt;Yes",'01 - Job Database'!$G$3:$G$1000,$A20,'01 - Job Database'!$O$3:$O$1000,"&gt;=100")</f>
        <v>0</v>
      </c>
      <c r="AR20" s="34" t="n">
        <f aca="false">COUNTIFS('01 - Job Database'!$C$3:$C$1000,"&lt;&gt;",'01 - Job Database'!$W$3:$W$1000,"&lt;&gt;Yes",'01 - Job Database'!$G$3:$G$1000,$A20,'01 - Job Database'!$Q$3:$Q$1000,"&gt;=150000")</f>
        <v>0</v>
      </c>
      <c r="AS20" s="34" t="n">
        <f aca="false">COUNTIFS('01 - Job Database'!$C$3:$C$1000,"&lt;&gt;",'01 - Job Database'!$W$3:$W$1000,"&lt;&gt;Yes",'01 - Job Database'!$G$3:$G$1000,$A20,'01 - Job Database'!$BQ$3:$BQ$1000,"&lt;&gt;")</f>
        <v>0</v>
      </c>
      <c r="AT20" s="34" t="n">
        <f aca="false">COUNTIFS('01 - Job Database'!$C$3:$C$1000,"&lt;&gt;",'01 - Job Database'!$W$3:$W$1000,"&lt;&gt;Yes",'01 - Job Database'!$G$3:$G$1000,$A20,'01 - Job Database'!$O$3:$O$1000,"&gt;=20")</f>
        <v>0</v>
      </c>
      <c r="AU20" s="34" t="n">
        <f aca="false">COUNTIFS('01 - Job Database'!$C$3:$C$1000,"&lt;&gt;",'01 - Job Database'!$W$3:$W$1000,"&lt;&gt;Yes",'01 - Job Database'!$G$3:$G$1000,$A20,'01 - Job Database'!$O$3:$O$1000,"&gt;=30")</f>
        <v>0</v>
      </c>
      <c r="AV20" s="34" t="n">
        <f aca="false">COUNTIFS('01 - Job Database'!$C$3:$C$1000,"&lt;&gt;",'01 - Job Database'!$W$3:$W$1000,"&lt;&gt;Yes",'01 - Job Database'!$G$3:$G$1000,$A20,'01 - Job Database'!$O$3:$O$1000,"&gt;=75")</f>
        <v>0</v>
      </c>
      <c r="AW20" s="34" t="n">
        <f aca="false">COUNTIFS('01 - Job Database'!$C$3:$C$1000,"&lt;&gt;",'01 - Job Database'!$W$3:$W$1000,"&lt;&gt;Yes",'01 - Job Database'!$G$3:$G$1000,$A20,'01 - Job Database'!$O$3:$O$1000,"&gt;=150")</f>
        <v>0</v>
      </c>
      <c r="AX20" s="34" t="n">
        <f aca="false">COUNTIFS('01 - Job Database'!$C$3:$C$1000,"&lt;&gt;",'01 - Job Database'!$W$3:$W$1000,"&lt;&gt;Yes",'01 - Job Database'!$G$3:$G$1000,$A20,'01 - Job Database'!$O$3:$O$1000,"&gt;=200")</f>
        <v>0</v>
      </c>
      <c r="AY20" s="34" t="n">
        <f aca="false">COUNTIFS('01 - Job Database'!$C$3:$C$1000,"&lt;&gt;",'01 - Job Database'!$W$3:$W$1000,"&lt;&gt;Yes",'01 - Job Database'!$G$3:$G$1000,$A20,'01 - Job Database'!$Q$3:$Q$1000,"&gt;=200000")</f>
        <v>0</v>
      </c>
      <c r="AZ20" s="34" t="n">
        <f aca="false">COUNTIFS('01 - Job Database'!$C$3:$C$1000,"&lt;&gt;",'01 - Job Database'!$W$3:$W$1000,"&lt;&gt;Yes",'01 - Job Database'!$G$3:$G$1000,$A20,'01 - Job Database'!$Q$3:$Q$1000,"&gt;=250000")</f>
        <v>0</v>
      </c>
      <c r="BA20" s="34" t="n">
        <f aca="false">COUNTIFS('01 - Job Database'!$C$3:$C$1000,"&lt;&gt;",'01 - Job Database'!$W$3:$W$1000,"&lt;&gt;Yes",'01 - Job Database'!$G$3:$G$1000,$A20,'01 - Job Database'!$Q$3:$Q$1000,"&gt;=300000")</f>
        <v>0</v>
      </c>
      <c r="BB20" s="1" t="n">
        <f aca="false">COUNTIFS('01 - Job Database'!$C$3:$C$1000,"&lt;&gt;",'01 - Job Database'!$W$3:$W$1000,"&lt;&gt;Yes",'01 - Job Database'!$G$3:$G$1000,$A20,'01 - Job Database'!$CM$3:$CM$1000,"Yes")</f>
        <v>0</v>
      </c>
      <c r="BC20" s="1" t="n">
        <f aca="false">COUNTIFS('01 - Job Database'!$C$3:$C$1000,"&lt;&gt;",'01 - Job Database'!$W$3:$W$1000,"&lt;&gt;Yes",'01 - Job Database'!$G$3:$G$1000,$A20,'01 - Job Database'!$CN$3:$CN$1000,"Yes")</f>
        <v>0</v>
      </c>
      <c r="BD20" s="1" t="n">
        <f aca="false">COUNTIFS('01 - Job Database'!$C$3:$C$1000,"&lt;&gt;",'01 - Job Database'!$W$3:$W$1000,"&lt;&gt;Yes",'01 - Job Database'!$G$3:$G$1000,$A20,'01 - Job Database'!$CO$3:$CO$1000,"Yes")</f>
        <v>0</v>
      </c>
      <c r="BE20" s="1" t="n">
        <f aca="false">COUNTIFS('01 - Job Database'!$C$3:$C$1000,"&lt;&gt;",'01 - Job Database'!$W$3:$W$1000,"&lt;&gt;Yes",'01 - Job Database'!$G$3:$G$1000,$A20,'01 - Job Database'!$CP$3:$CP$1000,"Yes")</f>
        <v>0</v>
      </c>
      <c r="BF20" s="1" t="n">
        <f aca="false">COUNTIFS('01 - Job Database'!$C$3:$C$1000,"&lt;&gt;",'01 - Job Database'!$W$3:$W$1000,"&lt;&gt;Yes",'01 - Job Database'!$G$3:$G$1000,$A20,'01 - Job Database'!$CQ$3:$CQ$1000,"Yes")</f>
        <v>0</v>
      </c>
      <c r="BG20" s="1" t="n">
        <f aca="false">COUNTIFS('01 - Job Database'!$C$3:$C$1000,"&lt;&gt;",'01 - Job Database'!$W$3:$W$1000,"&lt;&gt;Yes",'01 - Job Database'!$G$3:$G$1000,$A20,'01 - Job Database'!$CR$3:$CR$1000,"Yes")</f>
        <v>0</v>
      </c>
      <c r="BH20" s="1" t="n">
        <f aca="false">COUNTIFS('01 - Job Database'!$C$3:$C$1000,"&lt;&gt;",'01 - Job Database'!$W$3:$W$1000,"&lt;&gt;Yes",'01 - Job Database'!$G$3:$G$1000,$A20,'01 - Job Database'!$CS$3:$CS$1000,"Yes")</f>
        <v>0</v>
      </c>
      <c r="BI20" s="1" t="n">
        <f aca="false">COUNTIFS('01 - Job Database'!$C$3:$C$1000,"&lt;&gt;",'01 - Job Database'!$W$3:$W$1000,"&lt;&gt;Yes",'01 - Job Database'!$G$3:$G$1000,$A20,'01 - Job Database'!$CT$3:$CT$1000,"Yes")</f>
        <v>0</v>
      </c>
      <c r="BJ20" s="1" t="n">
        <f aca="false">COUNTIFS('01 - Job Database'!$C$3:$C$1000,"&lt;&gt;",'01 - Job Database'!$W$3:$W$1000,"&lt;&gt;Yes",'01 - Job Database'!$G$3:$G$1000,$A20,'01 - Job Database'!$CU$3:$CU$1000,"Yes")</f>
        <v>0</v>
      </c>
      <c r="BK20" s="1" t="n">
        <f aca="false">COUNTIFS('01 - Job Database'!$C$3:$C$1000,"&lt;&gt;",'01 - Job Database'!$W$3:$W$1000,"&lt;&gt;Yes",'01 - Job Database'!$G$3:$G$1000,$A20,'01 - Job Database'!$CV$3:$CV$1000,"Yes")</f>
        <v>0</v>
      </c>
      <c r="BL20" s="1" t="n">
        <f aca="false">COUNTIFS('01 - Job Database'!$C$3:$C$1000,"&lt;&gt;",'01 - Job Database'!$W$3:$W$1000,"&lt;&gt;Yes",'01 - Job Database'!$G$3:$G$1000,$A20,'01 - Job Database'!$CW$3:$CW$1000,"Yes")</f>
        <v>0</v>
      </c>
    </row>
    <row r="21" customFormat="false" ht="15" hidden="false" customHeight="true" outlineLevel="0" collapsed="false">
      <c r="A21" s="57" t="s">
        <v>277</v>
      </c>
      <c r="B21" s="26" t="n">
        <f aca="false">COUNTIFS('01 - Job Database'!$C$3:$C$1000,"&lt;&gt;",'01 - Job Database'!$W$3:$W$1000,"&lt;&gt;Yes",'01 - Job Database'!$G$3:$G$1000,A21)</f>
        <v>0</v>
      </c>
      <c r="C21" s="26" t="n">
        <f aca="false">COUNTIFS('01 - Job Database'!$C$3:$C$1000,"&lt;&gt;",'01 - Job Database'!$W$3:$W$1000,"&lt;&gt;Yes",'01 - Job Database'!$G$3:$G$1000,A21,'01 - Job Database'!$S$3:$S$1000,"Yes")</f>
        <v>0</v>
      </c>
      <c r="D21" s="58" t="str">
        <f aca="false">IFERROR(COUNTIFS('01 - Job Database'!$C$3:$C$1000,"&lt;&gt;",'01 - Job Database'!$W$3:$W$1000,"&lt;&gt;Yes",'01 - Job Database'!$G$3:$G$1000,A21,'01 - Job Database'!$J$3:$J$1000,"Yes")/B21,"")</f>
        <v/>
      </c>
      <c r="E21" s="58" t="str">
        <f aca="false">IFERROR(COUNTIFS('01 - Job Database'!$C$3:$C$1000,"&lt;&gt;",'01 - Job Database'!$W$3:$W$1000,"&lt;&gt;Yes",'01 - Job Database'!$G$3:$G$1000,A21,'01 - Job Database'!$K$3:$K$1000,"Yes")/B21,"")</f>
        <v/>
      </c>
      <c r="F21" s="26" t="str">
        <f aca="false">IF(B21=0,"—",IFERROR(INDEX($J$3:$AO$3,MATCH(AP21,J21:AO21,0)),IFERROR(INDEX($BB$3:$BL$3,MATCH(AP21,BB21:BL21,0)),"—")))</f>
        <v>—</v>
      </c>
      <c r="G21" s="26" t="n">
        <f aca="false">B21-ROW()*0.0001</f>
        <v>-0.0021</v>
      </c>
      <c r="J21" s="1" t="n">
        <f aca="false">COUNTIFS('01 - Job Database'!$C$3:$C$1000,"&lt;&gt;",'01 - Job Database'!$W$3:$W$1000,"&lt;&gt;Yes",'01 - Job Database'!$G$3:$G$1000,$A21,'01 - Job Database'!$X$3:$X$1000,"Yes")</f>
        <v>0</v>
      </c>
      <c r="K21" s="1" t="n">
        <f aca="false">COUNTIFS('01 - Job Database'!$C$3:$C$1000,"&lt;&gt;",'01 - Job Database'!$W$3:$W$1000,"&lt;&gt;Yes",'01 - Job Database'!$G$3:$G$1000,$A21,'01 - Job Database'!$Y$3:$Y$1000,"Yes")</f>
        <v>0</v>
      </c>
      <c r="L21" s="1" t="n">
        <f aca="false">COUNTIFS('01 - Job Database'!$C$3:$C$1000,"&lt;&gt;",'01 - Job Database'!$W$3:$W$1000,"&lt;&gt;Yes",'01 - Job Database'!$G$3:$G$1000,$A21,'01 - Job Database'!$Z$3:$Z$1000,"Yes")</f>
        <v>0</v>
      </c>
      <c r="M21" s="1" t="n">
        <f aca="false">COUNTIFS('01 - Job Database'!$C$3:$C$1000,"&lt;&gt;",'01 - Job Database'!$W$3:$W$1000,"&lt;&gt;Yes",'01 - Job Database'!$G$3:$G$1000,$A21,'01 - Job Database'!$AA$3:$AA$1000,"Yes")</f>
        <v>0</v>
      </c>
      <c r="N21" s="1" t="n">
        <f aca="false">COUNTIFS('01 - Job Database'!$C$3:$C$1000,"&lt;&gt;",'01 - Job Database'!$W$3:$W$1000,"&lt;&gt;Yes",'01 - Job Database'!$G$3:$G$1000,$A21,'01 - Job Database'!$AB$3:$AB$1000,"Yes")</f>
        <v>0</v>
      </c>
      <c r="O21" s="1" t="n">
        <f aca="false">COUNTIFS('01 - Job Database'!$C$3:$C$1000,"&lt;&gt;",'01 - Job Database'!$W$3:$W$1000,"&lt;&gt;Yes",'01 - Job Database'!$G$3:$G$1000,$A21,'01 - Job Database'!$AC$3:$AC$1000,"Yes")</f>
        <v>0</v>
      </c>
      <c r="P21" s="1" t="n">
        <f aca="false">COUNTIFS('01 - Job Database'!$C$3:$C$1000,"&lt;&gt;",'01 - Job Database'!$W$3:$W$1000,"&lt;&gt;Yes",'01 - Job Database'!$G$3:$G$1000,$A21,'01 - Job Database'!$AD$3:$AD$1000,"Yes")</f>
        <v>0</v>
      </c>
      <c r="Q21" s="1" t="n">
        <f aca="false">COUNTIFS('01 - Job Database'!$C$3:$C$1000,"&lt;&gt;",'01 - Job Database'!$W$3:$W$1000,"&lt;&gt;Yes",'01 - Job Database'!$G$3:$G$1000,$A21,'01 - Job Database'!$AE$3:$AE$1000,"Yes")</f>
        <v>0</v>
      </c>
      <c r="R21" s="1" t="n">
        <f aca="false">COUNTIFS('01 - Job Database'!$C$3:$C$1000,"&lt;&gt;",'01 - Job Database'!$W$3:$W$1000,"&lt;&gt;Yes",'01 - Job Database'!$G$3:$G$1000,$A21,'01 - Job Database'!$AF$3:$AF$1000,"Yes")</f>
        <v>0</v>
      </c>
      <c r="S21" s="1" t="n">
        <f aca="false">COUNTIFS('01 - Job Database'!$C$3:$C$1000,"&lt;&gt;",'01 - Job Database'!$W$3:$W$1000,"&lt;&gt;Yes",'01 - Job Database'!$G$3:$G$1000,$A21,'01 - Job Database'!$AG$3:$AG$1000,"Yes")</f>
        <v>0</v>
      </c>
      <c r="T21" s="1" t="n">
        <f aca="false">COUNTIFS('01 - Job Database'!$C$3:$C$1000,"&lt;&gt;",'01 - Job Database'!$W$3:$W$1000,"&lt;&gt;Yes",'01 - Job Database'!$G$3:$G$1000,$A21,'01 - Job Database'!$AH$3:$AH$1000,"Yes")</f>
        <v>0</v>
      </c>
      <c r="U21" s="1" t="n">
        <f aca="false">COUNTIFS('01 - Job Database'!$C$3:$C$1000,"&lt;&gt;",'01 - Job Database'!$W$3:$W$1000,"&lt;&gt;Yes",'01 - Job Database'!$G$3:$G$1000,$A21,'01 - Job Database'!$AI$3:$AI$1000,"Yes")</f>
        <v>0</v>
      </c>
      <c r="V21" s="1" t="n">
        <f aca="false">COUNTIFS('01 - Job Database'!$C$3:$C$1000,"&lt;&gt;",'01 - Job Database'!$W$3:$W$1000,"&lt;&gt;Yes",'01 - Job Database'!$G$3:$G$1000,$A21,'01 - Job Database'!$AJ$3:$AJ$1000,"Yes")</f>
        <v>0</v>
      </c>
      <c r="W21" s="1" t="n">
        <f aca="false">COUNTIFS('01 - Job Database'!$C$3:$C$1000,"&lt;&gt;",'01 - Job Database'!$W$3:$W$1000,"&lt;&gt;Yes",'01 - Job Database'!$G$3:$G$1000,$A21,'01 - Job Database'!$AK$3:$AK$1000,"Yes")</f>
        <v>0</v>
      </c>
      <c r="X21" s="1" t="n">
        <f aca="false">COUNTIFS('01 - Job Database'!$C$3:$C$1000,"&lt;&gt;",'01 - Job Database'!$W$3:$W$1000,"&lt;&gt;Yes",'01 - Job Database'!$G$3:$G$1000,$A21,'01 - Job Database'!$AL$3:$AL$1000,"Yes")</f>
        <v>0</v>
      </c>
      <c r="Y21" s="1" t="n">
        <f aca="false">COUNTIFS('01 - Job Database'!$C$3:$C$1000,"&lt;&gt;",'01 - Job Database'!$W$3:$W$1000,"&lt;&gt;Yes",'01 - Job Database'!$G$3:$G$1000,$A21,'01 - Job Database'!$AM$3:$AM$1000,"Yes")</f>
        <v>0</v>
      </c>
      <c r="Z21" s="1" t="n">
        <f aca="false">COUNTIFS('01 - Job Database'!$C$3:$C$1000,"&lt;&gt;",'01 - Job Database'!$W$3:$W$1000,"&lt;&gt;Yes",'01 - Job Database'!$G$3:$G$1000,$A21,'01 - Job Database'!$AN$3:$AN$1000,"Yes")</f>
        <v>0</v>
      </c>
      <c r="AA21" s="1" t="n">
        <f aca="false">COUNTIFS('01 - Job Database'!$C$3:$C$1000,"&lt;&gt;",'01 - Job Database'!$W$3:$W$1000,"&lt;&gt;Yes",'01 - Job Database'!$G$3:$G$1000,$A21,'01 - Job Database'!$AO$3:$AO$1000,"Yes")</f>
        <v>0</v>
      </c>
      <c r="AB21" s="1" t="n">
        <f aca="false">COUNTIFS('01 - Job Database'!$C$3:$C$1000,"&lt;&gt;",'01 - Job Database'!$W$3:$W$1000,"&lt;&gt;Yes",'01 - Job Database'!$G$3:$G$1000,$A21,'01 - Job Database'!$AP$3:$AP$1000,"Yes")</f>
        <v>0</v>
      </c>
      <c r="AC21" s="1" t="n">
        <f aca="false">COUNTIFS('01 - Job Database'!$C$3:$C$1000,"&lt;&gt;",'01 - Job Database'!$W$3:$W$1000,"&lt;&gt;Yes",'01 - Job Database'!$G$3:$G$1000,$A21,'01 - Job Database'!$AQ$3:$AQ$1000,"Yes")</f>
        <v>0</v>
      </c>
      <c r="AD21" s="1" t="n">
        <f aca="false">COUNTIFS('01 - Job Database'!$C$3:$C$1000,"&lt;&gt;",'01 - Job Database'!$W$3:$W$1000,"&lt;&gt;Yes",'01 - Job Database'!$G$3:$G$1000,$A21,'01 - Job Database'!$AR$3:$AR$1000,"Yes")</f>
        <v>0</v>
      </c>
      <c r="AE21" s="1" t="n">
        <f aca="false">COUNTIFS('01 - Job Database'!$C$3:$C$1000,"&lt;&gt;",'01 - Job Database'!$W$3:$W$1000,"&lt;&gt;Yes",'01 - Job Database'!$G$3:$G$1000,$A21,'01 - Job Database'!$AS$3:$AS$1000,"Yes")</f>
        <v>0</v>
      </c>
      <c r="AF21" s="1" t="n">
        <f aca="false">COUNTIFS('01 - Job Database'!$C$3:$C$1000,"&lt;&gt;",'01 - Job Database'!$W$3:$W$1000,"&lt;&gt;Yes",'01 - Job Database'!$G$3:$G$1000,$A21,'01 - Job Database'!$AT$3:$AT$1000,"Yes")</f>
        <v>0</v>
      </c>
      <c r="AG21" s="1" t="n">
        <f aca="false">COUNTIFS('01 - Job Database'!$C$3:$C$1000,"&lt;&gt;",'01 - Job Database'!$W$3:$W$1000,"&lt;&gt;Yes",'01 - Job Database'!$G$3:$G$1000,$A21,'01 - Job Database'!$AU$3:$AU$1000,"Yes")</f>
        <v>0</v>
      </c>
      <c r="AH21" s="1" t="n">
        <f aca="false">COUNTIFS('01 - Job Database'!$C$3:$C$1000,"&lt;&gt;",'01 - Job Database'!$W$3:$W$1000,"&lt;&gt;Yes",'01 - Job Database'!$G$3:$G$1000,$A21,'01 - Job Database'!$AV$3:$AV$1000,"Yes")</f>
        <v>0</v>
      </c>
      <c r="AI21" s="1" t="n">
        <f aca="false">COUNTIFS('01 - Job Database'!$C$3:$C$1000,"&lt;&gt;",'01 - Job Database'!$W$3:$W$1000,"&lt;&gt;Yes",'01 - Job Database'!$G$3:$G$1000,$A21,'01 - Job Database'!$AW$3:$AW$1000,"Yes")</f>
        <v>0</v>
      </c>
      <c r="AJ21" s="1" t="n">
        <f aca="false">COUNTIFS('01 - Job Database'!$C$3:$C$1000,"&lt;&gt;",'01 - Job Database'!$W$3:$W$1000,"&lt;&gt;Yes",'01 - Job Database'!$G$3:$G$1000,$A21,'01 - Job Database'!$AX$3:$AX$1000,"Yes")</f>
        <v>0</v>
      </c>
      <c r="AK21" s="1" t="n">
        <f aca="false">COUNTIFS('01 - Job Database'!$C$3:$C$1000,"&lt;&gt;",'01 - Job Database'!$W$3:$W$1000,"&lt;&gt;Yes",'01 - Job Database'!$G$3:$G$1000,$A21,'01 - Job Database'!$AY$3:$AY$1000,"Yes")</f>
        <v>0</v>
      </c>
      <c r="AL21" s="1" t="n">
        <f aca="false">COUNTIFS('01 - Job Database'!$C$3:$C$1000,"&lt;&gt;",'01 - Job Database'!$W$3:$W$1000,"&lt;&gt;Yes",'01 - Job Database'!$G$3:$G$1000,$A21,'01 - Job Database'!$AZ$3:$AZ$1000,"Yes")</f>
        <v>0</v>
      </c>
      <c r="AM21" s="1" t="n">
        <f aca="false">COUNTIFS('01 - Job Database'!$C$3:$C$1000,"&lt;&gt;",'01 - Job Database'!$W$3:$W$1000,"&lt;&gt;Yes",'01 - Job Database'!$G$3:$G$1000,$A21,'01 - Job Database'!$BA$3:$BA$1000,"Yes")</f>
        <v>0</v>
      </c>
      <c r="AN21" s="1" t="n">
        <f aca="false">COUNTIFS('01 - Job Database'!$C$3:$C$1000,"&lt;&gt;",'01 - Job Database'!$W$3:$W$1000,"&lt;&gt;Yes",'01 - Job Database'!$G$3:$G$1000,$A21,'01 - Job Database'!$BB$3:$BB$1000,"Yes")</f>
        <v>0</v>
      </c>
      <c r="AO21" s="1" t="n">
        <f aca="false">COUNTIFS('01 - Job Database'!$C$3:$C$1000,"&lt;&gt;",'01 - Job Database'!$W$3:$W$1000,"&lt;&gt;Yes",'01 - Job Database'!$G$3:$G$1000,$A21,'01 - Job Database'!$BC$3:$BC$1000,"Yes")</f>
        <v>0</v>
      </c>
      <c r="AP21" s="1" t="n">
        <f aca="false">MAX(J21:AO21,BB21:BL21)</f>
        <v>0</v>
      </c>
      <c r="AQ21" s="34" t="n">
        <f aca="false">COUNTIFS('01 - Job Database'!$C$3:$C$1000,"&lt;&gt;",'01 - Job Database'!$W$3:$W$1000,"&lt;&gt;Yes",'01 - Job Database'!$G$3:$G$1000,$A21,'01 - Job Database'!$O$3:$O$1000,"&gt;=100")</f>
        <v>0</v>
      </c>
      <c r="AR21" s="34" t="n">
        <f aca="false">COUNTIFS('01 - Job Database'!$C$3:$C$1000,"&lt;&gt;",'01 - Job Database'!$W$3:$W$1000,"&lt;&gt;Yes",'01 - Job Database'!$G$3:$G$1000,$A21,'01 - Job Database'!$Q$3:$Q$1000,"&gt;=150000")</f>
        <v>0</v>
      </c>
      <c r="AS21" s="34" t="n">
        <f aca="false">COUNTIFS('01 - Job Database'!$C$3:$C$1000,"&lt;&gt;",'01 - Job Database'!$W$3:$W$1000,"&lt;&gt;Yes",'01 - Job Database'!$G$3:$G$1000,$A21,'01 - Job Database'!$BQ$3:$BQ$1000,"&lt;&gt;")</f>
        <v>0</v>
      </c>
      <c r="AT21" s="34" t="n">
        <f aca="false">COUNTIFS('01 - Job Database'!$C$3:$C$1000,"&lt;&gt;",'01 - Job Database'!$W$3:$W$1000,"&lt;&gt;Yes",'01 - Job Database'!$G$3:$G$1000,$A21,'01 - Job Database'!$O$3:$O$1000,"&gt;=20")</f>
        <v>0</v>
      </c>
      <c r="AU21" s="34" t="n">
        <f aca="false">COUNTIFS('01 - Job Database'!$C$3:$C$1000,"&lt;&gt;",'01 - Job Database'!$W$3:$W$1000,"&lt;&gt;Yes",'01 - Job Database'!$G$3:$G$1000,$A21,'01 - Job Database'!$O$3:$O$1000,"&gt;=30")</f>
        <v>0</v>
      </c>
      <c r="AV21" s="34" t="n">
        <f aca="false">COUNTIFS('01 - Job Database'!$C$3:$C$1000,"&lt;&gt;",'01 - Job Database'!$W$3:$W$1000,"&lt;&gt;Yes",'01 - Job Database'!$G$3:$G$1000,$A21,'01 - Job Database'!$O$3:$O$1000,"&gt;=75")</f>
        <v>0</v>
      </c>
      <c r="AW21" s="34" t="n">
        <f aca="false">COUNTIFS('01 - Job Database'!$C$3:$C$1000,"&lt;&gt;",'01 - Job Database'!$W$3:$W$1000,"&lt;&gt;Yes",'01 - Job Database'!$G$3:$G$1000,$A21,'01 - Job Database'!$O$3:$O$1000,"&gt;=150")</f>
        <v>0</v>
      </c>
      <c r="AX21" s="34" t="n">
        <f aca="false">COUNTIFS('01 - Job Database'!$C$3:$C$1000,"&lt;&gt;",'01 - Job Database'!$W$3:$W$1000,"&lt;&gt;Yes",'01 - Job Database'!$G$3:$G$1000,$A21,'01 - Job Database'!$O$3:$O$1000,"&gt;=200")</f>
        <v>0</v>
      </c>
      <c r="AY21" s="34" t="n">
        <f aca="false">COUNTIFS('01 - Job Database'!$C$3:$C$1000,"&lt;&gt;",'01 - Job Database'!$W$3:$W$1000,"&lt;&gt;Yes",'01 - Job Database'!$G$3:$G$1000,$A21,'01 - Job Database'!$Q$3:$Q$1000,"&gt;=200000")</f>
        <v>0</v>
      </c>
      <c r="AZ21" s="34" t="n">
        <f aca="false">COUNTIFS('01 - Job Database'!$C$3:$C$1000,"&lt;&gt;",'01 - Job Database'!$W$3:$W$1000,"&lt;&gt;Yes",'01 - Job Database'!$G$3:$G$1000,$A21,'01 - Job Database'!$Q$3:$Q$1000,"&gt;=250000")</f>
        <v>0</v>
      </c>
      <c r="BA21" s="34" t="n">
        <f aca="false">COUNTIFS('01 - Job Database'!$C$3:$C$1000,"&lt;&gt;",'01 - Job Database'!$W$3:$W$1000,"&lt;&gt;Yes",'01 - Job Database'!$G$3:$G$1000,$A21,'01 - Job Database'!$Q$3:$Q$1000,"&gt;=300000")</f>
        <v>0</v>
      </c>
      <c r="BB21" s="1" t="n">
        <f aca="false">COUNTIFS('01 - Job Database'!$C$3:$C$1000,"&lt;&gt;",'01 - Job Database'!$W$3:$W$1000,"&lt;&gt;Yes",'01 - Job Database'!$G$3:$G$1000,$A21,'01 - Job Database'!$CM$3:$CM$1000,"Yes")</f>
        <v>0</v>
      </c>
      <c r="BC21" s="1" t="n">
        <f aca="false">COUNTIFS('01 - Job Database'!$C$3:$C$1000,"&lt;&gt;",'01 - Job Database'!$W$3:$W$1000,"&lt;&gt;Yes",'01 - Job Database'!$G$3:$G$1000,$A21,'01 - Job Database'!$CN$3:$CN$1000,"Yes")</f>
        <v>0</v>
      </c>
      <c r="BD21" s="1" t="n">
        <f aca="false">COUNTIFS('01 - Job Database'!$C$3:$C$1000,"&lt;&gt;",'01 - Job Database'!$W$3:$W$1000,"&lt;&gt;Yes",'01 - Job Database'!$G$3:$G$1000,$A21,'01 - Job Database'!$CO$3:$CO$1000,"Yes")</f>
        <v>0</v>
      </c>
      <c r="BE21" s="1" t="n">
        <f aca="false">COUNTIFS('01 - Job Database'!$C$3:$C$1000,"&lt;&gt;",'01 - Job Database'!$W$3:$W$1000,"&lt;&gt;Yes",'01 - Job Database'!$G$3:$G$1000,$A21,'01 - Job Database'!$CP$3:$CP$1000,"Yes")</f>
        <v>0</v>
      </c>
      <c r="BF21" s="1" t="n">
        <f aca="false">COUNTIFS('01 - Job Database'!$C$3:$C$1000,"&lt;&gt;",'01 - Job Database'!$W$3:$W$1000,"&lt;&gt;Yes",'01 - Job Database'!$G$3:$G$1000,$A21,'01 - Job Database'!$CQ$3:$CQ$1000,"Yes")</f>
        <v>0</v>
      </c>
      <c r="BG21" s="1" t="n">
        <f aca="false">COUNTIFS('01 - Job Database'!$C$3:$C$1000,"&lt;&gt;",'01 - Job Database'!$W$3:$W$1000,"&lt;&gt;Yes",'01 - Job Database'!$G$3:$G$1000,$A21,'01 - Job Database'!$CR$3:$CR$1000,"Yes")</f>
        <v>0</v>
      </c>
      <c r="BH21" s="1" t="n">
        <f aca="false">COUNTIFS('01 - Job Database'!$C$3:$C$1000,"&lt;&gt;",'01 - Job Database'!$W$3:$W$1000,"&lt;&gt;Yes",'01 - Job Database'!$G$3:$G$1000,$A21,'01 - Job Database'!$CS$3:$CS$1000,"Yes")</f>
        <v>0</v>
      </c>
      <c r="BI21" s="1" t="n">
        <f aca="false">COUNTIFS('01 - Job Database'!$C$3:$C$1000,"&lt;&gt;",'01 - Job Database'!$W$3:$W$1000,"&lt;&gt;Yes",'01 - Job Database'!$G$3:$G$1000,$A21,'01 - Job Database'!$CT$3:$CT$1000,"Yes")</f>
        <v>0</v>
      </c>
      <c r="BJ21" s="1" t="n">
        <f aca="false">COUNTIFS('01 - Job Database'!$C$3:$C$1000,"&lt;&gt;",'01 - Job Database'!$W$3:$W$1000,"&lt;&gt;Yes",'01 - Job Database'!$G$3:$G$1000,$A21,'01 - Job Database'!$CU$3:$CU$1000,"Yes")</f>
        <v>0</v>
      </c>
      <c r="BK21" s="1" t="n">
        <f aca="false">COUNTIFS('01 - Job Database'!$C$3:$C$1000,"&lt;&gt;",'01 - Job Database'!$W$3:$W$1000,"&lt;&gt;Yes",'01 - Job Database'!$G$3:$G$1000,$A21,'01 - Job Database'!$CV$3:$CV$1000,"Yes")</f>
        <v>0</v>
      </c>
      <c r="BL21" s="1" t="n">
        <f aca="false">COUNTIFS('01 - Job Database'!$C$3:$C$1000,"&lt;&gt;",'01 - Job Database'!$W$3:$W$1000,"&lt;&gt;Yes",'01 - Job Database'!$G$3:$G$1000,$A21,'01 - Job Database'!$CW$3:$CW$1000,"Yes")</f>
        <v>0</v>
      </c>
    </row>
  </sheetData>
  <mergeCells count="1">
    <mergeCell ref="A1:G1"/>
  </mergeCells>
  <conditionalFormatting sqref="D4:E21">
    <cfRule type="colorScale" priority="2">
      <colorScale>
        <cfvo type="min" val="0"/>
        <cfvo type="percentile" val="50"/>
        <cfvo type="max" val="0"/>
        <color rgb="FFFFC7CE"/>
        <color rgb="FFFFEB84"/>
        <color rgb="FFC6EFCE"/>
      </colorScale>
    </cfRule>
  </conditionalFormatting>
  <conditionalFormatting sqref="B4:B21">
    <cfRule type="colorScale" priority="3">
      <colorScale>
        <cfvo type="min" val="0"/>
        <cfvo type="max" val="0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true" outlineLevel="0" max="8" min="8" style="1" width="12"/>
  </cols>
  <sheetData>
    <row r="1" customFormat="false" ht="27.75" hidden="false" customHeight="true" outlineLevel="0" collapsed="false">
      <c r="A1" s="2" t="s">
        <v>278</v>
      </c>
      <c r="B1" s="2"/>
      <c r="C1" s="2"/>
      <c r="D1" s="2"/>
      <c r="E1" s="2"/>
      <c r="F1" s="2"/>
      <c r="G1" s="2"/>
      <c r="H1" s="2"/>
    </row>
    <row r="3" customFormat="false" ht="39" hidden="false" customHeight="true" outlineLevel="0" collapsed="false">
      <c r="A3" s="12" t="s">
        <v>50</v>
      </c>
      <c r="B3" s="12" t="s">
        <v>226</v>
      </c>
      <c r="C3" s="12" t="s">
        <v>227</v>
      </c>
      <c r="D3" s="12" t="s">
        <v>228</v>
      </c>
      <c r="E3" s="12" t="s">
        <v>229</v>
      </c>
      <c r="F3" s="12" t="s">
        <v>279</v>
      </c>
      <c r="G3" s="12" t="s">
        <v>280</v>
      </c>
      <c r="H3" s="12" t="s">
        <v>218</v>
      </c>
    </row>
    <row r="4" customFormat="false" ht="15" hidden="false" customHeight="true" outlineLevel="0" collapsed="false">
      <c r="A4" s="57" t="s">
        <v>149</v>
      </c>
      <c r="B4" s="26" t="n">
        <f aca="false">COUNTIFS('01 - Job Database'!$C$3:$C$1000,"&lt;&gt;",'01 - Job Database'!$W$3:$W$1000,"&lt;&gt;Yes",'01 - Job Database'!$C$3:$C$1000,A4)</f>
        <v>0</v>
      </c>
      <c r="C4" s="59" t="str">
        <f aca="false">IFERROR(AVERAGEIFS('01 - Job Database'!$O$3:$O$1000,'01 - Job Database'!$C$3:$C$1000,"&lt;&gt;",'01 - Job Database'!$W$3:$W$1000,"&lt;&gt;Yes",'01 - Job Database'!$C$3:$C$1000,A4),"")</f>
        <v/>
      </c>
      <c r="D4" s="60" t="str">
        <f aca="false">IFERROR(AVERAGEIFS('01 - Job Database'!$Q$3:$Q$1000,'01 - Job Database'!$C$3:$C$1000,"&lt;&gt;",'01 - Job Database'!$W$3:$W$1000,"&lt;&gt;Yes",'01 - Job Database'!$C$3:$C$1000,A4),"")</f>
        <v/>
      </c>
      <c r="E4" s="26" t="n">
        <f aca="false">COUNTIFS('01 - Job Database'!$C$3:$C$1000,"&lt;&gt;",'01 - Job Database'!$W$3:$W$1000,"&lt;&gt;Yes",'01 - Job Database'!$C$3:$C$1000,A4,'01 - Job Database'!$S$3:$S$1000,"Yes")</f>
        <v>0</v>
      </c>
      <c r="F4" s="26" t="n">
        <f aca="false">COUNTIFS('01 - Job Database'!$C$3:$C$1000,"&lt;&gt;",'01 - Job Database'!$W$3:$W$1000,"&lt;&gt;Yes",'01 - Job Database'!$C$3:$C$1000,A4,'01 - Job Database'!$J$3:$J$1000,"Yes")</f>
        <v>0</v>
      </c>
      <c r="G4" s="26" t="n">
        <f aca="false">COUNTIFS('01 - Job Database'!$C$3:$C$1000,"&lt;&gt;",'01 - Job Database'!$W$3:$W$1000,"&lt;&gt;Yes",'01 - Job Database'!$C$3:$C$1000,A4,'01 - Job Database'!$K$3:$K$1000,"Yes")</f>
        <v>0</v>
      </c>
      <c r="H4" s="26" t="n">
        <f aca="false">B4-ROW()*0.0001</f>
        <v>-0.0004</v>
      </c>
    </row>
    <row r="5" customFormat="false" ht="15" hidden="false" customHeight="true" outlineLevel="0" collapsed="false">
      <c r="A5" s="57" t="s">
        <v>281</v>
      </c>
      <c r="B5" s="26" t="n">
        <f aca="false">COUNTIFS('01 - Job Database'!$C$3:$C$1000,"&lt;&gt;",'01 - Job Database'!$W$3:$W$1000,"&lt;&gt;Yes",'01 - Job Database'!$C$3:$C$1000,A5)</f>
        <v>0</v>
      </c>
      <c r="C5" s="59" t="str">
        <f aca="false">IFERROR(AVERAGEIFS('01 - Job Database'!$O$3:$O$1000,'01 - Job Database'!$C$3:$C$1000,"&lt;&gt;",'01 - Job Database'!$W$3:$W$1000,"&lt;&gt;Yes",'01 - Job Database'!$C$3:$C$1000,A5),"")</f>
        <v/>
      </c>
      <c r="D5" s="60" t="str">
        <f aca="false">IFERROR(AVERAGEIFS('01 - Job Database'!$Q$3:$Q$1000,'01 - Job Database'!$C$3:$C$1000,"&lt;&gt;",'01 - Job Database'!$W$3:$W$1000,"&lt;&gt;Yes",'01 - Job Database'!$C$3:$C$1000,A5),"")</f>
        <v/>
      </c>
      <c r="E5" s="26" t="n">
        <f aca="false">COUNTIFS('01 - Job Database'!$C$3:$C$1000,"&lt;&gt;",'01 - Job Database'!$W$3:$W$1000,"&lt;&gt;Yes",'01 - Job Database'!$C$3:$C$1000,A5,'01 - Job Database'!$S$3:$S$1000,"Yes")</f>
        <v>0</v>
      </c>
      <c r="F5" s="26" t="n">
        <f aca="false">COUNTIFS('01 - Job Database'!$C$3:$C$1000,"&lt;&gt;",'01 - Job Database'!$W$3:$W$1000,"&lt;&gt;Yes",'01 - Job Database'!$C$3:$C$1000,A5,'01 - Job Database'!$J$3:$J$1000,"Yes")</f>
        <v>0</v>
      </c>
      <c r="G5" s="26" t="n">
        <f aca="false">COUNTIFS('01 - Job Database'!$C$3:$C$1000,"&lt;&gt;",'01 - Job Database'!$W$3:$W$1000,"&lt;&gt;Yes",'01 - Job Database'!$C$3:$C$1000,A5,'01 - Job Database'!$K$3:$K$1000,"Yes")</f>
        <v>0</v>
      </c>
      <c r="H5" s="26" t="n">
        <f aca="false">B5-ROW()*0.0001</f>
        <v>-0.0005</v>
      </c>
    </row>
    <row r="6" customFormat="false" ht="15" hidden="false" customHeight="true" outlineLevel="0" collapsed="false">
      <c r="A6" s="57" t="s">
        <v>169</v>
      </c>
      <c r="B6" s="26" t="n">
        <f aca="false">COUNTIFS('01 - Job Database'!$C$3:$C$1000,"&lt;&gt;",'01 - Job Database'!$W$3:$W$1000,"&lt;&gt;Yes",'01 - Job Database'!$C$3:$C$1000,A6)</f>
        <v>1</v>
      </c>
      <c r="C6" s="59" t="n">
        <f aca="false">IFERROR(AVERAGEIFS('01 - Job Database'!$O$3:$O$1000,'01 - Job Database'!$C$3:$C$1000,"&lt;&gt;",'01 - Job Database'!$W$3:$W$1000,"&lt;&gt;Yes",'01 - Job Database'!$C$3:$C$1000,A6),"")</f>
        <v>125.019</v>
      </c>
      <c r="D6" s="60" t="n">
        <f aca="false">IFERROR(AVERAGEIFS('01 - Job Database'!$Q$3:$Q$1000,'01 - Job Database'!$C$3:$C$1000,"&lt;&gt;",'01 - Job Database'!$W$3:$W$1000,"&lt;&gt;Yes",'01 - Job Database'!$C$3:$C$1000,A6),"")</f>
        <v>143700</v>
      </c>
      <c r="E6" s="26" t="n">
        <f aca="false">COUNTIFS('01 - Job Database'!$C$3:$C$1000,"&lt;&gt;",'01 - Job Database'!$W$3:$W$1000,"&lt;&gt;Yes",'01 - Job Database'!$C$3:$C$1000,A6,'01 - Job Database'!$S$3:$S$1000,"Yes")</f>
        <v>1</v>
      </c>
      <c r="F6" s="26" t="n">
        <f aca="false">COUNTIFS('01 - Job Database'!$C$3:$C$1000,"&lt;&gt;",'01 - Job Database'!$W$3:$W$1000,"&lt;&gt;Yes",'01 - Job Database'!$C$3:$C$1000,A6,'01 - Job Database'!$J$3:$J$1000,"Yes")</f>
        <v>0</v>
      </c>
      <c r="G6" s="26" t="n">
        <f aca="false">COUNTIFS('01 - Job Database'!$C$3:$C$1000,"&lt;&gt;",'01 - Job Database'!$W$3:$W$1000,"&lt;&gt;Yes",'01 - Job Database'!$C$3:$C$1000,A6,'01 - Job Database'!$K$3:$K$1000,"Yes")</f>
        <v>0</v>
      </c>
      <c r="H6" s="26" t="n">
        <f aca="false">B6-ROW()*0.0001</f>
        <v>0.9994</v>
      </c>
    </row>
    <row r="7" customFormat="false" ht="15" hidden="false" customHeight="true" outlineLevel="0" collapsed="false">
      <c r="A7" s="57" t="s">
        <v>282</v>
      </c>
      <c r="B7" s="26" t="n">
        <f aca="false">COUNTIFS('01 - Job Database'!$C$3:$C$1000,"&lt;&gt;",'01 - Job Database'!$W$3:$W$1000,"&lt;&gt;Yes",'01 - Job Database'!$C$3:$C$1000,A7)</f>
        <v>0</v>
      </c>
      <c r="C7" s="59" t="str">
        <f aca="false">IFERROR(AVERAGEIFS('01 - Job Database'!$O$3:$O$1000,'01 - Job Database'!$C$3:$C$1000,"&lt;&gt;",'01 - Job Database'!$W$3:$W$1000,"&lt;&gt;Yes",'01 - Job Database'!$C$3:$C$1000,A7),"")</f>
        <v/>
      </c>
      <c r="D7" s="60" t="str">
        <f aca="false">IFERROR(AVERAGEIFS('01 - Job Database'!$Q$3:$Q$1000,'01 - Job Database'!$C$3:$C$1000,"&lt;&gt;",'01 - Job Database'!$W$3:$W$1000,"&lt;&gt;Yes",'01 - Job Database'!$C$3:$C$1000,A7),"")</f>
        <v/>
      </c>
      <c r="E7" s="26" t="n">
        <f aca="false">COUNTIFS('01 - Job Database'!$C$3:$C$1000,"&lt;&gt;",'01 - Job Database'!$W$3:$W$1000,"&lt;&gt;Yes",'01 - Job Database'!$C$3:$C$1000,A7,'01 - Job Database'!$S$3:$S$1000,"Yes")</f>
        <v>0</v>
      </c>
      <c r="F7" s="26" t="n">
        <f aca="false">COUNTIFS('01 - Job Database'!$C$3:$C$1000,"&lt;&gt;",'01 - Job Database'!$W$3:$W$1000,"&lt;&gt;Yes",'01 - Job Database'!$C$3:$C$1000,A7,'01 - Job Database'!$J$3:$J$1000,"Yes")</f>
        <v>0</v>
      </c>
      <c r="G7" s="26" t="n">
        <f aca="false">COUNTIFS('01 - Job Database'!$C$3:$C$1000,"&lt;&gt;",'01 - Job Database'!$W$3:$W$1000,"&lt;&gt;Yes",'01 - Job Database'!$C$3:$C$1000,A7,'01 - Job Database'!$K$3:$K$1000,"Yes")</f>
        <v>0</v>
      </c>
      <c r="H7" s="26" t="n">
        <f aca="false">B7-ROW()*0.0001</f>
        <v>-0.0007</v>
      </c>
    </row>
    <row r="8" customFormat="false" ht="15" hidden="false" customHeight="true" outlineLevel="0" collapsed="false">
      <c r="A8" s="57" t="s">
        <v>283</v>
      </c>
      <c r="B8" s="26" t="n">
        <f aca="false">COUNTIFS('01 - Job Database'!$C$3:$C$1000,"&lt;&gt;",'01 - Job Database'!$W$3:$W$1000,"&lt;&gt;Yes",'01 - Job Database'!$C$3:$C$1000,A8)</f>
        <v>0</v>
      </c>
      <c r="C8" s="59" t="str">
        <f aca="false">IFERROR(AVERAGEIFS('01 - Job Database'!$O$3:$O$1000,'01 - Job Database'!$C$3:$C$1000,"&lt;&gt;",'01 - Job Database'!$W$3:$W$1000,"&lt;&gt;Yes",'01 - Job Database'!$C$3:$C$1000,A8),"")</f>
        <v/>
      </c>
      <c r="D8" s="60" t="str">
        <f aca="false">IFERROR(AVERAGEIFS('01 - Job Database'!$Q$3:$Q$1000,'01 - Job Database'!$C$3:$C$1000,"&lt;&gt;",'01 - Job Database'!$W$3:$W$1000,"&lt;&gt;Yes",'01 - Job Database'!$C$3:$C$1000,A8),"")</f>
        <v/>
      </c>
      <c r="E8" s="26" t="n">
        <f aca="false">COUNTIFS('01 - Job Database'!$C$3:$C$1000,"&lt;&gt;",'01 - Job Database'!$W$3:$W$1000,"&lt;&gt;Yes",'01 - Job Database'!$C$3:$C$1000,A8,'01 - Job Database'!$S$3:$S$1000,"Yes")</f>
        <v>0</v>
      </c>
      <c r="F8" s="26" t="n">
        <f aca="false">COUNTIFS('01 - Job Database'!$C$3:$C$1000,"&lt;&gt;",'01 - Job Database'!$W$3:$W$1000,"&lt;&gt;Yes",'01 - Job Database'!$C$3:$C$1000,A8,'01 - Job Database'!$J$3:$J$1000,"Yes")</f>
        <v>0</v>
      </c>
      <c r="G8" s="26" t="n">
        <f aca="false">COUNTIFS('01 - Job Database'!$C$3:$C$1000,"&lt;&gt;",'01 - Job Database'!$W$3:$W$1000,"&lt;&gt;Yes",'01 - Job Database'!$C$3:$C$1000,A8,'01 - Job Database'!$K$3:$K$1000,"Yes")</f>
        <v>0</v>
      </c>
      <c r="H8" s="26" t="n">
        <f aca="false">B8-ROW()*0.0001</f>
        <v>-0.0008</v>
      </c>
    </row>
    <row r="9" customFormat="false" ht="15" hidden="false" customHeight="true" outlineLevel="0" collapsed="false">
      <c r="A9" s="57" t="s">
        <v>284</v>
      </c>
      <c r="B9" s="26" t="n">
        <f aca="false">COUNTIFS('01 - Job Database'!$C$3:$C$1000,"&lt;&gt;",'01 - Job Database'!$W$3:$W$1000,"&lt;&gt;Yes",'01 - Job Database'!$C$3:$C$1000,A9)</f>
        <v>0</v>
      </c>
      <c r="C9" s="59" t="str">
        <f aca="false">IFERROR(AVERAGEIFS('01 - Job Database'!$O$3:$O$1000,'01 - Job Database'!$C$3:$C$1000,"&lt;&gt;",'01 - Job Database'!$W$3:$W$1000,"&lt;&gt;Yes",'01 - Job Database'!$C$3:$C$1000,A9),"")</f>
        <v/>
      </c>
      <c r="D9" s="60" t="str">
        <f aca="false">IFERROR(AVERAGEIFS('01 - Job Database'!$Q$3:$Q$1000,'01 - Job Database'!$C$3:$C$1000,"&lt;&gt;",'01 - Job Database'!$W$3:$W$1000,"&lt;&gt;Yes",'01 - Job Database'!$C$3:$C$1000,A9),"")</f>
        <v/>
      </c>
      <c r="E9" s="26" t="n">
        <f aca="false">COUNTIFS('01 - Job Database'!$C$3:$C$1000,"&lt;&gt;",'01 - Job Database'!$W$3:$W$1000,"&lt;&gt;Yes",'01 - Job Database'!$C$3:$C$1000,A9,'01 - Job Database'!$S$3:$S$1000,"Yes")</f>
        <v>0</v>
      </c>
      <c r="F9" s="26" t="n">
        <f aca="false">COUNTIFS('01 - Job Database'!$C$3:$C$1000,"&lt;&gt;",'01 - Job Database'!$W$3:$W$1000,"&lt;&gt;Yes",'01 - Job Database'!$C$3:$C$1000,A9,'01 - Job Database'!$J$3:$J$1000,"Yes")</f>
        <v>0</v>
      </c>
      <c r="G9" s="26" t="n">
        <f aca="false">COUNTIFS('01 - Job Database'!$C$3:$C$1000,"&lt;&gt;",'01 - Job Database'!$W$3:$W$1000,"&lt;&gt;Yes",'01 - Job Database'!$C$3:$C$1000,A9,'01 - Job Database'!$K$3:$K$1000,"Yes")</f>
        <v>0</v>
      </c>
      <c r="H9" s="26" t="n">
        <f aca="false">B9-ROW()*0.0001</f>
        <v>-0.0009</v>
      </c>
    </row>
    <row r="10" customFormat="false" ht="15" hidden="false" customHeight="true" outlineLevel="0" collapsed="false">
      <c r="A10" s="57" t="s">
        <v>285</v>
      </c>
      <c r="B10" s="26" t="n">
        <f aca="false">COUNTIFS('01 - Job Database'!$C$3:$C$1000,"&lt;&gt;",'01 - Job Database'!$W$3:$W$1000,"&lt;&gt;Yes",'01 - Job Database'!$C$3:$C$1000,A10)</f>
        <v>0</v>
      </c>
      <c r="C10" s="59" t="str">
        <f aca="false">IFERROR(AVERAGEIFS('01 - Job Database'!$O$3:$O$1000,'01 - Job Database'!$C$3:$C$1000,"&lt;&gt;",'01 - Job Database'!$W$3:$W$1000,"&lt;&gt;Yes",'01 - Job Database'!$C$3:$C$1000,A10),"")</f>
        <v/>
      </c>
      <c r="D10" s="60" t="str">
        <f aca="false">IFERROR(AVERAGEIFS('01 - Job Database'!$Q$3:$Q$1000,'01 - Job Database'!$C$3:$C$1000,"&lt;&gt;",'01 - Job Database'!$W$3:$W$1000,"&lt;&gt;Yes",'01 - Job Database'!$C$3:$C$1000,A10),"")</f>
        <v/>
      </c>
      <c r="E10" s="26" t="n">
        <f aca="false">COUNTIFS('01 - Job Database'!$C$3:$C$1000,"&lt;&gt;",'01 - Job Database'!$W$3:$W$1000,"&lt;&gt;Yes",'01 - Job Database'!$C$3:$C$1000,A10,'01 - Job Database'!$S$3:$S$1000,"Yes")</f>
        <v>0</v>
      </c>
      <c r="F10" s="26" t="n">
        <f aca="false">COUNTIFS('01 - Job Database'!$C$3:$C$1000,"&lt;&gt;",'01 - Job Database'!$W$3:$W$1000,"&lt;&gt;Yes",'01 - Job Database'!$C$3:$C$1000,A10,'01 - Job Database'!$J$3:$J$1000,"Yes")</f>
        <v>0</v>
      </c>
      <c r="G10" s="26" t="n">
        <f aca="false">COUNTIFS('01 - Job Database'!$C$3:$C$1000,"&lt;&gt;",'01 - Job Database'!$W$3:$W$1000,"&lt;&gt;Yes",'01 - Job Database'!$C$3:$C$1000,A10,'01 - Job Database'!$K$3:$K$1000,"Yes")</f>
        <v>0</v>
      </c>
      <c r="H10" s="26" t="n">
        <f aca="false">B10-ROW()*0.0001</f>
        <v>-0.001</v>
      </c>
    </row>
    <row r="11" customFormat="false" ht="15" hidden="false" customHeight="true" outlineLevel="0" collapsed="false">
      <c r="A11" s="57" t="s">
        <v>286</v>
      </c>
      <c r="B11" s="26" t="n">
        <f aca="false">COUNTIFS('01 - Job Database'!$C$3:$C$1000,"&lt;&gt;",'01 - Job Database'!$W$3:$W$1000,"&lt;&gt;Yes",'01 - Job Database'!$C$3:$C$1000,A11)</f>
        <v>0</v>
      </c>
      <c r="C11" s="59" t="str">
        <f aca="false">IFERROR(AVERAGEIFS('01 - Job Database'!$O$3:$O$1000,'01 - Job Database'!$C$3:$C$1000,"&lt;&gt;",'01 - Job Database'!$W$3:$W$1000,"&lt;&gt;Yes",'01 - Job Database'!$C$3:$C$1000,A11),"")</f>
        <v/>
      </c>
      <c r="D11" s="60" t="str">
        <f aca="false">IFERROR(AVERAGEIFS('01 - Job Database'!$Q$3:$Q$1000,'01 - Job Database'!$C$3:$C$1000,"&lt;&gt;",'01 - Job Database'!$W$3:$W$1000,"&lt;&gt;Yes",'01 - Job Database'!$C$3:$C$1000,A11),"")</f>
        <v/>
      </c>
      <c r="E11" s="26" t="n">
        <f aca="false">COUNTIFS('01 - Job Database'!$C$3:$C$1000,"&lt;&gt;",'01 - Job Database'!$W$3:$W$1000,"&lt;&gt;Yes",'01 - Job Database'!$C$3:$C$1000,A11,'01 - Job Database'!$S$3:$S$1000,"Yes")</f>
        <v>0</v>
      </c>
      <c r="F11" s="26" t="n">
        <f aca="false">COUNTIFS('01 - Job Database'!$C$3:$C$1000,"&lt;&gt;",'01 - Job Database'!$W$3:$W$1000,"&lt;&gt;Yes",'01 - Job Database'!$C$3:$C$1000,A11,'01 - Job Database'!$J$3:$J$1000,"Yes")</f>
        <v>0</v>
      </c>
      <c r="G11" s="26" t="n">
        <f aca="false">COUNTIFS('01 - Job Database'!$C$3:$C$1000,"&lt;&gt;",'01 - Job Database'!$W$3:$W$1000,"&lt;&gt;Yes",'01 - Job Database'!$C$3:$C$1000,A11,'01 - Job Database'!$K$3:$K$1000,"Yes")</f>
        <v>0</v>
      </c>
      <c r="H11" s="26" t="n">
        <f aca="false">B11-ROW()*0.0001</f>
        <v>-0.0011</v>
      </c>
    </row>
    <row r="12" customFormat="false" ht="15" hidden="false" customHeight="true" outlineLevel="0" collapsed="false">
      <c r="A12" s="57" t="s">
        <v>287</v>
      </c>
      <c r="B12" s="26" t="n">
        <f aca="false">COUNTIFS('01 - Job Database'!$C$3:$C$1000,"&lt;&gt;",'01 - Job Database'!$W$3:$W$1000,"&lt;&gt;Yes",'01 - Job Database'!$C$3:$C$1000,A12)</f>
        <v>0</v>
      </c>
      <c r="C12" s="59" t="str">
        <f aca="false">IFERROR(AVERAGEIFS('01 - Job Database'!$O$3:$O$1000,'01 - Job Database'!$C$3:$C$1000,"&lt;&gt;",'01 - Job Database'!$W$3:$W$1000,"&lt;&gt;Yes",'01 - Job Database'!$C$3:$C$1000,A12),"")</f>
        <v/>
      </c>
      <c r="D12" s="60" t="str">
        <f aca="false">IFERROR(AVERAGEIFS('01 - Job Database'!$Q$3:$Q$1000,'01 - Job Database'!$C$3:$C$1000,"&lt;&gt;",'01 - Job Database'!$W$3:$W$1000,"&lt;&gt;Yes",'01 - Job Database'!$C$3:$C$1000,A12),"")</f>
        <v/>
      </c>
      <c r="E12" s="26" t="n">
        <f aca="false">COUNTIFS('01 - Job Database'!$C$3:$C$1000,"&lt;&gt;",'01 - Job Database'!$W$3:$W$1000,"&lt;&gt;Yes",'01 - Job Database'!$C$3:$C$1000,A12,'01 - Job Database'!$S$3:$S$1000,"Yes")</f>
        <v>0</v>
      </c>
      <c r="F12" s="26" t="n">
        <f aca="false">COUNTIFS('01 - Job Database'!$C$3:$C$1000,"&lt;&gt;",'01 - Job Database'!$W$3:$W$1000,"&lt;&gt;Yes",'01 - Job Database'!$C$3:$C$1000,A12,'01 - Job Database'!$J$3:$J$1000,"Yes")</f>
        <v>0</v>
      </c>
      <c r="G12" s="26" t="n">
        <f aca="false">COUNTIFS('01 - Job Database'!$C$3:$C$1000,"&lt;&gt;",'01 - Job Database'!$W$3:$W$1000,"&lt;&gt;Yes",'01 - Job Database'!$C$3:$C$1000,A12,'01 - Job Database'!$K$3:$K$1000,"Yes")</f>
        <v>0</v>
      </c>
      <c r="H12" s="26" t="n">
        <f aca="false">B12-ROW()*0.0001</f>
        <v>-0.0012</v>
      </c>
    </row>
    <row r="13" customFormat="false" ht="15" hidden="false" customHeight="true" outlineLevel="0" collapsed="false">
      <c r="A13" s="57" t="s">
        <v>288</v>
      </c>
      <c r="B13" s="26" t="n">
        <f aca="false">COUNTIFS('01 - Job Database'!$C$3:$C$1000,"&lt;&gt;",'01 - Job Database'!$W$3:$W$1000,"&lt;&gt;Yes",'01 - Job Database'!$C$3:$C$1000,A13)</f>
        <v>0</v>
      </c>
      <c r="C13" s="59" t="str">
        <f aca="false">IFERROR(AVERAGEIFS('01 - Job Database'!$O$3:$O$1000,'01 - Job Database'!$C$3:$C$1000,"&lt;&gt;",'01 - Job Database'!$W$3:$W$1000,"&lt;&gt;Yes",'01 - Job Database'!$C$3:$C$1000,A13),"")</f>
        <v/>
      </c>
      <c r="D13" s="60" t="str">
        <f aca="false">IFERROR(AVERAGEIFS('01 - Job Database'!$Q$3:$Q$1000,'01 - Job Database'!$C$3:$C$1000,"&lt;&gt;",'01 - Job Database'!$W$3:$W$1000,"&lt;&gt;Yes",'01 - Job Database'!$C$3:$C$1000,A13),"")</f>
        <v/>
      </c>
      <c r="E13" s="26" t="n">
        <f aca="false">COUNTIFS('01 - Job Database'!$C$3:$C$1000,"&lt;&gt;",'01 - Job Database'!$W$3:$W$1000,"&lt;&gt;Yes",'01 - Job Database'!$C$3:$C$1000,A13,'01 - Job Database'!$S$3:$S$1000,"Yes")</f>
        <v>0</v>
      </c>
      <c r="F13" s="26" t="n">
        <f aca="false">COUNTIFS('01 - Job Database'!$C$3:$C$1000,"&lt;&gt;",'01 - Job Database'!$W$3:$W$1000,"&lt;&gt;Yes",'01 - Job Database'!$C$3:$C$1000,A13,'01 - Job Database'!$J$3:$J$1000,"Yes")</f>
        <v>0</v>
      </c>
      <c r="G13" s="26" t="n">
        <f aca="false">COUNTIFS('01 - Job Database'!$C$3:$C$1000,"&lt;&gt;",'01 - Job Database'!$W$3:$W$1000,"&lt;&gt;Yes",'01 - Job Database'!$C$3:$C$1000,A13,'01 - Job Database'!$K$3:$K$1000,"Yes")</f>
        <v>0</v>
      </c>
      <c r="H13" s="26" t="n">
        <f aca="false">B13-ROW()*0.0001</f>
        <v>-0.0013</v>
      </c>
    </row>
    <row r="14" customFormat="false" ht="15" hidden="false" customHeight="true" outlineLevel="0" collapsed="false">
      <c r="A14" s="57" t="s">
        <v>289</v>
      </c>
      <c r="B14" s="26" t="n">
        <f aca="false">COUNTIFS('01 - Job Database'!$C$3:$C$1000,"&lt;&gt;",'01 - Job Database'!$W$3:$W$1000,"&lt;&gt;Yes",'01 - Job Database'!$C$3:$C$1000,A14)</f>
        <v>0</v>
      </c>
      <c r="C14" s="59" t="str">
        <f aca="false">IFERROR(AVERAGEIFS('01 - Job Database'!$O$3:$O$1000,'01 - Job Database'!$C$3:$C$1000,"&lt;&gt;",'01 - Job Database'!$W$3:$W$1000,"&lt;&gt;Yes",'01 - Job Database'!$C$3:$C$1000,A14),"")</f>
        <v/>
      </c>
      <c r="D14" s="60" t="str">
        <f aca="false">IFERROR(AVERAGEIFS('01 - Job Database'!$Q$3:$Q$1000,'01 - Job Database'!$C$3:$C$1000,"&lt;&gt;",'01 - Job Database'!$W$3:$W$1000,"&lt;&gt;Yes",'01 - Job Database'!$C$3:$C$1000,A14),"")</f>
        <v/>
      </c>
      <c r="E14" s="26" t="n">
        <f aca="false">COUNTIFS('01 - Job Database'!$C$3:$C$1000,"&lt;&gt;",'01 - Job Database'!$W$3:$W$1000,"&lt;&gt;Yes",'01 - Job Database'!$C$3:$C$1000,A14,'01 - Job Database'!$S$3:$S$1000,"Yes")</f>
        <v>0</v>
      </c>
      <c r="F14" s="26" t="n">
        <f aca="false">COUNTIFS('01 - Job Database'!$C$3:$C$1000,"&lt;&gt;",'01 - Job Database'!$W$3:$W$1000,"&lt;&gt;Yes",'01 - Job Database'!$C$3:$C$1000,A14,'01 - Job Database'!$J$3:$J$1000,"Yes")</f>
        <v>0</v>
      </c>
      <c r="G14" s="26" t="n">
        <f aca="false">COUNTIFS('01 - Job Database'!$C$3:$C$1000,"&lt;&gt;",'01 - Job Database'!$W$3:$W$1000,"&lt;&gt;Yes",'01 - Job Database'!$C$3:$C$1000,A14,'01 - Job Database'!$K$3:$K$1000,"Yes")</f>
        <v>0</v>
      </c>
      <c r="H14" s="26" t="n">
        <f aca="false">B14-ROW()*0.0001</f>
        <v>-0.0014</v>
      </c>
    </row>
    <row r="15" customFormat="false" ht="15" hidden="false" customHeight="true" outlineLevel="0" collapsed="false">
      <c r="A15" s="57" t="s">
        <v>290</v>
      </c>
      <c r="B15" s="26" t="n">
        <f aca="false">COUNTIFS('01 - Job Database'!$C$3:$C$1000,"&lt;&gt;",'01 - Job Database'!$W$3:$W$1000,"&lt;&gt;Yes",'01 - Job Database'!$C$3:$C$1000,A15)</f>
        <v>0</v>
      </c>
      <c r="C15" s="59" t="str">
        <f aca="false">IFERROR(AVERAGEIFS('01 - Job Database'!$O$3:$O$1000,'01 - Job Database'!$C$3:$C$1000,"&lt;&gt;",'01 - Job Database'!$W$3:$W$1000,"&lt;&gt;Yes",'01 - Job Database'!$C$3:$C$1000,A15),"")</f>
        <v/>
      </c>
      <c r="D15" s="60" t="str">
        <f aca="false">IFERROR(AVERAGEIFS('01 - Job Database'!$Q$3:$Q$1000,'01 - Job Database'!$C$3:$C$1000,"&lt;&gt;",'01 - Job Database'!$W$3:$W$1000,"&lt;&gt;Yes",'01 - Job Database'!$C$3:$C$1000,A15),"")</f>
        <v/>
      </c>
      <c r="E15" s="26" t="n">
        <f aca="false">COUNTIFS('01 - Job Database'!$C$3:$C$1000,"&lt;&gt;",'01 - Job Database'!$W$3:$W$1000,"&lt;&gt;Yes",'01 - Job Database'!$C$3:$C$1000,A15,'01 - Job Database'!$S$3:$S$1000,"Yes")</f>
        <v>0</v>
      </c>
      <c r="F15" s="26" t="n">
        <f aca="false">COUNTIFS('01 - Job Database'!$C$3:$C$1000,"&lt;&gt;",'01 - Job Database'!$W$3:$W$1000,"&lt;&gt;Yes",'01 - Job Database'!$C$3:$C$1000,A15,'01 - Job Database'!$J$3:$J$1000,"Yes")</f>
        <v>0</v>
      </c>
      <c r="G15" s="26" t="n">
        <f aca="false">COUNTIFS('01 - Job Database'!$C$3:$C$1000,"&lt;&gt;",'01 - Job Database'!$W$3:$W$1000,"&lt;&gt;Yes",'01 - Job Database'!$C$3:$C$1000,A15,'01 - Job Database'!$K$3:$K$1000,"Yes")</f>
        <v>0</v>
      </c>
      <c r="H15" s="26" t="n">
        <f aca="false">B15-ROW()*0.0001</f>
        <v>-0.0015</v>
      </c>
    </row>
    <row r="16" customFormat="false" ht="15" hidden="false" customHeight="true" outlineLevel="0" collapsed="false">
      <c r="A16" s="57" t="s">
        <v>291</v>
      </c>
      <c r="B16" s="26" t="n">
        <f aca="false">COUNTIFS('01 - Job Database'!$C$3:$C$1000,"&lt;&gt;",'01 - Job Database'!$W$3:$W$1000,"&lt;&gt;Yes",'01 - Job Database'!$C$3:$C$1000,A16)</f>
        <v>0</v>
      </c>
      <c r="C16" s="59" t="str">
        <f aca="false">IFERROR(AVERAGEIFS('01 - Job Database'!$O$3:$O$1000,'01 - Job Database'!$C$3:$C$1000,"&lt;&gt;",'01 - Job Database'!$W$3:$W$1000,"&lt;&gt;Yes",'01 - Job Database'!$C$3:$C$1000,A16),"")</f>
        <v/>
      </c>
      <c r="D16" s="60" t="str">
        <f aca="false">IFERROR(AVERAGEIFS('01 - Job Database'!$Q$3:$Q$1000,'01 - Job Database'!$C$3:$C$1000,"&lt;&gt;",'01 - Job Database'!$W$3:$W$1000,"&lt;&gt;Yes",'01 - Job Database'!$C$3:$C$1000,A16),"")</f>
        <v/>
      </c>
      <c r="E16" s="26" t="n">
        <f aca="false">COUNTIFS('01 - Job Database'!$C$3:$C$1000,"&lt;&gt;",'01 - Job Database'!$W$3:$W$1000,"&lt;&gt;Yes",'01 - Job Database'!$C$3:$C$1000,A16,'01 - Job Database'!$S$3:$S$1000,"Yes")</f>
        <v>0</v>
      </c>
      <c r="F16" s="26" t="n">
        <f aca="false">COUNTIFS('01 - Job Database'!$C$3:$C$1000,"&lt;&gt;",'01 - Job Database'!$W$3:$W$1000,"&lt;&gt;Yes",'01 - Job Database'!$C$3:$C$1000,A16,'01 - Job Database'!$J$3:$J$1000,"Yes")</f>
        <v>0</v>
      </c>
      <c r="G16" s="26" t="n">
        <f aca="false">COUNTIFS('01 - Job Database'!$C$3:$C$1000,"&lt;&gt;",'01 - Job Database'!$W$3:$W$1000,"&lt;&gt;Yes",'01 - Job Database'!$C$3:$C$1000,A16,'01 - Job Database'!$K$3:$K$1000,"Yes")</f>
        <v>0</v>
      </c>
      <c r="H16" s="26" t="n">
        <f aca="false">B16-ROW()*0.0001</f>
        <v>-0.0016</v>
      </c>
    </row>
    <row r="17" customFormat="false" ht="15" hidden="false" customHeight="true" outlineLevel="0" collapsed="false">
      <c r="A17" s="57" t="s">
        <v>292</v>
      </c>
      <c r="B17" s="26" t="n">
        <f aca="false">COUNTIFS('01 - Job Database'!$C$3:$C$1000,"&lt;&gt;",'01 - Job Database'!$W$3:$W$1000,"&lt;&gt;Yes",'01 - Job Database'!$C$3:$C$1000,A17)</f>
        <v>0</v>
      </c>
      <c r="C17" s="59" t="str">
        <f aca="false">IFERROR(AVERAGEIFS('01 - Job Database'!$O$3:$O$1000,'01 - Job Database'!$C$3:$C$1000,"&lt;&gt;",'01 - Job Database'!$W$3:$W$1000,"&lt;&gt;Yes",'01 - Job Database'!$C$3:$C$1000,A17),"")</f>
        <v/>
      </c>
      <c r="D17" s="60" t="str">
        <f aca="false">IFERROR(AVERAGEIFS('01 - Job Database'!$Q$3:$Q$1000,'01 - Job Database'!$C$3:$C$1000,"&lt;&gt;",'01 - Job Database'!$W$3:$W$1000,"&lt;&gt;Yes",'01 - Job Database'!$C$3:$C$1000,A17),"")</f>
        <v/>
      </c>
      <c r="E17" s="26" t="n">
        <f aca="false">COUNTIFS('01 - Job Database'!$C$3:$C$1000,"&lt;&gt;",'01 - Job Database'!$W$3:$W$1000,"&lt;&gt;Yes",'01 - Job Database'!$C$3:$C$1000,A17,'01 - Job Database'!$S$3:$S$1000,"Yes")</f>
        <v>0</v>
      </c>
      <c r="F17" s="26" t="n">
        <f aca="false">COUNTIFS('01 - Job Database'!$C$3:$C$1000,"&lt;&gt;",'01 - Job Database'!$W$3:$W$1000,"&lt;&gt;Yes",'01 - Job Database'!$C$3:$C$1000,A17,'01 - Job Database'!$J$3:$J$1000,"Yes")</f>
        <v>0</v>
      </c>
      <c r="G17" s="26" t="n">
        <f aca="false">COUNTIFS('01 - Job Database'!$C$3:$C$1000,"&lt;&gt;",'01 - Job Database'!$W$3:$W$1000,"&lt;&gt;Yes",'01 - Job Database'!$C$3:$C$1000,A17,'01 - Job Database'!$K$3:$K$1000,"Yes")</f>
        <v>0</v>
      </c>
      <c r="H17" s="26" t="n">
        <f aca="false">B17-ROW()*0.0001</f>
        <v>-0.0017</v>
      </c>
    </row>
    <row r="18" customFormat="false" ht="15" hidden="false" customHeight="true" outlineLevel="0" collapsed="false">
      <c r="A18" s="57" t="s">
        <v>293</v>
      </c>
      <c r="B18" s="26" t="n">
        <f aca="false">COUNTIFS('01 - Job Database'!$C$3:$C$1000,"&lt;&gt;",'01 - Job Database'!$W$3:$W$1000,"&lt;&gt;Yes",'01 - Job Database'!$C$3:$C$1000,A18)</f>
        <v>0</v>
      </c>
      <c r="C18" s="59" t="str">
        <f aca="false">IFERROR(AVERAGEIFS('01 - Job Database'!$O$3:$O$1000,'01 - Job Database'!$C$3:$C$1000,"&lt;&gt;",'01 - Job Database'!$W$3:$W$1000,"&lt;&gt;Yes",'01 - Job Database'!$C$3:$C$1000,A18),"")</f>
        <v/>
      </c>
      <c r="D18" s="60" t="str">
        <f aca="false">IFERROR(AVERAGEIFS('01 - Job Database'!$Q$3:$Q$1000,'01 - Job Database'!$C$3:$C$1000,"&lt;&gt;",'01 - Job Database'!$W$3:$W$1000,"&lt;&gt;Yes",'01 - Job Database'!$C$3:$C$1000,A18),"")</f>
        <v/>
      </c>
      <c r="E18" s="26" t="n">
        <f aca="false">COUNTIFS('01 - Job Database'!$C$3:$C$1000,"&lt;&gt;",'01 - Job Database'!$W$3:$W$1000,"&lt;&gt;Yes",'01 - Job Database'!$C$3:$C$1000,A18,'01 - Job Database'!$S$3:$S$1000,"Yes")</f>
        <v>0</v>
      </c>
      <c r="F18" s="26" t="n">
        <f aca="false">COUNTIFS('01 - Job Database'!$C$3:$C$1000,"&lt;&gt;",'01 - Job Database'!$W$3:$W$1000,"&lt;&gt;Yes",'01 - Job Database'!$C$3:$C$1000,A18,'01 - Job Database'!$J$3:$J$1000,"Yes")</f>
        <v>0</v>
      </c>
      <c r="G18" s="26" t="n">
        <f aca="false">COUNTIFS('01 - Job Database'!$C$3:$C$1000,"&lt;&gt;",'01 - Job Database'!$W$3:$W$1000,"&lt;&gt;Yes",'01 - Job Database'!$C$3:$C$1000,A18,'01 - Job Database'!$K$3:$K$1000,"Yes")</f>
        <v>0</v>
      </c>
      <c r="H18" s="26" t="n">
        <f aca="false">B18-ROW()*0.0001</f>
        <v>-0.0018</v>
      </c>
    </row>
    <row r="19" customFormat="false" ht="15" hidden="false" customHeight="true" outlineLevel="0" collapsed="false">
      <c r="A19" s="57" t="s">
        <v>294</v>
      </c>
      <c r="B19" s="26" t="n">
        <f aca="false">COUNTIFS('01 - Job Database'!$C$3:$C$1000,"&lt;&gt;",'01 - Job Database'!$W$3:$W$1000,"&lt;&gt;Yes",'01 - Job Database'!$C$3:$C$1000,A19)</f>
        <v>0</v>
      </c>
      <c r="C19" s="59" t="str">
        <f aca="false">IFERROR(AVERAGEIFS('01 - Job Database'!$O$3:$O$1000,'01 - Job Database'!$C$3:$C$1000,"&lt;&gt;",'01 - Job Database'!$W$3:$W$1000,"&lt;&gt;Yes",'01 - Job Database'!$C$3:$C$1000,A19),"")</f>
        <v/>
      </c>
      <c r="D19" s="60" t="str">
        <f aca="false">IFERROR(AVERAGEIFS('01 - Job Database'!$Q$3:$Q$1000,'01 - Job Database'!$C$3:$C$1000,"&lt;&gt;",'01 - Job Database'!$W$3:$W$1000,"&lt;&gt;Yes",'01 - Job Database'!$C$3:$C$1000,A19),"")</f>
        <v/>
      </c>
      <c r="E19" s="26" t="n">
        <f aca="false">COUNTIFS('01 - Job Database'!$C$3:$C$1000,"&lt;&gt;",'01 - Job Database'!$W$3:$W$1000,"&lt;&gt;Yes",'01 - Job Database'!$C$3:$C$1000,A19,'01 - Job Database'!$S$3:$S$1000,"Yes")</f>
        <v>0</v>
      </c>
      <c r="F19" s="26" t="n">
        <f aca="false">COUNTIFS('01 - Job Database'!$C$3:$C$1000,"&lt;&gt;",'01 - Job Database'!$W$3:$W$1000,"&lt;&gt;Yes",'01 - Job Database'!$C$3:$C$1000,A19,'01 - Job Database'!$J$3:$J$1000,"Yes")</f>
        <v>0</v>
      </c>
      <c r="G19" s="26" t="n">
        <f aca="false">COUNTIFS('01 - Job Database'!$C$3:$C$1000,"&lt;&gt;",'01 - Job Database'!$W$3:$W$1000,"&lt;&gt;Yes",'01 - Job Database'!$C$3:$C$1000,A19,'01 - Job Database'!$K$3:$K$1000,"Yes")</f>
        <v>0</v>
      </c>
      <c r="H19" s="26" t="n">
        <f aca="false">B19-ROW()*0.0001</f>
        <v>-0.0019</v>
      </c>
    </row>
    <row r="20" customFormat="false" ht="15" hidden="false" customHeight="true" outlineLevel="0" collapsed="false">
      <c r="A20" s="57" t="s">
        <v>295</v>
      </c>
      <c r="B20" s="26" t="n">
        <f aca="false">COUNTIFS('01 - Job Database'!$C$3:$C$1000,"&lt;&gt;",'01 - Job Database'!$W$3:$W$1000,"&lt;&gt;Yes",'01 - Job Database'!$C$3:$C$1000,A20)</f>
        <v>0</v>
      </c>
      <c r="C20" s="59" t="str">
        <f aca="false">IFERROR(AVERAGEIFS('01 - Job Database'!$O$3:$O$1000,'01 - Job Database'!$C$3:$C$1000,"&lt;&gt;",'01 - Job Database'!$W$3:$W$1000,"&lt;&gt;Yes",'01 - Job Database'!$C$3:$C$1000,A20),"")</f>
        <v/>
      </c>
      <c r="D20" s="60" t="str">
        <f aca="false">IFERROR(AVERAGEIFS('01 - Job Database'!$Q$3:$Q$1000,'01 - Job Database'!$C$3:$C$1000,"&lt;&gt;",'01 - Job Database'!$W$3:$W$1000,"&lt;&gt;Yes",'01 - Job Database'!$C$3:$C$1000,A20),"")</f>
        <v/>
      </c>
      <c r="E20" s="26" t="n">
        <f aca="false">COUNTIFS('01 - Job Database'!$C$3:$C$1000,"&lt;&gt;",'01 - Job Database'!$W$3:$W$1000,"&lt;&gt;Yes",'01 - Job Database'!$C$3:$C$1000,A20,'01 - Job Database'!$S$3:$S$1000,"Yes")</f>
        <v>0</v>
      </c>
      <c r="F20" s="26" t="n">
        <f aca="false">COUNTIFS('01 - Job Database'!$C$3:$C$1000,"&lt;&gt;",'01 - Job Database'!$W$3:$W$1000,"&lt;&gt;Yes",'01 - Job Database'!$C$3:$C$1000,A20,'01 - Job Database'!$J$3:$J$1000,"Yes")</f>
        <v>0</v>
      </c>
      <c r="G20" s="26" t="n">
        <f aca="false">COUNTIFS('01 - Job Database'!$C$3:$C$1000,"&lt;&gt;",'01 - Job Database'!$W$3:$W$1000,"&lt;&gt;Yes",'01 - Job Database'!$C$3:$C$1000,A20,'01 - Job Database'!$K$3:$K$1000,"Yes")</f>
        <v>0</v>
      </c>
      <c r="H20" s="26" t="n">
        <f aca="false">B20-ROW()*0.0001</f>
        <v>-0.002</v>
      </c>
    </row>
    <row r="21" customFormat="false" ht="15" hidden="false" customHeight="true" outlineLevel="0" collapsed="false">
      <c r="A21" s="57" t="s">
        <v>296</v>
      </c>
      <c r="B21" s="26" t="n">
        <f aca="false">COUNTIFS('01 - Job Database'!$C$3:$C$1000,"&lt;&gt;",'01 - Job Database'!$W$3:$W$1000,"&lt;&gt;Yes",'01 - Job Database'!$C$3:$C$1000,A21)</f>
        <v>0</v>
      </c>
      <c r="C21" s="59" t="str">
        <f aca="false">IFERROR(AVERAGEIFS('01 - Job Database'!$O$3:$O$1000,'01 - Job Database'!$C$3:$C$1000,"&lt;&gt;",'01 - Job Database'!$W$3:$W$1000,"&lt;&gt;Yes",'01 - Job Database'!$C$3:$C$1000,A21),"")</f>
        <v/>
      </c>
      <c r="D21" s="60" t="str">
        <f aca="false">IFERROR(AVERAGEIFS('01 - Job Database'!$Q$3:$Q$1000,'01 - Job Database'!$C$3:$C$1000,"&lt;&gt;",'01 - Job Database'!$W$3:$W$1000,"&lt;&gt;Yes",'01 - Job Database'!$C$3:$C$1000,A21),"")</f>
        <v/>
      </c>
      <c r="E21" s="26" t="n">
        <f aca="false">COUNTIFS('01 - Job Database'!$C$3:$C$1000,"&lt;&gt;",'01 - Job Database'!$W$3:$W$1000,"&lt;&gt;Yes",'01 - Job Database'!$C$3:$C$1000,A21,'01 - Job Database'!$S$3:$S$1000,"Yes")</f>
        <v>0</v>
      </c>
      <c r="F21" s="26" t="n">
        <f aca="false">COUNTIFS('01 - Job Database'!$C$3:$C$1000,"&lt;&gt;",'01 - Job Database'!$W$3:$W$1000,"&lt;&gt;Yes",'01 - Job Database'!$C$3:$C$1000,A21,'01 - Job Database'!$J$3:$J$1000,"Yes")</f>
        <v>0</v>
      </c>
      <c r="G21" s="26" t="n">
        <f aca="false">COUNTIFS('01 - Job Database'!$C$3:$C$1000,"&lt;&gt;",'01 - Job Database'!$W$3:$W$1000,"&lt;&gt;Yes",'01 - Job Database'!$C$3:$C$1000,A21,'01 - Job Database'!$K$3:$K$1000,"Yes")</f>
        <v>0</v>
      </c>
      <c r="H21" s="26" t="n">
        <f aca="false">B21-ROW()*0.0001</f>
        <v>-0.0021</v>
      </c>
    </row>
    <row r="22" customFormat="false" ht="15" hidden="false" customHeight="true" outlineLevel="0" collapsed="false">
      <c r="A22" s="57" t="s">
        <v>297</v>
      </c>
      <c r="B22" s="26" t="n">
        <f aca="false">COUNTIFS('01 - Job Database'!$C$3:$C$1000,"&lt;&gt;",'01 - Job Database'!$W$3:$W$1000,"&lt;&gt;Yes",'01 - Job Database'!$C$3:$C$1000,A22)</f>
        <v>0</v>
      </c>
      <c r="C22" s="59" t="str">
        <f aca="false">IFERROR(AVERAGEIFS('01 - Job Database'!$O$3:$O$1000,'01 - Job Database'!$C$3:$C$1000,"&lt;&gt;",'01 - Job Database'!$W$3:$W$1000,"&lt;&gt;Yes",'01 - Job Database'!$C$3:$C$1000,A22),"")</f>
        <v/>
      </c>
      <c r="D22" s="60" t="str">
        <f aca="false">IFERROR(AVERAGEIFS('01 - Job Database'!$Q$3:$Q$1000,'01 - Job Database'!$C$3:$C$1000,"&lt;&gt;",'01 - Job Database'!$W$3:$W$1000,"&lt;&gt;Yes",'01 - Job Database'!$C$3:$C$1000,A22),"")</f>
        <v/>
      </c>
      <c r="E22" s="26" t="n">
        <f aca="false">COUNTIFS('01 - Job Database'!$C$3:$C$1000,"&lt;&gt;",'01 - Job Database'!$W$3:$W$1000,"&lt;&gt;Yes",'01 - Job Database'!$C$3:$C$1000,A22,'01 - Job Database'!$S$3:$S$1000,"Yes")</f>
        <v>0</v>
      </c>
      <c r="F22" s="26" t="n">
        <f aca="false">COUNTIFS('01 - Job Database'!$C$3:$C$1000,"&lt;&gt;",'01 - Job Database'!$W$3:$W$1000,"&lt;&gt;Yes",'01 - Job Database'!$C$3:$C$1000,A22,'01 - Job Database'!$J$3:$J$1000,"Yes")</f>
        <v>0</v>
      </c>
      <c r="G22" s="26" t="n">
        <f aca="false">COUNTIFS('01 - Job Database'!$C$3:$C$1000,"&lt;&gt;",'01 - Job Database'!$W$3:$W$1000,"&lt;&gt;Yes",'01 - Job Database'!$C$3:$C$1000,A22,'01 - Job Database'!$K$3:$K$1000,"Yes")</f>
        <v>0</v>
      </c>
      <c r="H22" s="26" t="n">
        <f aca="false">B22-ROW()*0.0001</f>
        <v>-0.0022</v>
      </c>
    </row>
    <row r="23" customFormat="false" ht="15" hidden="false" customHeight="true" outlineLevel="0" collapsed="false">
      <c r="A23" s="57" t="s">
        <v>298</v>
      </c>
      <c r="B23" s="26" t="n">
        <f aca="false">COUNTIFS('01 - Job Database'!$C$3:$C$1000,"&lt;&gt;",'01 - Job Database'!$W$3:$W$1000,"&lt;&gt;Yes",'01 - Job Database'!$C$3:$C$1000,A23)</f>
        <v>0</v>
      </c>
      <c r="C23" s="59" t="str">
        <f aca="false">IFERROR(AVERAGEIFS('01 - Job Database'!$O$3:$O$1000,'01 - Job Database'!$C$3:$C$1000,"&lt;&gt;",'01 - Job Database'!$W$3:$W$1000,"&lt;&gt;Yes",'01 - Job Database'!$C$3:$C$1000,A23),"")</f>
        <v/>
      </c>
      <c r="D23" s="60" t="str">
        <f aca="false">IFERROR(AVERAGEIFS('01 - Job Database'!$Q$3:$Q$1000,'01 - Job Database'!$C$3:$C$1000,"&lt;&gt;",'01 - Job Database'!$W$3:$W$1000,"&lt;&gt;Yes",'01 - Job Database'!$C$3:$C$1000,A23),"")</f>
        <v/>
      </c>
      <c r="E23" s="26" t="n">
        <f aca="false">COUNTIFS('01 - Job Database'!$C$3:$C$1000,"&lt;&gt;",'01 - Job Database'!$W$3:$W$1000,"&lt;&gt;Yes",'01 - Job Database'!$C$3:$C$1000,A23,'01 - Job Database'!$S$3:$S$1000,"Yes")</f>
        <v>0</v>
      </c>
      <c r="F23" s="26" t="n">
        <f aca="false">COUNTIFS('01 - Job Database'!$C$3:$C$1000,"&lt;&gt;",'01 - Job Database'!$W$3:$W$1000,"&lt;&gt;Yes",'01 - Job Database'!$C$3:$C$1000,A23,'01 - Job Database'!$J$3:$J$1000,"Yes")</f>
        <v>0</v>
      </c>
      <c r="G23" s="26" t="n">
        <f aca="false">COUNTIFS('01 - Job Database'!$C$3:$C$1000,"&lt;&gt;",'01 - Job Database'!$W$3:$W$1000,"&lt;&gt;Yes",'01 - Job Database'!$C$3:$C$1000,A23,'01 - Job Database'!$K$3:$K$1000,"Yes")</f>
        <v>0</v>
      </c>
      <c r="H23" s="26" t="n">
        <f aca="false">B23-ROW()*0.0001</f>
        <v>-0.0023</v>
      </c>
    </row>
    <row r="24" customFormat="false" ht="15" hidden="false" customHeight="true" outlineLevel="0" collapsed="false">
      <c r="A24" s="57" t="s">
        <v>299</v>
      </c>
      <c r="B24" s="26" t="n">
        <f aca="false">COUNTIFS('01 - Job Database'!$C$3:$C$1000,"&lt;&gt;",'01 - Job Database'!$W$3:$W$1000,"&lt;&gt;Yes",'01 - Job Database'!$C$3:$C$1000,A24)</f>
        <v>0</v>
      </c>
      <c r="C24" s="59" t="str">
        <f aca="false">IFERROR(AVERAGEIFS('01 - Job Database'!$O$3:$O$1000,'01 - Job Database'!$C$3:$C$1000,"&lt;&gt;",'01 - Job Database'!$W$3:$W$1000,"&lt;&gt;Yes",'01 - Job Database'!$C$3:$C$1000,A24),"")</f>
        <v/>
      </c>
      <c r="D24" s="60" t="str">
        <f aca="false">IFERROR(AVERAGEIFS('01 - Job Database'!$Q$3:$Q$1000,'01 - Job Database'!$C$3:$C$1000,"&lt;&gt;",'01 - Job Database'!$W$3:$W$1000,"&lt;&gt;Yes",'01 - Job Database'!$C$3:$C$1000,A24),"")</f>
        <v/>
      </c>
      <c r="E24" s="26" t="n">
        <f aca="false">COUNTIFS('01 - Job Database'!$C$3:$C$1000,"&lt;&gt;",'01 - Job Database'!$W$3:$W$1000,"&lt;&gt;Yes",'01 - Job Database'!$C$3:$C$1000,A24,'01 - Job Database'!$S$3:$S$1000,"Yes")</f>
        <v>0</v>
      </c>
      <c r="F24" s="26" t="n">
        <f aca="false">COUNTIFS('01 - Job Database'!$C$3:$C$1000,"&lt;&gt;",'01 - Job Database'!$W$3:$W$1000,"&lt;&gt;Yes",'01 - Job Database'!$C$3:$C$1000,A24,'01 - Job Database'!$J$3:$J$1000,"Yes")</f>
        <v>0</v>
      </c>
      <c r="G24" s="26" t="n">
        <f aca="false">COUNTIFS('01 - Job Database'!$C$3:$C$1000,"&lt;&gt;",'01 - Job Database'!$W$3:$W$1000,"&lt;&gt;Yes",'01 - Job Database'!$C$3:$C$1000,A24,'01 - Job Database'!$K$3:$K$1000,"Yes")</f>
        <v>0</v>
      </c>
      <c r="H24" s="26" t="n">
        <f aca="false">B24-ROW()*0.0001</f>
        <v>-0.0024</v>
      </c>
    </row>
    <row r="25" customFormat="false" ht="15" hidden="false" customHeight="true" outlineLevel="0" collapsed="false">
      <c r="A25" s="57" t="s">
        <v>300</v>
      </c>
      <c r="B25" s="26" t="n">
        <f aca="false">COUNTIFS('01 - Job Database'!$C$3:$C$1000,"&lt;&gt;",'01 - Job Database'!$W$3:$W$1000,"&lt;&gt;Yes",'01 - Job Database'!$C$3:$C$1000,A25)</f>
        <v>0</v>
      </c>
      <c r="C25" s="59" t="str">
        <f aca="false">IFERROR(AVERAGEIFS('01 - Job Database'!$O$3:$O$1000,'01 - Job Database'!$C$3:$C$1000,"&lt;&gt;",'01 - Job Database'!$W$3:$W$1000,"&lt;&gt;Yes",'01 - Job Database'!$C$3:$C$1000,A25),"")</f>
        <v/>
      </c>
      <c r="D25" s="60" t="str">
        <f aca="false">IFERROR(AVERAGEIFS('01 - Job Database'!$Q$3:$Q$1000,'01 - Job Database'!$C$3:$C$1000,"&lt;&gt;",'01 - Job Database'!$W$3:$W$1000,"&lt;&gt;Yes",'01 - Job Database'!$C$3:$C$1000,A25),"")</f>
        <v/>
      </c>
      <c r="E25" s="26" t="n">
        <f aca="false">COUNTIFS('01 - Job Database'!$C$3:$C$1000,"&lt;&gt;",'01 - Job Database'!$W$3:$W$1000,"&lt;&gt;Yes",'01 - Job Database'!$C$3:$C$1000,A25,'01 - Job Database'!$S$3:$S$1000,"Yes")</f>
        <v>0</v>
      </c>
      <c r="F25" s="26" t="n">
        <f aca="false">COUNTIFS('01 - Job Database'!$C$3:$C$1000,"&lt;&gt;",'01 - Job Database'!$W$3:$W$1000,"&lt;&gt;Yes",'01 - Job Database'!$C$3:$C$1000,A25,'01 - Job Database'!$J$3:$J$1000,"Yes")</f>
        <v>0</v>
      </c>
      <c r="G25" s="26" t="n">
        <f aca="false">COUNTIFS('01 - Job Database'!$C$3:$C$1000,"&lt;&gt;",'01 - Job Database'!$W$3:$W$1000,"&lt;&gt;Yes",'01 - Job Database'!$C$3:$C$1000,A25,'01 - Job Database'!$K$3:$K$1000,"Yes")</f>
        <v>0</v>
      </c>
      <c r="H25" s="26" t="n">
        <f aca="false">B25-ROW()*0.0001</f>
        <v>-0.0025</v>
      </c>
    </row>
    <row r="26" customFormat="false" ht="15" hidden="false" customHeight="true" outlineLevel="0" collapsed="false">
      <c r="A26" s="57" t="s">
        <v>301</v>
      </c>
      <c r="B26" s="26" t="n">
        <f aca="false">COUNTIFS('01 - Job Database'!$C$3:$C$1000,"&lt;&gt;",'01 - Job Database'!$W$3:$W$1000,"&lt;&gt;Yes",'01 - Job Database'!$C$3:$C$1000,A26)</f>
        <v>0</v>
      </c>
      <c r="C26" s="59" t="str">
        <f aca="false">IFERROR(AVERAGEIFS('01 - Job Database'!$O$3:$O$1000,'01 - Job Database'!$C$3:$C$1000,"&lt;&gt;",'01 - Job Database'!$W$3:$W$1000,"&lt;&gt;Yes",'01 - Job Database'!$C$3:$C$1000,A26),"")</f>
        <v/>
      </c>
      <c r="D26" s="60" t="str">
        <f aca="false">IFERROR(AVERAGEIFS('01 - Job Database'!$Q$3:$Q$1000,'01 - Job Database'!$C$3:$C$1000,"&lt;&gt;",'01 - Job Database'!$W$3:$W$1000,"&lt;&gt;Yes",'01 - Job Database'!$C$3:$C$1000,A26),"")</f>
        <v/>
      </c>
      <c r="E26" s="26" t="n">
        <f aca="false">COUNTIFS('01 - Job Database'!$C$3:$C$1000,"&lt;&gt;",'01 - Job Database'!$W$3:$W$1000,"&lt;&gt;Yes",'01 - Job Database'!$C$3:$C$1000,A26,'01 - Job Database'!$S$3:$S$1000,"Yes")</f>
        <v>0</v>
      </c>
      <c r="F26" s="26" t="n">
        <f aca="false">COUNTIFS('01 - Job Database'!$C$3:$C$1000,"&lt;&gt;",'01 - Job Database'!$W$3:$W$1000,"&lt;&gt;Yes",'01 - Job Database'!$C$3:$C$1000,A26,'01 - Job Database'!$J$3:$J$1000,"Yes")</f>
        <v>0</v>
      </c>
      <c r="G26" s="26" t="n">
        <f aca="false">COUNTIFS('01 - Job Database'!$C$3:$C$1000,"&lt;&gt;",'01 - Job Database'!$W$3:$W$1000,"&lt;&gt;Yes",'01 - Job Database'!$C$3:$C$1000,A26,'01 - Job Database'!$K$3:$K$1000,"Yes")</f>
        <v>0</v>
      </c>
      <c r="H26" s="26" t="n">
        <f aca="false">B26-ROW()*0.0001</f>
        <v>-0.0026</v>
      </c>
    </row>
    <row r="27" customFormat="false" ht="15" hidden="false" customHeight="true" outlineLevel="0" collapsed="false">
      <c r="A27" s="57" t="s">
        <v>302</v>
      </c>
      <c r="B27" s="26" t="n">
        <f aca="false">COUNTIFS('01 - Job Database'!$C$3:$C$1000,"&lt;&gt;",'01 - Job Database'!$W$3:$W$1000,"&lt;&gt;Yes",'01 - Job Database'!$C$3:$C$1000,A27)</f>
        <v>0</v>
      </c>
      <c r="C27" s="59" t="str">
        <f aca="false">IFERROR(AVERAGEIFS('01 - Job Database'!$O$3:$O$1000,'01 - Job Database'!$C$3:$C$1000,"&lt;&gt;",'01 - Job Database'!$W$3:$W$1000,"&lt;&gt;Yes",'01 - Job Database'!$C$3:$C$1000,A27),"")</f>
        <v/>
      </c>
      <c r="D27" s="60" t="str">
        <f aca="false">IFERROR(AVERAGEIFS('01 - Job Database'!$Q$3:$Q$1000,'01 - Job Database'!$C$3:$C$1000,"&lt;&gt;",'01 - Job Database'!$W$3:$W$1000,"&lt;&gt;Yes",'01 - Job Database'!$C$3:$C$1000,A27),"")</f>
        <v/>
      </c>
      <c r="E27" s="26" t="n">
        <f aca="false">COUNTIFS('01 - Job Database'!$C$3:$C$1000,"&lt;&gt;",'01 - Job Database'!$W$3:$W$1000,"&lt;&gt;Yes",'01 - Job Database'!$C$3:$C$1000,A27,'01 - Job Database'!$S$3:$S$1000,"Yes")</f>
        <v>0</v>
      </c>
      <c r="F27" s="26" t="n">
        <f aca="false">COUNTIFS('01 - Job Database'!$C$3:$C$1000,"&lt;&gt;",'01 - Job Database'!$W$3:$W$1000,"&lt;&gt;Yes",'01 - Job Database'!$C$3:$C$1000,A27,'01 - Job Database'!$J$3:$J$1000,"Yes")</f>
        <v>0</v>
      </c>
      <c r="G27" s="26" t="n">
        <f aca="false">COUNTIFS('01 - Job Database'!$C$3:$C$1000,"&lt;&gt;",'01 - Job Database'!$W$3:$W$1000,"&lt;&gt;Yes",'01 - Job Database'!$C$3:$C$1000,A27,'01 - Job Database'!$K$3:$K$1000,"Yes")</f>
        <v>0</v>
      </c>
      <c r="H27" s="26" t="n">
        <f aca="false">B27-ROW()*0.0001</f>
        <v>-0.0027</v>
      </c>
    </row>
    <row r="28" customFormat="false" ht="15" hidden="false" customHeight="true" outlineLevel="0" collapsed="false">
      <c r="A28" s="57" t="s">
        <v>303</v>
      </c>
      <c r="B28" s="26" t="n">
        <f aca="false">COUNTIFS('01 - Job Database'!$C$3:$C$1000,"&lt;&gt;",'01 - Job Database'!$W$3:$W$1000,"&lt;&gt;Yes",'01 - Job Database'!$C$3:$C$1000,A28)</f>
        <v>0</v>
      </c>
      <c r="C28" s="59" t="str">
        <f aca="false">IFERROR(AVERAGEIFS('01 - Job Database'!$O$3:$O$1000,'01 - Job Database'!$C$3:$C$1000,"&lt;&gt;",'01 - Job Database'!$W$3:$W$1000,"&lt;&gt;Yes",'01 - Job Database'!$C$3:$C$1000,A28),"")</f>
        <v/>
      </c>
      <c r="D28" s="60" t="str">
        <f aca="false">IFERROR(AVERAGEIFS('01 - Job Database'!$Q$3:$Q$1000,'01 - Job Database'!$C$3:$C$1000,"&lt;&gt;",'01 - Job Database'!$W$3:$W$1000,"&lt;&gt;Yes",'01 - Job Database'!$C$3:$C$1000,A28),"")</f>
        <v/>
      </c>
      <c r="E28" s="26" t="n">
        <f aca="false">COUNTIFS('01 - Job Database'!$C$3:$C$1000,"&lt;&gt;",'01 - Job Database'!$W$3:$W$1000,"&lt;&gt;Yes",'01 - Job Database'!$C$3:$C$1000,A28,'01 - Job Database'!$S$3:$S$1000,"Yes")</f>
        <v>0</v>
      </c>
      <c r="F28" s="26" t="n">
        <f aca="false">COUNTIFS('01 - Job Database'!$C$3:$C$1000,"&lt;&gt;",'01 - Job Database'!$W$3:$W$1000,"&lt;&gt;Yes",'01 - Job Database'!$C$3:$C$1000,A28,'01 - Job Database'!$J$3:$J$1000,"Yes")</f>
        <v>0</v>
      </c>
      <c r="G28" s="26" t="n">
        <f aca="false">COUNTIFS('01 - Job Database'!$C$3:$C$1000,"&lt;&gt;",'01 - Job Database'!$W$3:$W$1000,"&lt;&gt;Yes",'01 - Job Database'!$C$3:$C$1000,A28,'01 - Job Database'!$K$3:$K$1000,"Yes")</f>
        <v>0</v>
      </c>
      <c r="H28" s="26" t="n">
        <f aca="false">B28-ROW()*0.0001</f>
        <v>-0.0028</v>
      </c>
    </row>
    <row r="29" customFormat="false" ht="15" hidden="false" customHeight="true" outlineLevel="0" collapsed="false">
      <c r="A29" s="57" t="s">
        <v>304</v>
      </c>
      <c r="B29" s="26" t="n">
        <f aca="false">COUNTIFS('01 - Job Database'!$C$3:$C$1000,"&lt;&gt;",'01 - Job Database'!$W$3:$W$1000,"&lt;&gt;Yes",'01 - Job Database'!$C$3:$C$1000,A29)</f>
        <v>0</v>
      </c>
      <c r="C29" s="59" t="str">
        <f aca="false">IFERROR(AVERAGEIFS('01 - Job Database'!$O$3:$O$1000,'01 - Job Database'!$C$3:$C$1000,"&lt;&gt;",'01 - Job Database'!$W$3:$W$1000,"&lt;&gt;Yes",'01 - Job Database'!$C$3:$C$1000,A29),"")</f>
        <v/>
      </c>
      <c r="D29" s="60" t="str">
        <f aca="false">IFERROR(AVERAGEIFS('01 - Job Database'!$Q$3:$Q$1000,'01 - Job Database'!$C$3:$C$1000,"&lt;&gt;",'01 - Job Database'!$W$3:$W$1000,"&lt;&gt;Yes",'01 - Job Database'!$C$3:$C$1000,A29),"")</f>
        <v/>
      </c>
      <c r="E29" s="26" t="n">
        <f aca="false">COUNTIFS('01 - Job Database'!$C$3:$C$1000,"&lt;&gt;",'01 - Job Database'!$W$3:$W$1000,"&lt;&gt;Yes",'01 - Job Database'!$C$3:$C$1000,A29,'01 - Job Database'!$S$3:$S$1000,"Yes")</f>
        <v>0</v>
      </c>
      <c r="F29" s="26" t="n">
        <f aca="false">COUNTIFS('01 - Job Database'!$C$3:$C$1000,"&lt;&gt;",'01 - Job Database'!$W$3:$W$1000,"&lt;&gt;Yes",'01 - Job Database'!$C$3:$C$1000,A29,'01 - Job Database'!$J$3:$J$1000,"Yes")</f>
        <v>0</v>
      </c>
      <c r="G29" s="26" t="n">
        <f aca="false">COUNTIFS('01 - Job Database'!$C$3:$C$1000,"&lt;&gt;",'01 - Job Database'!$W$3:$W$1000,"&lt;&gt;Yes",'01 - Job Database'!$C$3:$C$1000,A29,'01 - Job Database'!$K$3:$K$1000,"Yes")</f>
        <v>0</v>
      </c>
      <c r="H29" s="26" t="n">
        <f aca="false">B29-ROW()*0.0001</f>
        <v>-0.0029</v>
      </c>
    </row>
    <row r="30" customFormat="false" ht="15" hidden="false" customHeight="true" outlineLevel="0" collapsed="false">
      <c r="A30" s="57" t="s">
        <v>305</v>
      </c>
      <c r="B30" s="26" t="n">
        <f aca="false">COUNTIFS('01 - Job Database'!$C$3:$C$1000,"&lt;&gt;",'01 - Job Database'!$W$3:$W$1000,"&lt;&gt;Yes",'01 - Job Database'!$C$3:$C$1000,A30)</f>
        <v>0</v>
      </c>
      <c r="C30" s="59" t="str">
        <f aca="false">IFERROR(AVERAGEIFS('01 - Job Database'!$O$3:$O$1000,'01 - Job Database'!$C$3:$C$1000,"&lt;&gt;",'01 - Job Database'!$W$3:$W$1000,"&lt;&gt;Yes",'01 - Job Database'!$C$3:$C$1000,A30),"")</f>
        <v/>
      </c>
      <c r="D30" s="60" t="str">
        <f aca="false">IFERROR(AVERAGEIFS('01 - Job Database'!$Q$3:$Q$1000,'01 - Job Database'!$C$3:$C$1000,"&lt;&gt;",'01 - Job Database'!$W$3:$W$1000,"&lt;&gt;Yes",'01 - Job Database'!$C$3:$C$1000,A30),"")</f>
        <v/>
      </c>
      <c r="E30" s="26" t="n">
        <f aca="false">COUNTIFS('01 - Job Database'!$C$3:$C$1000,"&lt;&gt;",'01 - Job Database'!$W$3:$W$1000,"&lt;&gt;Yes",'01 - Job Database'!$C$3:$C$1000,A30,'01 - Job Database'!$S$3:$S$1000,"Yes")</f>
        <v>0</v>
      </c>
      <c r="F30" s="26" t="n">
        <f aca="false">COUNTIFS('01 - Job Database'!$C$3:$C$1000,"&lt;&gt;",'01 - Job Database'!$W$3:$W$1000,"&lt;&gt;Yes",'01 - Job Database'!$C$3:$C$1000,A30,'01 - Job Database'!$J$3:$J$1000,"Yes")</f>
        <v>0</v>
      </c>
      <c r="G30" s="26" t="n">
        <f aca="false">COUNTIFS('01 - Job Database'!$C$3:$C$1000,"&lt;&gt;",'01 - Job Database'!$W$3:$W$1000,"&lt;&gt;Yes",'01 - Job Database'!$C$3:$C$1000,A30,'01 - Job Database'!$K$3:$K$1000,"Yes")</f>
        <v>0</v>
      </c>
      <c r="H30" s="26" t="n">
        <f aca="false">B30-ROW()*0.0001</f>
        <v>-0.003</v>
      </c>
    </row>
    <row r="31" customFormat="false" ht="15" hidden="false" customHeight="true" outlineLevel="0" collapsed="false">
      <c r="A31" s="57" t="s">
        <v>306</v>
      </c>
      <c r="B31" s="26" t="n">
        <f aca="false">COUNTIFS('01 - Job Database'!$C$3:$C$1000,"&lt;&gt;",'01 - Job Database'!$W$3:$W$1000,"&lt;&gt;Yes",'01 - Job Database'!$C$3:$C$1000,A31)</f>
        <v>0</v>
      </c>
      <c r="C31" s="59" t="str">
        <f aca="false">IFERROR(AVERAGEIFS('01 - Job Database'!$O$3:$O$1000,'01 - Job Database'!$C$3:$C$1000,"&lt;&gt;",'01 - Job Database'!$W$3:$W$1000,"&lt;&gt;Yes",'01 - Job Database'!$C$3:$C$1000,A31),"")</f>
        <v/>
      </c>
      <c r="D31" s="60" t="str">
        <f aca="false">IFERROR(AVERAGEIFS('01 - Job Database'!$Q$3:$Q$1000,'01 - Job Database'!$C$3:$C$1000,"&lt;&gt;",'01 - Job Database'!$W$3:$W$1000,"&lt;&gt;Yes",'01 - Job Database'!$C$3:$C$1000,A31),"")</f>
        <v/>
      </c>
      <c r="E31" s="26" t="n">
        <f aca="false">COUNTIFS('01 - Job Database'!$C$3:$C$1000,"&lt;&gt;",'01 - Job Database'!$W$3:$W$1000,"&lt;&gt;Yes",'01 - Job Database'!$C$3:$C$1000,A31,'01 - Job Database'!$S$3:$S$1000,"Yes")</f>
        <v>0</v>
      </c>
      <c r="F31" s="26" t="n">
        <f aca="false">COUNTIFS('01 - Job Database'!$C$3:$C$1000,"&lt;&gt;",'01 - Job Database'!$W$3:$W$1000,"&lt;&gt;Yes",'01 - Job Database'!$C$3:$C$1000,A31,'01 - Job Database'!$J$3:$J$1000,"Yes")</f>
        <v>0</v>
      </c>
      <c r="G31" s="26" t="n">
        <f aca="false">COUNTIFS('01 - Job Database'!$C$3:$C$1000,"&lt;&gt;",'01 - Job Database'!$W$3:$W$1000,"&lt;&gt;Yes",'01 - Job Database'!$C$3:$C$1000,A31,'01 - Job Database'!$K$3:$K$1000,"Yes")</f>
        <v>0</v>
      </c>
      <c r="H31" s="26" t="n">
        <f aca="false">B31-ROW()*0.0001</f>
        <v>-0.0031</v>
      </c>
    </row>
    <row r="32" customFormat="false" ht="15" hidden="false" customHeight="true" outlineLevel="0" collapsed="false">
      <c r="A32" s="57" t="s">
        <v>307</v>
      </c>
      <c r="B32" s="26" t="n">
        <f aca="false">COUNTIFS('01 - Job Database'!$C$3:$C$1000,"&lt;&gt;",'01 - Job Database'!$W$3:$W$1000,"&lt;&gt;Yes",'01 - Job Database'!$C$3:$C$1000,A32)</f>
        <v>0</v>
      </c>
      <c r="C32" s="59" t="str">
        <f aca="false">IFERROR(AVERAGEIFS('01 - Job Database'!$O$3:$O$1000,'01 - Job Database'!$C$3:$C$1000,"&lt;&gt;",'01 - Job Database'!$W$3:$W$1000,"&lt;&gt;Yes",'01 - Job Database'!$C$3:$C$1000,A32),"")</f>
        <v/>
      </c>
      <c r="D32" s="60" t="str">
        <f aca="false">IFERROR(AVERAGEIFS('01 - Job Database'!$Q$3:$Q$1000,'01 - Job Database'!$C$3:$C$1000,"&lt;&gt;",'01 - Job Database'!$W$3:$W$1000,"&lt;&gt;Yes",'01 - Job Database'!$C$3:$C$1000,A32),"")</f>
        <v/>
      </c>
      <c r="E32" s="26" t="n">
        <f aca="false">COUNTIFS('01 - Job Database'!$C$3:$C$1000,"&lt;&gt;",'01 - Job Database'!$W$3:$W$1000,"&lt;&gt;Yes",'01 - Job Database'!$C$3:$C$1000,A32,'01 - Job Database'!$S$3:$S$1000,"Yes")</f>
        <v>0</v>
      </c>
      <c r="F32" s="26" t="n">
        <f aca="false">COUNTIFS('01 - Job Database'!$C$3:$C$1000,"&lt;&gt;",'01 - Job Database'!$W$3:$W$1000,"&lt;&gt;Yes",'01 - Job Database'!$C$3:$C$1000,A32,'01 - Job Database'!$J$3:$J$1000,"Yes")</f>
        <v>0</v>
      </c>
      <c r="G32" s="26" t="n">
        <f aca="false">COUNTIFS('01 - Job Database'!$C$3:$C$1000,"&lt;&gt;",'01 - Job Database'!$W$3:$W$1000,"&lt;&gt;Yes",'01 - Job Database'!$C$3:$C$1000,A32,'01 - Job Database'!$K$3:$K$1000,"Yes")</f>
        <v>0</v>
      </c>
      <c r="H32" s="26" t="n">
        <f aca="false">B32-ROW()*0.0001</f>
        <v>-0.0032</v>
      </c>
    </row>
    <row r="33" customFormat="false" ht="15" hidden="false" customHeight="true" outlineLevel="0" collapsed="false">
      <c r="A33" s="57" t="s">
        <v>308</v>
      </c>
      <c r="B33" s="26" t="n">
        <f aca="false">COUNTIFS('01 - Job Database'!$C$3:$C$1000,"&lt;&gt;",'01 - Job Database'!$W$3:$W$1000,"&lt;&gt;Yes",'01 - Job Database'!$C$3:$C$1000,A33)</f>
        <v>0</v>
      </c>
      <c r="C33" s="59" t="str">
        <f aca="false">IFERROR(AVERAGEIFS('01 - Job Database'!$O$3:$O$1000,'01 - Job Database'!$C$3:$C$1000,"&lt;&gt;",'01 - Job Database'!$W$3:$W$1000,"&lt;&gt;Yes",'01 - Job Database'!$C$3:$C$1000,A33),"")</f>
        <v/>
      </c>
      <c r="D33" s="60" t="str">
        <f aca="false">IFERROR(AVERAGEIFS('01 - Job Database'!$Q$3:$Q$1000,'01 - Job Database'!$C$3:$C$1000,"&lt;&gt;",'01 - Job Database'!$W$3:$W$1000,"&lt;&gt;Yes",'01 - Job Database'!$C$3:$C$1000,A33),"")</f>
        <v/>
      </c>
      <c r="E33" s="26" t="n">
        <f aca="false">COUNTIFS('01 - Job Database'!$C$3:$C$1000,"&lt;&gt;",'01 - Job Database'!$W$3:$W$1000,"&lt;&gt;Yes",'01 - Job Database'!$C$3:$C$1000,A33,'01 - Job Database'!$S$3:$S$1000,"Yes")</f>
        <v>0</v>
      </c>
      <c r="F33" s="26" t="n">
        <f aca="false">COUNTIFS('01 - Job Database'!$C$3:$C$1000,"&lt;&gt;",'01 - Job Database'!$W$3:$W$1000,"&lt;&gt;Yes",'01 - Job Database'!$C$3:$C$1000,A33,'01 - Job Database'!$J$3:$J$1000,"Yes")</f>
        <v>0</v>
      </c>
      <c r="G33" s="26" t="n">
        <f aca="false">COUNTIFS('01 - Job Database'!$C$3:$C$1000,"&lt;&gt;",'01 - Job Database'!$W$3:$W$1000,"&lt;&gt;Yes",'01 - Job Database'!$C$3:$C$1000,A33,'01 - Job Database'!$K$3:$K$1000,"Yes")</f>
        <v>0</v>
      </c>
      <c r="H33" s="26" t="n">
        <f aca="false">B33-ROW()*0.0001</f>
        <v>-0.0033</v>
      </c>
    </row>
    <row r="34" customFormat="false" ht="15" hidden="false" customHeight="true" outlineLevel="0" collapsed="false">
      <c r="A34" s="57" t="s">
        <v>309</v>
      </c>
      <c r="B34" s="26" t="n">
        <f aca="false">COUNTIFS('01 - Job Database'!$C$3:$C$1000,"&lt;&gt;",'01 - Job Database'!$W$3:$W$1000,"&lt;&gt;Yes",'01 - Job Database'!$C$3:$C$1000,A34)</f>
        <v>0</v>
      </c>
      <c r="C34" s="59" t="str">
        <f aca="false">IFERROR(AVERAGEIFS('01 - Job Database'!$O$3:$O$1000,'01 - Job Database'!$C$3:$C$1000,"&lt;&gt;",'01 - Job Database'!$W$3:$W$1000,"&lt;&gt;Yes",'01 - Job Database'!$C$3:$C$1000,A34),"")</f>
        <v/>
      </c>
      <c r="D34" s="60" t="str">
        <f aca="false">IFERROR(AVERAGEIFS('01 - Job Database'!$Q$3:$Q$1000,'01 - Job Database'!$C$3:$C$1000,"&lt;&gt;",'01 - Job Database'!$W$3:$W$1000,"&lt;&gt;Yes",'01 - Job Database'!$C$3:$C$1000,A34),"")</f>
        <v/>
      </c>
      <c r="E34" s="26" t="n">
        <f aca="false">COUNTIFS('01 - Job Database'!$C$3:$C$1000,"&lt;&gt;",'01 - Job Database'!$W$3:$W$1000,"&lt;&gt;Yes",'01 - Job Database'!$C$3:$C$1000,A34,'01 - Job Database'!$S$3:$S$1000,"Yes")</f>
        <v>0</v>
      </c>
      <c r="F34" s="26" t="n">
        <f aca="false">COUNTIFS('01 - Job Database'!$C$3:$C$1000,"&lt;&gt;",'01 - Job Database'!$W$3:$W$1000,"&lt;&gt;Yes",'01 - Job Database'!$C$3:$C$1000,A34,'01 - Job Database'!$J$3:$J$1000,"Yes")</f>
        <v>0</v>
      </c>
      <c r="G34" s="26" t="n">
        <f aca="false">COUNTIFS('01 - Job Database'!$C$3:$C$1000,"&lt;&gt;",'01 - Job Database'!$W$3:$W$1000,"&lt;&gt;Yes",'01 - Job Database'!$C$3:$C$1000,A34,'01 - Job Database'!$K$3:$K$1000,"Yes")</f>
        <v>0</v>
      </c>
      <c r="H34" s="26" t="n">
        <f aca="false">B34-ROW()*0.0001</f>
        <v>-0.0034</v>
      </c>
    </row>
    <row r="35" customFormat="false" ht="15" hidden="false" customHeight="true" outlineLevel="0" collapsed="false">
      <c r="A35" s="57" t="s">
        <v>310</v>
      </c>
      <c r="B35" s="26" t="n">
        <f aca="false">COUNTIFS('01 - Job Database'!$C$3:$C$1000,"&lt;&gt;",'01 - Job Database'!$W$3:$W$1000,"&lt;&gt;Yes",'01 - Job Database'!$C$3:$C$1000,A35)</f>
        <v>0</v>
      </c>
      <c r="C35" s="59" t="str">
        <f aca="false">IFERROR(AVERAGEIFS('01 - Job Database'!$O$3:$O$1000,'01 - Job Database'!$C$3:$C$1000,"&lt;&gt;",'01 - Job Database'!$W$3:$W$1000,"&lt;&gt;Yes",'01 - Job Database'!$C$3:$C$1000,A35),"")</f>
        <v/>
      </c>
      <c r="D35" s="60" t="str">
        <f aca="false">IFERROR(AVERAGEIFS('01 - Job Database'!$Q$3:$Q$1000,'01 - Job Database'!$C$3:$C$1000,"&lt;&gt;",'01 - Job Database'!$W$3:$W$1000,"&lt;&gt;Yes",'01 - Job Database'!$C$3:$C$1000,A35),"")</f>
        <v/>
      </c>
      <c r="E35" s="26" t="n">
        <f aca="false">COUNTIFS('01 - Job Database'!$C$3:$C$1000,"&lt;&gt;",'01 - Job Database'!$W$3:$W$1000,"&lt;&gt;Yes",'01 - Job Database'!$C$3:$C$1000,A35,'01 - Job Database'!$S$3:$S$1000,"Yes")</f>
        <v>0</v>
      </c>
      <c r="F35" s="26" t="n">
        <f aca="false">COUNTIFS('01 - Job Database'!$C$3:$C$1000,"&lt;&gt;",'01 - Job Database'!$W$3:$W$1000,"&lt;&gt;Yes",'01 - Job Database'!$C$3:$C$1000,A35,'01 - Job Database'!$J$3:$J$1000,"Yes")</f>
        <v>0</v>
      </c>
      <c r="G35" s="26" t="n">
        <f aca="false">COUNTIFS('01 - Job Database'!$C$3:$C$1000,"&lt;&gt;",'01 - Job Database'!$W$3:$W$1000,"&lt;&gt;Yes",'01 - Job Database'!$C$3:$C$1000,A35,'01 - Job Database'!$K$3:$K$1000,"Yes")</f>
        <v>0</v>
      </c>
      <c r="H35" s="26" t="n">
        <f aca="false">B35-ROW()*0.0001</f>
        <v>-0.0035</v>
      </c>
    </row>
    <row r="36" customFormat="false" ht="15" hidden="false" customHeight="true" outlineLevel="0" collapsed="false">
      <c r="A36" s="57" t="s">
        <v>311</v>
      </c>
      <c r="B36" s="26" t="n">
        <f aca="false">COUNTIFS('01 - Job Database'!$C$3:$C$1000,"&lt;&gt;",'01 - Job Database'!$W$3:$W$1000,"&lt;&gt;Yes",'01 - Job Database'!$C$3:$C$1000,A36)</f>
        <v>0</v>
      </c>
      <c r="C36" s="59" t="str">
        <f aca="false">IFERROR(AVERAGEIFS('01 - Job Database'!$O$3:$O$1000,'01 - Job Database'!$C$3:$C$1000,"&lt;&gt;",'01 - Job Database'!$W$3:$W$1000,"&lt;&gt;Yes",'01 - Job Database'!$C$3:$C$1000,A36),"")</f>
        <v/>
      </c>
      <c r="D36" s="60" t="str">
        <f aca="false">IFERROR(AVERAGEIFS('01 - Job Database'!$Q$3:$Q$1000,'01 - Job Database'!$C$3:$C$1000,"&lt;&gt;",'01 - Job Database'!$W$3:$W$1000,"&lt;&gt;Yes",'01 - Job Database'!$C$3:$C$1000,A36),"")</f>
        <v/>
      </c>
      <c r="E36" s="26" t="n">
        <f aca="false">COUNTIFS('01 - Job Database'!$C$3:$C$1000,"&lt;&gt;",'01 - Job Database'!$W$3:$W$1000,"&lt;&gt;Yes",'01 - Job Database'!$C$3:$C$1000,A36,'01 - Job Database'!$S$3:$S$1000,"Yes")</f>
        <v>0</v>
      </c>
      <c r="F36" s="26" t="n">
        <f aca="false">COUNTIFS('01 - Job Database'!$C$3:$C$1000,"&lt;&gt;",'01 - Job Database'!$W$3:$W$1000,"&lt;&gt;Yes",'01 - Job Database'!$C$3:$C$1000,A36,'01 - Job Database'!$J$3:$J$1000,"Yes")</f>
        <v>0</v>
      </c>
      <c r="G36" s="26" t="n">
        <f aca="false">COUNTIFS('01 - Job Database'!$C$3:$C$1000,"&lt;&gt;",'01 - Job Database'!$W$3:$W$1000,"&lt;&gt;Yes",'01 - Job Database'!$C$3:$C$1000,A36,'01 - Job Database'!$K$3:$K$1000,"Yes")</f>
        <v>0</v>
      </c>
      <c r="H36" s="26" t="n">
        <f aca="false">B36-ROW()*0.0001</f>
        <v>-0.0036</v>
      </c>
    </row>
    <row r="37" customFormat="false" ht="15" hidden="false" customHeight="true" outlineLevel="0" collapsed="false">
      <c r="A37" s="57" t="s">
        <v>312</v>
      </c>
      <c r="B37" s="26" t="n">
        <f aca="false">COUNTIFS('01 - Job Database'!$C$3:$C$1000,"&lt;&gt;",'01 - Job Database'!$W$3:$W$1000,"&lt;&gt;Yes",'01 - Job Database'!$C$3:$C$1000,A37)</f>
        <v>0</v>
      </c>
      <c r="C37" s="59" t="str">
        <f aca="false">IFERROR(AVERAGEIFS('01 - Job Database'!$O$3:$O$1000,'01 - Job Database'!$C$3:$C$1000,"&lt;&gt;",'01 - Job Database'!$W$3:$W$1000,"&lt;&gt;Yes",'01 - Job Database'!$C$3:$C$1000,A37),"")</f>
        <v/>
      </c>
      <c r="D37" s="60" t="str">
        <f aca="false">IFERROR(AVERAGEIFS('01 - Job Database'!$Q$3:$Q$1000,'01 - Job Database'!$C$3:$C$1000,"&lt;&gt;",'01 - Job Database'!$W$3:$W$1000,"&lt;&gt;Yes",'01 - Job Database'!$C$3:$C$1000,A37),"")</f>
        <v/>
      </c>
      <c r="E37" s="26" t="n">
        <f aca="false">COUNTIFS('01 - Job Database'!$C$3:$C$1000,"&lt;&gt;",'01 - Job Database'!$W$3:$W$1000,"&lt;&gt;Yes",'01 - Job Database'!$C$3:$C$1000,A37,'01 - Job Database'!$S$3:$S$1000,"Yes")</f>
        <v>0</v>
      </c>
      <c r="F37" s="26" t="n">
        <f aca="false">COUNTIFS('01 - Job Database'!$C$3:$C$1000,"&lt;&gt;",'01 - Job Database'!$W$3:$W$1000,"&lt;&gt;Yes",'01 - Job Database'!$C$3:$C$1000,A37,'01 - Job Database'!$J$3:$J$1000,"Yes")</f>
        <v>0</v>
      </c>
      <c r="G37" s="26" t="n">
        <f aca="false">COUNTIFS('01 - Job Database'!$C$3:$C$1000,"&lt;&gt;",'01 - Job Database'!$W$3:$W$1000,"&lt;&gt;Yes",'01 - Job Database'!$C$3:$C$1000,A37,'01 - Job Database'!$K$3:$K$1000,"Yes")</f>
        <v>0</v>
      </c>
      <c r="H37" s="26" t="n">
        <f aca="false">B37-ROW()*0.0001</f>
        <v>-0.0037</v>
      </c>
    </row>
    <row r="38" customFormat="false" ht="15" hidden="false" customHeight="true" outlineLevel="0" collapsed="false">
      <c r="A38" s="57" t="s">
        <v>313</v>
      </c>
      <c r="B38" s="26" t="n">
        <f aca="false">COUNTIFS('01 - Job Database'!$C$3:$C$1000,"&lt;&gt;",'01 - Job Database'!$W$3:$W$1000,"&lt;&gt;Yes",'01 - Job Database'!$C$3:$C$1000,A38)</f>
        <v>0</v>
      </c>
      <c r="C38" s="59" t="str">
        <f aca="false">IFERROR(AVERAGEIFS('01 - Job Database'!$O$3:$O$1000,'01 - Job Database'!$C$3:$C$1000,"&lt;&gt;",'01 - Job Database'!$W$3:$W$1000,"&lt;&gt;Yes",'01 - Job Database'!$C$3:$C$1000,A38),"")</f>
        <v/>
      </c>
      <c r="D38" s="60" t="str">
        <f aca="false">IFERROR(AVERAGEIFS('01 - Job Database'!$Q$3:$Q$1000,'01 - Job Database'!$C$3:$C$1000,"&lt;&gt;",'01 - Job Database'!$W$3:$W$1000,"&lt;&gt;Yes",'01 - Job Database'!$C$3:$C$1000,A38),"")</f>
        <v/>
      </c>
      <c r="E38" s="26" t="n">
        <f aca="false">COUNTIFS('01 - Job Database'!$C$3:$C$1000,"&lt;&gt;",'01 - Job Database'!$W$3:$W$1000,"&lt;&gt;Yes",'01 - Job Database'!$C$3:$C$1000,A38,'01 - Job Database'!$S$3:$S$1000,"Yes")</f>
        <v>0</v>
      </c>
      <c r="F38" s="26" t="n">
        <f aca="false">COUNTIFS('01 - Job Database'!$C$3:$C$1000,"&lt;&gt;",'01 - Job Database'!$W$3:$W$1000,"&lt;&gt;Yes",'01 - Job Database'!$C$3:$C$1000,A38,'01 - Job Database'!$J$3:$J$1000,"Yes")</f>
        <v>0</v>
      </c>
      <c r="G38" s="26" t="n">
        <f aca="false">COUNTIFS('01 - Job Database'!$C$3:$C$1000,"&lt;&gt;",'01 - Job Database'!$W$3:$W$1000,"&lt;&gt;Yes",'01 - Job Database'!$C$3:$C$1000,A38,'01 - Job Database'!$K$3:$K$1000,"Yes")</f>
        <v>0</v>
      </c>
      <c r="H38" s="26" t="n">
        <f aca="false">B38-ROW()*0.0001</f>
        <v>-0.0038</v>
      </c>
    </row>
    <row r="39" customFormat="false" ht="15" hidden="false" customHeight="true" outlineLevel="0" collapsed="false">
      <c r="A39" s="57" t="s">
        <v>314</v>
      </c>
      <c r="B39" s="26" t="n">
        <f aca="false">COUNTIFS('01 - Job Database'!$C$3:$C$1000,"&lt;&gt;",'01 - Job Database'!$W$3:$W$1000,"&lt;&gt;Yes",'01 - Job Database'!$C$3:$C$1000,A39)</f>
        <v>0</v>
      </c>
      <c r="C39" s="59" t="str">
        <f aca="false">IFERROR(AVERAGEIFS('01 - Job Database'!$O$3:$O$1000,'01 - Job Database'!$C$3:$C$1000,"&lt;&gt;",'01 - Job Database'!$W$3:$W$1000,"&lt;&gt;Yes",'01 - Job Database'!$C$3:$C$1000,A39),"")</f>
        <v/>
      </c>
      <c r="D39" s="60" t="str">
        <f aca="false">IFERROR(AVERAGEIFS('01 - Job Database'!$Q$3:$Q$1000,'01 - Job Database'!$C$3:$C$1000,"&lt;&gt;",'01 - Job Database'!$W$3:$W$1000,"&lt;&gt;Yes",'01 - Job Database'!$C$3:$C$1000,A39),"")</f>
        <v/>
      </c>
      <c r="E39" s="26" t="n">
        <f aca="false">COUNTIFS('01 - Job Database'!$C$3:$C$1000,"&lt;&gt;",'01 - Job Database'!$W$3:$W$1000,"&lt;&gt;Yes",'01 - Job Database'!$C$3:$C$1000,A39,'01 - Job Database'!$S$3:$S$1000,"Yes")</f>
        <v>0</v>
      </c>
      <c r="F39" s="26" t="n">
        <f aca="false">COUNTIFS('01 - Job Database'!$C$3:$C$1000,"&lt;&gt;",'01 - Job Database'!$W$3:$W$1000,"&lt;&gt;Yes",'01 - Job Database'!$C$3:$C$1000,A39,'01 - Job Database'!$J$3:$J$1000,"Yes")</f>
        <v>0</v>
      </c>
      <c r="G39" s="26" t="n">
        <f aca="false">COUNTIFS('01 - Job Database'!$C$3:$C$1000,"&lt;&gt;",'01 - Job Database'!$W$3:$W$1000,"&lt;&gt;Yes",'01 - Job Database'!$C$3:$C$1000,A39,'01 - Job Database'!$K$3:$K$1000,"Yes")</f>
        <v>0</v>
      </c>
      <c r="H39" s="26" t="n">
        <f aca="false">B39-ROW()*0.0001</f>
        <v>-0.0039</v>
      </c>
    </row>
    <row r="40" customFormat="false" ht="15" hidden="false" customHeight="true" outlineLevel="0" collapsed="false">
      <c r="A40" s="57" t="s">
        <v>315</v>
      </c>
      <c r="B40" s="26" t="n">
        <f aca="false">COUNTIFS('01 - Job Database'!$C$3:$C$1000,"&lt;&gt;",'01 - Job Database'!$W$3:$W$1000,"&lt;&gt;Yes",'01 - Job Database'!$C$3:$C$1000,A40)</f>
        <v>0</v>
      </c>
      <c r="C40" s="59" t="str">
        <f aca="false">IFERROR(AVERAGEIFS('01 - Job Database'!$O$3:$O$1000,'01 - Job Database'!$C$3:$C$1000,"&lt;&gt;",'01 - Job Database'!$W$3:$W$1000,"&lt;&gt;Yes",'01 - Job Database'!$C$3:$C$1000,A40),"")</f>
        <v/>
      </c>
      <c r="D40" s="60" t="str">
        <f aca="false">IFERROR(AVERAGEIFS('01 - Job Database'!$Q$3:$Q$1000,'01 - Job Database'!$C$3:$C$1000,"&lt;&gt;",'01 - Job Database'!$W$3:$W$1000,"&lt;&gt;Yes",'01 - Job Database'!$C$3:$C$1000,A40),"")</f>
        <v/>
      </c>
      <c r="E40" s="26" t="n">
        <f aca="false">COUNTIFS('01 - Job Database'!$C$3:$C$1000,"&lt;&gt;",'01 - Job Database'!$W$3:$W$1000,"&lt;&gt;Yes",'01 - Job Database'!$C$3:$C$1000,A40,'01 - Job Database'!$S$3:$S$1000,"Yes")</f>
        <v>0</v>
      </c>
      <c r="F40" s="26" t="n">
        <f aca="false">COUNTIFS('01 - Job Database'!$C$3:$C$1000,"&lt;&gt;",'01 - Job Database'!$W$3:$W$1000,"&lt;&gt;Yes",'01 - Job Database'!$C$3:$C$1000,A40,'01 - Job Database'!$J$3:$J$1000,"Yes")</f>
        <v>0</v>
      </c>
      <c r="G40" s="26" t="n">
        <f aca="false">COUNTIFS('01 - Job Database'!$C$3:$C$1000,"&lt;&gt;",'01 - Job Database'!$W$3:$W$1000,"&lt;&gt;Yes",'01 - Job Database'!$C$3:$C$1000,A40,'01 - Job Database'!$K$3:$K$1000,"Yes")</f>
        <v>0</v>
      </c>
      <c r="H40" s="26" t="n">
        <f aca="false">B40-ROW()*0.0001</f>
        <v>-0.004</v>
      </c>
    </row>
    <row r="41" customFormat="false" ht="15" hidden="false" customHeight="true" outlineLevel="0" collapsed="false">
      <c r="A41" s="57" t="s">
        <v>316</v>
      </c>
      <c r="B41" s="26" t="n">
        <f aca="false">COUNTIFS('01 - Job Database'!$C$3:$C$1000,"&lt;&gt;",'01 - Job Database'!$W$3:$W$1000,"&lt;&gt;Yes",'01 - Job Database'!$C$3:$C$1000,A41)</f>
        <v>0</v>
      </c>
      <c r="C41" s="59" t="str">
        <f aca="false">IFERROR(AVERAGEIFS('01 - Job Database'!$O$3:$O$1000,'01 - Job Database'!$C$3:$C$1000,"&lt;&gt;",'01 - Job Database'!$W$3:$W$1000,"&lt;&gt;Yes",'01 - Job Database'!$C$3:$C$1000,A41),"")</f>
        <v/>
      </c>
      <c r="D41" s="60" t="str">
        <f aca="false">IFERROR(AVERAGEIFS('01 - Job Database'!$Q$3:$Q$1000,'01 - Job Database'!$C$3:$C$1000,"&lt;&gt;",'01 - Job Database'!$W$3:$W$1000,"&lt;&gt;Yes",'01 - Job Database'!$C$3:$C$1000,A41),"")</f>
        <v/>
      </c>
      <c r="E41" s="26" t="n">
        <f aca="false">COUNTIFS('01 - Job Database'!$C$3:$C$1000,"&lt;&gt;",'01 - Job Database'!$W$3:$W$1000,"&lt;&gt;Yes",'01 - Job Database'!$C$3:$C$1000,A41,'01 - Job Database'!$S$3:$S$1000,"Yes")</f>
        <v>0</v>
      </c>
      <c r="F41" s="26" t="n">
        <f aca="false">COUNTIFS('01 - Job Database'!$C$3:$C$1000,"&lt;&gt;",'01 - Job Database'!$W$3:$W$1000,"&lt;&gt;Yes",'01 - Job Database'!$C$3:$C$1000,A41,'01 - Job Database'!$J$3:$J$1000,"Yes")</f>
        <v>0</v>
      </c>
      <c r="G41" s="26" t="n">
        <f aca="false">COUNTIFS('01 - Job Database'!$C$3:$C$1000,"&lt;&gt;",'01 - Job Database'!$W$3:$W$1000,"&lt;&gt;Yes",'01 - Job Database'!$C$3:$C$1000,A41,'01 - Job Database'!$K$3:$K$1000,"Yes")</f>
        <v>0</v>
      </c>
      <c r="H41" s="26" t="n">
        <f aca="false">B41-ROW()*0.0001</f>
        <v>-0.0041</v>
      </c>
    </row>
    <row r="42" customFormat="false" ht="15" hidden="false" customHeight="true" outlineLevel="0" collapsed="false">
      <c r="A42" s="57" t="s">
        <v>317</v>
      </c>
      <c r="B42" s="26" t="n">
        <f aca="false">COUNTIFS('01 - Job Database'!$C$3:$C$1000,"&lt;&gt;",'01 - Job Database'!$W$3:$W$1000,"&lt;&gt;Yes",'01 - Job Database'!$C$3:$C$1000,A42)</f>
        <v>0</v>
      </c>
      <c r="C42" s="59" t="str">
        <f aca="false">IFERROR(AVERAGEIFS('01 - Job Database'!$O$3:$O$1000,'01 - Job Database'!$C$3:$C$1000,"&lt;&gt;",'01 - Job Database'!$W$3:$W$1000,"&lt;&gt;Yes",'01 - Job Database'!$C$3:$C$1000,A42),"")</f>
        <v/>
      </c>
      <c r="D42" s="60" t="str">
        <f aca="false">IFERROR(AVERAGEIFS('01 - Job Database'!$Q$3:$Q$1000,'01 - Job Database'!$C$3:$C$1000,"&lt;&gt;",'01 - Job Database'!$W$3:$W$1000,"&lt;&gt;Yes",'01 - Job Database'!$C$3:$C$1000,A42),"")</f>
        <v/>
      </c>
      <c r="E42" s="26" t="n">
        <f aca="false">COUNTIFS('01 - Job Database'!$C$3:$C$1000,"&lt;&gt;",'01 - Job Database'!$W$3:$W$1000,"&lt;&gt;Yes",'01 - Job Database'!$C$3:$C$1000,A42,'01 - Job Database'!$S$3:$S$1000,"Yes")</f>
        <v>0</v>
      </c>
      <c r="F42" s="26" t="n">
        <f aca="false">COUNTIFS('01 - Job Database'!$C$3:$C$1000,"&lt;&gt;",'01 - Job Database'!$W$3:$W$1000,"&lt;&gt;Yes",'01 - Job Database'!$C$3:$C$1000,A42,'01 - Job Database'!$J$3:$J$1000,"Yes")</f>
        <v>0</v>
      </c>
      <c r="G42" s="26" t="n">
        <f aca="false">COUNTIFS('01 - Job Database'!$C$3:$C$1000,"&lt;&gt;",'01 - Job Database'!$W$3:$W$1000,"&lt;&gt;Yes",'01 - Job Database'!$C$3:$C$1000,A42,'01 - Job Database'!$K$3:$K$1000,"Yes")</f>
        <v>0</v>
      </c>
      <c r="H42" s="26" t="n">
        <f aca="false">B42-ROW()*0.0001</f>
        <v>-0.0042</v>
      </c>
    </row>
    <row r="43" customFormat="false" ht="15" hidden="false" customHeight="true" outlineLevel="0" collapsed="false">
      <c r="A43" s="57" t="s">
        <v>318</v>
      </c>
      <c r="B43" s="26" t="n">
        <f aca="false">COUNTIFS('01 - Job Database'!$C$3:$C$1000,"&lt;&gt;",'01 - Job Database'!$W$3:$W$1000,"&lt;&gt;Yes",'01 - Job Database'!$C$3:$C$1000,A43)</f>
        <v>0</v>
      </c>
      <c r="C43" s="59" t="str">
        <f aca="false">IFERROR(AVERAGEIFS('01 - Job Database'!$O$3:$O$1000,'01 - Job Database'!$C$3:$C$1000,"&lt;&gt;",'01 - Job Database'!$W$3:$W$1000,"&lt;&gt;Yes",'01 - Job Database'!$C$3:$C$1000,A43),"")</f>
        <v/>
      </c>
      <c r="D43" s="60" t="str">
        <f aca="false">IFERROR(AVERAGEIFS('01 - Job Database'!$Q$3:$Q$1000,'01 - Job Database'!$C$3:$C$1000,"&lt;&gt;",'01 - Job Database'!$W$3:$W$1000,"&lt;&gt;Yes",'01 - Job Database'!$C$3:$C$1000,A43),"")</f>
        <v/>
      </c>
      <c r="E43" s="26" t="n">
        <f aca="false">COUNTIFS('01 - Job Database'!$C$3:$C$1000,"&lt;&gt;",'01 - Job Database'!$W$3:$W$1000,"&lt;&gt;Yes",'01 - Job Database'!$C$3:$C$1000,A43,'01 - Job Database'!$S$3:$S$1000,"Yes")</f>
        <v>0</v>
      </c>
      <c r="F43" s="26" t="n">
        <f aca="false">COUNTIFS('01 - Job Database'!$C$3:$C$1000,"&lt;&gt;",'01 - Job Database'!$W$3:$W$1000,"&lt;&gt;Yes",'01 - Job Database'!$C$3:$C$1000,A43,'01 - Job Database'!$J$3:$J$1000,"Yes")</f>
        <v>0</v>
      </c>
      <c r="G43" s="26" t="n">
        <f aca="false">COUNTIFS('01 - Job Database'!$C$3:$C$1000,"&lt;&gt;",'01 - Job Database'!$W$3:$W$1000,"&lt;&gt;Yes",'01 - Job Database'!$C$3:$C$1000,A43,'01 - Job Database'!$K$3:$K$1000,"Yes")</f>
        <v>0</v>
      </c>
      <c r="H43" s="26" t="n">
        <f aca="false">B43-ROW()*0.0001</f>
        <v>-0.0043</v>
      </c>
    </row>
    <row r="44" customFormat="false" ht="15" hidden="false" customHeight="true" outlineLevel="0" collapsed="false">
      <c r="A44" s="57" t="s">
        <v>319</v>
      </c>
      <c r="B44" s="26" t="n">
        <f aca="false">COUNTIFS('01 - Job Database'!$C$3:$C$1000,"&lt;&gt;",'01 - Job Database'!$W$3:$W$1000,"&lt;&gt;Yes",'01 - Job Database'!$C$3:$C$1000,A44)</f>
        <v>0</v>
      </c>
      <c r="C44" s="59" t="str">
        <f aca="false">IFERROR(AVERAGEIFS('01 - Job Database'!$O$3:$O$1000,'01 - Job Database'!$C$3:$C$1000,"&lt;&gt;",'01 - Job Database'!$W$3:$W$1000,"&lt;&gt;Yes",'01 - Job Database'!$C$3:$C$1000,A44),"")</f>
        <v/>
      </c>
      <c r="D44" s="60" t="str">
        <f aca="false">IFERROR(AVERAGEIFS('01 - Job Database'!$Q$3:$Q$1000,'01 - Job Database'!$C$3:$C$1000,"&lt;&gt;",'01 - Job Database'!$W$3:$W$1000,"&lt;&gt;Yes",'01 - Job Database'!$C$3:$C$1000,A44),"")</f>
        <v/>
      </c>
      <c r="E44" s="26" t="n">
        <f aca="false">COUNTIFS('01 - Job Database'!$C$3:$C$1000,"&lt;&gt;",'01 - Job Database'!$W$3:$W$1000,"&lt;&gt;Yes",'01 - Job Database'!$C$3:$C$1000,A44,'01 - Job Database'!$S$3:$S$1000,"Yes")</f>
        <v>0</v>
      </c>
      <c r="F44" s="26" t="n">
        <f aca="false">COUNTIFS('01 - Job Database'!$C$3:$C$1000,"&lt;&gt;",'01 - Job Database'!$W$3:$W$1000,"&lt;&gt;Yes",'01 - Job Database'!$C$3:$C$1000,A44,'01 - Job Database'!$J$3:$J$1000,"Yes")</f>
        <v>0</v>
      </c>
      <c r="G44" s="26" t="n">
        <f aca="false">COUNTIFS('01 - Job Database'!$C$3:$C$1000,"&lt;&gt;",'01 - Job Database'!$W$3:$W$1000,"&lt;&gt;Yes",'01 - Job Database'!$C$3:$C$1000,A44,'01 - Job Database'!$K$3:$K$1000,"Yes")</f>
        <v>0</v>
      </c>
      <c r="H44" s="26" t="n">
        <f aca="false">B44-ROW()*0.0001</f>
        <v>-0.0044</v>
      </c>
    </row>
    <row r="45" customFormat="false" ht="15" hidden="false" customHeight="true" outlineLevel="0" collapsed="false">
      <c r="A45" s="57" t="s">
        <v>320</v>
      </c>
      <c r="B45" s="26" t="n">
        <f aca="false">COUNTIFS('01 - Job Database'!$C$3:$C$1000,"&lt;&gt;",'01 - Job Database'!$W$3:$W$1000,"&lt;&gt;Yes",'01 - Job Database'!$C$3:$C$1000,A45)</f>
        <v>0</v>
      </c>
      <c r="C45" s="59" t="str">
        <f aca="false">IFERROR(AVERAGEIFS('01 - Job Database'!$O$3:$O$1000,'01 - Job Database'!$C$3:$C$1000,"&lt;&gt;",'01 - Job Database'!$W$3:$W$1000,"&lt;&gt;Yes",'01 - Job Database'!$C$3:$C$1000,A45),"")</f>
        <v/>
      </c>
      <c r="D45" s="60" t="str">
        <f aca="false">IFERROR(AVERAGEIFS('01 - Job Database'!$Q$3:$Q$1000,'01 - Job Database'!$C$3:$C$1000,"&lt;&gt;",'01 - Job Database'!$W$3:$W$1000,"&lt;&gt;Yes",'01 - Job Database'!$C$3:$C$1000,A45),"")</f>
        <v/>
      </c>
      <c r="E45" s="26" t="n">
        <f aca="false">COUNTIFS('01 - Job Database'!$C$3:$C$1000,"&lt;&gt;",'01 - Job Database'!$W$3:$W$1000,"&lt;&gt;Yes",'01 - Job Database'!$C$3:$C$1000,A45,'01 - Job Database'!$S$3:$S$1000,"Yes")</f>
        <v>0</v>
      </c>
      <c r="F45" s="26" t="n">
        <f aca="false">COUNTIFS('01 - Job Database'!$C$3:$C$1000,"&lt;&gt;",'01 - Job Database'!$W$3:$W$1000,"&lt;&gt;Yes",'01 - Job Database'!$C$3:$C$1000,A45,'01 - Job Database'!$J$3:$J$1000,"Yes")</f>
        <v>0</v>
      </c>
      <c r="G45" s="26" t="n">
        <f aca="false">COUNTIFS('01 - Job Database'!$C$3:$C$1000,"&lt;&gt;",'01 - Job Database'!$W$3:$W$1000,"&lt;&gt;Yes",'01 - Job Database'!$C$3:$C$1000,A45,'01 - Job Database'!$K$3:$K$1000,"Yes")</f>
        <v>0</v>
      </c>
      <c r="H45" s="26" t="n">
        <f aca="false">B45-ROW()*0.0001</f>
        <v>-0.0045</v>
      </c>
    </row>
    <row r="46" customFormat="false" ht="15" hidden="false" customHeight="true" outlineLevel="0" collapsed="false">
      <c r="A46" s="57" t="s">
        <v>321</v>
      </c>
      <c r="B46" s="26" t="n">
        <f aca="false">COUNTIFS('01 - Job Database'!$C$3:$C$1000,"&lt;&gt;",'01 - Job Database'!$W$3:$W$1000,"&lt;&gt;Yes",'01 - Job Database'!$C$3:$C$1000,A46)</f>
        <v>0</v>
      </c>
      <c r="C46" s="59" t="str">
        <f aca="false">IFERROR(AVERAGEIFS('01 - Job Database'!$O$3:$O$1000,'01 - Job Database'!$C$3:$C$1000,"&lt;&gt;",'01 - Job Database'!$W$3:$W$1000,"&lt;&gt;Yes",'01 - Job Database'!$C$3:$C$1000,A46),"")</f>
        <v/>
      </c>
      <c r="D46" s="60" t="str">
        <f aca="false">IFERROR(AVERAGEIFS('01 - Job Database'!$Q$3:$Q$1000,'01 - Job Database'!$C$3:$C$1000,"&lt;&gt;",'01 - Job Database'!$W$3:$W$1000,"&lt;&gt;Yes",'01 - Job Database'!$C$3:$C$1000,A46),"")</f>
        <v/>
      </c>
      <c r="E46" s="26" t="n">
        <f aca="false">COUNTIFS('01 - Job Database'!$C$3:$C$1000,"&lt;&gt;",'01 - Job Database'!$W$3:$W$1000,"&lt;&gt;Yes",'01 - Job Database'!$C$3:$C$1000,A46,'01 - Job Database'!$S$3:$S$1000,"Yes")</f>
        <v>0</v>
      </c>
      <c r="F46" s="26" t="n">
        <f aca="false">COUNTIFS('01 - Job Database'!$C$3:$C$1000,"&lt;&gt;",'01 - Job Database'!$W$3:$W$1000,"&lt;&gt;Yes",'01 - Job Database'!$C$3:$C$1000,A46,'01 - Job Database'!$J$3:$J$1000,"Yes")</f>
        <v>0</v>
      </c>
      <c r="G46" s="26" t="n">
        <f aca="false">COUNTIFS('01 - Job Database'!$C$3:$C$1000,"&lt;&gt;",'01 - Job Database'!$W$3:$W$1000,"&lt;&gt;Yes",'01 - Job Database'!$C$3:$C$1000,A46,'01 - Job Database'!$K$3:$K$1000,"Yes")</f>
        <v>0</v>
      </c>
      <c r="H46" s="26" t="n">
        <f aca="false">B46-ROW()*0.0001</f>
        <v>-0.0046</v>
      </c>
    </row>
    <row r="47" customFormat="false" ht="15" hidden="false" customHeight="true" outlineLevel="0" collapsed="false">
      <c r="A47" s="57" t="s">
        <v>322</v>
      </c>
      <c r="B47" s="26" t="n">
        <f aca="false">COUNTIFS('01 - Job Database'!$C$3:$C$1000,"&lt;&gt;",'01 - Job Database'!$W$3:$W$1000,"&lt;&gt;Yes",'01 - Job Database'!$C$3:$C$1000,A47)</f>
        <v>0</v>
      </c>
      <c r="C47" s="59" t="str">
        <f aca="false">IFERROR(AVERAGEIFS('01 - Job Database'!$O$3:$O$1000,'01 - Job Database'!$C$3:$C$1000,"&lt;&gt;",'01 - Job Database'!$W$3:$W$1000,"&lt;&gt;Yes",'01 - Job Database'!$C$3:$C$1000,A47),"")</f>
        <v/>
      </c>
      <c r="D47" s="60" t="str">
        <f aca="false">IFERROR(AVERAGEIFS('01 - Job Database'!$Q$3:$Q$1000,'01 - Job Database'!$C$3:$C$1000,"&lt;&gt;",'01 - Job Database'!$W$3:$W$1000,"&lt;&gt;Yes",'01 - Job Database'!$C$3:$C$1000,A47),"")</f>
        <v/>
      </c>
      <c r="E47" s="26" t="n">
        <f aca="false">COUNTIFS('01 - Job Database'!$C$3:$C$1000,"&lt;&gt;",'01 - Job Database'!$W$3:$W$1000,"&lt;&gt;Yes",'01 - Job Database'!$C$3:$C$1000,A47,'01 - Job Database'!$S$3:$S$1000,"Yes")</f>
        <v>0</v>
      </c>
      <c r="F47" s="26" t="n">
        <f aca="false">COUNTIFS('01 - Job Database'!$C$3:$C$1000,"&lt;&gt;",'01 - Job Database'!$W$3:$W$1000,"&lt;&gt;Yes",'01 - Job Database'!$C$3:$C$1000,A47,'01 - Job Database'!$J$3:$J$1000,"Yes")</f>
        <v>0</v>
      </c>
      <c r="G47" s="26" t="n">
        <f aca="false">COUNTIFS('01 - Job Database'!$C$3:$C$1000,"&lt;&gt;",'01 - Job Database'!$W$3:$W$1000,"&lt;&gt;Yes",'01 - Job Database'!$C$3:$C$1000,A47,'01 - Job Database'!$K$3:$K$1000,"Yes")</f>
        <v>0</v>
      </c>
      <c r="H47" s="26" t="n">
        <f aca="false">B47-ROW()*0.0001</f>
        <v>-0.0047</v>
      </c>
    </row>
    <row r="48" customFormat="false" ht="15" hidden="false" customHeight="true" outlineLevel="0" collapsed="false">
      <c r="A48" s="57" t="s">
        <v>323</v>
      </c>
      <c r="B48" s="26" t="n">
        <f aca="false">COUNTIFS('01 - Job Database'!$C$3:$C$1000,"&lt;&gt;",'01 - Job Database'!$W$3:$W$1000,"&lt;&gt;Yes",'01 - Job Database'!$C$3:$C$1000,A48)</f>
        <v>0</v>
      </c>
      <c r="C48" s="59" t="str">
        <f aca="false">IFERROR(AVERAGEIFS('01 - Job Database'!$O$3:$O$1000,'01 - Job Database'!$C$3:$C$1000,"&lt;&gt;",'01 - Job Database'!$W$3:$W$1000,"&lt;&gt;Yes",'01 - Job Database'!$C$3:$C$1000,A48),"")</f>
        <v/>
      </c>
      <c r="D48" s="60" t="str">
        <f aca="false">IFERROR(AVERAGEIFS('01 - Job Database'!$Q$3:$Q$1000,'01 - Job Database'!$C$3:$C$1000,"&lt;&gt;",'01 - Job Database'!$W$3:$W$1000,"&lt;&gt;Yes",'01 - Job Database'!$C$3:$C$1000,A48),"")</f>
        <v/>
      </c>
      <c r="E48" s="26" t="n">
        <f aca="false">COUNTIFS('01 - Job Database'!$C$3:$C$1000,"&lt;&gt;",'01 - Job Database'!$W$3:$W$1000,"&lt;&gt;Yes",'01 - Job Database'!$C$3:$C$1000,A48,'01 - Job Database'!$S$3:$S$1000,"Yes")</f>
        <v>0</v>
      </c>
      <c r="F48" s="26" t="n">
        <f aca="false">COUNTIFS('01 - Job Database'!$C$3:$C$1000,"&lt;&gt;",'01 - Job Database'!$W$3:$W$1000,"&lt;&gt;Yes",'01 - Job Database'!$C$3:$C$1000,A48,'01 - Job Database'!$J$3:$J$1000,"Yes")</f>
        <v>0</v>
      </c>
      <c r="G48" s="26" t="n">
        <f aca="false">COUNTIFS('01 - Job Database'!$C$3:$C$1000,"&lt;&gt;",'01 - Job Database'!$W$3:$W$1000,"&lt;&gt;Yes",'01 - Job Database'!$C$3:$C$1000,A48,'01 - Job Database'!$K$3:$K$1000,"Yes")</f>
        <v>0</v>
      </c>
      <c r="H48" s="26" t="n">
        <f aca="false">B48-ROW()*0.0001</f>
        <v>-0.0048</v>
      </c>
    </row>
    <row r="49" customFormat="false" ht="15" hidden="false" customHeight="true" outlineLevel="0" collapsed="false">
      <c r="A49" s="57" t="s">
        <v>277</v>
      </c>
      <c r="B49" s="26" t="n">
        <f aca="false">COUNTIFS('01 - Job Database'!$C$3:$C$1000,"&lt;&gt;",'01 - Job Database'!$W$3:$W$1000,"&lt;&gt;Yes",'01 - Job Database'!$C$3:$C$1000,A49)</f>
        <v>0</v>
      </c>
      <c r="C49" s="59" t="str">
        <f aca="false">IFERROR(AVERAGEIFS('01 - Job Database'!$O$3:$O$1000,'01 - Job Database'!$C$3:$C$1000,"&lt;&gt;",'01 - Job Database'!$W$3:$W$1000,"&lt;&gt;Yes",'01 - Job Database'!$C$3:$C$1000,A49),"")</f>
        <v/>
      </c>
      <c r="D49" s="60" t="str">
        <f aca="false">IFERROR(AVERAGEIFS('01 - Job Database'!$Q$3:$Q$1000,'01 - Job Database'!$C$3:$C$1000,"&lt;&gt;",'01 - Job Database'!$W$3:$W$1000,"&lt;&gt;Yes",'01 - Job Database'!$C$3:$C$1000,A49),"")</f>
        <v/>
      </c>
      <c r="E49" s="26" t="n">
        <f aca="false">COUNTIFS('01 - Job Database'!$C$3:$C$1000,"&lt;&gt;",'01 - Job Database'!$W$3:$W$1000,"&lt;&gt;Yes",'01 - Job Database'!$C$3:$C$1000,A49,'01 - Job Database'!$S$3:$S$1000,"Yes")</f>
        <v>0</v>
      </c>
      <c r="F49" s="26" t="n">
        <f aca="false">COUNTIFS('01 - Job Database'!$C$3:$C$1000,"&lt;&gt;",'01 - Job Database'!$W$3:$W$1000,"&lt;&gt;Yes",'01 - Job Database'!$C$3:$C$1000,A49,'01 - Job Database'!$J$3:$J$1000,"Yes")</f>
        <v>0</v>
      </c>
      <c r="G49" s="26" t="n">
        <f aca="false">COUNTIFS('01 - Job Database'!$C$3:$C$1000,"&lt;&gt;",'01 - Job Database'!$W$3:$W$1000,"&lt;&gt;Yes",'01 - Job Database'!$C$3:$C$1000,A49,'01 - Job Database'!$K$3:$K$1000,"Yes")</f>
        <v>0</v>
      </c>
      <c r="H49" s="26" t="n">
        <f aca="false">B49-ROW()*0.0001</f>
        <v>-0.0049</v>
      </c>
    </row>
    <row r="51" customFormat="false" ht="15.75" hidden="false" customHeight="true" outlineLevel="0" collapsed="false">
      <c r="A51" s="63" t="s">
        <v>324</v>
      </c>
      <c r="B51" s="63"/>
      <c r="C51" s="63"/>
      <c r="D51" s="63"/>
      <c r="E51" s="63"/>
      <c r="F51" s="63"/>
      <c r="G51" s="63"/>
      <c r="H51" s="63"/>
    </row>
    <row r="53" customFormat="false" ht="39" hidden="false" customHeight="true" outlineLevel="0" collapsed="false">
      <c r="A53" s="12" t="s">
        <v>128</v>
      </c>
      <c r="B53" s="12" t="s">
        <v>200</v>
      </c>
      <c r="C53" s="12" t="s">
        <v>325</v>
      </c>
      <c r="D53" s="12" t="s">
        <v>326</v>
      </c>
      <c r="E53" s="12" t="s">
        <v>57</v>
      </c>
      <c r="F53" s="12" t="s">
        <v>218</v>
      </c>
    </row>
    <row r="54" customFormat="false" ht="15" hidden="false" customHeight="true" outlineLevel="0" collapsed="false">
      <c r="A54" s="64" t="s">
        <v>165</v>
      </c>
      <c r="B54" s="1" t="n">
        <f aca="false">COUNTIFS('01 - Job Database'!$CC$3:$CC$1000,A54,'01 - Job Database'!$W$3:$W$1000,"&lt;&gt;Yes")</f>
        <v>0</v>
      </c>
      <c r="C54" s="1" t="n">
        <f aca="false">COUNTIFS('01 - Job Database'!$CC$3:$CC$1000,A54,'01 - Job Database'!$W$3:$W$1000,"&lt;&gt;Yes",'01 - Job Database'!$S$3:$S$1000,"Yes")+COUNTIFS('01 - Job Database'!$CC$3:$CC$1000,A54,'01 - Job Database'!$W$3:$W$1000,"&lt;&gt;Yes",'01 - Job Database'!$T$3:$T$1000,"Yes")-COUNTIFS('01 - Job Database'!$CC$3:$CC$1000,A54,'01 - Job Database'!$W$3:$W$1000,"&lt;&gt;Yes",'01 - Job Database'!$S$3:$S$1000,"Yes",'01 - Job Database'!$T$3:$T$1000,"Yes")</f>
        <v>0</v>
      </c>
      <c r="D54" s="1" t="n">
        <f aca="false">COUNTIFS('01 - Job Database'!$CC$3:$CC$1000,A54,'01 - Job Database'!$W$3:$W$1000,"&lt;&gt;Yes",'01 - Job Database'!$G$3:$G$1000,"&lt;&gt;India",'01 - Job Database'!$G$3:$G$1000,"&lt;&gt;")</f>
        <v>0</v>
      </c>
      <c r="E54" s="1" t="n">
        <f aca="false">COUNTIFS('01 - Job Database'!$CC$3:$CC$1000,A54,'01 - Job Database'!$W$3:$W$1000,"&lt;&gt;Yes",'01 - Job Database'!$J$3:$J$1000,"Yes")</f>
        <v>0</v>
      </c>
      <c r="F54" s="1" t="n">
        <f aca="false">B54-ROW()*0.0001</f>
        <v>-0.0054</v>
      </c>
    </row>
    <row r="55" customFormat="false" ht="15" hidden="false" customHeight="true" outlineLevel="0" collapsed="false">
      <c r="A55" s="64" t="s">
        <v>163</v>
      </c>
      <c r="B55" s="1" t="n">
        <f aca="false">COUNTIFS('01 - Job Database'!$CC$3:$CC$1000,A55,'01 - Job Database'!$W$3:$W$1000,"&lt;&gt;Yes")</f>
        <v>0</v>
      </c>
      <c r="C55" s="1" t="n">
        <f aca="false">COUNTIFS('01 - Job Database'!$CC$3:$CC$1000,A55,'01 - Job Database'!$W$3:$W$1000,"&lt;&gt;Yes",'01 - Job Database'!$S$3:$S$1000,"Yes")+COUNTIFS('01 - Job Database'!$CC$3:$CC$1000,A55,'01 - Job Database'!$W$3:$W$1000,"&lt;&gt;Yes",'01 - Job Database'!$T$3:$T$1000,"Yes")-COUNTIFS('01 - Job Database'!$CC$3:$CC$1000,A55,'01 - Job Database'!$W$3:$W$1000,"&lt;&gt;Yes",'01 - Job Database'!$S$3:$S$1000,"Yes",'01 - Job Database'!$T$3:$T$1000,"Yes")</f>
        <v>0</v>
      </c>
      <c r="D55" s="1" t="n">
        <f aca="false">COUNTIFS('01 - Job Database'!$CC$3:$CC$1000,A55,'01 - Job Database'!$W$3:$W$1000,"&lt;&gt;Yes",'01 - Job Database'!$G$3:$G$1000,"&lt;&gt;India",'01 - Job Database'!$G$3:$G$1000,"&lt;&gt;")</f>
        <v>0</v>
      </c>
      <c r="E55" s="1" t="n">
        <f aca="false">COUNTIFS('01 - Job Database'!$CC$3:$CC$1000,A55,'01 - Job Database'!$W$3:$W$1000,"&lt;&gt;Yes",'01 - Job Database'!$J$3:$J$1000,"Yes")</f>
        <v>0</v>
      </c>
      <c r="F55" s="1" t="n">
        <f aca="false">B55-ROW()*0.0001</f>
        <v>-0.0055</v>
      </c>
    </row>
    <row r="56" customFormat="false" ht="15" hidden="false" customHeight="true" outlineLevel="0" collapsed="false">
      <c r="A56" s="64" t="s">
        <v>327</v>
      </c>
      <c r="B56" s="1" t="n">
        <f aca="false">COUNTIFS('01 - Job Database'!$CC$3:$CC$1000,A56,'01 - Job Database'!$W$3:$W$1000,"&lt;&gt;Yes")</f>
        <v>0</v>
      </c>
      <c r="C56" s="1" t="n">
        <f aca="false">COUNTIFS('01 - Job Database'!$CC$3:$CC$1000,A56,'01 - Job Database'!$W$3:$W$1000,"&lt;&gt;Yes",'01 - Job Database'!$S$3:$S$1000,"Yes")+COUNTIFS('01 - Job Database'!$CC$3:$CC$1000,A56,'01 - Job Database'!$W$3:$W$1000,"&lt;&gt;Yes",'01 - Job Database'!$T$3:$T$1000,"Yes")-COUNTIFS('01 - Job Database'!$CC$3:$CC$1000,A56,'01 - Job Database'!$W$3:$W$1000,"&lt;&gt;Yes",'01 - Job Database'!$S$3:$S$1000,"Yes",'01 - Job Database'!$T$3:$T$1000,"Yes")</f>
        <v>0</v>
      </c>
      <c r="D56" s="1" t="n">
        <f aca="false">COUNTIFS('01 - Job Database'!$CC$3:$CC$1000,A56,'01 - Job Database'!$W$3:$W$1000,"&lt;&gt;Yes",'01 - Job Database'!$G$3:$G$1000,"&lt;&gt;India",'01 - Job Database'!$G$3:$G$1000,"&lt;&gt;")</f>
        <v>0</v>
      </c>
      <c r="E56" s="1" t="n">
        <f aca="false">COUNTIFS('01 - Job Database'!$CC$3:$CC$1000,A56,'01 - Job Database'!$W$3:$W$1000,"&lt;&gt;Yes",'01 - Job Database'!$J$3:$J$1000,"Yes")</f>
        <v>0</v>
      </c>
      <c r="F56" s="1" t="n">
        <f aca="false">B56-ROW()*0.0001</f>
        <v>-0.0056</v>
      </c>
    </row>
    <row r="57" customFormat="false" ht="15" hidden="false" customHeight="true" outlineLevel="0" collapsed="false">
      <c r="A57" s="64" t="s">
        <v>328</v>
      </c>
      <c r="B57" s="1" t="n">
        <f aca="false">COUNTIFS('01 - Job Database'!$CC$3:$CC$1000,A57,'01 - Job Database'!$W$3:$W$1000,"&lt;&gt;Yes")</f>
        <v>0</v>
      </c>
      <c r="C57" s="1" t="n">
        <f aca="false">COUNTIFS('01 - Job Database'!$CC$3:$CC$1000,A57,'01 - Job Database'!$W$3:$W$1000,"&lt;&gt;Yes",'01 - Job Database'!$S$3:$S$1000,"Yes")+COUNTIFS('01 - Job Database'!$CC$3:$CC$1000,A57,'01 - Job Database'!$W$3:$W$1000,"&lt;&gt;Yes",'01 - Job Database'!$T$3:$T$1000,"Yes")-COUNTIFS('01 - Job Database'!$CC$3:$CC$1000,A57,'01 - Job Database'!$W$3:$W$1000,"&lt;&gt;Yes",'01 - Job Database'!$S$3:$S$1000,"Yes",'01 - Job Database'!$T$3:$T$1000,"Yes")</f>
        <v>0</v>
      </c>
      <c r="D57" s="1" t="n">
        <f aca="false">COUNTIFS('01 - Job Database'!$CC$3:$CC$1000,A57,'01 - Job Database'!$W$3:$W$1000,"&lt;&gt;Yes",'01 - Job Database'!$G$3:$G$1000,"&lt;&gt;India",'01 - Job Database'!$G$3:$G$1000,"&lt;&gt;")</f>
        <v>0</v>
      </c>
      <c r="E57" s="1" t="n">
        <f aca="false">COUNTIFS('01 - Job Database'!$CC$3:$CC$1000,A57,'01 - Job Database'!$W$3:$W$1000,"&lt;&gt;Yes",'01 - Job Database'!$J$3:$J$1000,"Yes")</f>
        <v>0</v>
      </c>
      <c r="F57" s="1" t="n">
        <f aca="false">B57-ROW()*0.0001</f>
        <v>-0.0057</v>
      </c>
    </row>
    <row r="58" customFormat="false" ht="15" hidden="false" customHeight="true" outlineLevel="0" collapsed="false">
      <c r="A58" s="64" t="s">
        <v>329</v>
      </c>
      <c r="B58" s="1" t="n">
        <f aca="false">COUNTIFS('01 - Job Database'!$CC$3:$CC$1000,A58,'01 - Job Database'!$W$3:$W$1000,"&lt;&gt;Yes")</f>
        <v>0</v>
      </c>
      <c r="C58" s="1" t="n">
        <f aca="false">COUNTIFS('01 - Job Database'!$CC$3:$CC$1000,A58,'01 - Job Database'!$W$3:$W$1000,"&lt;&gt;Yes",'01 - Job Database'!$S$3:$S$1000,"Yes")+COUNTIFS('01 - Job Database'!$CC$3:$CC$1000,A58,'01 - Job Database'!$W$3:$W$1000,"&lt;&gt;Yes",'01 - Job Database'!$T$3:$T$1000,"Yes")-COUNTIFS('01 - Job Database'!$CC$3:$CC$1000,A58,'01 - Job Database'!$W$3:$W$1000,"&lt;&gt;Yes",'01 - Job Database'!$S$3:$S$1000,"Yes",'01 - Job Database'!$T$3:$T$1000,"Yes")</f>
        <v>0</v>
      </c>
      <c r="D58" s="1" t="n">
        <f aca="false">COUNTIFS('01 - Job Database'!$CC$3:$CC$1000,A58,'01 - Job Database'!$W$3:$W$1000,"&lt;&gt;Yes",'01 - Job Database'!$G$3:$G$1000,"&lt;&gt;India",'01 - Job Database'!$G$3:$G$1000,"&lt;&gt;")</f>
        <v>0</v>
      </c>
      <c r="E58" s="1" t="n">
        <f aca="false">COUNTIFS('01 - Job Database'!$CC$3:$CC$1000,A58,'01 - Job Database'!$W$3:$W$1000,"&lt;&gt;Yes",'01 - Job Database'!$J$3:$J$1000,"Yes")</f>
        <v>0</v>
      </c>
      <c r="F58" s="1" t="n">
        <f aca="false">B58-ROW()*0.0001</f>
        <v>-0.0058</v>
      </c>
    </row>
    <row r="59" customFormat="false" ht="15" hidden="false" customHeight="true" outlineLevel="0" collapsed="false">
      <c r="A59" s="64" t="s">
        <v>330</v>
      </c>
      <c r="B59" s="1" t="n">
        <f aca="false">COUNTIFS('01 - Job Database'!$CC$3:$CC$1000,A59,'01 - Job Database'!$W$3:$W$1000,"&lt;&gt;Yes")</f>
        <v>0</v>
      </c>
      <c r="C59" s="1" t="n">
        <f aca="false">COUNTIFS('01 - Job Database'!$CC$3:$CC$1000,A59,'01 - Job Database'!$W$3:$W$1000,"&lt;&gt;Yes",'01 - Job Database'!$S$3:$S$1000,"Yes")+COUNTIFS('01 - Job Database'!$CC$3:$CC$1000,A59,'01 - Job Database'!$W$3:$W$1000,"&lt;&gt;Yes",'01 - Job Database'!$T$3:$T$1000,"Yes")-COUNTIFS('01 - Job Database'!$CC$3:$CC$1000,A59,'01 - Job Database'!$W$3:$W$1000,"&lt;&gt;Yes",'01 - Job Database'!$S$3:$S$1000,"Yes",'01 - Job Database'!$T$3:$T$1000,"Yes")</f>
        <v>0</v>
      </c>
      <c r="D59" s="1" t="n">
        <f aca="false">COUNTIFS('01 - Job Database'!$CC$3:$CC$1000,A59,'01 - Job Database'!$W$3:$W$1000,"&lt;&gt;Yes",'01 - Job Database'!$G$3:$G$1000,"&lt;&gt;India",'01 - Job Database'!$G$3:$G$1000,"&lt;&gt;")</f>
        <v>0</v>
      </c>
      <c r="E59" s="1" t="n">
        <f aca="false">COUNTIFS('01 - Job Database'!$CC$3:$CC$1000,A59,'01 - Job Database'!$W$3:$W$1000,"&lt;&gt;Yes",'01 - Job Database'!$J$3:$J$1000,"Yes")</f>
        <v>0</v>
      </c>
      <c r="F59" s="1" t="n">
        <f aca="false">B59-ROW()*0.0001</f>
        <v>-0.0059</v>
      </c>
    </row>
    <row r="60" customFormat="false" ht="15" hidden="false" customHeight="true" outlineLevel="0" collapsed="false">
      <c r="A60" s="64" t="s">
        <v>331</v>
      </c>
      <c r="B60" s="1" t="n">
        <f aca="false">COUNTIFS('01 - Job Database'!$CC$3:$CC$1000,A60,'01 - Job Database'!$W$3:$W$1000,"&lt;&gt;Yes")</f>
        <v>0</v>
      </c>
      <c r="C60" s="1" t="n">
        <f aca="false">COUNTIFS('01 - Job Database'!$CC$3:$CC$1000,A60,'01 - Job Database'!$W$3:$W$1000,"&lt;&gt;Yes",'01 - Job Database'!$S$3:$S$1000,"Yes")+COUNTIFS('01 - Job Database'!$CC$3:$CC$1000,A60,'01 - Job Database'!$W$3:$W$1000,"&lt;&gt;Yes",'01 - Job Database'!$T$3:$T$1000,"Yes")-COUNTIFS('01 - Job Database'!$CC$3:$CC$1000,A60,'01 - Job Database'!$W$3:$W$1000,"&lt;&gt;Yes",'01 - Job Database'!$S$3:$S$1000,"Yes",'01 - Job Database'!$T$3:$T$1000,"Yes")</f>
        <v>0</v>
      </c>
      <c r="D60" s="1" t="n">
        <f aca="false">COUNTIFS('01 - Job Database'!$CC$3:$CC$1000,A60,'01 - Job Database'!$W$3:$W$1000,"&lt;&gt;Yes",'01 - Job Database'!$G$3:$G$1000,"&lt;&gt;India",'01 - Job Database'!$G$3:$G$1000,"&lt;&gt;")</f>
        <v>0</v>
      </c>
      <c r="E60" s="1" t="n">
        <f aca="false">COUNTIFS('01 - Job Database'!$CC$3:$CC$1000,A60,'01 - Job Database'!$W$3:$W$1000,"&lt;&gt;Yes",'01 - Job Database'!$J$3:$J$1000,"Yes")</f>
        <v>0</v>
      </c>
      <c r="F60" s="1" t="n">
        <f aca="false">B60-ROW()*0.0001</f>
        <v>-0.006</v>
      </c>
    </row>
    <row r="61" customFormat="false" ht="15" hidden="false" customHeight="true" outlineLevel="0" collapsed="false">
      <c r="A61" s="64" t="s">
        <v>332</v>
      </c>
      <c r="B61" s="1" t="n">
        <f aca="false">COUNTIFS('01 - Job Database'!$CC$3:$CC$1000,A61,'01 - Job Database'!$W$3:$W$1000,"&lt;&gt;Yes")</f>
        <v>0</v>
      </c>
      <c r="C61" s="1" t="n">
        <f aca="false">COUNTIFS('01 - Job Database'!$CC$3:$CC$1000,A61,'01 - Job Database'!$W$3:$W$1000,"&lt;&gt;Yes",'01 - Job Database'!$S$3:$S$1000,"Yes")+COUNTIFS('01 - Job Database'!$CC$3:$CC$1000,A61,'01 - Job Database'!$W$3:$W$1000,"&lt;&gt;Yes",'01 - Job Database'!$T$3:$T$1000,"Yes")-COUNTIFS('01 - Job Database'!$CC$3:$CC$1000,A61,'01 - Job Database'!$W$3:$W$1000,"&lt;&gt;Yes",'01 - Job Database'!$S$3:$S$1000,"Yes",'01 - Job Database'!$T$3:$T$1000,"Yes")</f>
        <v>0</v>
      </c>
      <c r="D61" s="1" t="n">
        <f aca="false">COUNTIFS('01 - Job Database'!$CC$3:$CC$1000,A61,'01 - Job Database'!$W$3:$W$1000,"&lt;&gt;Yes",'01 - Job Database'!$G$3:$G$1000,"&lt;&gt;India",'01 - Job Database'!$G$3:$G$1000,"&lt;&gt;")</f>
        <v>0</v>
      </c>
      <c r="E61" s="1" t="n">
        <f aca="false">COUNTIFS('01 - Job Database'!$CC$3:$CC$1000,A61,'01 - Job Database'!$W$3:$W$1000,"&lt;&gt;Yes",'01 - Job Database'!$J$3:$J$1000,"Yes")</f>
        <v>0</v>
      </c>
      <c r="F61" s="1" t="n">
        <f aca="false">B61-ROW()*0.0001</f>
        <v>-0.0061</v>
      </c>
    </row>
    <row r="62" customFormat="false" ht="15" hidden="false" customHeight="true" outlineLevel="0" collapsed="false">
      <c r="A62" s="64" t="s">
        <v>333</v>
      </c>
      <c r="B62" s="1" t="n">
        <f aca="false">COUNTIFS('01 - Job Database'!$CC$3:$CC$1000,A62,'01 - Job Database'!$W$3:$W$1000,"&lt;&gt;Yes")</f>
        <v>0</v>
      </c>
      <c r="C62" s="1" t="n">
        <f aca="false">COUNTIFS('01 - Job Database'!$CC$3:$CC$1000,A62,'01 - Job Database'!$W$3:$W$1000,"&lt;&gt;Yes",'01 - Job Database'!$S$3:$S$1000,"Yes")+COUNTIFS('01 - Job Database'!$CC$3:$CC$1000,A62,'01 - Job Database'!$W$3:$W$1000,"&lt;&gt;Yes",'01 - Job Database'!$T$3:$T$1000,"Yes")-COUNTIFS('01 - Job Database'!$CC$3:$CC$1000,A62,'01 - Job Database'!$W$3:$W$1000,"&lt;&gt;Yes",'01 - Job Database'!$S$3:$S$1000,"Yes",'01 - Job Database'!$T$3:$T$1000,"Yes")</f>
        <v>0</v>
      </c>
      <c r="D62" s="1" t="n">
        <f aca="false">COUNTIFS('01 - Job Database'!$CC$3:$CC$1000,A62,'01 - Job Database'!$W$3:$W$1000,"&lt;&gt;Yes",'01 - Job Database'!$G$3:$G$1000,"&lt;&gt;India",'01 - Job Database'!$G$3:$G$1000,"&lt;&gt;")</f>
        <v>0</v>
      </c>
      <c r="E62" s="1" t="n">
        <f aca="false">COUNTIFS('01 - Job Database'!$CC$3:$CC$1000,A62,'01 - Job Database'!$W$3:$W$1000,"&lt;&gt;Yes",'01 - Job Database'!$J$3:$J$1000,"Yes")</f>
        <v>0</v>
      </c>
      <c r="F62" s="1" t="n">
        <f aca="false">B62-ROW()*0.0001</f>
        <v>-0.0062</v>
      </c>
    </row>
    <row r="63" customFormat="false" ht="15" hidden="false" customHeight="true" outlineLevel="0" collapsed="false">
      <c r="A63" s="64" t="s">
        <v>277</v>
      </c>
      <c r="B63" s="1" t="n">
        <f aca="false">COUNTIFS('01 - Job Database'!$CC$3:$CC$1000,A63,'01 - Job Database'!$W$3:$W$1000,"&lt;&gt;Yes")</f>
        <v>0</v>
      </c>
      <c r="C63" s="1" t="n">
        <f aca="false">COUNTIFS('01 - Job Database'!$CC$3:$CC$1000,A63,'01 - Job Database'!$W$3:$W$1000,"&lt;&gt;Yes",'01 - Job Database'!$S$3:$S$1000,"Yes")+COUNTIFS('01 - Job Database'!$CC$3:$CC$1000,A63,'01 - Job Database'!$W$3:$W$1000,"&lt;&gt;Yes",'01 - Job Database'!$T$3:$T$1000,"Yes")-COUNTIFS('01 - Job Database'!$CC$3:$CC$1000,A63,'01 - Job Database'!$W$3:$W$1000,"&lt;&gt;Yes",'01 - Job Database'!$S$3:$S$1000,"Yes",'01 - Job Database'!$T$3:$T$1000,"Yes")</f>
        <v>0</v>
      </c>
      <c r="D63" s="1" t="n">
        <f aca="false">COUNTIFS('01 - Job Database'!$CC$3:$CC$1000,A63,'01 - Job Database'!$W$3:$W$1000,"&lt;&gt;Yes",'01 - Job Database'!$G$3:$G$1000,"&lt;&gt;India",'01 - Job Database'!$G$3:$G$1000,"&lt;&gt;")</f>
        <v>0</v>
      </c>
      <c r="E63" s="1" t="n">
        <f aca="false">COUNTIFS('01 - Job Database'!$CC$3:$CC$1000,A63,'01 - Job Database'!$W$3:$W$1000,"&lt;&gt;Yes",'01 - Job Database'!$J$3:$J$1000,"Yes")</f>
        <v>0</v>
      </c>
      <c r="F63" s="1" t="n">
        <f aca="false">B63-ROW()*0.0001</f>
        <v>-0.0063</v>
      </c>
    </row>
  </sheetData>
  <mergeCells count="2">
    <mergeCell ref="A1:H1"/>
    <mergeCell ref="A51:H51"/>
  </mergeCells>
  <conditionalFormatting sqref="B4:B49">
    <cfRule type="colorScale" priority="2">
      <colorScale>
        <cfvo type="min" val="0"/>
        <cfvo type="max" val="0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4513"/>
    <pageSetUpPr fitToPage="fals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11" min="7" style="1" width="16"/>
  </cols>
  <sheetData>
    <row r="1" customFormat="false" ht="27.75" hidden="false" customHeight="true" outlineLevel="0" collapsed="false">
      <c r="A1" s="2" t="s">
        <v>334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48" t="s">
        <v>335</v>
      </c>
      <c r="B3" s="48"/>
      <c r="C3" s="48"/>
      <c r="D3" s="48"/>
      <c r="E3" s="48"/>
      <c r="F3" s="48"/>
    </row>
    <row r="5" customFormat="false" ht="26.25" hidden="false" customHeight="true" outlineLevel="0" collapsed="false">
      <c r="A5" s="12" t="s">
        <v>215</v>
      </c>
      <c r="B5" s="12" t="s">
        <v>204</v>
      </c>
      <c r="C5" s="12" t="s">
        <v>336</v>
      </c>
      <c r="D5" s="12" t="s">
        <v>337</v>
      </c>
      <c r="E5" s="12" t="s">
        <v>338</v>
      </c>
      <c r="F5" s="12" t="s">
        <v>339</v>
      </c>
      <c r="G5" s="65" t="s">
        <v>340</v>
      </c>
      <c r="H5" s="65" t="s">
        <v>341</v>
      </c>
      <c r="I5" s="65" t="s">
        <v>342</v>
      </c>
      <c r="J5" s="65" t="s">
        <v>343</v>
      </c>
      <c r="K5" s="65" t="s">
        <v>344</v>
      </c>
    </row>
    <row r="6" customFormat="false" ht="15" hidden="false" customHeight="true" outlineLevel="0" collapsed="false">
      <c r="A6" s="57" t="s">
        <v>219</v>
      </c>
      <c r="B6" s="57" t="s">
        <v>71</v>
      </c>
      <c r="C6" s="58" t="n">
        <f aca="false">'03 - Skill Intelligence'!D6</f>
        <v>1</v>
      </c>
      <c r="D6" s="66" t="n">
        <v>0</v>
      </c>
      <c r="E6" s="58" t="n">
        <f aca="false">C6-D6</f>
        <v>1</v>
      </c>
      <c r="F6" s="26" t="str">
        <f aca="false">IF(AND(E6&gt;=0.3,C6&gt;=0.15),"HIGH PRIORITY",IF(AND(E6&gt;=0.15,C6&gt;=0.1),"Watch",IF(E6&lt;=0,"Strength","OK")))</f>
        <v>HIGH PRIORITY</v>
      </c>
      <c r="G6" s="67" t="n">
        <v>0</v>
      </c>
      <c r="H6" s="68" t="n">
        <f aca="false">G6-D6</f>
        <v>0</v>
      </c>
      <c r="I6" s="69" t="str">
        <f aca="false">IF(AND(H6&gt;=0.3,G6&gt;=0.15),"HIGH PRIORITY",IF(AND(H6&gt;=0.15,G6&gt;=0.1),"Watch",IF(H6&lt;=0,"Strength","OK")))</f>
        <v>Strength</v>
      </c>
      <c r="J6" s="68" t="n">
        <f aca="false">IFERROR(COUNTIFS('01 - Job Database'!$C$3:$C$1000,"&lt;&gt;",'01 - Job Database'!$W$3:$W$1000,"&lt;&gt;Yes",'01 - Job Database'!$X$3:$X$1000,"Yes",'01 - Job Database'!$S$3:$S$1000,"Yes")/COUNTIFS('01 - Job Database'!$C$3:$C$1000,"&lt;&gt;",'01 - Job Database'!$W$3:$W$1000,"&lt;&gt;Yes",'01 - Job Database'!$S$3:$S$1000,"Yes"),"")</f>
        <v>1</v>
      </c>
      <c r="K6" s="70" t="n">
        <f aca="false">IFERROR(J6-C6,"")</f>
        <v>0</v>
      </c>
    </row>
    <row r="7" customFormat="false" ht="15" hidden="false" customHeight="true" outlineLevel="0" collapsed="false">
      <c r="A7" s="57" t="s">
        <v>219</v>
      </c>
      <c r="B7" s="57" t="s">
        <v>72</v>
      </c>
      <c r="C7" s="58" t="n">
        <f aca="false">'03 - Skill Intelligence'!D7</f>
        <v>0</v>
      </c>
      <c r="D7" s="66" t="n">
        <v>0</v>
      </c>
      <c r="E7" s="58" t="n">
        <f aca="false">C7-D7</f>
        <v>0</v>
      </c>
      <c r="F7" s="26" t="str">
        <f aca="false">IF(AND(E7&gt;=0.3,C7&gt;=0.15),"HIGH PRIORITY",IF(AND(E7&gt;=0.15,C7&gt;=0.1),"Watch",IF(E7&lt;=0,"Strength","OK")))</f>
        <v>Strength</v>
      </c>
      <c r="G7" s="67" t="n">
        <v>0</v>
      </c>
      <c r="H7" s="68" t="n">
        <f aca="false">G7-D7</f>
        <v>0</v>
      </c>
      <c r="I7" s="69" t="str">
        <f aca="false">IF(AND(H7&gt;=0.3,G7&gt;=0.15),"HIGH PRIORITY",IF(AND(H7&gt;=0.15,G7&gt;=0.1),"Watch",IF(H7&lt;=0,"Strength","OK")))</f>
        <v>Strength</v>
      </c>
      <c r="J7" s="68" t="n">
        <f aca="false">IFERROR(COUNTIFS('01 - Job Database'!$C$3:$C$1000,"&lt;&gt;",'01 - Job Database'!$W$3:$W$1000,"&lt;&gt;Yes",'01 - Job Database'!$Y$3:$Y$1000,"Yes",'01 - Job Database'!$S$3:$S$1000,"Yes")/COUNTIFS('01 - Job Database'!$C$3:$C$1000,"&lt;&gt;",'01 - Job Database'!$W$3:$W$1000,"&lt;&gt;Yes",'01 - Job Database'!$S$3:$S$1000,"Yes"),"")</f>
        <v>0</v>
      </c>
      <c r="K7" s="70" t="n">
        <f aca="false">IFERROR(J7-C7,"")</f>
        <v>0</v>
      </c>
    </row>
    <row r="8" customFormat="false" ht="15" hidden="false" customHeight="true" outlineLevel="0" collapsed="false">
      <c r="A8" s="57" t="s">
        <v>219</v>
      </c>
      <c r="B8" s="57" t="s">
        <v>73</v>
      </c>
      <c r="C8" s="58" t="n">
        <f aca="false">'03 - Skill Intelligence'!D8</f>
        <v>1</v>
      </c>
      <c r="D8" s="66" t="n">
        <v>0</v>
      </c>
      <c r="E8" s="58" t="n">
        <f aca="false">C8-D8</f>
        <v>1</v>
      </c>
      <c r="F8" s="26" t="str">
        <f aca="false">IF(AND(E8&gt;=0.3,C8&gt;=0.15),"HIGH PRIORITY",IF(AND(E8&gt;=0.15,C8&gt;=0.1),"Watch",IF(E8&lt;=0,"Strength","OK")))</f>
        <v>HIGH PRIORITY</v>
      </c>
      <c r="G8" s="67" t="n">
        <v>0</v>
      </c>
      <c r="H8" s="68" t="n">
        <f aca="false">G8-D8</f>
        <v>0</v>
      </c>
      <c r="I8" s="69" t="str">
        <f aca="false">IF(AND(H8&gt;=0.3,G8&gt;=0.15),"HIGH PRIORITY",IF(AND(H8&gt;=0.15,G8&gt;=0.1),"Watch",IF(H8&lt;=0,"Strength","OK")))</f>
        <v>Strength</v>
      </c>
      <c r="J8" s="68" t="n">
        <f aca="false">IFERROR(COUNTIFS('01 - Job Database'!$C$3:$C$1000,"&lt;&gt;",'01 - Job Database'!$W$3:$W$1000,"&lt;&gt;Yes",'01 - Job Database'!$Z$3:$Z$1000,"Yes",'01 - Job Database'!$S$3:$S$1000,"Yes")/COUNTIFS('01 - Job Database'!$C$3:$C$1000,"&lt;&gt;",'01 - Job Database'!$W$3:$W$1000,"&lt;&gt;Yes",'01 - Job Database'!$S$3:$S$1000,"Yes"),"")</f>
        <v>1</v>
      </c>
      <c r="K8" s="70" t="n">
        <f aca="false">IFERROR(J8-C8,"")</f>
        <v>0</v>
      </c>
    </row>
    <row r="9" customFormat="false" ht="15" hidden="false" customHeight="true" outlineLevel="0" collapsed="false">
      <c r="A9" s="57" t="s">
        <v>219</v>
      </c>
      <c r="B9" s="57" t="s">
        <v>74</v>
      </c>
      <c r="C9" s="58" t="n">
        <f aca="false">'03 - Skill Intelligence'!D9</f>
        <v>0</v>
      </c>
      <c r="D9" s="66" t="n">
        <v>0</v>
      </c>
      <c r="E9" s="58" t="n">
        <f aca="false">C9-D9</f>
        <v>0</v>
      </c>
      <c r="F9" s="26" t="str">
        <f aca="false">IF(AND(E9&gt;=0.3,C9&gt;=0.15),"HIGH PRIORITY",IF(AND(E9&gt;=0.15,C9&gt;=0.1),"Watch",IF(E9&lt;=0,"Strength","OK")))</f>
        <v>Strength</v>
      </c>
      <c r="G9" s="67" t="n">
        <v>0</v>
      </c>
      <c r="H9" s="68" t="n">
        <f aca="false">G9-D9</f>
        <v>0</v>
      </c>
      <c r="I9" s="69" t="str">
        <f aca="false">IF(AND(H9&gt;=0.3,G9&gt;=0.15),"HIGH PRIORITY",IF(AND(H9&gt;=0.15,G9&gt;=0.1),"Watch",IF(H9&lt;=0,"Strength","OK")))</f>
        <v>Strength</v>
      </c>
      <c r="J9" s="68" t="n">
        <f aca="false">IFERROR(COUNTIFS('01 - Job Database'!$C$3:$C$1000,"&lt;&gt;",'01 - Job Database'!$W$3:$W$1000,"&lt;&gt;Yes",'01 - Job Database'!$AA$3:$AA$1000,"Yes",'01 - Job Database'!$S$3:$S$1000,"Yes")/COUNTIFS('01 - Job Database'!$C$3:$C$1000,"&lt;&gt;",'01 - Job Database'!$W$3:$W$1000,"&lt;&gt;Yes",'01 - Job Database'!$S$3:$S$1000,"Yes"),"")</f>
        <v>0</v>
      </c>
      <c r="K9" s="70" t="n">
        <f aca="false">IFERROR(J9-C9,"")</f>
        <v>0</v>
      </c>
    </row>
    <row r="10" customFormat="false" ht="15" hidden="false" customHeight="true" outlineLevel="0" collapsed="false">
      <c r="A10" s="57" t="s">
        <v>219</v>
      </c>
      <c r="B10" s="57" t="s">
        <v>75</v>
      </c>
      <c r="C10" s="58" t="n">
        <f aca="false">'03 - Skill Intelligence'!D10</f>
        <v>0</v>
      </c>
      <c r="D10" s="66" t="n">
        <v>0</v>
      </c>
      <c r="E10" s="58" t="n">
        <f aca="false">C10-D10</f>
        <v>0</v>
      </c>
      <c r="F10" s="26" t="str">
        <f aca="false">IF(AND(E10&gt;=0.3,C10&gt;=0.15),"HIGH PRIORITY",IF(AND(E10&gt;=0.15,C10&gt;=0.1),"Watch",IF(E10&lt;=0,"Strength","OK")))</f>
        <v>Strength</v>
      </c>
      <c r="G10" s="67" t="n">
        <v>0</v>
      </c>
      <c r="H10" s="68" t="n">
        <f aca="false">G10-D10</f>
        <v>0</v>
      </c>
      <c r="I10" s="69" t="str">
        <f aca="false">IF(AND(H10&gt;=0.3,G10&gt;=0.15),"HIGH PRIORITY",IF(AND(H10&gt;=0.15,G10&gt;=0.1),"Watch",IF(H10&lt;=0,"Strength","OK")))</f>
        <v>Strength</v>
      </c>
      <c r="J10" s="68" t="n">
        <f aca="false">IFERROR(COUNTIFS('01 - Job Database'!$C$3:$C$1000,"&lt;&gt;",'01 - Job Database'!$W$3:$W$1000,"&lt;&gt;Yes",'01 - Job Database'!$AB$3:$AB$1000,"Yes",'01 - Job Database'!$S$3:$S$1000,"Yes")/COUNTIFS('01 - Job Database'!$C$3:$C$1000,"&lt;&gt;",'01 - Job Database'!$W$3:$W$1000,"&lt;&gt;Yes",'01 - Job Database'!$S$3:$S$1000,"Yes"),"")</f>
        <v>0</v>
      </c>
      <c r="K10" s="70" t="n">
        <f aca="false">IFERROR(J10-C10,"")</f>
        <v>0</v>
      </c>
    </row>
    <row r="11" customFormat="false" ht="15" hidden="false" customHeight="true" outlineLevel="0" collapsed="false">
      <c r="A11" s="57" t="s">
        <v>219</v>
      </c>
      <c r="B11" s="57" t="s">
        <v>76</v>
      </c>
      <c r="C11" s="58" t="n">
        <f aca="false">'03 - Skill Intelligence'!D11</f>
        <v>0</v>
      </c>
      <c r="D11" s="66" t="n">
        <v>0</v>
      </c>
      <c r="E11" s="58" t="n">
        <f aca="false">C11-D11</f>
        <v>0</v>
      </c>
      <c r="F11" s="26" t="str">
        <f aca="false">IF(AND(E11&gt;=0.3,C11&gt;=0.15),"HIGH PRIORITY",IF(AND(E11&gt;=0.15,C11&gt;=0.1),"Watch",IF(E11&lt;=0,"Strength","OK")))</f>
        <v>Strength</v>
      </c>
      <c r="G11" s="67" t="n">
        <v>0</v>
      </c>
      <c r="H11" s="68" t="n">
        <f aca="false">G11-D11</f>
        <v>0</v>
      </c>
      <c r="I11" s="69" t="str">
        <f aca="false">IF(AND(H11&gt;=0.3,G11&gt;=0.15),"HIGH PRIORITY",IF(AND(H11&gt;=0.15,G11&gt;=0.1),"Watch",IF(H11&lt;=0,"Strength","OK")))</f>
        <v>Strength</v>
      </c>
      <c r="J11" s="68" t="n">
        <f aca="false">IFERROR(COUNTIFS('01 - Job Database'!$C$3:$C$1000,"&lt;&gt;",'01 - Job Database'!$W$3:$W$1000,"&lt;&gt;Yes",'01 - Job Database'!$AC$3:$AC$1000,"Yes",'01 - Job Database'!$S$3:$S$1000,"Yes")/COUNTIFS('01 - Job Database'!$C$3:$C$1000,"&lt;&gt;",'01 - Job Database'!$W$3:$W$1000,"&lt;&gt;Yes",'01 - Job Database'!$S$3:$S$1000,"Yes"),"")</f>
        <v>0</v>
      </c>
      <c r="K11" s="70" t="n">
        <f aca="false">IFERROR(J11-C11,"")</f>
        <v>0</v>
      </c>
    </row>
    <row r="12" customFormat="false" ht="15" hidden="false" customHeight="true" outlineLevel="0" collapsed="false">
      <c r="A12" s="57" t="s">
        <v>219</v>
      </c>
      <c r="B12" s="57" t="s">
        <v>77</v>
      </c>
      <c r="C12" s="58" t="n">
        <f aca="false">'03 - Skill Intelligence'!D12</f>
        <v>0</v>
      </c>
      <c r="D12" s="66" t="n">
        <v>0</v>
      </c>
      <c r="E12" s="58" t="n">
        <f aca="false">C12-D12</f>
        <v>0</v>
      </c>
      <c r="F12" s="26" t="str">
        <f aca="false">IF(AND(E12&gt;=0.3,C12&gt;=0.15),"HIGH PRIORITY",IF(AND(E12&gt;=0.15,C12&gt;=0.1),"Watch",IF(E12&lt;=0,"Strength","OK")))</f>
        <v>Strength</v>
      </c>
      <c r="G12" s="67" t="n">
        <v>0</v>
      </c>
      <c r="H12" s="68" t="n">
        <f aca="false">G12-D12</f>
        <v>0</v>
      </c>
      <c r="I12" s="69" t="str">
        <f aca="false">IF(AND(H12&gt;=0.3,G12&gt;=0.15),"HIGH PRIORITY",IF(AND(H12&gt;=0.15,G12&gt;=0.1),"Watch",IF(H12&lt;=0,"Strength","OK")))</f>
        <v>Strength</v>
      </c>
      <c r="J12" s="68" t="n">
        <f aca="false">IFERROR(COUNTIFS('01 - Job Database'!$C$3:$C$1000,"&lt;&gt;",'01 - Job Database'!$W$3:$W$1000,"&lt;&gt;Yes",'01 - Job Database'!$AD$3:$AD$1000,"Yes",'01 - Job Database'!$S$3:$S$1000,"Yes")/COUNTIFS('01 - Job Database'!$C$3:$C$1000,"&lt;&gt;",'01 - Job Database'!$W$3:$W$1000,"&lt;&gt;Yes",'01 - Job Database'!$S$3:$S$1000,"Yes"),"")</f>
        <v>0</v>
      </c>
      <c r="K12" s="70" t="n">
        <f aca="false">IFERROR(J12-C12,"")</f>
        <v>0</v>
      </c>
    </row>
    <row r="13" customFormat="false" ht="15" hidden="false" customHeight="true" outlineLevel="0" collapsed="false">
      <c r="A13" s="57" t="s">
        <v>219</v>
      </c>
      <c r="B13" s="57" t="s">
        <v>78</v>
      </c>
      <c r="C13" s="58" t="n">
        <f aca="false">'03 - Skill Intelligence'!D13</f>
        <v>0</v>
      </c>
      <c r="D13" s="66" t="n">
        <v>0</v>
      </c>
      <c r="E13" s="58" t="n">
        <f aca="false">C13-D13</f>
        <v>0</v>
      </c>
      <c r="F13" s="26" t="str">
        <f aca="false">IF(AND(E13&gt;=0.3,C13&gt;=0.15),"HIGH PRIORITY",IF(AND(E13&gt;=0.15,C13&gt;=0.1),"Watch",IF(E13&lt;=0,"Strength","OK")))</f>
        <v>Strength</v>
      </c>
      <c r="G13" s="67" t="n">
        <v>0</v>
      </c>
      <c r="H13" s="68" t="n">
        <f aca="false">G13-D13</f>
        <v>0</v>
      </c>
      <c r="I13" s="69" t="str">
        <f aca="false">IF(AND(H13&gt;=0.3,G13&gt;=0.15),"HIGH PRIORITY",IF(AND(H13&gt;=0.15,G13&gt;=0.1),"Watch",IF(H13&lt;=0,"Strength","OK")))</f>
        <v>Strength</v>
      </c>
      <c r="J13" s="68" t="n">
        <f aca="false">IFERROR(COUNTIFS('01 - Job Database'!$C$3:$C$1000,"&lt;&gt;",'01 - Job Database'!$W$3:$W$1000,"&lt;&gt;Yes",'01 - Job Database'!$AE$3:$AE$1000,"Yes",'01 - Job Database'!$S$3:$S$1000,"Yes")/COUNTIFS('01 - Job Database'!$C$3:$C$1000,"&lt;&gt;",'01 - Job Database'!$W$3:$W$1000,"&lt;&gt;Yes",'01 - Job Database'!$S$3:$S$1000,"Yes"),"")</f>
        <v>0</v>
      </c>
      <c r="K13" s="70" t="n">
        <f aca="false">IFERROR(J13-C13,"")</f>
        <v>0</v>
      </c>
    </row>
    <row r="14" customFormat="false" ht="15" hidden="false" customHeight="true" outlineLevel="0" collapsed="false">
      <c r="A14" s="57" t="s">
        <v>220</v>
      </c>
      <c r="B14" s="57" t="s">
        <v>79</v>
      </c>
      <c r="C14" s="58" t="n">
        <f aca="false">'03 - Skill Intelligence'!D14</f>
        <v>0</v>
      </c>
      <c r="D14" s="66" t="n">
        <v>0</v>
      </c>
      <c r="E14" s="58" t="n">
        <f aca="false">C14-D14</f>
        <v>0</v>
      </c>
      <c r="F14" s="26" t="str">
        <f aca="false">IF(AND(E14&gt;=0.3,C14&gt;=0.15),"HIGH PRIORITY",IF(AND(E14&gt;=0.15,C14&gt;=0.1),"Watch",IF(E14&lt;=0,"Strength","OK")))</f>
        <v>Strength</v>
      </c>
      <c r="G14" s="67" t="n">
        <v>0</v>
      </c>
      <c r="H14" s="68" t="n">
        <f aca="false">G14-D14</f>
        <v>0</v>
      </c>
      <c r="I14" s="69" t="str">
        <f aca="false">IF(AND(H14&gt;=0.3,G14&gt;=0.15),"HIGH PRIORITY",IF(AND(H14&gt;=0.15,G14&gt;=0.1),"Watch",IF(H14&lt;=0,"Strength","OK")))</f>
        <v>Strength</v>
      </c>
      <c r="J14" s="68" t="n">
        <f aca="false">IFERROR(COUNTIFS('01 - Job Database'!$C$3:$C$1000,"&lt;&gt;",'01 - Job Database'!$W$3:$W$1000,"&lt;&gt;Yes",'01 - Job Database'!$AF$3:$AF$1000,"Yes",'01 - Job Database'!$S$3:$S$1000,"Yes")/COUNTIFS('01 - Job Database'!$C$3:$C$1000,"&lt;&gt;",'01 - Job Database'!$W$3:$W$1000,"&lt;&gt;Yes",'01 - Job Database'!$S$3:$S$1000,"Yes"),"")</f>
        <v>0</v>
      </c>
      <c r="K14" s="70" t="n">
        <f aca="false">IFERROR(J14-C14,"")</f>
        <v>0</v>
      </c>
    </row>
    <row r="15" customFormat="false" ht="15" hidden="false" customHeight="true" outlineLevel="0" collapsed="false">
      <c r="A15" s="57" t="s">
        <v>220</v>
      </c>
      <c r="B15" s="57" t="s">
        <v>80</v>
      </c>
      <c r="C15" s="58" t="n">
        <f aca="false">'03 - Skill Intelligence'!D15</f>
        <v>0</v>
      </c>
      <c r="D15" s="66" t="n">
        <v>0</v>
      </c>
      <c r="E15" s="58" t="n">
        <f aca="false">C15-D15</f>
        <v>0</v>
      </c>
      <c r="F15" s="26" t="str">
        <f aca="false">IF(AND(E15&gt;=0.3,C15&gt;=0.15),"HIGH PRIORITY",IF(AND(E15&gt;=0.15,C15&gt;=0.1),"Watch",IF(E15&lt;=0,"Strength","OK")))</f>
        <v>Strength</v>
      </c>
      <c r="G15" s="67" t="n">
        <v>0</v>
      </c>
      <c r="H15" s="68" t="n">
        <f aca="false">G15-D15</f>
        <v>0</v>
      </c>
      <c r="I15" s="69" t="str">
        <f aca="false">IF(AND(H15&gt;=0.3,G15&gt;=0.15),"HIGH PRIORITY",IF(AND(H15&gt;=0.15,G15&gt;=0.1),"Watch",IF(H15&lt;=0,"Strength","OK")))</f>
        <v>Strength</v>
      </c>
      <c r="J15" s="68" t="n">
        <f aca="false">IFERROR(COUNTIFS('01 - Job Database'!$C$3:$C$1000,"&lt;&gt;",'01 - Job Database'!$W$3:$W$1000,"&lt;&gt;Yes",'01 - Job Database'!$AG$3:$AG$1000,"Yes",'01 - Job Database'!$S$3:$S$1000,"Yes")/COUNTIFS('01 - Job Database'!$C$3:$C$1000,"&lt;&gt;",'01 - Job Database'!$W$3:$W$1000,"&lt;&gt;Yes",'01 - Job Database'!$S$3:$S$1000,"Yes"),"")</f>
        <v>0</v>
      </c>
      <c r="K15" s="70" t="n">
        <f aca="false">IFERROR(J15-C15,"")</f>
        <v>0</v>
      </c>
    </row>
    <row r="16" customFormat="false" ht="15" hidden="false" customHeight="true" outlineLevel="0" collapsed="false">
      <c r="A16" s="57" t="s">
        <v>220</v>
      </c>
      <c r="B16" s="57" t="s">
        <v>81</v>
      </c>
      <c r="C16" s="58" t="n">
        <f aca="false">'03 - Skill Intelligence'!D16</f>
        <v>1</v>
      </c>
      <c r="D16" s="66" t="n">
        <v>0</v>
      </c>
      <c r="E16" s="58" t="n">
        <f aca="false">C16-D16</f>
        <v>1</v>
      </c>
      <c r="F16" s="26" t="str">
        <f aca="false">IF(AND(E16&gt;=0.3,C16&gt;=0.15),"HIGH PRIORITY",IF(AND(E16&gt;=0.15,C16&gt;=0.1),"Watch",IF(E16&lt;=0,"Strength","OK")))</f>
        <v>HIGH PRIORITY</v>
      </c>
      <c r="G16" s="67" t="n">
        <v>0</v>
      </c>
      <c r="H16" s="68" t="n">
        <f aca="false">G16-D16</f>
        <v>0</v>
      </c>
      <c r="I16" s="69" t="str">
        <f aca="false">IF(AND(H16&gt;=0.3,G16&gt;=0.15),"HIGH PRIORITY",IF(AND(H16&gt;=0.15,G16&gt;=0.1),"Watch",IF(H16&lt;=0,"Strength","OK")))</f>
        <v>Strength</v>
      </c>
      <c r="J16" s="68" t="n">
        <f aca="false">IFERROR(COUNTIFS('01 - Job Database'!$C$3:$C$1000,"&lt;&gt;",'01 - Job Database'!$W$3:$W$1000,"&lt;&gt;Yes",'01 - Job Database'!$AH$3:$AH$1000,"Yes",'01 - Job Database'!$S$3:$S$1000,"Yes")/COUNTIFS('01 - Job Database'!$C$3:$C$1000,"&lt;&gt;",'01 - Job Database'!$W$3:$W$1000,"&lt;&gt;Yes",'01 - Job Database'!$S$3:$S$1000,"Yes"),"")</f>
        <v>1</v>
      </c>
      <c r="K16" s="70" t="n">
        <f aca="false">IFERROR(J16-C16,"")</f>
        <v>0</v>
      </c>
    </row>
    <row r="17" customFormat="false" ht="15" hidden="false" customHeight="true" outlineLevel="0" collapsed="false">
      <c r="A17" s="57" t="s">
        <v>220</v>
      </c>
      <c r="B17" s="57" t="s">
        <v>82</v>
      </c>
      <c r="C17" s="58" t="n">
        <f aca="false">'03 - Skill Intelligence'!D17</f>
        <v>0</v>
      </c>
      <c r="D17" s="66" t="n">
        <v>0</v>
      </c>
      <c r="E17" s="58" t="n">
        <f aca="false">C17-D17</f>
        <v>0</v>
      </c>
      <c r="F17" s="26" t="str">
        <f aca="false">IF(AND(E17&gt;=0.3,C17&gt;=0.15),"HIGH PRIORITY",IF(AND(E17&gt;=0.15,C17&gt;=0.1),"Watch",IF(E17&lt;=0,"Strength","OK")))</f>
        <v>Strength</v>
      </c>
      <c r="G17" s="67" t="n">
        <v>0</v>
      </c>
      <c r="H17" s="68" t="n">
        <f aca="false">G17-D17</f>
        <v>0</v>
      </c>
      <c r="I17" s="69" t="str">
        <f aca="false">IF(AND(H17&gt;=0.3,G17&gt;=0.15),"HIGH PRIORITY",IF(AND(H17&gt;=0.15,G17&gt;=0.1),"Watch",IF(H17&lt;=0,"Strength","OK")))</f>
        <v>Strength</v>
      </c>
      <c r="J17" s="68" t="n">
        <f aca="false">IFERROR(COUNTIFS('01 - Job Database'!$C$3:$C$1000,"&lt;&gt;",'01 - Job Database'!$W$3:$W$1000,"&lt;&gt;Yes",'01 - Job Database'!$AI$3:$AI$1000,"Yes",'01 - Job Database'!$S$3:$S$1000,"Yes")/COUNTIFS('01 - Job Database'!$C$3:$C$1000,"&lt;&gt;",'01 - Job Database'!$W$3:$W$1000,"&lt;&gt;Yes",'01 - Job Database'!$S$3:$S$1000,"Yes"),"")</f>
        <v>0</v>
      </c>
      <c r="K17" s="70" t="n">
        <f aca="false">IFERROR(J17-C17,"")</f>
        <v>0</v>
      </c>
    </row>
    <row r="18" customFormat="false" ht="15" hidden="false" customHeight="true" outlineLevel="0" collapsed="false">
      <c r="A18" s="57" t="s">
        <v>220</v>
      </c>
      <c r="B18" s="57" t="s">
        <v>83</v>
      </c>
      <c r="C18" s="58" t="n">
        <f aca="false">'03 - Skill Intelligence'!D18</f>
        <v>1</v>
      </c>
      <c r="D18" s="66" t="n">
        <v>0</v>
      </c>
      <c r="E18" s="58" t="n">
        <f aca="false">C18-D18</f>
        <v>1</v>
      </c>
      <c r="F18" s="26" t="str">
        <f aca="false">IF(AND(E18&gt;=0.3,C18&gt;=0.15),"HIGH PRIORITY",IF(AND(E18&gt;=0.15,C18&gt;=0.1),"Watch",IF(E18&lt;=0,"Strength","OK")))</f>
        <v>HIGH PRIORITY</v>
      </c>
      <c r="G18" s="67" t="n">
        <v>0</v>
      </c>
      <c r="H18" s="68" t="n">
        <f aca="false">G18-D18</f>
        <v>0</v>
      </c>
      <c r="I18" s="69" t="str">
        <f aca="false">IF(AND(H18&gt;=0.3,G18&gt;=0.15),"HIGH PRIORITY",IF(AND(H18&gt;=0.15,G18&gt;=0.1),"Watch",IF(H18&lt;=0,"Strength","OK")))</f>
        <v>Strength</v>
      </c>
      <c r="J18" s="68" t="n">
        <f aca="false">IFERROR(COUNTIFS('01 - Job Database'!$C$3:$C$1000,"&lt;&gt;",'01 - Job Database'!$W$3:$W$1000,"&lt;&gt;Yes",'01 - Job Database'!$AJ$3:$AJ$1000,"Yes",'01 - Job Database'!$S$3:$S$1000,"Yes")/COUNTIFS('01 - Job Database'!$C$3:$C$1000,"&lt;&gt;",'01 - Job Database'!$W$3:$W$1000,"&lt;&gt;Yes",'01 - Job Database'!$S$3:$S$1000,"Yes"),"")</f>
        <v>1</v>
      </c>
      <c r="K18" s="70" t="n">
        <f aca="false">IFERROR(J18-C18,"")</f>
        <v>0</v>
      </c>
    </row>
    <row r="19" customFormat="false" ht="15" hidden="false" customHeight="true" outlineLevel="0" collapsed="false">
      <c r="A19" s="57" t="s">
        <v>220</v>
      </c>
      <c r="B19" s="57" t="s">
        <v>84</v>
      </c>
      <c r="C19" s="58" t="n">
        <f aca="false">'03 - Skill Intelligence'!D19</f>
        <v>0</v>
      </c>
      <c r="D19" s="66" t="n">
        <v>0</v>
      </c>
      <c r="E19" s="58" t="n">
        <f aca="false">C19-D19</f>
        <v>0</v>
      </c>
      <c r="F19" s="26" t="str">
        <f aca="false">IF(AND(E19&gt;=0.3,C19&gt;=0.15),"HIGH PRIORITY",IF(AND(E19&gt;=0.15,C19&gt;=0.1),"Watch",IF(E19&lt;=0,"Strength","OK")))</f>
        <v>Strength</v>
      </c>
      <c r="G19" s="67" t="n">
        <v>0</v>
      </c>
      <c r="H19" s="68" t="n">
        <f aca="false">G19-D19</f>
        <v>0</v>
      </c>
      <c r="I19" s="69" t="str">
        <f aca="false">IF(AND(H19&gt;=0.3,G19&gt;=0.15),"HIGH PRIORITY",IF(AND(H19&gt;=0.15,G19&gt;=0.1),"Watch",IF(H19&lt;=0,"Strength","OK")))</f>
        <v>Strength</v>
      </c>
      <c r="J19" s="68" t="n">
        <f aca="false">IFERROR(COUNTIFS('01 - Job Database'!$C$3:$C$1000,"&lt;&gt;",'01 - Job Database'!$W$3:$W$1000,"&lt;&gt;Yes",'01 - Job Database'!$AK$3:$AK$1000,"Yes",'01 - Job Database'!$S$3:$S$1000,"Yes")/COUNTIFS('01 - Job Database'!$C$3:$C$1000,"&lt;&gt;",'01 - Job Database'!$W$3:$W$1000,"&lt;&gt;Yes",'01 - Job Database'!$S$3:$S$1000,"Yes"),"")</f>
        <v>0</v>
      </c>
      <c r="K19" s="70" t="n">
        <f aca="false">IFERROR(J19-C19,"")</f>
        <v>0</v>
      </c>
    </row>
    <row r="20" customFormat="false" ht="15" hidden="false" customHeight="true" outlineLevel="0" collapsed="false">
      <c r="A20" s="57" t="s">
        <v>221</v>
      </c>
      <c r="B20" s="57" t="s">
        <v>85</v>
      </c>
      <c r="C20" s="58" t="n">
        <f aca="false">'03 - Skill Intelligence'!D20</f>
        <v>1</v>
      </c>
      <c r="D20" s="66" t="n">
        <v>0</v>
      </c>
      <c r="E20" s="58" t="n">
        <f aca="false">C20-D20</f>
        <v>1</v>
      </c>
      <c r="F20" s="26" t="str">
        <f aca="false">IF(AND(E20&gt;=0.3,C20&gt;=0.15),"HIGH PRIORITY",IF(AND(E20&gt;=0.15,C20&gt;=0.1),"Watch",IF(E20&lt;=0,"Strength","OK")))</f>
        <v>HIGH PRIORITY</v>
      </c>
      <c r="G20" s="67" t="n">
        <v>0</v>
      </c>
      <c r="H20" s="68" t="n">
        <f aca="false">G20-D20</f>
        <v>0</v>
      </c>
      <c r="I20" s="69" t="str">
        <f aca="false">IF(AND(H20&gt;=0.3,G20&gt;=0.15),"HIGH PRIORITY",IF(AND(H20&gt;=0.15,G20&gt;=0.1),"Watch",IF(H20&lt;=0,"Strength","OK")))</f>
        <v>Strength</v>
      </c>
      <c r="J20" s="68" t="n">
        <f aca="false">IFERROR(COUNTIFS('01 - Job Database'!$C$3:$C$1000,"&lt;&gt;",'01 - Job Database'!$W$3:$W$1000,"&lt;&gt;Yes",'01 - Job Database'!$AL$3:$AL$1000,"Yes",'01 - Job Database'!$S$3:$S$1000,"Yes")/COUNTIFS('01 - Job Database'!$C$3:$C$1000,"&lt;&gt;",'01 - Job Database'!$W$3:$W$1000,"&lt;&gt;Yes",'01 - Job Database'!$S$3:$S$1000,"Yes"),"")</f>
        <v>1</v>
      </c>
      <c r="K20" s="70" t="n">
        <f aca="false">IFERROR(J20-C20,"")</f>
        <v>0</v>
      </c>
    </row>
    <row r="21" customFormat="false" ht="15" hidden="false" customHeight="true" outlineLevel="0" collapsed="false">
      <c r="A21" s="57" t="s">
        <v>221</v>
      </c>
      <c r="B21" s="57" t="s">
        <v>86</v>
      </c>
      <c r="C21" s="58" t="n">
        <f aca="false">'03 - Skill Intelligence'!D21</f>
        <v>0</v>
      </c>
      <c r="D21" s="66" t="n">
        <v>0</v>
      </c>
      <c r="E21" s="58" t="n">
        <f aca="false">C21-D21</f>
        <v>0</v>
      </c>
      <c r="F21" s="26" t="str">
        <f aca="false">IF(AND(E21&gt;=0.3,C21&gt;=0.15),"HIGH PRIORITY",IF(AND(E21&gt;=0.15,C21&gt;=0.1),"Watch",IF(E21&lt;=0,"Strength","OK")))</f>
        <v>Strength</v>
      </c>
      <c r="G21" s="67" t="n">
        <v>0</v>
      </c>
      <c r="H21" s="68" t="n">
        <f aca="false">G21-D21</f>
        <v>0</v>
      </c>
      <c r="I21" s="69" t="str">
        <f aca="false">IF(AND(H21&gt;=0.3,G21&gt;=0.15),"HIGH PRIORITY",IF(AND(H21&gt;=0.15,G21&gt;=0.1),"Watch",IF(H21&lt;=0,"Strength","OK")))</f>
        <v>Strength</v>
      </c>
      <c r="J21" s="68" t="n">
        <f aca="false">IFERROR(COUNTIFS('01 - Job Database'!$C$3:$C$1000,"&lt;&gt;",'01 - Job Database'!$W$3:$W$1000,"&lt;&gt;Yes",'01 - Job Database'!$AM$3:$AM$1000,"Yes",'01 - Job Database'!$S$3:$S$1000,"Yes")/COUNTIFS('01 - Job Database'!$C$3:$C$1000,"&lt;&gt;",'01 - Job Database'!$W$3:$W$1000,"&lt;&gt;Yes",'01 - Job Database'!$S$3:$S$1000,"Yes"),"")</f>
        <v>0</v>
      </c>
      <c r="K21" s="70" t="n">
        <f aca="false">IFERROR(J21-C21,"")</f>
        <v>0</v>
      </c>
    </row>
    <row r="22" customFormat="false" ht="15" hidden="false" customHeight="true" outlineLevel="0" collapsed="false">
      <c r="A22" s="57" t="s">
        <v>221</v>
      </c>
      <c r="B22" s="57" t="s">
        <v>87</v>
      </c>
      <c r="C22" s="58" t="n">
        <f aca="false">'03 - Skill Intelligence'!D22</f>
        <v>0</v>
      </c>
      <c r="D22" s="66" t="n">
        <v>0</v>
      </c>
      <c r="E22" s="58" t="n">
        <f aca="false">C22-D22</f>
        <v>0</v>
      </c>
      <c r="F22" s="26" t="str">
        <f aca="false">IF(AND(E22&gt;=0.3,C22&gt;=0.15),"HIGH PRIORITY",IF(AND(E22&gt;=0.15,C22&gt;=0.1),"Watch",IF(E22&lt;=0,"Strength","OK")))</f>
        <v>Strength</v>
      </c>
      <c r="G22" s="67" t="n">
        <v>0</v>
      </c>
      <c r="H22" s="68" t="n">
        <f aca="false">G22-D22</f>
        <v>0</v>
      </c>
      <c r="I22" s="69" t="str">
        <f aca="false">IF(AND(H22&gt;=0.3,G22&gt;=0.15),"HIGH PRIORITY",IF(AND(H22&gt;=0.15,G22&gt;=0.1),"Watch",IF(H22&lt;=0,"Strength","OK")))</f>
        <v>Strength</v>
      </c>
      <c r="J22" s="68" t="n">
        <f aca="false">IFERROR(COUNTIFS('01 - Job Database'!$C$3:$C$1000,"&lt;&gt;",'01 - Job Database'!$W$3:$W$1000,"&lt;&gt;Yes",'01 - Job Database'!$AN$3:$AN$1000,"Yes",'01 - Job Database'!$S$3:$S$1000,"Yes")/COUNTIFS('01 - Job Database'!$C$3:$C$1000,"&lt;&gt;",'01 - Job Database'!$W$3:$W$1000,"&lt;&gt;Yes",'01 - Job Database'!$S$3:$S$1000,"Yes"),"")</f>
        <v>0</v>
      </c>
      <c r="K22" s="70" t="n">
        <f aca="false">IFERROR(J22-C22,"")</f>
        <v>0</v>
      </c>
    </row>
    <row r="23" customFormat="false" ht="15" hidden="false" customHeight="true" outlineLevel="0" collapsed="false">
      <c r="A23" s="57" t="s">
        <v>221</v>
      </c>
      <c r="B23" s="57" t="s">
        <v>88</v>
      </c>
      <c r="C23" s="58" t="n">
        <f aca="false">'03 - Skill Intelligence'!D23</f>
        <v>0</v>
      </c>
      <c r="D23" s="66" t="n">
        <v>0</v>
      </c>
      <c r="E23" s="58" t="n">
        <f aca="false">C23-D23</f>
        <v>0</v>
      </c>
      <c r="F23" s="26" t="str">
        <f aca="false">IF(AND(E23&gt;=0.3,C23&gt;=0.15),"HIGH PRIORITY",IF(AND(E23&gt;=0.15,C23&gt;=0.1),"Watch",IF(E23&lt;=0,"Strength","OK")))</f>
        <v>Strength</v>
      </c>
      <c r="G23" s="67" t="n">
        <v>0</v>
      </c>
      <c r="H23" s="68" t="n">
        <f aca="false">G23-D23</f>
        <v>0</v>
      </c>
      <c r="I23" s="69" t="str">
        <f aca="false">IF(AND(H23&gt;=0.3,G23&gt;=0.15),"HIGH PRIORITY",IF(AND(H23&gt;=0.15,G23&gt;=0.1),"Watch",IF(H23&lt;=0,"Strength","OK")))</f>
        <v>Strength</v>
      </c>
      <c r="J23" s="68" t="n">
        <f aca="false">IFERROR(COUNTIFS('01 - Job Database'!$C$3:$C$1000,"&lt;&gt;",'01 - Job Database'!$W$3:$W$1000,"&lt;&gt;Yes",'01 - Job Database'!$AO$3:$AO$1000,"Yes",'01 - Job Database'!$S$3:$S$1000,"Yes")/COUNTIFS('01 - Job Database'!$C$3:$C$1000,"&lt;&gt;",'01 - Job Database'!$W$3:$W$1000,"&lt;&gt;Yes",'01 - Job Database'!$S$3:$S$1000,"Yes"),"")</f>
        <v>0</v>
      </c>
      <c r="K23" s="70" t="n">
        <f aca="false">IFERROR(J23-C23,"")</f>
        <v>0</v>
      </c>
    </row>
    <row r="24" customFormat="false" ht="15" hidden="false" customHeight="true" outlineLevel="0" collapsed="false">
      <c r="A24" s="57" t="s">
        <v>221</v>
      </c>
      <c r="B24" s="57" t="s">
        <v>89</v>
      </c>
      <c r="C24" s="58" t="n">
        <f aca="false">'03 - Skill Intelligence'!D24</f>
        <v>0</v>
      </c>
      <c r="D24" s="66" t="n">
        <v>0</v>
      </c>
      <c r="E24" s="58" t="n">
        <f aca="false">C24-D24</f>
        <v>0</v>
      </c>
      <c r="F24" s="26" t="str">
        <f aca="false">IF(AND(E24&gt;=0.3,C24&gt;=0.15),"HIGH PRIORITY",IF(AND(E24&gt;=0.15,C24&gt;=0.1),"Watch",IF(E24&lt;=0,"Strength","OK")))</f>
        <v>Strength</v>
      </c>
      <c r="G24" s="67" t="n">
        <v>0</v>
      </c>
      <c r="H24" s="68" t="n">
        <f aca="false">G24-D24</f>
        <v>0</v>
      </c>
      <c r="I24" s="69" t="str">
        <f aca="false">IF(AND(H24&gt;=0.3,G24&gt;=0.15),"HIGH PRIORITY",IF(AND(H24&gt;=0.15,G24&gt;=0.1),"Watch",IF(H24&lt;=0,"Strength","OK")))</f>
        <v>Strength</v>
      </c>
      <c r="J24" s="68" t="n">
        <f aca="false">IFERROR(COUNTIFS('01 - Job Database'!$C$3:$C$1000,"&lt;&gt;",'01 - Job Database'!$W$3:$W$1000,"&lt;&gt;Yes",'01 - Job Database'!$AP$3:$AP$1000,"Yes",'01 - Job Database'!$S$3:$S$1000,"Yes")/COUNTIFS('01 - Job Database'!$C$3:$C$1000,"&lt;&gt;",'01 - Job Database'!$W$3:$W$1000,"&lt;&gt;Yes",'01 - Job Database'!$S$3:$S$1000,"Yes"),"")</f>
        <v>0</v>
      </c>
      <c r="K24" s="70" t="n">
        <f aca="false">IFERROR(J24-C24,"")</f>
        <v>0</v>
      </c>
    </row>
    <row r="25" customFormat="false" ht="15" hidden="false" customHeight="true" outlineLevel="0" collapsed="false">
      <c r="A25" s="57" t="s">
        <v>221</v>
      </c>
      <c r="B25" s="57" t="s">
        <v>90</v>
      </c>
      <c r="C25" s="58" t="n">
        <f aca="false">'03 - Skill Intelligence'!D25</f>
        <v>0</v>
      </c>
      <c r="D25" s="66" t="n">
        <v>0</v>
      </c>
      <c r="E25" s="58" t="n">
        <f aca="false">C25-D25</f>
        <v>0</v>
      </c>
      <c r="F25" s="26" t="str">
        <f aca="false">IF(AND(E25&gt;=0.3,C25&gt;=0.15),"HIGH PRIORITY",IF(AND(E25&gt;=0.15,C25&gt;=0.1),"Watch",IF(E25&lt;=0,"Strength","OK")))</f>
        <v>Strength</v>
      </c>
      <c r="G25" s="67" t="n">
        <v>0</v>
      </c>
      <c r="H25" s="68" t="n">
        <f aca="false">G25-D25</f>
        <v>0</v>
      </c>
      <c r="I25" s="69" t="str">
        <f aca="false">IF(AND(H25&gt;=0.3,G25&gt;=0.15),"HIGH PRIORITY",IF(AND(H25&gt;=0.15,G25&gt;=0.1),"Watch",IF(H25&lt;=0,"Strength","OK")))</f>
        <v>Strength</v>
      </c>
      <c r="J25" s="68" t="n">
        <f aca="false">IFERROR(COUNTIFS('01 - Job Database'!$C$3:$C$1000,"&lt;&gt;",'01 - Job Database'!$W$3:$W$1000,"&lt;&gt;Yes",'01 - Job Database'!$AQ$3:$AQ$1000,"Yes",'01 - Job Database'!$S$3:$S$1000,"Yes")/COUNTIFS('01 - Job Database'!$C$3:$C$1000,"&lt;&gt;",'01 - Job Database'!$W$3:$W$1000,"&lt;&gt;Yes",'01 - Job Database'!$S$3:$S$1000,"Yes"),"")</f>
        <v>0</v>
      </c>
      <c r="K25" s="70" t="n">
        <f aca="false">IFERROR(J25-C25,"")</f>
        <v>0</v>
      </c>
    </row>
    <row r="26" customFormat="false" ht="15" hidden="false" customHeight="true" outlineLevel="0" collapsed="false">
      <c r="A26" s="57" t="s">
        <v>221</v>
      </c>
      <c r="B26" s="57" t="s">
        <v>91</v>
      </c>
      <c r="C26" s="58" t="n">
        <f aca="false">'03 - Skill Intelligence'!D26</f>
        <v>0</v>
      </c>
      <c r="D26" s="66" t="n">
        <v>0</v>
      </c>
      <c r="E26" s="58" t="n">
        <f aca="false">C26-D26</f>
        <v>0</v>
      </c>
      <c r="F26" s="26" t="str">
        <f aca="false">IF(AND(E26&gt;=0.3,C26&gt;=0.15),"HIGH PRIORITY",IF(AND(E26&gt;=0.15,C26&gt;=0.1),"Watch",IF(E26&lt;=0,"Strength","OK")))</f>
        <v>Strength</v>
      </c>
      <c r="G26" s="67" t="n">
        <v>0</v>
      </c>
      <c r="H26" s="68" t="n">
        <f aca="false">G26-D26</f>
        <v>0</v>
      </c>
      <c r="I26" s="69" t="str">
        <f aca="false">IF(AND(H26&gt;=0.3,G26&gt;=0.15),"HIGH PRIORITY",IF(AND(H26&gt;=0.15,G26&gt;=0.1),"Watch",IF(H26&lt;=0,"Strength","OK")))</f>
        <v>Strength</v>
      </c>
      <c r="J26" s="68" t="n">
        <f aca="false">IFERROR(COUNTIFS('01 - Job Database'!$C$3:$C$1000,"&lt;&gt;",'01 - Job Database'!$W$3:$W$1000,"&lt;&gt;Yes",'01 - Job Database'!$AR$3:$AR$1000,"Yes",'01 - Job Database'!$S$3:$S$1000,"Yes")/COUNTIFS('01 - Job Database'!$C$3:$C$1000,"&lt;&gt;",'01 - Job Database'!$W$3:$W$1000,"&lt;&gt;Yes",'01 - Job Database'!$S$3:$S$1000,"Yes"),"")</f>
        <v>0</v>
      </c>
      <c r="K26" s="70" t="n">
        <f aca="false">IFERROR(J26-C26,"")</f>
        <v>0</v>
      </c>
    </row>
    <row r="27" customFormat="false" ht="15" hidden="false" customHeight="true" outlineLevel="0" collapsed="false">
      <c r="A27" s="57" t="s">
        <v>222</v>
      </c>
      <c r="B27" s="57" t="s">
        <v>92</v>
      </c>
      <c r="C27" s="58" t="n">
        <f aca="false">'03 - Skill Intelligence'!D27</f>
        <v>0</v>
      </c>
      <c r="D27" s="66" t="n">
        <v>0</v>
      </c>
      <c r="E27" s="58" t="n">
        <f aca="false">C27-D27</f>
        <v>0</v>
      </c>
      <c r="F27" s="26" t="str">
        <f aca="false">IF(AND(E27&gt;=0.3,C27&gt;=0.15),"HIGH PRIORITY",IF(AND(E27&gt;=0.15,C27&gt;=0.1),"Watch",IF(E27&lt;=0,"Strength","OK")))</f>
        <v>Strength</v>
      </c>
      <c r="G27" s="67" t="n">
        <v>0</v>
      </c>
      <c r="H27" s="68" t="n">
        <f aca="false">G27-D27</f>
        <v>0</v>
      </c>
      <c r="I27" s="69" t="str">
        <f aca="false">IF(AND(H27&gt;=0.3,G27&gt;=0.15),"HIGH PRIORITY",IF(AND(H27&gt;=0.15,G27&gt;=0.1),"Watch",IF(H27&lt;=0,"Strength","OK")))</f>
        <v>Strength</v>
      </c>
      <c r="J27" s="68" t="n">
        <f aca="false">IFERROR(COUNTIFS('01 - Job Database'!$C$3:$C$1000,"&lt;&gt;",'01 - Job Database'!$W$3:$W$1000,"&lt;&gt;Yes",'01 - Job Database'!$AS$3:$AS$1000,"Yes",'01 - Job Database'!$S$3:$S$1000,"Yes")/COUNTIFS('01 - Job Database'!$C$3:$C$1000,"&lt;&gt;",'01 - Job Database'!$W$3:$W$1000,"&lt;&gt;Yes",'01 - Job Database'!$S$3:$S$1000,"Yes"),"")</f>
        <v>0</v>
      </c>
      <c r="K27" s="70" t="n">
        <f aca="false">IFERROR(J27-C27,"")</f>
        <v>0</v>
      </c>
    </row>
    <row r="28" customFormat="false" ht="15" hidden="false" customHeight="true" outlineLevel="0" collapsed="false">
      <c r="A28" s="57" t="s">
        <v>222</v>
      </c>
      <c r="B28" s="57" t="s">
        <v>93</v>
      </c>
      <c r="C28" s="58" t="n">
        <f aca="false">'03 - Skill Intelligence'!D28</f>
        <v>1</v>
      </c>
      <c r="D28" s="66" t="n">
        <v>0</v>
      </c>
      <c r="E28" s="58" t="n">
        <f aca="false">C28-D28</f>
        <v>1</v>
      </c>
      <c r="F28" s="26" t="str">
        <f aca="false">IF(AND(E28&gt;=0.3,C28&gt;=0.15),"HIGH PRIORITY",IF(AND(E28&gt;=0.15,C28&gt;=0.1),"Watch",IF(E28&lt;=0,"Strength","OK")))</f>
        <v>HIGH PRIORITY</v>
      </c>
      <c r="G28" s="67" t="n">
        <v>0</v>
      </c>
      <c r="H28" s="68" t="n">
        <f aca="false">G28-D28</f>
        <v>0</v>
      </c>
      <c r="I28" s="69" t="str">
        <f aca="false">IF(AND(H28&gt;=0.3,G28&gt;=0.15),"HIGH PRIORITY",IF(AND(H28&gt;=0.15,G28&gt;=0.1),"Watch",IF(H28&lt;=0,"Strength","OK")))</f>
        <v>Strength</v>
      </c>
      <c r="J28" s="68" t="n">
        <f aca="false">IFERROR(COUNTIFS('01 - Job Database'!$C$3:$C$1000,"&lt;&gt;",'01 - Job Database'!$W$3:$W$1000,"&lt;&gt;Yes",'01 - Job Database'!$AT$3:$AT$1000,"Yes",'01 - Job Database'!$S$3:$S$1000,"Yes")/COUNTIFS('01 - Job Database'!$C$3:$C$1000,"&lt;&gt;",'01 - Job Database'!$W$3:$W$1000,"&lt;&gt;Yes",'01 - Job Database'!$S$3:$S$1000,"Yes"),"")</f>
        <v>1</v>
      </c>
      <c r="K28" s="70" t="n">
        <f aca="false">IFERROR(J28-C28,"")</f>
        <v>0</v>
      </c>
    </row>
    <row r="29" customFormat="false" ht="15" hidden="false" customHeight="true" outlineLevel="0" collapsed="false">
      <c r="A29" s="57" t="s">
        <v>222</v>
      </c>
      <c r="B29" s="57" t="s">
        <v>94</v>
      </c>
      <c r="C29" s="58" t="n">
        <f aca="false">'03 - Skill Intelligence'!D29</f>
        <v>1</v>
      </c>
      <c r="D29" s="66" t="n">
        <v>0</v>
      </c>
      <c r="E29" s="58" t="n">
        <f aca="false">C29-D29</f>
        <v>1</v>
      </c>
      <c r="F29" s="26" t="str">
        <f aca="false">IF(AND(E29&gt;=0.3,C29&gt;=0.15),"HIGH PRIORITY",IF(AND(E29&gt;=0.15,C29&gt;=0.1),"Watch",IF(E29&lt;=0,"Strength","OK")))</f>
        <v>HIGH PRIORITY</v>
      </c>
      <c r="G29" s="67" t="n">
        <v>0</v>
      </c>
      <c r="H29" s="68" t="n">
        <f aca="false">G29-D29</f>
        <v>0</v>
      </c>
      <c r="I29" s="69" t="str">
        <f aca="false">IF(AND(H29&gt;=0.3,G29&gt;=0.15),"HIGH PRIORITY",IF(AND(H29&gt;=0.15,G29&gt;=0.1),"Watch",IF(H29&lt;=0,"Strength","OK")))</f>
        <v>Strength</v>
      </c>
      <c r="J29" s="68" t="n">
        <f aca="false">IFERROR(COUNTIFS('01 - Job Database'!$C$3:$C$1000,"&lt;&gt;",'01 - Job Database'!$W$3:$W$1000,"&lt;&gt;Yes",'01 - Job Database'!$AU$3:$AU$1000,"Yes",'01 - Job Database'!$S$3:$S$1000,"Yes")/COUNTIFS('01 - Job Database'!$C$3:$C$1000,"&lt;&gt;",'01 - Job Database'!$W$3:$W$1000,"&lt;&gt;Yes",'01 - Job Database'!$S$3:$S$1000,"Yes"),"")</f>
        <v>1</v>
      </c>
      <c r="K29" s="70" t="n">
        <f aca="false">IFERROR(J29-C29,"")</f>
        <v>0</v>
      </c>
    </row>
    <row r="30" customFormat="false" ht="15" hidden="false" customHeight="true" outlineLevel="0" collapsed="false">
      <c r="A30" s="57" t="s">
        <v>222</v>
      </c>
      <c r="B30" s="57" t="s">
        <v>95</v>
      </c>
      <c r="C30" s="58" t="n">
        <f aca="false">'03 - Skill Intelligence'!D30</f>
        <v>0</v>
      </c>
      <c r="D30" s="66" t="n">
        <v>0</v>
      </c>
      <c r="E30" s="58" t="n">
        <f aca="false">C30-D30</f>
        <v>0</v>
      </c>
      <c r="F30" s="26" t="str">
        <f aca="false">IF(AND(E30&gt;=0.3,C30&gt;=0.15),"HIGH PRIORITY",IF(AND(E30&gt;=0.15,C30&gt;=0.1),"Watch",IF(E30&lt;=0,"Strength","OK")))</f>
        <v>Strength</v>
      </c>
      <c r="G30" s="67" t="n">
        <v>0</v>
      </c>
      <c r="H30" s="68" t="n">
        <f aca="false">G30-D30</f>
        <v>0</v>
      </c>
      <c r="I30" s="69" t="str">
        <f aca="false">IF(AND(H30&gt;=0.3,G30&gt;=0.15),"HIGH PRIORITY",IF(AND(H30&gt;=0.15,G30&gt;=0.1),"Watch",IF(H30&lt;=0,"Strength","OK")))</f>
        <v>Strength</v>
      </c>
      <c r="J30" s="68" t="n">
        <f aca="false">IFERROR(COUNTIFS('01 - Job Database'!$C$3:$C$1000,"&lt;&gt;",'01 - Job Database'!$W$3:$W$1000,"&lt;&gt;Yes",'01 - Job Database'!$AV$3:$AV$1000,"Yes",'01 - Job Database'!$S$3:$S$1000,"Yes")/COUNTIFS('01 - Job Database'!$C$3:$C$1000,"&lt;&gt;",'01 - Job Database'!$W$3:$W$1000,"&lt;&gt;Yes",'01 - Job Database'!$S$3:$S$1000,"Yes"),"")</f>
        <v>0</v>
      </c>
      <c r="K30" s="70" t="n">
        <f aca="false">IFERROR(J30-C30,"")</f>
        <v>0</v>
      </c>
    </row>
    <row r="31" customFormat="false" ht="15" hidden="false" customHeight="true" outlineLevel="0" collapsed="false">
      <c r="A31" s="57" t="s">
        <v>222</v>
      </c>
      <c r="B31" s="57" t="s">
        <v>96</v>
      </c>
      <c r="C31" s="58" t="n">
        <f aca="false">'03 - Skill Intelligence'!D31</f>
        <v>1</v>
      </c>
      <c r="D31" s="66" t="n">
        <v>0</v>
      </c>
      <c r="E31" s="58" t="n">
        <f aca="false">C31-D31</f>
        <v>1</v>
      </c>
      <c r="F31" s="26" t="str">
        <f aca="false">IF(AND(E31&gt;=0.3,C31&gt;=0.15),"HIGH PRIORITY",IF(AND(E31&gt;=0.15,C31&gt;=0.1),"Watch",IF(E31&lt;=0,"Strength","OK")))</f>
        <v>HIGH PRIORITY</v>
      </c>
      <c r="G31" s="67" t="n">
        <v>0</v>
      </c>
      <c r="H31" s="68" t="n">
        <f aca="false">G31-D31</f>
        <v>0</v>
      </c>
      <c r="I31" s="69" t="str">
        <f aca="false">IF(AND(H31&gt;=0.3,G31&gt;=0.15),"HIGH PRIORITY",IF(AND(H31&gt;=0.15,G31&gt;=0.1),"Watch",IF(H31&lt;=0,"Strength","OK")))</f>
        <v>Strength</v>
      </c>
      <c r="J31" s="68" t="n">
        <f aca="false">IFERROR(COUNTIFS('01 - Job Database'!$C$3:$C$1000,"&lt;&gt;",'01 - Job Database'!$W$3:$W$1000,"&lt;&gt;Yes",'01 - Job Database'!$AW$3:$AW$1000,"Yes",'01 - Job Database'!$S$3:$S$1000,"Yes")/COUNTIFS('01 - Job Database'!$C$3:$C$1000,"&lt;&gt;",'01 - Job Database'!$W$3:$W$1000,"&lt;&gt;Yes",'01 - Job Database'!$S$3:$S$1000,"Yes"),"")</f>
        <v>1</v>
      </c>
      <c r="K31" s="70" t="n">
        <f aca="false">IFERROR(J31-C31,"")</f>
        <v>0</v>
      </c>
    </row>
    <row r="32" customFormat="false" ht="15" hidden="false" customHeight="true" outlineLevel="0" collapsed="false">
      <c r="A32" s="57" t="s">
        <v>222</v>
      </c>
      <c r="B32" s="57" t="s">
        <v>97</v>
      </c>
      <c r="C32" s="58" t="n">
        <f aca="false">'03 - Skill Intelligence'!D32</f>
        <v>0</v>
      </c>
      <c r="D32" s="66" t="n">
        <v>0</v>
      </c>
      <c r="E32" s="58" t="n">
        <f aca="false">C32-D32</f>
        <v>0</v>
      </c>
      <c r="F32" s="26" t="str">
        <f aca="false">IF(AND(E32&gt;=0.3,C32&gt;=0.15),"HIGH PRIORITY",IF(AND(E32&gt;=0.15,C32&gt;=0.1),"Watch",IF(E32&lt;=0,"Strength","OK")))</f>
        <v>Strength</v>
      </c>
      <c r="G32" s="67" t="n">
        <v>0</v>
      </c>
      <c r="H32" s="68" t="n">
        <f aca="false">G32-D32</f>
        <v>0</v>
      </c>
      <c r="I32" s="69" t="str">
        <f aca="false">IF(AND(H32&gt;=0.3,G32&gt;=0.15),"HIGH PRIORITY",IF(AND(H32&gt;=0.15,G32&gt;=0.1),"Watch",IF(H32&lt;=0,"Strength","OK")))</f>
        <v>Strength</v>
      </c>
      <c r="J32" s="68" t="n">
        <f aca="false">IFERROR(COUNTIFS('01 - Job Database'!$C$3:$C$1000,"&lt;&gt;",'01 - Job Database'!$W$3:$W$1000,"&lt;&gt;Yes",'01 - Job Database'!$AX$3:$AX$1000,"Yes",'01 - Job Database'!$S$3:$S$1000,"Yes")/COUNTIFS('01 - Job Database'!$C$3:$C$1000,"&lt;&gt;",'01 - Job Database'!$W$3:$W$1000,"&lt;&gt;Yes",'01 - Job Database'!$S$3:$S$1000,"Yes"),"")</f>
        <v>0</v>
      </c>
      <c r="K32" s="70" t="n">
        <f aca="false">IFERROR(J32-C32,"")</f>
        <v>0</v>
      </c>
    </row>
    <row r="33" customFormat="false" ht="15" hidden="false" customHeight="true" outlineLevel="0" collapsed="false">
      <c r="A33" s="57" t="s">
        <v>222</v>
      </c>
      <c r="B33" s="57" t="s">
        <v>98</v>
      </c>
      <c r="C33" s="58" t="n">
        <f aca="false">'03 - Skill Intelligence'!D33</f>
        <v>0</v>
      </c>
      <c r="D33" s="66" t="n">
        <v>0</v>
      </c>
      <c r="E33" s="58" t="n">
        <f aca="false">C33-D33</f>
        <v>0</v>
      </c>
      <c r="F33" s="26" t="str">
        <f aca="false">IF(AND(E33&gt;=0.3,C33&gt;=0.15),"HIGH PRIORITY",IF(AND(E33&gt;=0.15,C33&gt;=0.1),"Watch",IF(E33&lt;=0,"Strength","OK")))</f>
        <v>Strength</v>
      </c>
      <c r="G33" s="67" t="n">
        <v>0</v>
      </c>
      <c r="H33" s="68" t="n">
        <f aca="false">G33-D33</f>
        <v>0</v>
      </c>
      <c r="I33" s="69" t="str">
        <f aca="false">IF(AND(H33&gt;=0.3,G33&gt;=0.15),"HIGH PRIORITY",IF(AND(H33&gt;=0.15,G33&gt;=0.1),"Watch",IF(H33&lt;=0,"Strength","OK")))</f>
        <v>Strength</v>
      </c>
      <c r="J33" s="68" t="n">
        <f aca="false">IFERROR(COUNTIFS('01 - Job Database'!$C$3:$C$1000,"&lt;&gt;",'01 - Job Database'!$W$3:$W$1000,"&lt;&gt;Yes",'01 - Job Database'!$AY$3:$AY$1000,"Yes",'01 - Job Database'!$S$3:$S$1000,"Yes")/COUNTIFS('01 - Job Database'!$C$3:$C$1000,"&lt;&gt;",'01 - Job Database'!$W$3:$W$1000,"&lt;&gt;Yes",'01 - Job Database'!$S$3:$S$1000,"Yes"),"")</f>
        <v>0</v>
      </c>
      <c r="K33" s="70" t="n">
        <f aca="false">IFERROR(J33-C33,"")</f>
        <v>0</v>
      </c>
    </row>
    <row r="34" customFormat="false" ht="15" hidden="false" customHeight="true" outlineLevel="0" collapsed="false">
      <c r="A34" s="57" t="s">
        <v>223</v>
      </c>
      <c r="B34" s="57" t="s">
        <v>99</v>
      </c>
      <c r="C34" s="58" t="n">
        <f aca="false">'03 - Skill Intelligence'!D34</f>
        <v>1</v>
      </c>
      <c r="D34" s="66" t="n">
        <v>0</v>
      </c>
      <c r="E34" s="58" t="n">
        <f aca="false">C34-D34</f>
        <v>1</v>
      </c>
      <c r="F34" s="26" t="str">
        <f aca="false">IF(AND(E34&gt;=0.3,C34&gt;=0.15),"HIGH PRIORITY",IF(AND(E34&gt;=0.15,C34&gt;=0.1),"Watch",IF(E34&lt;=0,"Strength","OK")))</f>
        <v>HIGH PRIORITY</v>
      </c>
      <c r="G34" s="67" t="n">
        <v>0</v>
      </c>
      <c r="H34" s="68" t="n">
        <f aca="false">G34-D34</f>
        <v>0</v>
      </c>
      <c r="I34" s="69" t="str">
        <f aca="false">IF(AND(H34&gt;=0.3,G34&gt;=0.15),"HIGH PRIORITY",IF(AND(H34&gt;=0.15,G34&gt;=0.1),"Watch",IF(H34&lt;=0,"Strength","OK")))</f>
        <v>Strength</v>
      </c>
      <c r="J34" s="68" t="n">
        <f aca="false">IFERROR(COUNTIFS('01 - Job Database'!$C$3:$C$1000,"&lt;&gt;",'01 - Job Database'!$W$3:$W$1000,"&lt;&gt;Yes",'01 - Job Database'!$AZ$3:$AZ$1000,"Yes",'01 - Job Database'!$S$3:$S$1000,"Yes")/COUNTIFS('01 - Job Database'!$C$3:$C$1000,"&lt;&gt;",'01 - Job Database'!$W$3:$W$1000,"&lt;&gt;Yes",'01 - Job Database'!$S$3:$S$1000,"Yes"),"")</f>
        <v>1</v>
      </c>
      <c r="K34" s="70" t="n">
        <f aca="false">IFERROR(J34-C34,"")</f>
        <v>0</v>
      </c>
    </row>
    <row r="35" customFormat="false" ht="15" hidden="false" customHeight="true" outlineLevel="0" collapsed="false">
      <c r="A35" s="57" t="s">
        <v>223</v>
      </c>
      <c r="B35" s="57" t="s">
        <v>100</v>
      </c>
      <c r="C35" s="58" t="n">
        <f aca="false">'03 - Skill Intelligence'!D35</f>
        <v>1</v>
      </c>
      <c r="D35" s="66" t="n">
        <v>0</v>
      </c>
      <c r="E35" s="58" t="n">
        <f aca="false">C35-D35</f>
        <v>1</v>
      </c>
      <c r="F35" s="26" t="str">
        <f aca="false">IF(AND(E35&gt;=0.3,C35&gt;=0.15),"HIGH PRIORITY",IF(AND(E35&gt;=0.15,C35&gt;=0.1),"Watch",IF(E35&lt;=0,"Strength","OK")))</f>
        <v>HIGH PRIORITY</v>
      </c>
      <c r="G35" s="67" t="n">
        <v>0</v>
      </c>
      <c r="H35" s="68" t="n">
        <f aca="false">G35-D35</f>
        <v>0</v>
      </c>
      <c r="I35" s="69" t="str">
        <f aca="false">IF(AND(H35&gt;=0.3,G35&gt;=0.15),"HIGH PRIORITY",IF(AND(H35&gt;=0.15,G35&gt;=0.1),"Watch",IF(H35&lt;=0,"Strength","OK")))</f>
        <v>Strength</v>
      </c>
      <c r="J35" s="68" t="n">
        <f aca="false">IFERROR(COUNTIFS('01 - Job Database'!$C$3:$C$1000,"&lt;&gt;",'01 - Job Database'!$W$3:$W$1000,"&lt;&gt;Yes",'01 - Job Database'!$BA$3:$BA$1000,"Yes",'01 - Job Database'!$S$3:$S$1000,"Yes")/COUNTIFS('01 - Job Database'!$C$3:$C$1000,"&lt;&gt;",'01 - Job Database'!$W$3:$W$1000,"&lt;&gt;Yes",'01 - Job Database'!$S$3:$S$1000,"Yes"),"")</f>
        <v>1</v>
      </c>
      <c r="K35" s="70" t="n">
        <f aca="false">IFERROR(J35-C35,"")</f>
        <v>0</v>
      </c>
    </row>
    <row r="36" customFormat="false" ht="15" hidden="false" customHeight="true" outlineLevel="0" collapsed="false">
      <c r="A36" s="57" t="s">
        <v>223</v>
      </c>
      <c r="B36" s="57" t="s">
        <v>101</v>
      </c>
      <c r="C36" s="58" t="n">
        <f aca="false">'03 - Skill Intelligence'!D36</f>
        <v>1</v>
      </c>
      <c r="D36" s="66" t="n">
        <v>0</v>
      </c>
      <c r="E36" s="58" t="n">
        <f aca="false">C36-D36</f>
        <v>1</v>
      </c>
      <c r="F36" s="26" t="str">
        <f aca="false">IF(AND(E36&gt;=0.3,C36&gt;=0.15),"HIGH PRIORITY",IF(AND(E36&gt;=0.15,C36&gt;=0.1),"Watch",IF(E36&lt;=0,"Strength","OK")))</f>
        <v>HIGH PRIORITY</v>
      </c>
      <c r="G36" s="67" t="n">
        <v>0</v>
      </c>
      <c r="H36" s="68" t="n">
        <f aca="false">G36-D36</f>
        <v>0</v>
      </c>
      <c r="I36" s="69" t="str">
        <f aca="false">IF(AND(H36&gt;=0.3,G36&gt;=0.15),"HIGH PRIORITY",IF(AND(H36&gt;=0.15,G36&gt;=0.1),"Watch",IF(H36&lt;=0,"Strength","OK")))</f>
        <v>Strength</v>
      </c>
      <c r="J36" s="68" t="n">
        <f aca="false">IFERROR(COUNTIFS('01 - Job Database'!$C$3:$C$1000,"&lt;&gt;",'01 - Job Database'!$W$3:$W$1000,"&lt;&gt;Yes",'01 - Job Database'!$BB$3:$BB$1000,"Yes",'01 - Job Database'!$S$3:$S$1000,"Yes")/COUNTIFS('01 - Job Database'!$C$3:$C$1000,"&lt;&gt;",'01 - Job Database'!$W$3:$W$1000,"&lt;&gt;Yes",'01 - Job Database'!$S$3:$S$1000,"Yes"),"")</f>
        <v>1</v>
      </c>
      <c r="K36" s="70" t="n">
        <f aca="false">IFERROR(J36-C36,"")</f>
        <v>0</v>
      </c>
    </row>
    <row r="37" customFormat="false" ht="15" hidden="false" customHeight="true" outlineLevel="0" collapsed="false">
      <c r="A37" s="57" t="s">
        <v>223</v>
      </c>
      <c r="B37" s="57" t="s">
        <v>102</v>
      </c>
      <c r="C37" s="58" t="n">
        <f aca="false">'03 - Skill Intelligence'!D37</f>
        <v>1</v>
      </c>
      <c r="D37" s="66" t="n">
        <v>0</v>
      </c>
      <c r="E37" s="58" t="n">
        <f aca="false">C37-D37</f>
        <v>1</v>
      </c>
      <c r="F37" s="26" t="str">
        <f aca="false">IF(AND(E37&gt;=0.3,C37&gt;=0.15),"HIGH PRIORITY",IF(AND(E37&gt;=0.15,C37&gt;=0.1),"Watch",IF(E37&lt;=0,"Strength","OK")))</f>
        <v>HIGH PRIORITY</v>
      </c>
      <c r="G37" s="67" t="n">
        <v>0</v>
      </c>
      <c r="H37" s="68" t="n">
        <f aca="false">G37-D37</f>
        <v>0</v>
      </c>
      <c r="I37" s="69" t="str">
        <f aca="false">IF(AND(H37&gt;=0.3,G37&gt;=0.15),"HIGH PRIORITY",IF(AND(H37&gt;=0.15,G37&gt;=0.1),"Watch",IF(H37&lt;=0,"Strength","OK")))</f>
        <v>Strength</v>
      </c>
      <c r="J37" s="68" t="n">
        <f aca="false">IFERROR(COUNTIFS('01 - Job Database'!$C$3:$C$1000,"&lt;&gt;",'01 - Job Database'!$W$3:$W$1000,"&lt;&gt;Yes",'01 - Job Database'!$BC$3:$BC$1000,"Yes",'01 - Job Database'!$S$3:$S$1000,"Yes")/COUNTIFS('01 - Job Database'!$C$3:$C$1000,"&lt;&gt;",'01 - Job Database'!$W$3:$W$1000,"&lt;&gt;Yes",'01 - Job Database'!$S$3:$S$1000,"Yes"),"")</f>
        <v>1</v>
      </c>
      <c r="K37" s="70" t="n">
        <f aca="false">IFERROR(J37-C37,"")</f>
        <v>0</v>
      </c>
    </row>
    <row r="38" customFormat="false" ht="15" hidden="false" customHeight="true" outlineLevel="0" collapsed="false">
      <c r="A38" s="57" t="s">
        <v>224</v>
      </c>
      <c r="B38" s="57" t="s">
        <v>138</v>
      </c>
      <c r="C38" s="58" t="n">
        <f aca="false">'03 - Skill Intelligence'!D38</f>
        <v>0</v>
      </c>
      <c r="D38" s="66" t="n">
        <v>0</v>
      </c>
      <c r="E38" s="58" t="n">
        <f aca="false">C38-D38</f>
        <v>0</v>
      </c>
      <c r="F38" s="26" t="str">
        <f aca="false">IF(AND(E38&gt;=0.3,C38&gt;=0.15),"HIGH PRIORITY",IF(AND(E38&gt;=0.15,C38&gt;=0.1),"Watch",IF(E38&lt;=0,"Strength","OK")))</f>
        <v>Strength</v>
      </c>
      <c r="G38" s="67" t="n">
        <v>0</v>
      </c>
      <c r="H38" s="71" t="n">
        <f aca="false">G38-D38</f>
        <v>0</v>
      </c>
      <c r="I38" s="1" t="str">
        <f aca="false">IF(AND(H38&gt;=0.3,G38&gt;=0.15),"HIGH PRIORITY",IF(AND(H38&gt;=0.15,G38&gt;=0.1),"Watch",IF(H38&lt;=0,"Strength","OK")))</f>
        <v>Strength</v>
      </c>
      <c r="J38" s="71" t="n">
        <f aca="false">IFERROR(COUNTIFS('01 - Job Database'!$C$3:$C$1000,"&lt;&gt;",'01 - Job Database'!$W$3:$W$1000,"&lt;&gt;Yes",'01 - Job Database'!$CM$3:$CM$1000,"Yes",'01 - Job Database'!$S$3:$S$1000,"Yes")/COUNTIFS('01 - Job Database'!$C$3:$C$1000,"&lt;&gt;",'01 - Job Database'!$W$3:$W$1000,"&lt;&gt;Yes",'01 - Job Database'!$S$3:$S$1000,"Yes"),"")</f>
        <v>0</v>
      </c>
      <c r="K38" s="71" t="n">
        <f aca="false">IFERROR(J38-C38,"")</f>
        <v>0</v>
      </c>
    </row>
    <row r="39" customFormat="false" ht="15" hidden="false" customHeight="true" outlineLevel="0" collapsed="false">
      <c r="A39" s="57" t="s">
        <v>224</v>
      </c>
      <c r="B39" s="57" t="s">
        <v>139</v>
      </c>
      <c r="C39" s="58" t="n">
        <f aca="false">'03 - Skill Intelligence'!D39</f>
        <v>0</v>
      </c>
      <c r="D39" s="66" t="n">
        <v>0</v>
      </c>
      <c r="E39" s="58" t="n">
        <f aca="false">C39-D39</f>
        <v>0</v>
      </c>
      <c r="F39" s="26" t="str">
        <f aca="false">IF(AND(E39&gt;=0.3,C39&gt;=0.15),"HIGH PRIORITY",IF(AND(E39&gt;=0.15,C39&gt;=0.1),"Watch",IF(E39&lt;=0,"Strength","OK")))</f>
        <v>Strength</v>
      </c>
      <c r="G39" s="67" t="n">
        <v>0</v>
      </c>
      <c r="H39" s="71" t="n">
        <f aca="false">G39-D39</f>
        <v>0</v>
      </c>
      <c r="I39" s="1" t="str">
        <f aca="false">IF(AND(H39&gt;=0.3,G39&gt;=0.15),"HIGH PRIORITY",IF(AND(H39&gt;=0.15,G39&gt;=0.1),"Watch",IF(H39&lt;=0,"Strength","OK")))</f>
        <v>Strength</v>
      </c>
      <c r="J39" s="71" t="n">
        <f aca="false">IFERROR(COUNTIFS('01 - Job Database'!$C$3:$C$1000,"&lt;&gt;",'01 - Job Database'!$W$3:$W$1000,"&lt;&gt;Yes",'01 - Job Database'!$CN$3:$CN$1000,"Yes",'01 - Job Database'!$S$3:$S$1000,"Yes")/COUNTIFS('01 - Job Database'!$C$3:$C$1000,"&lt;&gt;",'01 - Job Database'!$W$3:$W$1000,"&lt;&gt;Yes",'01 - Job Database'!$S$3:$S$1000,"Yes"),"")</f>
        <v>0</v>
      </c>
      <c r="K39" s="71" t="n">
        <f aca="false">IFERROR(J39-C39,"")</f>
        <v>0</v>
      </c>
    </row>
    <row r="40" customFormat="false" ht="15" hidden="false" customHeight="true" outlineLevel="0" collapsed="false">
      <c r="A40" s="57" t="s">
        <v>224</v>
      </c>
      <c r="B40" s="57" t="s">
        <v>140</v>
      </c>
      <c r="C40" s="58" t="n">
        <f aca="false">'03 - Skill Intelligence'!D40</f>
        <v>0</v>
      </c>
      <c r="D40" s="66" t="n">
        <v>0</v>
      </c>
      <c r="E40" s="58" t="n">
        <f aca="false">C40-D40</f>
        <v>0</v>
      </c>
      <c r="F40" s="26" t="str">
        <f aca="false">IF(AND(E40&gt;=0.3,C40&gt;=0.15),"HIGH PRIORITY",IF(AND(E40&gt;=0.15,C40&gt;=0.1),"Watch",IF(E40&lt;=0,"Strength","OK")))</f>
        <v>Strength</v>
      </c>
      <c r="G40" s="67" t="n">
        <v>0</v>
      </c>
      <c r="H40" s="71" t="n">
        <f aca="false">G40-D40</f>
        <v>0</v>
      </c>
      <c r="I40" s="1" t="str">
        <f aca="false">IF(AND(H40&gt;=0.3,G40&gt;=0.15),"HIGH PRIORITY",IF(AND(H40&gt;=0.15,G40&gt;=0.1),"Watch",IF(H40&lt;=0,"Strength","OK")))</f>
        <v>Strength</v>
      </c>
      <c r="J40" s="71" t="n">
        <f aca="false">IFERROR(COUNTIFS('01 - Job Database'!$C$3:$C$1000,"&lt;&gt;",'01 - Job Database'!$W$3:$W$1000,"&lt;&gt;Yes",'01 - Job Database'!$CO$3:$CO$1000,"Yes",'01 - Job Database'!$S$3:$S$1000,"Yes")/COUNTIFS('01 - Job Database'!$C$3:$C$1000,"&lt;&gt;",'01 - Job Database'!$W$3:$W$1000,"&lt;&gt;Yes",'01 - Job Database'!$S$3:$S$1000,"Yes"),"")</f>
        <v>0</v>
      </c>
      <c r="K40" s="71" t="n">
        <f aca="false">IFERROR(J40-C40,"")</f>
        <v>0</v>
      </c>
    </row>
    <row r="41" customFormat="false" ht="15" hidden="false" customHeight="true" outlineLevel="0" collapsed="false">
      <c r="A41" s="57" t="s">
        <v>224</v>
      </c>
      <c r="B41" s="57" t="s">
        <v>141</v>
      </c>
      <c r="C41" s="58" t="n">
        <f aca="false">'03 - Skill Intelligence'!D41</f>
        <v>0</v>
      </c>
      <c r="D41" s="66" t="n">
        <v>0</v>
      </c>
      <c r="E41" s="58" t="n">
        <f aca="false">C41-D41</f>
        <v>0</v>
      </c>
      <c r="F41" s="26" t="str">
        <f aca="false">IF(AND(E41&gt;=0.3,C41&gt;=0.15),"HIGH PRIORITY",IF(AND(E41&gt;=0.15,C41&gt;=0.1),"Watch",IF(E41&lt;=0,"Strength","OK")))</f>
        <v>Strength</v>
      </c>
      <c r="G41" s="67" t="n">
        <v>0</v>
      </c>
      <c r="H41" s="71" t="n">
        <f aca="false">G41-D41</f>
        <v>0</v>
      </c>
      <c r="I41" s="1" t="str">
        <f aca="false">IF(AND(H41&gt;=0.3,G41&gt;=0.15),"HIGH PRIORITY",IF(AND(H41&gt;=0.15,G41&gt;=0.1),"Watch",IF(H41&lt;=0,"Strength","OK")))</f>
        <v>Strength</v>
      </c>
      <c r="J41" s="71" t="n">
        <f aca="false">IFERROR(COUNTIFS('01 - Job Database'!$C$3:$C$1000,"&lt;&gt;",'01 - Job Database'!$W$3:$W$1000,"&lt;&gt;Yes",'01 - Job Database'!$CP$3:$CP$1000,"Yes",'01 - Job Database'!$S$3:$S$1000,"Yes")/COUNTIFS('01 - Job Database'!$C$3:$C$1000,"&lt;&gt;",'01 - Job Database'!$W$3:$W$1000,"&lt;&gt;Yes",'01 - Job Database'!$S$3:$S$1000,"Yes"),"")</f>
        <v>0</v>
      </c>
      <c r="K41" s="71" t="n">
        <f aca="false">IFERROR(J41-C41,"")</f>
        <v>0</v>
      </c>
    </row>
    <row r="42" customFormat="false" ht="15" hidden="false" customHeight="true" outlineLevel="0" collapsed="false">
      <c r="A42" s="57" t="s">
        <v>224</v>
      </c>
      <c r="B42" s="57" t="s">
        <v>142</v>
      </c>
      <c r="C42" s="58" t="n">
        <f aca="false">'03 - Skill Intelligence'!D42</f>
        <v>0</v>
      </c>
      <c r="D42" s="66" t="n">
        <v>0</v>
      </c>
      <c r="E42" s="58" t="n">
        <f aca="false">C42-D42</f>
        <v>0</v>
      </c>
      <c r="F42" s="26" t="str">
        <f aca="false">IF(AND(E42&gt;=0.3,C42&gt;=0.15),"HIGH PRIORITY",IF(AND(E42&gt;=0.15,C42&gt;=0.1),"Watch",IF(E42&lt;=0,"Strength","OK")))</f>
        <v>Strength</v>
      </c>
      <c r="G42" s="67" t="n">
        <v>0</v>
      </c>
      <c r="H42" s="71" t="n">
        <f aca="false">G42-D42</f>
        <v>0</v>
      </c>
      <c r="I42" s="1" t="str">
        <f aca="false">IF(AND(H42&gt;=0.3,G42&gt;=0.15),"HIGH PRIORITY",IF(AND(H42&gt;=0.15,G42&gt;=0.1),"Watch",IF(H42&lt;=0,"Strength","OK")))</f>
        <v>Strength</v>
      </c>
      <c r="J42" s="71" t="n">
        <f aca="false">IFERROR(COUNTIFS('01 - Job Database'!$C$3:$C$1000,"&lt;&gt;",'01 - Job Database'!$W$3:$W$1000,"&lt;&gt;Yes",'01 - Job Database'!$CQ$3:$CQ$1000,"Yes",'01 - Job Database'!$S$3:$S$1000,"Yes")/COUNTIFS('01 - Job Database'!$C$3:$C$1000,"&lt;&gt;",'01 - Job Database'!$W$3:$W$1000,"&lt;&gt;Yes",'01 - Job Database'!$S$3:$S$1000,"Yes"),"")</f>
        <v>0</v>
      </c>
      <c r="K42" s="71" t="n">
        <f aca="false">IFERROR(J42-C42,"")</f>
        <v>0</v>
      </c>
    </row>
    <row r="43" customFormat="false" ht="15" hidden="false" customHeight="true" outlineLevel="0" collapsed="false">
      <c r="A43" s="57" t="s">
        <v>224</v>
      </c>
      <c r="B43" s="57" t="s">
        <v>143</v>
      </c>
      <c r="C43" s="58" t="n">
        <f aca="false">'03 - Skill Intelligence'!D43</f>
        <v>0</v>
      </c>
      <c r="D43" s="66" t="n">
        <v>0</v>
      </c>
      <c r="E43" s="58" t="n">
        <f aca="false">C43-D43</f>
        <v>0</v>
      </c>
      <c r="F43" s="26" t="str">
        <f aca="false">IF(AND(E43&gt;=0.3,C43&gt;=0.15),"HIGH PRIORITY",IF(AND(E43&gt;=0.15,C43&gt;=0.1),"Watch",IF(E43&lt;=0,"Strength","OK")))</f>
        <v>Strength</v>
      </c>
      <c r="G43" s="67" t="n">
        <v>0</v>
      </c>
      <c r="H43" s="71" t="n">
        <f aca="false">G43-D43</f>
        <v>0</v>
      </c>
      <c r="I43" s="1" t="str">
        <f aca="false">IF(AND(H43&gt;=0.3,G43&gt;=0.15),"HIGH PRIORITY",IF(AND(H43&gt;=0.15,G43&gt;=0.1),"Watch",IF(H43&lt;=0,"Strength","OK")))</f>
        <v>Strength</v>
      </c>
      <c r="J43" s="71" t="n">
        <f aca="false">IFERROR(COUNTIFS('01 - Job Database'!$C$3:$C$1000,"&lt;&gt;",'01 - Job Database'!$W$3:$W$1000,"&lt;&gt;Yes",'01 - Job Database'!$CR$3:$CR$1000,"Yes",'01 - Job Database'!$S$3:$S$1000,"Yes")/COUNTIFS('01 - Job Database'!$C$3:$C$1000,"&lt;&gt;",'01 - Job Database'!$W$3:$W$1000,"&lt;&gt;Yes",'01 - Job Database'!$S$3:$S$1000,"Yes"),"")</f>
        <v>0</v>
      </c>
      <c r="K43" s="71" t="n">
        <f aca="false">IFERROR(J43-C43,"")</f>
        <v>0</v>
      </c>
    </row>
    <row r="44" customFormat="false" ht="15" hidden="false" customHeight="true" outlineLevel="0" collapsed="false">
      <c r="A44" s="57" t="s">
        <v>224</v>
      </c>
      <c r="B44" s="57" t="s">
        <v>144</v>
      </c>
      <c r="C44" s="58" t="n">
        <f aca="false">'03 - Skill Intelligence'!D44</f>
        <v>0</v>
      </c>
      <c r="D44" s="66" t="n">
        <v>0</v>
      </c>
      <c r="E44" s="58" t="n">
        <f aca="false">C44-D44</f>
        <v>0</v>
      </c>
      <c r="F44" s="26" t="str">
        <f aca="false">IF(AND(E44&gt;=0.3,C44&gt;=0.15),"HIGH PRIORITY",IF(AND(E44&gt;=0.15,C44&gt;=0.1),"Watch",IF(E44&lt;=0,"Strength","OK")))</f>
        <v>Strength</v>
      </c>
      <c r="G44" s="67" t="n">
        <v>0</v>
      </c>
      <c r="H44" s="71" t="n">
        <f aca="false">G44-D44</f>
        <v>0</v>
      </c>
      <c r="I44" s="1" t="str">
        <f aca="false">IF(AND(H44&gt;=0.3,G44&gt;=0.15),"HIGH PRIORITY",IF(AND(H44&gt;=0.15,G44&gt;=0.1),"Watch",IF(H44&lt;=0,"Strength","OK")))</f>
        <v>Strength</v>
      </c>
      <c r="J44" s="71" t="n">
        <f aca="false">IFERROR(COUNTIFS('01 - Job Database'!$C$3:$C$1000,"&lt;&gt;",'01 - Job Database'!$W$3:$W$1000,"&lt;&gt;Yes",'01 - Job Database'!$CS$3:$CS$1000,"Yes",'01 - Job Database'!$S$3:$S$1000,"Yes")/COUNTIFS('01 - Job Database'!$C$3:$C$1000,"&lt;&gt;",'01 - Job Database'!$W$3:$W$1000,"&lt;&gt;Yes",'01 - Job Database'!$S$3:$S$1000,"Yes"),"")</f>
        <v>0</v>
      </c>
      <c r="K44" s="71" t="n">
        <f aca="false">IFERROR(J44-C44,"")</f>
        <v>0</v>
      </c>
    </row>
    <row r="45" customFormat="false" ht="15" hidden="false" customHeight="true" outlineLevel="0" collapsed="false">
      <c r="A45" s="57" t="s">
        <v>224</v>
      </c>
      <c r="B45" s="57" t="s">
        <v>145</v>
      </c>
      <c r="C45" s="58" t="n">
        <f aca="false">'03 - Skill Intelligence'!D45</f>
        <v>0</v>
      </c>
      <c r="D45" s="66" t="n">
        <v>0</v>
      </c>
      <c r="E45" s="58" t="n">
        <f aca="false">C45-D45</f>
        <v>0</v>
      </c>
      <c r="F45" s="26" t="str">
        <f aca="false">IF(AND(E45&gt;=0.3,C45&gt;=0.15),"HIGH PRIORITY",IF(AND(E45&gt;=0.15,C45&gt;=0.1),"Watch",IF(E45&lt;=0,"Strength","OK")))</f>
        <v>Strength</v>
      </c>
      <c r="G45" s="67" t="n">
        <v>0</v>
      </c>
      <c r="H45" s="71" t="n">
        <f aca="false">G45-D45</f>
        <v>0</v>
      </c>
      <c r="I45" s="1" t="str">
        <f aca="false">IF(AND(H45&gt;=0.3,G45&gt;=0.15),"HIGH PRIORITY",IF(AND(H45&gt;=0.15,G45&gt;=0.1),"Watch",IF(H45&lt;=0,"Strength","OK")))</f>
        <v>Strength</v>
      </c>
      <c r="J45" s="71" t="n">
        <f aca="false">IFERROR(COUNTIFS('01 - Job Database'!$C$3:$C$1000,"&lt;&gt;",'01 - Job Database'!$W$3:$W$1000,"&lt;&gt;Yes",'01 - Job Database'!$CT$3:$CT$1000,"Yes",'01 - Job Database'!$S$3:$S$1000,"Yes")/COUNTIFS('01 - Job Database'!$C$3:$C$1000,"&lt;&gt;",'01 - Job Database'!$W$3:$W$1000,"&lt;&gt;Yes",'01 - Job Database'!$S$3:$S$1000,"Yes"),"")</f>
        <v>0</v>
      </c>
      <c r="K45" s="71" t="n">
        <f aca="false">IFERROR(J45-C45,"")</f>
        <v>0</v>
      </c>
    </row>
    <row r="46" customFormat="false" ht="15" hidden="false" customHeight="true" outlineLevel="0" collapsed="false">
      <c r="A46" s="57" t="s">
        <v>224</v>
      </c>
      <c r="B46" s="57" t="s">
        <v>146</v>
      </c>
      <c r="C46" s="58" t="n">
        <f aca="false">'03 - Skill Intelligence'!D46</f>
        <v>0</v>
      </c>
      <c r="D46" s="66" t="n">
        <v>0</v>
      </c>
      <c r="E46" s="58" t="n">
        <f aca="false">C46-D46</f>
        <v>0</v>
      </c>
      <c r="F46" s="26" t="str">
        <f aca="false">IF(AND(E46&gt;=0.3,C46&gt;=0.15),"HIGH PRIORITY",IF(AND(E46&gt;=0.15,C46&gt;=0.1),"Watch",IF(E46&lt;=0,"Strength","OK")))</f>
        <v>Strength</v>
      </c>
      <c r="G46" s="67" t="n">
        <v>0</v>
      </c>
      <c r="H46" s="71" t="n">
        <f aca="false">G46-D46</f>
        <v>0</v>
      </c>
      <c r="I46" s="1" t="str">
        <f aca="false">IF(AND(H46&gt;=0.3,G46&gt;=0.15),"HIGH PRIORITY",IF(AND(H46&gt;=0.15,G46&gt;=0.1),"Watch",IF(H46&lt;=0,"Strength","OK")))</f>
        <v>Strength</v>
      </c>
      <c r="J46" s="71" t="n">
        <f aca="false">IFERROR(COUNTIFS('01 - Job Database'!$C$3:$C$1000,"&lt;&gt;",'01 - Job Database'!$W$3:$W$1000,"&lt;&gt;Yes",'01 - Job Database'!$CU$3:$CU$1000,"Yes",'01 - Job Database'!$S$3:$S$1000,"Yes")/COUNTIFS('01 - Job Database'!$C$3:$C$1000,"&lt;&gt;",'01 - Job Database'!$W$3:$W$1000,"&lt;&gt;Yes",'01 - Job Database'!$S$3:$S$1000,"Yes"),"")</f>
        <v>0</v>
      </c>
      <c r="K46" s="71" t="n">
        <f aca="false">IFERROR(J46-C46,"")</f>
        <v>0</v>
      </c>
    </row>
    <row r="47" customFormat="false" ht="15" hidden="false" customHeight="true" outlineLevel="0" collapsed="false">
      <c r="A47" s="57" t="s">
        <v>224</v>
      </c>
      <c r="B47" s="57" t="s">
        <v>147</v>
      </c>
      <c r="C47" s="58" t="n">
        <f aca="false">'03 - Skill Intelligence'!D47</f>
        <v>0</v>
      </c>
      <c r="D47" s="66" t="n">
        <v>0</v>
      </c>
      <c r="E47" s="58" t="n">
        <f aca="false">C47-D47</f>
        <v>0</v>
      </c>
      <c r="F47" s="26" t="str">
        <f aca="false">IF(AND(E47&gt;=0.3,C47&gt;=0.15),"HIGH PRIORITY",IF(AND(E47&gt;=0.15,C47&gt;=0.1),"Watch",IF(E47&lt;=0,"Strength","OK")))</f>
        <v>Strength</v>
      </c>
      <c r="G47" s="67" t="n">
        <v>0</v>
      </c>
      <c r="H47" s="71" t="n">
        <f aca="false">G47-D47</f>
        <v>0</v>
      </c>
      <c r="I47" s="1" t="str">
        <f aca="false">IF(AND(H47&gt;=0.3,G47&gt;=0.15),"HIGH PRIORITY",IF(AND(H47&gt;=0.15,G47&gt;=0.1),"Watch",IF(H47&lt;=0,"Strength","OK")))</f>
        <v>Strength</v>
      </c>
      <c r="J47" s="71" t="n">
        <f aca="false">IFERROR(COUNTIFS('01 - Job Database'!$C$3:$C$1000,"&lt;&gt;",'01 - Job Database'!$W$3:$W$1000,"&lt;&gt;Yes",'01 - Job Database'!$CV$3:$CV$1000,"Yes",'01 - Job Database'!$S$3:$S$1000,"Yes")/COUNTIFS('01 - Job Database'!$C$3:$C$1000,"&lt;&gt;",'01 - Job Database'!$W$3:$W$1000,"&lt;&gt;Yes",'01 - Job Database'!$S$3:$S$1000,"Yes"),"")</f>
        <v>0</v>
      </c>
      <c r="K47" s="71" t="n">
        <f aca="false">IFERROR(J47-C47,"")</f>
        <v>0</v>
      </c>
    </row>
    <row r="48" customFormat="false" ht="15" hidden="false" customHeight="true" outlineLevel="0" collapsed="false">
      <c r="A48" s="57" t="s">
        <v>224</v>
      </c>
      <c r="B48" s="57" t="s">
        <v>148</v>
      </c>
      <c r="C48" s="58" t="n">
        <f aca="false">'03 - Skill Intelligence'!D48</f>
        <v>0</v>
      </c>
      <c r="D48" s="66" t="n">
        <v>0</v>
      </c>
      <c r="E48" s="58" t="n">
        <f aca="false">C48-D48</f>
        <v>0</v>
      </c>
      <c r="F48" s="26" t="str">
        <f aca="false">IF(AND(E48&gt;=0.3,C48&gt;=0.15),"HIGH PRIORITY",IF(AND(E48&gt;=0.15,C48&gt;=0.1),"Watch",IF(E48&lt;=0,"Strength","OK")))</f>
        <v>Strength</v>
      </c>
      <c r="G48" s="67" t="n">
        <v>0</v>
      </c>
      <c r="H48" s="71" t="n">
        <f aca="false">G48-D48</f>
        <v>0</v>
      </c>
      <c r="I48" s="1" t="str">
        <f aca="false">IF(AND(H48&gt;=0.3,G48&gt;=0.15),"HIGH PRIORITY",IF(AND(H48&gt;=0.15,G48&gt;=0.1),"Watch",IF(H48&lt;=0,"Strength","OK")))</f>
        <v>Strength</v>
      </c>
      <c r="J48" s="71" t="n">
        <f aca="false">IFERROR(COUNTIFS('01 - Job Database'!$C$3:$C$1000,"&lt;&gt;",'01 - Job Database'!$W$3:$W$1000,"&lt;&gt;Yes",'01 - Job Database'!$CW$3:$CW$1000,"Yes",'01 - Job Database'!$S$3:$S$1000,"Yes")/COUNTIFS('01 - Job Database'!$C$3:$C$1000,"&lt;&gt;",'01 - Job Database'!$W$3:$W$1000,"&lt;&gt;Yes",'01 - Job Database'!$S$3:$S$1000,"Yes"),"")</f>
        <v>0</v>
      </c>
      <c r="K48" s="71" t="n">
        <f aca="false">IFERROR(J48-C48,"")</f>
        <v>0</v>
      </c>
    </row>
    <row r="49" customFormat="false" ht="15" hidden="false" customHeight="true" outlineLevel="0" collapsed="false">
      <c r="A49" s="48" t="s">
        <v>345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</row>
  </sheetData>
  <mergeCells count="3">
    <mergeCell ref="A1:F1"/>
    <mergeCell ref="A3:F3"/>
    <mergeCell ref="A49:K49"/>
  </mergeCells>
  <conditionalFormatting sqref="E6:E37">
    <cfRule type="colorScale" priority="2">
      <colorScale>
        <cfvo type="min" val="0"/>
        <cfvo type="num" val="0"/>
        <cfvo type="max" val="0"/>
        <color rgb="FF63BE7B"/>
        <color rgb="FFFFEB84"/>
        <color rgb="FFF8696B"/>
      </colorScale>
    </cfRule>
  </conditionalFormatting>
  <conditionalFormatting sqref="E38:E48">
    <cfRule type="colorScale" priority="3">
      <colorScale>
        <cfvo type="min" val="0"/>
        <cfvo type="num" val="0"/>
        <cfvo type="max" val="0"/>
        <color rgb="FF63BE7B"/>
        <color rgb="FFFFEB84"/>
        <color rgb="FFF8696B"/>
      </colorScale>
    </cfRule>
  </conditionalFormatting>
  <conditionalFormatting sqref="F6:F37">
    <cfRule type="cellIs" priority="4" operator="equal" aboveAverage="0" equalAverage="0" bottom="0" percent="0" rank="0" text="" dxfId="3">
      <formula>"HIGH PRIORITY"</formula>
    </cfRule>
    <cfRule type="cellIs" priority="5" operator="equal" aboveAverage="0" equalAverage="0" bottom="0" percent="0" rank="0" text="" dxfId="4">
      <formula>"Watch"</formula>
    </cfRule>
    <cfRule type="cellIs" priority="6" operator="equal" aboveAverage="0" equalAverage="0" bottom="0" percent="0" rank="0" text="" dxfId="1">
      <formula>"Strength"</formula>
    </cfRule>
  </conditionalFormatting>
  <conditionalFormatting sqref="F38:F48">
    <cfRule type="cellIs" priority="7" operator="equal" aboveAverage="0" equalAverage="0" bottom="0" percent="0" rank="0" text="" dxfId="3">
      <formula>"HIGH PRIORITY"</formula>
    </cfRule>
    <cfRule type="cellIs" priority="8" operator="equal" aboveAverage="0" equalAverage="0" bottom="0" percent="0" rank="0" text="" dxfId="4">
      <formula>"Watch"</formula>
    </cfRule>
    <cfRule type="cellIs" priority="9" operator="equal" aboveAverage="0" equalAverage="0" bottom="0" percent="0" rank="0" text="" dxfId="1">
      <formula>"Strength"</formula>
    </cfRule>
  </conditionalFormatting>
  <dataValidations count="1">
    <dataValidation allowBlank="true" error="Enter a value between 0% and 100%." errorStyle="stop" errorTitle="Enter 0-100%" operator="between" showDropDown="false" showErrorMessage="true" showInputMessage="false" sqref="D6:D48 G38:G4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A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6" min="5" style="1" width="13"/>
    <col collapsed="false" customWidth="true" hidden="false" outlineLevel="0" max="7" min="7" style="1" width="18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2" min="10" style="1" width="15"/>
    <col collapsed="false" customWidth="true" hidden="false" outlineLevel="0" max="29" min="14" style="1" width="4.5"/>
  </cols>
  <sheetData>
    <row r="1" customFormat="false" ht="27.75" hidden="false" customHeight="true" outlineLevel="0" collapsed="false">
      <c r="A1" s="2" t="s">
        <v>346</v>
      </c>
      <c r="B1" s="2"/>
      <c r="C1" s="2"/>
      <c r="D1" s="2"/>
      <c r="E1" s="2"/>
      <c r="F1" s="2"/>
      <c r="G1" s="2"/>
      <c r="H1" s="2"/>
      <c r="I1" s="2"/>
    </row>
    <row r="3" customFormat="false" ht="79.5" hidden="false" customHeight="true" outlineLevel="0" collapsed="false">
      <c r="A3" s="12" t="s">
        <v>347</v>
      </c>
      <c r="B3" s="12" t="s">
        <v>348</v>
      </c>
      <c r="C3" s="12" t="s">
        <v>349</v>
      </c>
      <c r="D3" s="12" t="s">
        <v>350</v>
      </c>
      <c r="E3" s="12" t="s">
        <v>351</v>
      </c>
      <c r="F3" s="12" t="s">
        <v>352</v>
      </c>
      <c r="G3" s="12" t="s">
        <v>353</v>
      </c>
      <c r="H3" s="12" t="s">
        <v>193</v>
      </c>
      <c r="I3" s="12" t="s">
        <v>230</v>
      </c>
      <c r="J3" s="65" t="s">
        <v>209</v>
      </c>
      <c r="K3" s="65" t="s">
        <v>354</v>
      </c>
      <c r="L3" s="65" t="s">
        <v>355</v>
      </c>
      <c r="N3" s="72" t="s">
        <v>231</v>
      </c>
      <c r="O3" s="72" t="s">
        <v>151</v>
      </c>
      <c r="P3" s="72" t="s">
        <v>232</v>
      </c>
      <c r="Q3" s="72" t="s">
        <v>233</v>
      </c>
      <c r="R3" s="72" t="s">
        <v>234</v>
      </c>
      <c r="S3" s="72" t="s">
        <v>235</v>
      </c>
      <c r="T3" s="72" t="s">
        <v>236</v>
      </c>
      <c r="U3" s="72" t="s">
        <v>237</v>
      </c>
      <c r="V3" s="72" t="s">
        <v>238</v>
      </c>
      <c r="W3" s="72" t="s">
        <v>239</v>
      </c>
      <c r="X3" s="72" t="s">
        <v>240</v>
      </c>
      <c r="Y3" s="72" t="s">
        <v>241</v>
      </c>
      <c r="Z3" s="72" t="s">
        <v>242</v>
      </c>
      <c r="AA3" s="72" t="s">
        <v>243</v>
      </c>
      <c r="AB3" s="72" t="s">
        <v>244</v>
      </c>
      <c r="AC3" s="72" t="s">
        <v>245</v>
      </c>
    </row>
    <row r="4" customFormat="false" ht="15" hidden="false" customHeight="true" outlineLevel="0" collapsed="false">
      <c r="A4" s="57" t="s">
        <v>356</v>
      </c>
      <c r="B4" s="26" t="n">
        <f aca="false">COUNTIFS('01 - Job Database'!$C$3:$C$1000,"&lt;&gt;",'01 - Job Database'!$W$3:$W$1000,"&lt;&gt;Yes",'01 - Job Database'!$B$3:$B$1000,"&gt;="&amp;DATE(2026,7,1),'01 - Job Database'!$B$3:$B$1000,"&lt;="&amp;DATE(2026,10,1)-1)</f>
        <v>0</v>
      </c>
      <c r="C4" s="58" t="str">
        <f aca="false">IFERROR((COUNTIFS('01 - Job Database'!$C$3:$C$1000,"&lt;&gt;",'01 - Job Database'!$W$3:$W$1000,"&lt;&gt;Yes",'01 - Job Database'!$B$3:$B$1000,"&gt;="&amp;DATE(2026,7,1),'01 - Job Database'!$B$3:$B$1000,"&lt;="&amp;DATE(2026,10,1)-1,'01 - Job Database'!$AT$3:$AT$1000,"Yes")+COUNTIFS('01 - Job Database'!$C$3:$C$1000,"&lt;&gt;",'01 - Job Database'!$W$3:$W$1000,"&lt;&gt;Yes",'01 - Job Database'!$B$3:$B$1000,"&gt;="&amp;DATE(2026,7,1),'01 - Job Database'!$B$3:$B$1000,"&lt;="&amp;DATE(2026,10,1)-1,'01 - Job Database'!$AU$3:$AU$1000,"Yes")+COUNTIFS('01 - Job Database'!$C$3:$C$1000,"&lt;&gt;",'01 - Job Database'!$W$3:$W$1000,"&lt;&gt;Yes",'01 - Job Database'!$B$3:$B$1000,"&gt;="&amp;DATE(2026,7,1),'01 - Job Database'!$B$3:$B$1000,"&lt;="&amp;DATE(2026,10,1)-1,'01 - Job Database'!$AW$3:$AW$1000,"Yes"))/B4,"")</f>
        <v/>
      </c>
      <c r="D4" s="58" t="str">
        <f aca="false">IFERROR((COUNTIFS('01 - Job Database'!$C$3:$C$1000,"&lt;&gt;",'01 - Job Database'!$W$3:$W$1000,"&lt;&gt;Yes",'01 - Job Database'!$B$3:$B$1000,"&gt;="&amp;DATE(2026,7,1),'01 - Job Database'!$B$3:$B$1000,"&lt;="&amp;DATE(2026,10,1)-1,'01 - Job Database'!$AB$3:$AB$1000,"Yes"))/B4,"")</f>
        <v/>
      </c>
      <c r="E4" s="58" t="str">
        <f aca="false">IFERROR((COUNTIFS('01 - Job Database'!$C$3:$C$1000,"&lt;&gt;",'01 - Job Database'!$W$3:$W$1000,"&lt;&gt;Yes",'01 - Job Database'!$B$3:$B$1000,"&gt;="&amp;DATE(2026,7,1),'01 - Job Database'!$B$3:$B$1000,"&lt;="&amp;DATE(2026,10,1)-1,'01 - Job Database'!$AX$3:$AX$1000,"Yes"))/B4,"")</f>
        <v/>
      </c>
      <c r="F4" s="58" t="str">
        <f aca="false">IFERROR((COUNTIFS('01 - Job Database'!$C$3:$C$1000,"&lt;&gt;",'01 - Job Database'!$W$3:$W$1000,"&lt;&gt;Yes",'01 - Job Database'!$B$3:$B$1000,"&gt;="&amp;DATE(2026,7,1),'01 - Job Database'!$B$3:$B$1000,"&lt;="&amp;DATE(2026,10,1)-1,'01 - Job Database'!$AO$3:$AO$1000,"Yes"))/B4,"")</f>
        <v/>
      </c>
      <c r="G4" s="58" t="str">
        <f aca="false">IFERROR((COUNTIFS('01 - Job Database'!$C$3:$C$1000,"&lt;&gt;",'01 - Job Database'!$W$3:$W$1000,"&lt;&gt;Yes",'01 - Job Database'!$B$3:$B$1000,"&gt;="&amp;DATE(2026,7,1),'01 - Job Database'!$B$3:$B$1000,"&lt;="&amp;DATE(2026,10,1)-1,'01 - Job Database'!$AJ$3:$AJ$1000,"Yes"))/B4,"")</f>
        <v/>
      </c>
      <c r="H4" s="58" t="str">
        <f aca="false">IFERROR(COUNTIFS('01 - Job Database'!$C$3:$C$1000,"&lt;&gt;",'01 - Job Database'!$W$3:$W$1000,"&lt;&gt;Yes",'01 - Job Database'!$B$3:$B$1000,"&gt;="&amp;DATE(2026,7,1),'01 - Job Database'!$B$3:$B$1000,"&lt;="&amp;DATE(2026,10,1)-1,'01 - Job Database'!$J$3:$J$1000,"Yes")/B4,"")</f>
        <v/>
      </c>
      <c r="I4" s="58" t="str">
        <f aca="false">IFERROR(COUNTIFS('01 - Job Database'!$C$3:$C$1000,"&lt;&gt;",'01 - Job Database'!$W$3:$W$1000,"&lt;&gt;Yes",'01 - Job Database'!$B$3:$B$1000,"&gt;="&amp;DATE(2026,7,1),'01 - Job Database'!$B$3:$B$1000,"&lt;="&amp;DATE(2026,10,1)-1,'01 - Job Database'!$F$3:$F$1000,"New Grad / Intern")/B4,"")</f>
        <v/>
      </c>
      <c r="J4" s="73" t="str">
        <f aca="false">IFERROR(AVERAGEIFS('01 - Job Database'!$O$3:$O$1000,'01 - Job Database'!$C$3:$C$1000,"&lt;&gt;",'01 - Job Database'!$W$3:$W$1000,"&lt;&gt;Yes",'01 - Job Database'!$B$3:$B$1000,"&gt;="&amp;DATE(2026,7,1),'01 - Job Database'!$B$3:$B$1000,"&lt;="&amp;DATE(2026,10,1)-1),"")</f>
        <v/>
      </c>
      <c r="K4" s="68" t="str">
        <f aca="false">IFERROR(COUNTIFS('01 - Job Database'!$C$3:$C$1000,"&lt;&gt;",'01 - Job Database'!$W$3:$W$1000,"&lt;&gt;Yes",'01 - Job Database'!$B$3:$B$1000,"&gt;="&amp;DATE(2026,7,1),'01 - Job Database'!$B$3:$B$1000,"&lt;="&amp;DATE(2026,10,1)-1,'01 - Job Database'!$G$3:$G$1000,"&lt;&gt;India")/B4,"")</f>
        <v/>
      </c>
      <c r="L4" s="69" t="str">
        <f aca="false">IF(SUM(N4:AC4)=0,"—",INDEX($N$3:$AC$3,MATCH(MAX(N4:AC4),N4:AC4,0)))</f>
        <v>—</v>
      </c>
      <c r="N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Database'!$E$3:$E$1000,"SWE / General")</f>
        <v>0</v>
      </c>
      <c r="O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Database'!$E$3:$E$1000,"Backend Engineer")</f>
        <v>0</v>
      </c>
      <c r="P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Database'!$E$3:$E$1000,"Frontend Engineer")</f>
        <v>0</v>
      </c>
      <c r="Q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Database'!$E$3:$E$1000,"Cloud Engineer")</f>
        <v>0</v>
      </c>
      <c r="R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Database'!$E$3:$E$1000,"DevOps Engineer")</f>
        <v>0</v>
      </c>
      <c r="S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Database'!$E$3:$E$1000,"SRE")</f>
        <v>0</v>
      </c>
      <c r="T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Database'!$E$3:$E$1000,"Data Engineer")</f>
        <v>0</v>
      </c>
      <c r="U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Database'!$E$3:$E$1000,"ML Engineer")</f>
        <v>0</v>
      </c>
      <c r="V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Database'!$E$3:$E$1000,"AI Engineer")</f>
        <v>0</v>
      </c>
      <c r="W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Database'!$E$3:$E$1000,"Systems Engineer")</f>
        <v>0</v>
      </c>
      <c r="X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Database'!$E$3:$E$1000,"Security Engineer")</f>
        <v>0</v>
      </c>
      <c r="Y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Database'!$E$3:$E$1000,"Embedded Engineer")</f>
        <v>0</v>
      </c>
      <c r="Z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Database'!$E$3:$E$1000,"Compiler Engineer")</f>
        <v>0</v>
      </c>
      <c r="AA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Database'!$E$3:$E$1000,"Platform Engineer")</f>
        <v>0</v>
      </c>
      <c r="AB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Database'!$E$3:$E$1000,"Infrastructure Engineer")</f>
        <v>0</v>
      </c>
      <c r="AC4" s="74" t="n">
        <f aca="false">COUNTIFS('01 - Job Database'!$C$3:$C$1000,"&lt;&gt;",'01 - Job Database'!$W$3:$W$1000,"&lt;&gt;Yes",'01 - Job Database'!$B$3:$B$1000,"&gt;="&amp;DATE(2026,7,1),'01 - Job Database'!$B$3:$B$1000,"&lt;="&amp;DATE(2026,10,1)-1,'01 - Job Database'!$E$3:$E$1000,"Quant / Trading Engineer")</f>
        <v>0</v>
      </c>
    </row>
    <row r="5" customFormat="false" ht="15" hidden="false" customHeight="true" outlineLevel="0" collapsed="false">
      <c r="A5" s="57" t="s">
        <v>357</v>
      </c>
      <c r="B5" s="26" t="n">
        <f aca="false">COUNTIFS('01 - Job Database'!$C$3:$C$1000,"&lt;&gt;",'01 - Job Database'!$W$3:$W$1000,"&lt;&gt;Yes",'01 - Job Database'!$B$3:$B$1000,"&gt;="&amp;DATE(2026,10,1),'01 - Job Database'!$B$3:$B$1000,"&lt;="&amp;DATE(2027,1,1)-1)</f>
        <v>0</v>
      </c>
      <c r="C5" s="58" t="str">
        <f aca="false">IFERROR((COUNTIFS('01 - Job Database'!$C$3:$C$1000,"&lt;&gt;",'01 - Job Database'!$W$3:$W$1000,"&lt;&gt;Yes",'01 - Job Database'!$B$3:$B$1000,"&gt;="&amp;DATE(2026,10,1),'01 - Job Database'!$B$3:$B$1000,"&lt;="&amp;DATE(2027,1,1)-1,'01 - Job Database'!$AT$3:$AT$1000,"Yes")+COUNTIFS('01 - Job Database'!$C$3:$C$1000,"&lt;&gt;",'01 - Job Database'!$W$3:$W$1000,"&lt;&gt;Yes",'01 - Job Database'!$B$3:$B$1000,"&gt;="&amp;DATE(2026,10,1),'01 - Job Database'!$B$3:$B$1000,"&lt;="&amp;DATE(2027,1,1)-1,'01 - Job Database'!$AU$3:$AU$1000,"Yes")+COUNTIFS('01 - Job Database'!$C$3:$C$1000,"&lt;&gt;",'01 - Job Database'!$W$3:$W$1000,"&lt;&gt;Yes",'01 - Job Database'!$B$3:$B$1000,"&gt;="&amp;DATE(2026,10,1),'01 - Job Database'!$B$3:$B$1000,"&lt;="&amp;DATE(2027,1,1)-1,'01 - Job Database'!$AW$3:$AW$1000,"Yes"))/B5,"")</f>
        <v/>
      </c>
      <c r="D5" s="58" t="str">
        <f aca="false">IFERROR((COUNTIFS('01 - Job Database'!$C$3:$C$1000,"&lt;&gt;",'01 - Job Database'!$W$3:$W$1000,"&lt;&gt;Yes",'01 - Job Database'!$B$3:$B$1000,"&gt;="&amp;DATE(2026,10,1),'01 - Job Database'!$B$3:$B$1000,"&lt;="&amp;DATE(2027,1,1)-1,'01 - Job Database'!$AB$3:$AB$1000,"Yes"))/B5,"")</f>
        <v/>
      </c>
      <c r="E5" s="58" t="str">
        <f aca="false">IFERROR((COUNTIFS('01 - Job Database'!$C$3:$C$1000,"&lt;&gt;",'01 - Job Database'!$W$3:$W$1000,"&lt;&gt;Yes",'01 - Job Database'!$B$3:$B$1000,"&gt;="&amp;DATE(2026,10,1),'01 - Job Database'!$B$3:$B$1000,"&lt;="&amp;DATE(2027,1,1)-1,'01 - Job Database'!$AX$3:$AX$1000,"Yes"))/B5,"")</f>
        <v/>
      </c>
      <c r="F5" s="58" t="str">
        <f aca="false">IFERROR((COUNTIFS('01 - Job Database'!$C$3:$C$1000,"&lt;&gt;",'01 - Job Database'!$W$3:$W$1000,"&lt;&gt;Yes",'01 - Job Database'!$B$3:$B$1000,"&gt;="&amp;DATE(2026,10,1),'01 - Job Database'!$B$3:$B$1000,"&lt;="&amp;DATE(2027,1,1)-1,'01 - Job Database'!$AO$3:$AO$1000,"Yes"))/B5,"")</f>
        <v/>
      </c>
      <c r="G5" s="58" t="str">
        <f aca="false">IFERROR((COUNTIFS('01 - Job Database'!$C$3:$C$1000,"&lt;&gt;",'01 - Job Database'!$W$3:$W$1000,"&lt;&gt;Yes",'01 - Job Database'!$B$3:$B$1000,"&gt;="&amp;DATE(2026,10,1),'01 - Job Database'!$B$3:$B$1000,"&lt;="&amp;DATE(2027,1,1)-1,'01 - Job Database'!$AJ$3:$AJ$1000,"Yes"))/B5,"")</f>
        <v/>
      </c>
      <c r="H5" s="58" t="str">
        <f aca="false">IFERROR(COUNTIFS('01 - Job Database'!$C$3:$C$1000,"&lt;&gt;",'01 - Job Database'!$W$3:$W$1000,"&lt;&gt;Yes",'01 - Job Database'!$B$3:$B$1000,"&gt;="&amp;DATE(2026,10,1),'01 - Job Database'!$B$3:$B$1000,"&lt;="&amp;DATE(2027,1,1)-1,'01 - Job Database'!$J$3:$J$1000,"Yes")/B5,"")</f>
        <v/>
      </c>
      <c r="I5" s="58" t="str">
        <f aca="false">IFERROR(COUNTIFS('01 - Job Database'!$C$3:$C$1000,"&lt;&gt;",'01 - Job Database'!$W$3:$W$1000,"&lt;&gt;Yes",'01 - Job Database'!$B$3:$B$1000,"&gt;="&amp;DATE(2026,10,1),'01 - Job Database'!$B$3:$B$1000,"&lt;="&amp;DATE(2027,1,1)-1,'01 - Job Database'!$F$3:$F$1000,"New Grad / Intern")/B5,"")</f>
        <v/>
      </c>
      <c r="J5" s="73" t="str">
        <f aca="false">IFERROR(AVERAGEIFS('01 - Job Database'!$O$3:$O$1000,'01 - Job Database'!$C$3:$C$1000,"&lt;&gt;",'01 - Job Database'!$W$3:$W$1000,"&lt;&gt;Yes",'01 - Job Database'!$B$3:$B$1000,"&gt;="&amp;DATE(2026,10,1),'01 - Job Database'!$B$3:$B$1000,"&lt;="&amp;DATE(2027,1,1)-1),"")</f>
        <v/>
      </c>
      <c r="K5" s="68" t="str">
        <f aca="false">IFERROR(COUNTIFS('01 - Job Database'!$C$3:$C$1000,"&lt;&gt;",'01 - Job Database'!$W$3:$W$1000,"&lt;&gt;Yes",'01 - Job Database'!$B$3:$B$1000,"&gt;="&amp;DATE(2026,10,1),'01 - Job Database'!$B$3:$B$1000,"&lt;="&amp;DATE(2027,1,1)-1,'01 - Job Database'!$G$3:$G$1000,"&lt;&gt;India")/B5,"")</f>
        <v/>
      </c>
      <c r="L5" s="69" t="str">
        <f aca="false">IF(SUM(N5:AC5)=0,"—",INDEX($N$3:$AC$3,MATCH(MAX(N5:AC5),N5:AC5,0)))</f>
        <v>—</v>
      </c>
      <c r="N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Database'!$E$3:$E$1000,"SWE / General")</f>
        <v>0</v>
      </c>
      <c r="O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Database'!$E$3:$E$1000,"Backend Engineer")</f>
        <v>0</v>
      </c>
      <c r="P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Database'!$E$3:$E$1000,"Frontend Engineer")</f>
        <v>0</v>
      </c>
      <c r="Q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Database'!$E$3:$E$1000,"Cloud Engineer")</f>
        <v>0</v>
      </c>
      <c r="R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Database'!$E$3:$E$1000,"DevOps Engineer")</f>
        <v>0</v>
      </c>
      <c r="S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Database'!$E$3:$E$1000,"SRE")</f>
        <v>0</v>
      </c>
      <c r="T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Database'!$E$3:$E$1000,"Data Engineer")</f>
        <v>0</v>
      </c>
      <c r="U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Database'!$E$3:$E$1000,"ML Engineer")</f>
        <v>0</v>
      </c>
      <c r="V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Database'!$E$3:$E$1000,"AI Engineer")</f>
        <v>0</v>
      </c>
      <c r="W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Database'!$E$3:$E$1000,"Systems Engineer")</f>
        <v>0</v>
      </c>
      <c r="X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Database'!$E$3:$E$1000,"Security Engineer")</f>
        <v>0</v>
      </c>
      <c r="Y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Database'!$E$3:$E$1000,"Embedded Engineer")</f>
        <v>0</v>
      </c>
      <c r="Z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Database'!$E$3:$E$1000,"Compiler Engineer")</f>
        <v>0</v>
      </c>
      <c r="AA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Database'!$E$3:$E$1000,"Platform Engineer")</f>
        <v>0</v>
      </c>
      <c r="AB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Database'!$E$3:$E$1000,"Infrastructure Engineer")</f>
        <v>0</v>
      </c>
      <c r="AC5" s="74" t="n">
        <f aca="false">COUNTIFS('01 - Job Database'!$C$3:$C$1000,"&lt;&gt;",'01 - Job Database'!$W$3:$W$1000,"&lt;&gt;Yes",'01 - Job Database'!$B$3:$B$1000,"&gt;="&amp;DATE(2026,10,1),'01 - Job Database'!$B$3:$B$1000,"&lt;="&amp;DATE(2027,1,1)-1,'01 - Job Database'!$E$3:$E$1000,"Quant / Trading Engineer")</f>
        <v>0</v>
      </c>
    </row>
    <row r="6" customFormat="false" ht="15" hidden="false" customHeight="true" outlineLevel="0" collapsed="false">
      <c r="A6" s="57" t="s">
        <v>358</v>
      </c>
      <c r="B6" s="26" t="n">
        <f aca="false">COUNTIFS('01 - Job Database'!$C$3:$C$1000,"&lt;&gt;",'01 - Job Database'!$W$3:$W$1000,"&lt;&gt;Yes",'01 - Job Database'!$B$3:$B$1000,"&gt;="&amp;DATE(2027,1,1),'01 - Job Database'!$B$3:$B$1000,"&lt;="&amp;DATE(2027,4,1)-1)</f>
        <v>0</v>
      </c>
      <c r="C6" s="58" t="str">
        <f aca="false">IFERROR((COUNTIFS('01 - Job Database'!$C$3:$C$1000,"&lt;&gt;",'01 - Job Database'!$W$3:$W$1000,"&lt;&gt;Yes",'01 - Job Database'!$B$3:$B$1000,"&gt;="&amp;DATE(2027,1,1),'01 - Job Database'!$B$3:$B$1000,"&lt;="&amp;DATE(2027,4,1)-1,'01 - Job Database'!$AT$3:$AT$1000,"Yes")+COUNTIFS('01 - Job Database'!$C$3:$C$1000,"&lt;&gt;",'01 - Job Database'!$W$3:$W$1000,"&lt;&gt;Yes",'01 - Job Database'!$B$3:$B$1000,"&gt;="&amp;DATE(2027,1,1),'01 - Job Database'!$B$3:$B$1000,"&lt;="&amp;DATE(2027,4,1)-1,'01 - Job Database'!$AU$3:$AU$1000,"Yes")+COUNTIFS('01 - Job Database'!$C$3:$C$1000,"&lt;&gt;",'01 - Job Database'!$W$3:$W$1000,"&lt;&gt;Yes",'01 - Job Database'!$B$3:$B$1000,"&gt;="&amp;DATE(2027,1,1),'01 - Job Database'!$B$3:$B$1000,"&lt;="&amp;DATE(2027,4,1)-1,'01 - Job Database'!$AW$3:$AW$1000,"Yes"))/B6,"")</f>
        <v/>
      </c>
      <c r="D6" s="58" t="str">
        <f aca="false">IFERROR((COUNTIFS('01 - Job Database'!$C$3:$C$1000,"&lt;&gt;",'01 - Job Database'!$W$3:$W$1000,"&lt;&gt;Yes",'01 - Job Database'!$B$3:$B$1000,"&gt;="&amp;DATE(2027,1,1),'01 - Job Database'!$B$3:$B$1000,"&lt;="&amp;DATE(2027,4,1)-1,'01 - Job Database'!$AB$3:$AB$1000,"Yes"))/B6,"")</f>
        <v/>
      </c>
      <c r="E6" s="58" t="str">
        <f aca="false">IFERROR((COUNTIFS('01 - Job Database'!$C$3:$C$1000,"&lt;&gt;",'01 - Job Database'!$W$3:$W$1000,"&lt;&gt;Yes",'01 - Job Database'!$B$3:$B$1000,"&gt;="&amp;DATE(2027,1,1),'01 - Job Database'!$B$3:$B$1000,"&lt;="&amp;DATE(2027,4,1)-1,'01 - Job Database'!$AX$3:$AX$1000,"Yes"))/B6,"")</f>
        <v/>
      </c>
      <c r="F6" s="58" t="str">
        <f aca="false">IFERROR((COUNTIFS('01 - Job Database'!$C$3:$C$1000,"&lt;&gt;",'01 - Job Database'!$W$3:$W$1000,"&lt;&gt;Yes",'01 - Job Database'!$B$3:$B$1000,"&gt;="&amp;DATE(2027,1,1),'01 - Job Database'!$B$3:$B$1000,"&lt;="&amp;DATE(2027,4,1)-1,'01 - Job Database'!$AO$3:$AO$1000,"Yes"))/B6,"")</f>
        <v/>
      </c>
      <c r="G6" s="58" t="str">
        <f aca="false">IFERROR((COUNTIFS('01 - Job Database'!$C$3:$C$1000,"&lt;&gt;",'01 - Job Database'!$W$3:$W$1000,"&lt;&gt;Yes",'01 - Job Database'!$B$3:$B$1000,"&gt;="&amp;DATE(2027,1,1),'01 - Job Database'!$B$3:$B$1000,"&lt;="&amp;DATE(2027,4,1)-1,'01 - Job Database'!$AJ$3:$AJ$1000,"Yes"))/B6,"")</f>
        <v/>
      </c>
      <c r="H6" s="58" t="str">
        <f aca="false">IFERROR(COUNTIFS('01 - Job Database'!$C$3:$C$1000,"&lt;&gt;",'01 - Job Database'!$W$3:$W$1000,"&lt;&gt;Yes",'01 - Job Database'!$B$3:$B$1000,"&gt;="&amp;DATE(2027,1,1),'01 - Job Database'!$B$3:$B$1000,"&lt;="&amp;DATE(2027,4,1)-1,'01 - Job Database'!$J$3:$J$1000,"Yes")/B6,"")</f>
        <v/>
      </c>
      <c r="I6" s="58" t="str">
        <f aca="false">IFERROR(COUNTIFS('01 - Job Database'!$C$3:$C$1000,"&lt;&gt;",'01 - Job Database'!$W$3:$W$1000,"&lt;&gt;Yes",'01 - Job Database'!$B$3:$B$1000,"&gt;="&amp;DATE(2027,1,1),'01 - Job Database'!$B$3:$B$1000,"&lt;="&amp;DATE(2027,4,1)-1,'01 - Job Database'!$F$3:$F$1000,"New Grad / Intern")/B6,"")</f>
        <v/>
      </c>
      <c r="J6" s="73" t="str">
        <f aca="false">IFERROR(AVERAGEIFS('01 - Job Database'!$O$3:$O$1000,'01 - Job Database'!$C$3:$C$1000,"&lt;&gt;",'01 - Job Database'!$W$3:$W$1000,"&lt;&gt;Yes",'01 - Job Database'!$B$3:$B$1000,"&gt;="&amp;DATE(2027,1,1),'01 - Job Database'!$B$3:$B$1000,"&lt;="&amp;DATE(2027,4,1)-1),"")</f>
        <v/>
      </c>
      <c r="K6" s="68" t="str">
        <f aca="false">IFERROR(COUNTIFS('01 - Job Database'!$C$3:$C$1000,"&lt;&gt;",'01 - Job Database'!$W$3:$W$1000,"&lt;&gt;Yes",'01 - Job Database'!$B$3:$B$1000,"&gt;="&amp;DATE(2027,1,1),'01 - Job Database'!$B$3:$B$1000,"&lt;="&amp;DATE(2027,4,1)-1,'01 - Job Database'!$G$3:$G$1000,"&lt;&gt;India")/B6,"")</f>
        <v/>
      </c>
      <c r="L6" s="69" t="str">
        <f aca="false">IF(SUM(N6:AC6)=0,"—",INDEX($N$3:$AC$3,MATCH(MAX(N6:AC6),N6:AC6,0)))</f>
        <v>—</v>
      </c>
      <c r="N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Database'!$E$3:$E$1000,"SWE / General")</f>
        <v>0</v>
      </c>
      <c r="O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Database'!$E$3:$E$1000,"Backend Engineer")</f>
        <v>0</v>
      </c>
      <c r="P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Database'!$E$3:$E$1000,"Frontend Engineer")</f>
        <v>0</v>
      </c>
      <c r="Q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Database'!$E$3:$E$1000,"Cloud Engineer")</f>
        <v>0</v>
      </c>
      <c r="R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Database'!$E$3:$E$1000,"DevOps Engineer")</f>
        <v>0</v>
      </c>
      <c r="S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Database'!$E$3:$E$1000,"SRE")</f>
        <v>0</v>
      </c>
      <c r="T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Database'!$E$3:$E$1000,"Data Engineer")</f>
        <v>0</v>
      </c>
      <c r="U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Database'!$E$3:$E$1000,"ML Engineer")</f>
        <v>0</v>
      </c>
      <c r="V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Database'!$E$3:$E$1000,"AI Engineer")</f>
        <v>0</v>
      </c>
      <c r="W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Database'!$E$3:$E$1000,"Systems Engineer")</f>
        <v>0</v>
      </c>
      <c r="X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Database'!$E$3:$E$1000,"Security Engineer")</f>
        <v>0</v>
      </c>
      <c r="Y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Database'!$E$3:$E$1000,"Embedded Engineer")</f>
        <v>0</v>
      </c>
      <c r="Z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Database'!$E$3:$E$1000,"Compiler Engineer")</f>
        <v>0</v>
      </c>
      <c r="AA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Database'!$E$3:$E$1000,"Platform Engineer")</f>
        <v>0</v>
      </c>
      <c r="AB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Database'!$E$3:$E$1000,"Infrastructure Engineer")</f>
        <v>0</v>
      </c>
      <c r="AC6" s="74" t="n">
        <f aca="false">COUNTIFS('01 - Job Database'!$C$3:$C$1000,"&lt;&gt;",'01 - Job Database'!$W$3:$W$1000,"&lt;&gt;Yes",'01 - Job Database'!$B$3:$B$1000,"&gt;="&amp;DATE(2027,1,1),'01 - Job Database'!$B$3:$B$1000,"&lt;="&amp;DATE(2027,4,1)-1,'01 - Job Database'!$E$3:$E$1000,"Quant / Trading Engineer")</f>
        <v>0</v>
      </c>
    </row>
    <row r="7" customFormat="false" ht="15" hidden="false" customHeight="true" outlineLevel="0" collapsed="false">
      <c r="A7" s="57" t="s">
        <v>359</v>
      </c>
      <c r="B7" s="26" t="n">
        <f aca="false">COUNTIFS('01 - Job Database'!$C$3:$C$1000,"&lt;&gt;",'01 - Job Database'!$W$3:$W$1000,"&lt;&gt;Yes",'01 - Job Database'!$B$3:$B$1000,"&gt;="&amp;DATE(2027,4,1),'01 - Job Database'!$B$3:$B$1000,"&lt;="&amp;DATE(2027,7,1)-1)</f>
        <v>0</v>
      </c>
      <c r="C7" s="58" t="str">
        <f aca="false">IFERROR((COUNTIFS('01 - Job Database'!$C$3:$C$1000,"&lt;&gt;",'01 - Job Database'!$W$3:$W$1000,"&lt;&gt;Yes",'01 - Job Database'!$B$3:$B$1000,"&gt;="&amp;DATE(2027,4,1),'01 - Job Database'!$B$3:$B$1000,"&lt;="&amp;DATE(2027,7,1)-1,'01 - Job Database'!$AT$3:$AT$1000,"Yes")+COUNTIFS('01 - Job Database'!$C$3:$C$1000,"&lt;&gt;",'01 - Job Database'!$W$3:$W$1000,"&lt;&gt;Yes",'01 - Job Database'!$B$3:$B$1000,"&gt;="&amp;DATE(2027,4,1),'01 - Job Database'!$B$3:$B$1000,"&lt;="&amp;DATE(2027,7,1)-1,'01 - Job Database'!$AU$3:$AU$1000,"Yes")+COUNTIFS('01 - Job Database'!$C$3:$C$1000,"&lt;&gt;",'01 - Job Database'!$W$3:$W$1000,"&lt;&gt;Yes",'01 - Job Database'!$B$3:$B$1000,"&gt;="&amp;DATE(2027,4,1),'01 - Job Database'!$B$3:$B$1000,"&lt;="&amp;DATE(2027,7,1)-1,'01 - Job Database'!$AW$3:$AW$1000,"Yes"))/B7,"")</f>
        <v/>
      </c>
      <c r="D7" s="58" t="str">
        <f aca="false">IFERROR((COUNTIFS('01 - Job Database'!$C$3:$C$1000,"&lt;&gt;",'01 - Job Database'!$W$3:$W$1000,"&lt;&gt;Yes",'01 - Job Database'!$B$3:$B$1000,"&gt;="&amp;DATE(2027,4,1),'01 - Job Database'!$B$3:$B$1000,"&lt;="&amp;DATE(2027,7,1)-1,'01 - Job Database'!$AB$3:$AB$1000,"Yes"))/B7,"")</f>
        <v/>
      </c>
      <c r="E7" s="58" t="str">
        <f aca="false">IFERROR((COUNTIFS('01 - Job Database'!$C$3:$C$1000,"&lt;&gt;",'01 - Job Database'!$W$3:$W$1000,"&lt;&gt;Yes",'01 - Job Database'!$B$3:$B$1000,"&gt;="&amp;DATE(2027,4,1),'01 - Job Database'!$B$3:$B$1000,"&lt;="&amp;DATE(2027,7,1)-1,'01 - Job Database'!$AX$3:$AX$1000,"Yes"))/B7,"")</f>
        <v/>
      </c>
      <c r="F7" s="58" t="str">
        <f aca="false">IFERROR((COUNTIFS('01 - Job Database'!$C$3:$C$1000,"&lt;&gt;",'01 - Job Database'!$W$3:$W$1000,"&lt;&gt;Yes",'01 - Job Database'!$B$3:$B$1000,"&gt;="&amp;DATE(2027,4,1),'01 - Job Database'!$B$3:$B$1000,"&lt;="&amp;DATE(2027,7,1)-1,'01 - Job Database'!$AO$3:$AO$1000,"Yes"))/B7,"")</f>
        <v/>
      </c>
      <c r="G7" s="58" t="str">
        <f aca="false">IFERROR((COUNTIFS('01 - Job Database'!$C$3:$C$1000,"&lt;&gt;",'01 - Job Database'!$W$3:$W$1000,"&lt;&gt;Yes",'01 - Job Database'!$B$3:$B$1000,"&gt;="&amp;DATE(2027,4,1),'01 - Job Database'!$B$3:$B$1000,"&lt;="&amp;DATE(2027,7,1)-1,'01 - Job Database'!$AJ$3:$AJ$1000,"Yes"))/B7,"")</f>
        <v/>
      </c>
      <c r="H7" s="58" t="str">
        <f aca="false">IFERROR(COUNTIFS('01 - Job Database'!$C$3:$C$1000,"&lt;&gt;",'01 - Job Database'!$W$3:$W$1000,"&lt;&gt;Yes",'01 - Job Database'!$B$3:$B$1000,"&gt;="&amp;DATE(2027,4,1),'01 - Job Database'!$B$3:$B$1000,"&lt;="&amp;DATE(2027,7,1)-1,'01 - Job Database'!$J$3:$J$1000,"Yes")/B7,"")</f>
        <v/>
      </c>
      <c r="I7" s="58" t="str">
        <f aca="false">IFERROR(COUNTIFS('01 - Job Database'!$C$3:$C$1000,"&lt;&gt;",'01 - Job Database'!$W$3:$W$1000,"&lt;&gt;Yes",'01 - Job Database'!$B$3:$B$1000,"&gt;="&amp;DATE(2027,4,1),'01 - Job Database'!$B$3:$B$1000,"&lt;="&amp;DATE(2027,7,1)-1,'01 - Job Database'!$F$3:$F$1000,"New Grad / Intern")/B7,"")</f>
        <v/>
      </c>
      <c r="J7" s="73" t="str">
        <f aca="false">IFERROR(AVERAGEIFS('01 - Job Database'!$O$3:$O$1000,'01 - Job Database'!$C$3:$C$1000,"&lt;&gt;",'01 - Job Database'!$W$3:$W$1000,"&lt;&gt;Yes",'01 - Job Database'!$B$3:$B$1000,"&gt;="&amp;DATE(2027,4,1),'01 - Job Database'!$B$3:$B$1000,"&lt;="&amp;DATE(2027,7,1)-1),"")</f>
        <v/>
      </c>
      <c r="K7" s="68" t="str">
        <f aca="false">IFERROR(COUNTIFS('01 - Job Database'!$C$3:$C$1000,"&lt;&gt;",'01 - Job Database'!$W$3:$W$1000,"&lt;&gt;Yes",'01 - Job Database'!$B$3:$B$1000,"&gt;="&amp;DATE(2027,4,1),'01 - Job Database'!$B$3:$B$1000,"&lt;="&amp;DATE(2027,7,1)-1,'01 - Job Database'!$G$3:$G$1000,"&lt;&gt;India")/B7,"")</f>
        <v/>
      </c>
      <c r="L7" s="69" t="str">
        <f aca="false">IF(SUM(N7:AC7)=0,"—",INDEX($N$3:$AC$3,MATCH(MAX(N7:AC7),N7:AC7,0)))</f>
        <v>—</v>
      </c>
      <c r="N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Database'!$E$3:$E$1000,"SWE / General")</f>
        <v>0</v>
      </c>
      <c r="O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Database'!$E$3:$E$1000,"Backend Engineer")</f>
        <v>0</v>
      </c>
      <c r="P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Database'!$E$3:$E$1000,"Frontend Engineer")</f>
        <v>0</v>
      </c>
      <c r="Q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Database'!$E$3:$E$1000,"Cloud Engineer")</f>
        <v>0</v>
      </c>
      <c r="R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Database'!$E$3:$E$1000,"DevOps Engineer")</f>
        <v>0</v>
      </c>
      <c r="S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Database'!$E$3:$E$1000,"SRE")</f>
        <v>0</v>
      </c>
      <c r="T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Database'!$E$3:$E$1000,"Data Engineer")</f>
        <v>0</v>
      </c>
      <c r="U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Database'!$E$3:$E$1000,"ML Engineer")</f>
        <v>0</v>
      </c>
      <c r="V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Database'!$E$3:$E$1000,"AI Engineer")</f>
        <v>0</v>
      </c>
      <c r="W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Database'!$E$3:$E$1000,"Systems Engineer")</f>
        <v>0</v>
      </c>
      <c r="X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Database'!$E$3:$E$1000,"Security Engineer")</f>
        <v>0</v>
      </c>
      <c r="Y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Database'!$E$3:$E$1000,"Embedded Engineer")</f>
        <v>0</v>
      </c>
      <c r="Z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Database'!$E$3:$E$1000,"Compiler Engineer")</f>
        <v>0</v>
      </c>
      <c r="AA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Database'!$E$3:$E$1000,"Platform Engineer")</f>
        <v>0</v>
      </c>
      <c r="AB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Database'!$E$3:$E$1000,"Infrastructure Engineer")</f>
        <v>0</v>
      </c>
      <c r="AC7" s="74" t="n">
        <f aca="false">COUNTIFS('01 - Job Database'!$C$3:$C$1000,"&lt;&gt;",'01 - Job Database'!$W$3:$W$1000,"&lt;&gt;Yes",'01 - Job Database'!$B$3:$B$1000,"&gt;="&amp;DATE(2027,4,1),'01 - Job Database'!$B$3:$B$1000,"&lt;="&amp;DATE(2027,7,1)-1,'01 - Job Database'!$E$3:$E$1000,"Quant / Trading Engineer")</f>
        <v>0</v>
      </c>
    </row>
    <row r="8" customFormat="false" ht="15" hidden="false" customHeight="true" outlineLevel="0" collapsed="false">
      <c r="A8" s="57" t="s">
        <v>360</v>
      </c>
      <c r="B8" s="26" t="n">
        <f aca="false">COUNTIFS('01 - Job Database'!$C$3:$C$1000,"&lt;&gt;",'01 - Job Database'!$W$3:$W$1000,"&lt;&gt;Yes",'01 - Job Database'!$B$3:$B$1000,"&gt;="&amp;DATE(2027,7,1),'01 - Job Database'!$B$3:$B$1000,"&lt;="&amp;DATE(2027,10,1)-1)</f>
        <v>0</v>
      </c>
      <c r="C8" s="58" t="str">
        <f aca="false">IFERROR((COUNTIFS('01 - Job Database'!$C$3:$C$1000,"&lt;&gt;",'01 - Job Database'!$W$3:$W$1000,"&lt;&gt;Yes",'01 - Job Database'!$B$3:$B$1000,"&gt;="&amp;DATE(2027,7,1),'01 - Job Database'!$B$3:$B$1000,"&lt;="&amp;DATE(2027,10,1)-1,'01 - Job Database'!$AT$3:$AT$1000,"Yes")+COUNTIFS('01 - Job Database'!$C$3:$C$1000,"&lt;&gt;",'01 - Job Database'!$W$3:$W$1000,"&lt;&gt;Yes",'01 - Job Database'!$B$3:$B$1000,"&gt;="&amp;DATE(2027,7,1),'01 - Job Database'!$B$3:$B$1000,"&lt;="&amp;DATE(2027,10,1)-1,'01 - Job Database'!$AU$3:$AU$1000,"Yes")+COUNTIFS('01 - Job Database'!$C$3:$C$1000,"&lt;&gt;",'01 - Job Database'!$W$3:$W$1000,"&lt;&gt;Yes",'01 - Job Database'!$B$3:$B$1000,"&gt;="&amp;DATE(2027,7,1),'01 - Job Database'!$B$3:$B$1000,"&lt;="&amp;DATE(2027,10,1)-1,'01 - Job Database'!$AW$3:$AW$1000,"Yes"))/B8,"")</f>
        <v/>
      </c>
      <c r="D8" s="58" t="str">
        <f aca="false">IFERROR((COUNTIFS('01 - Job Database'!$C$3:$C$1000,"&lt;&gt;",'01 - Job Database'!$W$3:$W$1000,"&lt;&gt;Yes",'01 - Job Database'!$B$3:$B$1000,"&gt;="&amp;DATE(2027,7,1),'01 - Job Database'!$B$3:$B$1000,"&lt;="&amp;DATE(2027,10,1)-1,'01 - Job Database'!$AB$3:$AB$1000,"Yes"))/B8,"")</f>
        <v/>
      </c>
      <c r="E8" s="58" t="str">
        <f aca="false">IFERROR((COUNTIFS('01 - Job Database'!$C$3:$C$1000,"&lt;&gt;",'01 - Job Database'!$W$3:$W$1000,"&lt;&gt;Yes",'01 - Job Database'!$B$3:$B$1000,"&gt;="&amp;DATE(2027,7,1),'01 - Job Database'!$B$3:$B$1000,"&lt;="&amp;DATE(2027,10,1)-1,'01 - Job Database'!$AX$3:$AX$1000,"Yes"))/B8,"")</f>
        <v/>
      </c>
      <c r="F8" s="58" t="str">
        <f aca="false">IFERROR((COUNTIFS('01 - Job Database'!$C$3:$C$1000,"&lt;&gt;",'01 - Job Database'!$W$3:$W$1000,"&lt;&gt;Yes",'01 - Job Database'!$B$3:$B$1000,"&gt;="&amp;DATE(2027,7,1),'01 - Job Database'!$B$3:$B$1000,"&lt;="&amp;DATE(2027,10,1)-1,'01 - Job Database'!$AO$3:$AO$1000,"Yes"))/B8,"")</f>
        <v/>
      </c>
      <c r="G8" s="58" t="str">
        <f aca="false">IFERROR((COUNTIFS('01 - Job Database'!$C$3:$C$1000,"&lt;&gt;",'01 - Job Database'!$W$3:$W$1000,"&lt;&gt;Yes",'01 - Job Database'!$B$3:$B$1000,"&gt;="&amp;DATE(2027,7,1),'01 - Job Database'!$B$3:$B$1000,"&lt;="&amp;DATE(2027,10,1)-1,'01 - Job Database'!$AJ$3:$AJ$1000,"Yes"))/B8,"")</f>
        <v/>
      </c>
      <c r="H8" s="58" t="str">
        <f aca="false">IFERROR(COUNTIFS('01 - Job Database'!$C$3:$C$1000,"&lt;&gt;",'01 - Job Database'!$W$3:$W$1000,"&lt;&gt;Yes",'01 - Job Database'!$B$3:$B$1000,"&gt;="&amp;DATE(2027,7,1),'01 - Job Database'!$B$3:$B$1000,"&lt;="&amp;DATE(2027,10,1)-1,'01 - Job Database'!$J$3:$J$1000,"Yes")/B8,"")</f>
        <v/>
      </c>
      <c r="I8" s="58" t="str">
        <f aca="false">IFERROR(COUNTIFS('01 - Job Database'!$C$3:$C$1000,"&lt;&gt;",'01 - Job Database'!$W$3:$W$1000,"&lt;&gt;Yes",'01 - Job Database'!$B$3:$B$1000,"&gt;="&amp;DATE(2027,7,1),'01 - Job Database'!$B$3:$B$1000,"&lt;="&amp;DATE(2027,10,1)-1,'01 - Job Database'!$F$3:$F$1000,"New Grad / Intern")/B8,"")</f>
        <v/>
      </c>
      <c r="J8" s="73" t="str">
        <f aca="false">IFERROR(AVERAGEIFS('01 - Job Database'!$O$3:$O$1000,'01 - Job Database'!$C$3:$C$1000,"&lt;&gt;",'01 - Job Database'!$W$3:$W$1000,"&lt;&gt;Yes",'01 - Job Database'!$B$3:$B$1000,"&gt;="&amp;DATE(2027,7,1),'01 - Job Database'!$B$3:$B$1000,"&lt;="&amp;DATE(2027,10,1)-1),"")</f>
        <v/>
      </c>
      <c r="K8" s="68" t="str">
        <f aca="false">IFERROR(COUNTIFS('01 - Job Database'!$C$3:$C$1000,"&lt;&gt;",'01 - Job Database'!$W$3:$W$1000,"&lt;&gt;Yes",'01 - Job Database'!$B$3:$B$1000,"&gt;="&amp;DATE(2027,7,1),'01 - Job Database'!$B$3:$B$1000,"&lt;="&amp;DATE(2027,10,1)-1,'01 - Job Database'!$G$3:$G$1000,"&lt;&gt;India")/B8,"")</f>
        <v/>
      </c>
      <c r="L8" s="69" t="str">
        <f aca="false">IF(SUM(N8:AC8)=0,"—",INDEX($N$3:$AC$3,MATCH(MAX(N8:AC8),N8:AC8,0)))</f>
        <v>—</v>
      </c>
      <c r="N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Database'!$E$3:$E$1000,"SWE / General")</f>
        <v>0</v>
      </c>
      <c r="O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Database'!$E$3:$E$1000,"Backend Engineer")</f>
        <v>0</v>
      </c>
      <c r="P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Database'!$E$3:$E$1000,"Frontend Engineer")</f>
        <v>0</v>
      </c>
      <c r="Q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Database'!$E$3:$E$1000,"Cloud Engineer")</f>
        <v>0</v>
      </c>
      <c r="R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Database'!$E$3:$E$1000,"DevOps Engineer")</f>
        <v>0</v>
      </c>
      <c r="S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Database'!$E$3:$E$1000,"SRE")</f>
        <v>0</v>
      </c>
      <c r="T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Database'!$E$3:$E$1000,"Data Engineer")</f>
        <v>0</v>
      </c>
      <c r="U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Database'!$E$3:$E$1000,"ML Engineer")</f>
        <v>0</v>
      </c>
      <c r="V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Database'!$E$3:$E$1000,"AI Engineer")</f>
        <v>0</v>
      </c>
      <c r="W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Database'!$E$3:$E$1000,"Systems Engineer")</f>
        <v>0</v>
      </c>
      <c r="X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Database'!$E$3:$E$1000,"Security Engineer")</f>
        <v>0</v>
      </c>
      <c r="Y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Database'!$E$3:$E$1000,"Embedded Engineer")</f>
        <v>0</v>
      </c>
      <c r="Z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Database'!$E$3:$E$1000,"Compiler Engineer")</f>
        <v>0</v>
      </c>
      <c r="AA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Database'!$E$3:$E$1000,"Platform Engineer")</f>
        <v>0</v>
      </c>
      <c r="AB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Database'!$E$3:$E$1000,"Infrastructure Engineer")</f>
        <v>0</v>
      </c>
      <c r="AC8" s="74" t="n">
        <f aca="false">COUNTIFS('01 - Job Database'!$C$3:$C$1000,"&lt;&gt;",'01 - Job Database'!$W$3:$W$1000,"&lt;&gt;Yes",'01 - Job Database'!$B$3:$B$1000,"&gt;="&amp;DATE(2027,7,1),'01 - Job Database'!$B$3:$B$1000,"&lt;="&amp;DATE(2027,10,1)-1,'01 - Job Database'!$E$3:$E$1000,"Quant / Trading Engineer")</f>
        <v>0</v>
      </c>
    </row>
    <row r="9" customFormat="false" ht="15" hidden="false" customHeight="true" outlineLevel="0" collapsed="false">
      <c r="A9" s="57" t="s">
        <v>361</v>
      </c>
      <c r="B9" s="26" t="n">
        <f aca="false">COUNTIFS('01 - Job Database'!$C$3:$C$1000,"&lt;&gt;",'01 - Job Database'!$W$3:$W$1000,"&lt;&gt;Yes",'01 - Job Database'!$B$3:$B$1000,"&gt;="&amp;DATE(2027,10,1),'01 - Job Database'!$B$3:$B$1000,"&lt;="&amp;DATE(2028,1,1)-1)</f>
        <v>0</v>
      </c>
      <c r="C9" s="58" t="str">
        <f aca="false">IFERROR((COUNTIFS('01 - Job Database'!$C$3:$C$1000,"&lt;&gt;",'01 - Job Database'!$W$3:$W$1000,"&lt;&gt;Yes",'01 - Job Database'!$B$3:$B$1000,"&gt;="&amp;DATE(2027,10,1),'01 - Job Database'!$B$3:$B$1000,"&lt;="&amp;DATE(2028,1,1)-1,'01 - Job Database'!$AT$3:$AT$1000,"Yes")+COUNTIFS('01 - Job Database'!$C$3:$C$1000,"&lt;&gt;",'01 - Job Database'!$W$3:$W$1000,"&lt;&gt;Yes",'01 - Job Database'!$B$3:$B$1000,"&gt;="&amp;DATE(2027,10,1),'01 - Job Database'!$B$3:$B$1000,"&lt;="&amp;DATE(2028,1,1)-1,'01 - Job Database'!$AU$3:$AU$1000,"Yes")+COUNTIFS('01 - Job Database'!$C$3:$C$1000,"&lt;&gt;",'01 - Job Database'!$W$3:$W$1000,"&lt;&gt;Yes",'01 - Job Database'!$B$3:$B$1000,"&gt;="&amp;DATE(2027,10,1),'01 - Job Database'!$B$3:$B$1000,"&lt;="&amp;DATE(2028,1,1)-1,'01 - Job Database'!$AW$3:$AW$1000,"Yes"))/B9,"")</f>
        <v/>
      </c>
      <c r="D9" s="58" t="str">
        <f aca="false">IFERROR((COUNTIFS('01 - Job Database'!$C$3:$C$1000,"&lt;&gt;",'01 - Job Database'!$W$3:$W$1000,"&lt;&gt;Yes",'01 - Job Database'!$B$3:$B$1000,"&gt;="&amp;DATE(2027,10,1),'01 - Job Database'!$B$3:$B$1000,"&lt;="&amp;DATE(2028,1,1)-1,'01 - Job Database'!$AB$3:$AB$1000,"Yes"))/B9,"")</f>
        <v/>
      </c>
      <c r="E9" s="58" t="str">
        <f aca="false">IFERROR((COUNTIFS('01 - Job Database'!$C$3:$C$1000,"&lt;&gt;",'01 - Job Database'!$W$3:$W$1000,"&lt;&gt;Yes",'01 - Job Database'!$B$3:$B$1000,"&gt;="&amp;DATE(2027,10,1),'01 - Job Database'!$B$3:$B$1000,"&lt;="&amp;DATE(2028,1,1)-1,'01 - Job Database'!$AX$3:$AX$1000,"Yes"))/B9,"")</f>
        <v/>
      </c>
      <c r="F9" s="58" t="str">
        <f aca="false">IFERROR((COUNTIFS('01 - Job Database'!$C$3:$C$1000,"&lt;&gt;",'01 - Job Database'!$W$3:$W$1000,"&lt;&gt;Yes",'01 - Job Database'!$B$3:$B$1000,"&gt;="&amp;DATE(2027,10,1),'01 - Job Database'!$B$3:$B$1000,"&lt;="&amp;DATE(2028,1,1)-1,'01 - Job Database'!$AO$3:$AO$1000,"Yes"))/B9,"")</f>
        <v/>
      </c>
      <c r="G9" s="58" t="str">
        <f aca="false">IFERROR((COUNTIFS('01 - Job Database'!$C$3:$C$1000,"&lt;&gt;",'01 - Job Database'!$W$3:$W$1000,"&lt;&gt;Yes",'01 - Job Database'!$B$3:$B$1000,"&gt;="&amp;DATE(2027,10,1),'01 - Job Database'!$B$3:$B$1000,"&lt;="&amp;DATE(2028,1,1)-1,'01 - Job Database'!$AJ$3:$AJ$1000,"Yes"))/B9,"")</f>
        <v/>
      </c>
      <c r="H9" s="58" t="str">
        <f aca="false">IFERROR(COUNTIFS('01 - Job Database'!$C$3:$C$1000,"&lt;&gt;",'01 - Job Database'!$W$3:$W$1000,"&lt;&gt;Yes",'01 - Job Database'!$B$3:$B$1000,"&gt;="&amp;DATE(2027,10,1),'01 - Job Database'!$B$3:$B$1000,"&lt;="&amp;DATE(2028,1,1)-1,'01 - Job Database'!$J$3:$J$1000,"Yes")/B9,"")</f>
        <v/>
      </c>
      <c r="I9" s="58" t="str">
        <f aca="false">IFERROR(COUNTIFS('01 - Job Database'!$C$3:$C$1000,"&lt;&gt;",'01 - Job Database'!$W$3:$W$1000,"&lt;&gt;Yes",'01 - Job Database'!$B$3:$B$1000,"&gt;="&amp;DATE(2027,10,1),'01 - Job Database'!$B$3:$B$1000,"&lt;="&amp;DATE(2028,1,1)-1,'01 - Job Database'!$F$3:$F$1000,"New Grad / Intern")/B9,"")</f>
        <v/>
      </c>
      <c r="J9" s="73" t="str">
        <f aca="false">IFERROR(AVERAGEIFS('01 - Job Database'!$O$3:$O$1000,'01 - Job Database'!$C$3:$C$1000,"&lt;&gt;",'01 - Job Database'!$W$3:$W$1000,"&lt;&gt;Yes",'01 - Job Database'!$B$3:$B$1000,"&gt;="&amp;DATE(2027,10,1),'01 - Job Database'!$B$3:$B$1000,"&lt;="&amp;DATE(2028,1,1)-1),"")</f>
        <v/>
      </c>
      <c r="K9" s="68" t="str">
        <f aca="false">IFERROR(COUNTIFS('01 - Job Database'!$C$3:$C$1000,"&lt;&gt;",'01 - Job Database'!$W$3:$W$1000,"&lt;&gt;Yes",'01 - Job Database'!$B$3:$B$1000,"&gt;="&amp;DATE(2027,10,1),'01 - Job Database'!$B$3:$B$1000,"&lt;="&amp;DATE(2028,1,1)-1,'01 - Job Database'!$G$3:$G$1000,"&lt;&gt;India")/B9,"")</f>
        <v/>
      </c>
      <c r="L9" s="69" t="str">
        <f aca="false">IF(SUM(N9:AC9)=0,"—",INDEX($N$3:$AC$3,MATCH(MAX(N9:AC9),N9:AC9,0)))</f>
        <v>—</v>
      </c>
      <c r="N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Database'!$E$3:$E$1000,"SWE / General")</f>
        <v>0</v>
      </c>
      <c r="O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Database'!$E$3:$E$1000,"Backend Engineer")</f>
        <v>0</v>
      </c>
      <c r="P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Database'!$E$3:$E$1000,"Frontend Engineer")</f>
        <v>0</v>
      </c>
      <c r="Q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Database'!$E$3:$E$1000,"Cloud Engineer")</f>
        <v>0</v>
      </c>
      <c r="R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Database'!$E$3:$E$1000,"DevOps Engineer")</f>
        <v>0</v>
      </c>
      <c r="S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Database'!$E$3:$E$1000,"SRE")</f>
        <v>0</v>
      </c>
      <c r="T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Database'!$E$3:$E$1000,"Data Engineer")</f>
        <v>0</v>
      </c>
      <c r="U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Database'!$E$3:$E$1000,"ML Engineer")</f>
        <v>0</v>
      </c>
      <c r="V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Database'!$E$3:$E$1000,"AI Engineer")</f>
        <v>0</v>
      </c>
      <c r="W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Database'!$E$3:$E$1000,"Systems Engineer")</f>
        <v>0</v>
      </c>
      <c r="X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Database'!$E$3:$E$1000,"Security Engineer")</f>
        <v>0</v>
      </c>
      <c r="Y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Database'!$E$3:$E$1000,"Embedded Engineer")</f>
        <v>0</v>
      </c>
      <c r="Z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Database'!$E$3:$E$1000,"Compiler Engineer")</f>
        <v>0</v>
      </c>
      <c r="AA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Database'!$E$3:$E$1000,"Platform Engineer")</f>
        <v>0</v>
      </c>
      <c r="AB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Database'!$E$3:$E$1000,"Infrastructure Engineer")</f>
        <v>0</v>
      </c>
      <c r="AC9" s="74" t="n">
        <f aca="false">COUNTIFS('01 - Job Database'!$C$3:$C$1000,"&lt;&gt;",'01 - Job Database'!$W$3:$W$1000,"&lt;&gt;Yes",'01 - Job Database'!$B$3:$B$1000,"&gt;="&amp;DATE(2027,10,1),'01 - Job Database'!$B$3:$B$1000,"&lt;="&amp;DATE(2028,1,1)-1,'01 - Job Database'!$E$3:$E$1000,"Quant / Trading Engineer")</f>
        <v>0</v>
      </c>
    </row>
    <row r="10" customFormat="false" ht="15" hidden="false" customHeight="true" outlineLevel="0" collapsed="false">
      <c r="A10" s="57" t="s">
        <v>362</v>
      </c>
      <c r="B10" s="26" t="n">
        <f aca="false">COUNTIFS('01 - Job Database'!$C$3:$C$1000,"&lt;&gt;",'01 - Job Database'!$W$3:$W$1000,"&lt;&gt;Yes",'01 - Job Database'!$B$3:$B$1000,"&gt;="&amp;DATE(2028,1,1),'01 - Job Database'!$B$3:$B$1000,"&lt;="&amp;DATE(2028,4,1)-1)</f>
        <v>0</v>
      </c>
      <c r="C10" s="58" t="str">
        <f aca="false">IFERROR((COUNTIFS('01 - Job Database'!$C$3:$C$1000,"&lt;&gt;",'01 - Job Database'!$W$3:$W$1000,"&lt;&gt;Yes",'01 - Job Database'!$B$3:$B$1000,"&gt;="&amp;DATE(2028,1,1),'01 - Job Database'!$B$3:$B$1000,"&lt;="&amp;DATE(2028,4,1)-1,'01 - Job Database'!$AT$3:$AT$1000,"Yes")+COUNTIFS('01 - Job Database'!$C$3:$C$1000,"&lt;&gt;",'01 - Job Database'!$W$3:$W$1000,"&lt;&gt;Yes",'01 - Job Database'!$B$3:$B$1000,"&gt;="&amp;DATE(2028,1,1),'01 - Job Database'!$B$3:$B$1000,"&lt;="&amp;DATE(2028,4,1)-1,'01 - Job Database'!$AU$3:$AU$1000,"Yes")+COUNTIFS('01 - Job Database'!$C$3:$C$1000,"&lt;&gt;",'01 - Job Database'!$W$3:$W$1000,"&lt;&gt;Yes",'01 - Job Database'!$B$3:$B$1000,"&gt;="&amp;DATE(2028,1,1),'01 - Job Database'!$B$3:$B$1000,"&lt;="&amp;DATE(2028,4,1)-1,'01 - Job Database'!$AW$3:$AW$1000,"Yes"))/B10,"")</f>
        <v/>
      </c>
      <c r="D10" s="58" t="str">
        <f aca="false">IFERROR((COUNTIFS('01 - Job Database'!$C$3:$C$1000,"&lt;&gt;",'01 - Job Database'!$W$3:$W$1000,"&lt;&gt;Yes",'01 - Job Database'!$B$3:$B$1000,"&gt;="&amp;DATE(2028,1,1),'01 - Job Database'!$B$3:$B$1000,"&lt;="&amp;DATE(2028,4,1)-1,'01 - Job Database'!$AB$3:$AB$1000,"Yes"))/B10,"")</f>
        <v/>
      </c>
      <c r="E10" s="58" t="str">
        <f aca="false">IFERROR((COUNTIFS('01 - Job Database'!$C$3:$C$1000,"&lt;&gt;",'01 - Job Database'!$W$3:$W$1000,"&lt;&gt;Yes",'01 - Job Database'!$B$3:$B$1000,"&gt;="&amp;DATE(2028,1,1),'01 - Job Database'!$B$3:$B$1000,"&lt;="&amp;DATE(2028,4,1)-1,'01 - Job Database'!$AX$3:$AX$1000,"Yes"))/B10,"")</f>
        <v/>
      </c>
      <c r="F10" s="58" t="str">
        <f aca="false">IFERROR((COUNTIFS('01 - Job Database'!$C$3:$C$1000,"&lt;&gt;",'01 - Job Database'!$W$3:$W$1000,"&lt;&gt;Yes",'01 - Job Database'!$B$3:$B$1000,"&gt;="&amp;DATE(2028,1,1),'01 - Job Database'!$B$3:$B$1000,"&lt;="&amp;DATE(2028,4,1)-1,'01 - Job Database'!$AO$3:$AO$1000,"Yes"))/B10,"")</f>
        <v/>
      </c>
      <c r="G10" s="58" t="str">
        <f aca="false">IFERROR((COUNTIFS('01 - Job Database'!$C$3:$C$1000,"&lt;&gt;",'01 - Job Database'!$W$3:$W$1000,"&lt;&gt;Yes",'01 - Job Database'!$B$3:$B$1000,"&gt;="&amp;DATE(2028,1,1),'01 - Job Database'!$B$3:$B$1000,"&lt;="&amp;DATE(2028,4,1)-1,'01 - Job Database'!$AJ$3:$AJ$1000,"Yes"))/B10,"")</f>
        <v/>
      </c>
      <c r="H10" s="58" t="str">
        <f aca="false">IFERROR(COUNTIFS('01 - Job Database'!$C$3:$C$1000,"&lt;&gt;",'01 - Job Database'!$W$3:$W$1000,"&lt;&gt;Yes",'01 - Job Database'!$B$3:$B$1000,"&gt;="&amp;DATE(2028,1,1),'01 - Job Database'!$B$3:$B$1000,"&lt;="&amp;DATE(2028,4,1)-1,'01 - Job Database'!$J$3:$J$1000,"Yes")/B10,"")</f>
        <v/>
      </c>
      <c r="I10" s="58" t="str">
        <f aca="false">IFERROR(COUNTIFS('01 - Job Database'!$C$3:$C$1000,"&lt;&gt;",'01 - Job Database'!$W$3:$W$1000,"&lt;&gt;Yes",'01 - Job Database'!$B$3:$B$1000,"&gt;="&amp;DATE(2028,1,1),'01 - Job Database'!$B$3:$B$1000,"&lt;="&amp;DATE(2028,4,1)-1,'01 - Job Database'!$F$3:$F$1000,"New Grad / Intern")/B10,"")</f>
        <v/>
      </c>
      <c r="J10" s="73" t="str">
        <f aca="false">IFERROR(AVERAGEIFS('01 - Job Database'!$O$3:$O$1000,'01 - Job Database'!$C$3:$C$1000,"&lt;&gt;",'01 - Job Database'!$W$3:$W$1000,"&lt;&gt;Yes",'01 - Job Database'!$B$3:$B$1000,"&gt;="&amp;DATE(2028,1,1),'01 - Job Database'!$B$3:$B$1000,"&lt;="&amp;DATE(2028,4,1)-1),"")</f>
        <v/>
      </c>
      <c r="K10" s="68" t="str">
        <f aca="false">IFERROR(COUNTIFS('01 - Job Database'!$C$3:$C$1000,"&lt;&gt;",'01 - Job Database'!$W$3:$W$1000,"&lt;&gt;Yes",'01 - Job Database'!$B$3:$B$1000,"&gt;="&amp;DATE(2028,1,1),'01 - Job Database'!$B$3:$B$1000,"&lt;="&amp;DATE(2028,4,1)-1,'01 - Job Database'!$G$3:$G$1000,"&lt;&gt;India")/B10,"")</f>
        <v/>
      </c>
      <c r="L10" s="69" t="str">
        <f aca="false">IF(SUM(N10:AC10)=0,"—",INDEX($N$3:$AC$3,MATCH(MAX(N10:AC10),N10:AC10,0)))</f>
        <v>—</v>
      </c>
      <c r="N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Database'!$E$3:$E$1000,"SWE / General")</f>
        <v>0</v>
      </c>
      <c r="O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Database'!$E$3:$E$1000,"Backend Engineer")</f>
        <v>0</v>
      </c>
      <c r="P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Database'!$E$3:$E$1000,"Frontend Engineer")</f>
        <v>0</v>
      </c>
      <c r="Q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Database'!$E$3:$E$1000,"Cloud Engineer")</f>
        <v>0</v>
      </c>
      <c r="R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Database'!$E$3:$E$1000,"DevOps Engineer")</f>
        <v>0</v>
      </c>
      <c r="S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Database'!$E$3:$E$1000,"SRE")</f>
        <v>0</v>
      </c>
      <c r="T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Database'!$E$3:$E$1000,"Data Engineer")</f>
        <v>0</v>
      </c>
      <c r="U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Database'!$E$3:$E$1000,"ML Engineer")</f>
        <v>0</v>
      </c>
      <c r="V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Database'!$E$3:$E$1000,"AI Engineer")</f>
        <v>0</v>
      </c>
      <c r="W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Database'!$E$3:$E$1000,"Systems Engineer")</f>
        <v>0</v>
      </c>
      <c r="X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Database'!$E$3:$E$1000,"Security Engineer")</f>
        <v>0</v>
      </c>
      <c r="Y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Database'!$E$3:$E$1000,"Embedded Engineer")</f>
        <v>0</v>
      </c>
      <c r="Z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Database'!$E$3:$E$1000,"Compiler Engineer")</f>
        <v>0</v>
      </c>
      <c r="AA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Database'!$E$3:$E$1000,"Platform Engineer")</f>
        <v>0</v>
      </c>
      <c r="AB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Database'!$E$3:$E$1000,"Infrastructure Engineer")</f>
        <v>0</v>
      </c>
      <c r="AC10" s="74" t="n">
        <f aca="false">COUNTIFS('01 - Job Database'!$C$3:$C$1000,"&lt;&gt;",'01 - Job Database'!$W$3:$W$1000,"&lt;&gt;Yes",'01 - Job Database'!$B$3:$B$1000,"&gt;="&amp;DATE(2028,1,1),'01 - Job Database'!$B$3:$B$1000,"&lt;="&amp;DATE(2028,4,1)-1,'01 - Job Database'!$E$3:$E$1000,"Quant / Trading Engineer")</f>
        <v>0</v>
      </c>
    </row>
    <row r="11" customFormat="false" ht="15" hidden="false" customHeight="true" outlineLevel="0" collapsed="false">
      <c r="A11" s="57" t="s">
        <v>363</v>
      </c>
      <c r="B11" s="26" t="n">
        <f aca="false">COUNTIFS('01 - Job Database'!$C$3:$C$1000,"&lt;&gt;",'01 - Job Database'!$W$3:$W$1000,"&lt;&gt;Yes",'01 - Job Database'!$B$3:$B$1000,"&gt;="&amp;DATE(2028,4,1),'01 - Job Database'!$B$3:$B$1000,"&lt;="&amp;DATE(2028,7,1)-1)</f>
        <v>0</v>
      </c>
      <c r="C11" s="58" t="str">
        <f aca="false">IFERROR((COUNTIFS('01 - Job Database'!$C$3:$C$1000,"&lt;&gt;",'01 - Job Database'!$W$3:$W$1000,"&lt;&gt;Yes",'01 - Job Database'!$B$3:$B$1000,"&gt;="&amp;DATE(2028,4,1),'01 - Job Database'!$B$3:$B$1000,"&lt;="&amp;DATE(2028,7,1)-1,'01 - Job Database'!$AT$3:$AT$1000,"Yes")+COUNTIFS('01 - Job Database'!$C$3:$C$1000,"&lt;&gt;",'01 - Job Database'!$W$3:$W$1000,"&lt;&gt;Yes",'01 - Job Database'!$B$3:$B$1000,"&gt;="&amp;DATE(2028,4,1),'01 - Job Database'!$B$3:$B$1000,"&lt;="&amp;DATE(2028,7,1)-1,'01 - Job Database'!$AU$3:$AU$1000,"Yes")+COUNTIFS('01 - Job Database'!$C$3:$C$1000,"&lt;&gt;",'01 - Job Database'!$W$3:$W$1000,"&lt;&gt;Yes",'01 - Job Database'!$B$3:$B$1000,"&gt;="&amp;DATE(2028,4,1),'01 - Job Database'!$B$3:$B$1000,"&lt;="&amp;DATE(2028,7,1)-1,'01 - Job Database'!$AW$3:$AW$1000,"Yes"))/B11,"")</f>
        <v/>
      </c>
      <c r="D11" s="58" t="str">
        <f aca="false">IFERROR((COUNTIFS('01 - Job Database'!$C$3:$C$1000,"&lt;&gt;",'01 - Job Database'!$W$3:$W$1000,"&lt;&gt;Yes",'01 - Job Database'!$B$3:$B$1000,"&gt;="&amp;DATE(2028,4,1),'01 - Job Database'!$B$3:$B$1000,"&lt;="&amp;DATE(2028,7,1)-1,'01 - Job Database'!$AB$3:$AB$1000,"Yes"))/B11,"")</f>
        <v/>
      </c>
      <c r="E11" s="58" t="str">
        <f aca="false">IFERROR((COUNTIFS('01 - Job Database'!$C$3:$C$1000,"&lt;&gt;",'01 - Job Database'!$W$3:$W$1000,"&lt;&gt;Yes",'01 - Job Database'!$B$3:$B$1000,"&gt;="&amp;DATE(2028,4,1),'01 - Job Database'!$B$3:$B$1000,"&lt;="&amp;DATE(2028,7,1)-1,'01 - Job Database'!$AX$3:$AX$1000,"Yes"))/B11,"")</f>
        <v/>
      </c>
      <c r="F11" s="58" t="str">
        <f aca="false">IFERROR((COUNTIFS('01 - Job Database'!$C$3:$C$1000,"&lt;&gt;",'01 - Job Database'!$W$3:$W$1000,"&lt;&gt;Yes",'01 - Job Database'!$B$3:$B$1000,"&gt;="&amp;DATE(2028,4,1),'01 - Job Database'!$B$3:$B$1000,"&lt;="&amp;DATE(2028,7,1)-1,'01 - Job Database'!$AO$3:$AO$1000,"Yes"))/B11,"")</f>
        <v/>
      </c>
      <c r="G11" s="58" t="str">
        <f aca="false">IFERROR((COUNTIFS('01 - Job Database'!$C$3:$C$1000,"&lt;&gt;",'01 - Job Database'!$W$3:$W$1000,"&lt;&gt;Yes",'01 - Job Database'!$B$3:$B$1000,"&gt;="&amp;DATE(2028,4,1),'01 - Job Database'!$B$3:$B$1000,"&lt;="&amp;DATE(2028,7,1)-1,'01 - Job Database'!$AJ$3:$AJ$1000,"Yes"))/B11,"")</f>
        <v/>
      </c>
      <c r="H11" s="58" t="str">
        <f aca="false">IFERROR(COUNTIFS('01 - Job Database'!$C$3:$C$1000,"&lt;&gt;",'01 - Job Database'!$W$3:$W$1000,"&lt;&gt;Yes",'01 - Job Database'!$B$3:$B$1000,"&gt;="&amp;DATE(2028,4,1),'01 - Job Database'!$B$3:$B$1000,"&lt;="&amp;DATE(2028,7,1)-1,'01 - Job Database'!$J$3:$J$1000,"Yes")/B11,"")</f>
        <v/>
      </c>
      <c r="I11" s="58" t="str">
        <f aca="false">IFERROR(COUNTIFS('01 - Job Database'!$C$3:$C$1000,"&lt;&gt;",'01 - Job Database'!$W$3:$W$1000,"&lt;&gt;Yes",'01 - Job Database'!$B$3:$B$1000,"&gt;="&amp;DATE(2028,4,1),'01 - Job Database'!$B$3:$B$1000,"&lt;="&amp;DATE(2028,7,1)-1,'01 - Job Database'!$F$3:$F$1000,"New Grad / Intern")/B11,"")</f>
        <v/>
      </c>
      <c r="J11" s="73" t="str">
        <f aca="false">IFERROR(AVERAGEIFS('01 - Job Database'!$O$3:$O$1000,'01 - Job Database'!$C$3:$C$1000,"&lt;&gt;",'01 - Job Database'!$W$3:$W$1000,"&lt;&gt;Yes",'01 - Job Database'!$B$3:$B$1000,"&gt;="&amp;DATE(2028,4,1),'01 - Job Database'!$B$3:$B$1000,"&lt;="&amp;DATE(2028,7,1)-1),"")</f>
        <v/>
      </c>
      <c r="K11" s="68" t="str">
        <f aca="false">IFERROR(COUNTIFS('01 - Job Database'!$C$3:$C$1000,"&lt;&gt;",'01 - Job Database'!$W$3:$W$1000,"&lt;&gt;Yes",'01 - Job Database'!$B$3:$B$1000,"&gt;="&amp;DATE(2028,4,1),'01 - Job Database'!$B$3:$B$1000,"&lt;="&amp;DATE(2028,7,1)-1,'01 - Job Database'!$G$3:$G$1000,"&lt;&gt;India")/B11,"")</f>
        <v/>
      </c>
      <c r="L11" s="69" t="str">
        <f aca="false">IF(SUM(N11:AC11)=0,"—",INDEX($N$3:$AC$3,MATCH(MAX(N11:AC11),N11:AC11,0)))</f>
        <v>—</v>
      </c>
      <c r="N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Database'!$E$3:$E$1000,"SWE / General")</f>
        <v>0</v>
      </c>
      <c r="O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Database'!$E$3:$E$1000,"Backend Engineer")</f>
        <v>0</v>
      </c>
      <c r="P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Database'!$E$3:$E$1000,"Frontend Engineer")</f>
        <v>0</v>
      </c>
      <c r="Q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Database'!$E$3:$E$1000,"Cloud Engineer")</f>
        <v>0</v>
      </c>
      <c r="R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Database'!$E$3:$E$1000,"DevOps Engineer")</f>
        <v>0</v>
      </c>
      <c r="S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Database'!$E$3:$E$1000,"SRE")</f>
        <v>0</v>
      </c>
      <c r="T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Database'!$E$3:$E$1000,"Data Engineer")</f>
        <v>0</v>
      </c>
      <c r="U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Database'!$E$3:$E$1000,"ML Engineer")</f>
        <v>0</v>
      </c>
      <c r="V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Database'!$E$3:$E$1000,"AI Engineer")</f>
        <v>0</v>
      </c>
      <c r="W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Database'!$E$3:$E$1000,"Systems Engineer")</f>
        <v>0</v>
      </c>
      <c r="X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Database'!$E$3:$E$1000,"Security Engineer")</f>
        <v>0</v>
      </c>
      <c r="Y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Database'!$E$3:$E$1000,"Embedded Engineer")</f>
        <v>0</v>
      </c>
      <c r="Z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Database'!$E$3:$E$1000,"Compiler Engineer")</f>
        <v>0</v>
      </c>
      <c r="AA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Database'!$E$3:$E$1000,"Platform Engineer")</f>
        <v>0</v>
      </c>
      <c r="AB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Database'!$E$3:$E$1000,"Infrastructure Engineer")</f>
        <v>0</v>
      </c>
      <c r="AC11" s="74" t="n">
        <f aca="false">COUNTIFS('01 - Job Database'!$C$3:$C$1000,"&lt;&gt;",'01 - Job Database'!$W$3:$W$1000,"&lt;&gt;Yes",'01 - Job Database'!$B$3:$B$1000,"&gt;="&amp;DATE(2028,4,1),'01 - Job Database'!$B$3:$B$1000,"&lt;="&amp;DATE(2028,7,1)-1,'01 - Job Database'!$E$3:$E$1000,"Quant / Trading Engineer")</f>
        <v>0</v>
      </c>
    </row>
    <row r="12" customFormat="false" ht="15" hidden="false" customHeight="true" outlineLevel="0" collapsed="false">
      <c r="A12" s="57" t="s">
        <v>364</v>
      </c>
      <c r="B12" s="26" t="n">
        <f aca="false">COUNTIFS('01 - Job Database'!$C$3:$C$1000,"&lt;&gt;",'01 - Job Database'!$W$3:$W$1000,"&lt;&gt;Yes",'01 - Job Database'!$B$3:$B$1000,"&gt;="&amp;DATE(2028,7,1),'01 - Job Database'!$B$3:$B$1000,"&lt;="&amp;DATE(2028,10,1)-1)</f>
        <v>0</v>
      </c>
      <c r="C12" s="58" t="str">
        <f aca="false">IFERROR((COUNTIFS('01 - Job Database'!$C$3:$C$1000,"&lt;&gt;",'01 - Job Database'!$W$3:$W$1000,"&lt;&gt;Yes",'01 - Job Database'!$B$3:$B$1000,"&gt;="&amp;DATE(2028,7,1),'01 - Job Database'!$B$3:$B$1000,"&lt;="&amp;DATE(2028,10,1)-1,'01 - Job Database'!$AT$3:$AT$1000,"Yes")+COUNTIFS('01 - Job Database'!$C$3:$C$1000,"&lt;&gt;",'01 - Job Database'!$W$3:$W$1000,"&lt;&gt;Yes",'01 - Job Database'!$B$3:$B$1000,"&gt;="&amp;DATE(2028,7,1),'01 - Job Database'!$B$3:$B$1000,"&lt;="&amp;DATE(2028,10,1)-1,'01 - Job Database'!$AU$3:$AU$1000,"Yes")+COUNTIFS('01 - Job Database'!$C$3:$C$1000,"&lt;&gt;",'01 - Job Database'!$W$3:$W$1000,"&lt;&gt;Yes",'01 - Job Database'!$B$3:$B$1000,"&gt;="&amp;DATE(2028,7,1),'01 - Job Database'!$B$3:$B$1000,"&lt;="&amp;DATE(2028,10,1)-1,'01 - Job Database'!$AW$3:$AW$1000,"Yes"))/B12,"")</f>
        <v/>
      </c>
      <c r="D12" s="58" t="str">
        <f aca="false">IFERROR((COUNTIFS('01 - Job Database'!$C$3:$C$1000,"&lt;&gt;",'01 - Job Database'!$W$3:$W$1000,"&lt;&gt;Yes",'01 - Job Database'!$B$3:$B$1000,"&gt;="&amp;DATE(2028,7,1),'01 - Job Database'!$B$3:$B$1000,"&lt;="&amp;DATE(2028,10,1)-1,'01 - Job Database'!$AB$3:$AB$1000,"Yes"))/B12,"")</f>
        <v/>
      </c>
      <c r="E12" s="58" t="str">
        <f aca="false">IFERROR((COUNTIFS('01 - Job Database'!$C$3:$C$1000,"&lt;&gt;",'01 - Job Database'!$W$3:$W$1000,"&lt;&gt;Yes",'01 - Job Database'!$B$3:$B$1000,"&gt;="&amp;DATE(2028,7,1),'01 - Job Database'!$B$3:$B$1000,"&lt;="&amp;DATE(2028,10,1)-1,'01 - Job Database'!$AX$3:$AX$1000,"Yes"))/B12,"")</f>
        <v/>
      </c>
      <c r="F12" s="58" t="str">
        <f aca="false">IFERROR((COUNTIFS('01 - Job Database'!$C$3:$C$1000,"&lt;&gt;",'01 - Job Database'!$W$3:$W$1000,"&lt;&gt;Yes",'01 - Job Database'!$B$3:$B$1000,"&gt;="&amp;DATE(2028,7,1),'01 - Job Database'!$B$3:$B$1000,"&lt;="&amp;DATE(2028,10,1)-1,'01 - Job Database'!$AO$3:$AO$1000,"Yes"))/B12,"")</f>
        <v/>
      </c>
      <c r="G12" s="58" t="str">
        <f aca="false">IFERROR((COUNTIFS('01 - Job Database'!$C$3:$C$1000,"&lt;&gt;",'01 - Job Database'!$W$3:$W$1000,"&lt;&gt;Yes",'01 - Job Database'!$B$3:$B$1000,"&gt;="&amp;DATE(2028,7,1),'01 - Job Database'!$B$3:$B$1000,"&lt;="&amp;DATE(2028,10,1)-1,'01 - Job Database'!$AJ$3:$AJ$1000,"Yes"))/B12,"")</f>
        <v/>
      </c>
      <c r="H12" s="58" t="str">
        <f aca="false">IFERROR(COUNTIFS('01 - Job Database'!$C$3:$C$1000,"&lt;&gt;",'01 - Job Database'!$W$3:$W$1000,"&lt;&gt;Yes",'01 - Job Database'!$B$3:$B$1000,"&gt;="&amp;DATE(2028,7,1),'01 - Job Database'!$B$3:$B$1000,"&lt;="&amp;DATE(2028,10,1)-1,'01 - Job Database'!$J$3:$J$1000,"Yes")/B12,"")</f>
        <v/>
      </c>
      <c r="I12" s="58" t="str">
        <f aca="false">IFERROR(COUNTIFS('01 - Job Database'!$C$3:$C$1000,"&lt;&gt;",'01 - Job Database'!$W$3:$W$1000,"&lt;&gt;Yes",'01 - Job Database'!$B$3:$B$1000,"&gt;="&amp;DATE(2028,7,1),'01 - Job Database'!$B$3:$B$1000,"&lt;="&amp;DATE(2028,10,1)-1,'01 - Job Database'!$F$3:$F$1000,"New Grad / Intern")/B12,"")</f>
        <v/>
      </c>
      <c r="J12" s="73" t="str">
        <f aca="false">IFERROR(AVERAGEIFS('01 - Job Database'!$O$3:$O$1000,'01 - Job Database'!$C$3:$C$1000,"&lt;&gt;",'01 - Job Database'!$W$3:$W$1000,"&lt;&gt;Yes",'01 - Job Database'!$B$3:$B$1000,"&gt;="&amp;DATE(2028,7,1),'01 - Job Database'!$B$3:$B$1000,"&lt;="&amp;DATE(2028,10,1)-1),"")</f>
        <v/>
      </c>
      <c r="K12" s="68" t="str">
        <f aca="false">IFERROR(COUNTIFS('01 - Job Database'!$C$3:$C$1000,"&lt;&gt;",'01 - Job Database'!$W$3:$W$1000,"&lt;&gt;Yes",'01 - Job Database'!$B$3:$B$1000,"&gt;="&amp;DATE(2028,7,1),'01 - Job Database'!$B$3:$B$1000,"&lt;="&amp;DATE(2028,10,1)-1,'01 - Job Database'!$G$3:$G$1000,"&lt;&gt;India")/B12,"")</f>
        <v/>
      </c>
      <c r="L12" s="69" t="str">
        <f aca="false">IF(SUM(N12:AC12)=0,"—",INDEX($N$3:$AC$3,MATCH(MAX(N12:AC12),N12:AC12,0)))</f>
        <v>—</v>
      </c>
      <c r="N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Database'!$E$3:$E$1000,"SWE / General")</f>
        <v>0</v>
      </c>
      <c r="O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Database'!$E$3:$E$1000,"Backend Engineer")</f>
        <v>0</v>
      </c>
      <c r="P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Database'!$E$3:$E$1000,"Frontend Engineer")</f>
        <v>0</v>
      </c>
      <c r="Q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Database'!$E$3:$E$1000,"Cloud Engineer")</f>
        <v>0</v>
      </c>
      <c r="R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Database'!$E$3:$E$1000,"DevOps Engineer")</f>
        <v>0</v>
      </c>
      <c r="S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Database'!$E$3:$E$1000,"SRE")</f>
        <v>0</v>
      </c>
      <c r="T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Database'!$E$3:$E$1000,"Data Engineer")</f>
        <v>0</v>
      </c>
      <c r="U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Database'!$E$3:$E$1000,"ML Engineer")</f>
        <v>0</v>
      </c>
      <c r="V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Database'!$E$3:$E$1000,"AI Engineer")</f>
        <v>0</v>
      </c>
      <c r="W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Database'!$E$3:$E$1000,"Systems Engineer")</f>
        <v>0</v>
      </c>
      <c r="X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Database'!$E$3:$E$1000,"Security Engineer")</f>
        <v>0</v>
      </c>
      <c r="Y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Database'!$E$3:$E$1000,"Embedded Engineer")</f>
        <v>0</v>
      </c>
      <c r="Z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Database'!$E$3:$E$1000,"Compiler Engineer")</f>
        <v>0</v>
      </c>
      <c r="AA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Database'!$E$3:$E$1000,"Platform Engineer")</f>
        <v>0</v>
      </c>
      <c r="AB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Database'!$E$3:$E$1000,"Infrastructure Engineer")</f>
        <v>0</v>
      </c>
      <c r="AC12" s="74" t="n">
        <f aca="false">COUNTIFS('01 - Job Database'!$C$3:$C$1000,"&lt;&gt;",'01 - Job Database'!$W$3:$W$1000,"&lt;&gt;Yes",'01 - Job Database'!$B$3:$B$1000,"&gt;="&amp;DATE(2028,7,1),'01 - Job Database'!$B$3:$B$1000,"&lt;="&amp;DATE(2028,10,1)-1,'01 - Job Database'!$E$3:$E$1000,"Quant / Trading Engineer")</f>
        <v>0</v>
      </c>
    </row>
    <row r="13" customFormat="false" ht="15" hidden="false" customHeight="true" outlineLevel="0" collapsed="false">
      <c r="A13" s="57" t="s">
        <v>365</v>
      </c>
      <c r="B13" s="26" t="n">
        <f aca="false">COUNTIFS('01 - Job Database'!$C$3:$C$1000,"&lt;&gt;",'01 - Job Database'!$W$3:$W$1000,"&lt;&gt;Yes",'01 - Job Database'!$B$3:$B$1000,"&gt;="&amp;DATE(2028,10,1),'01 - Job Database'!$B$3:$B$1000,"&lt;="&amp;DATE(2029,1,1)-1)</f>
        <v>0</v>
      </c>
      <c r="C13" s="58" t="str">
        <f aca="false">IFERROR((COUNTIFS('01 - Job Database'!$C$3:$C$1000,"&lt;&gt;",'01 - Job Database'!$W$3:$W$1000,"&lt;&gt;Yes",'01 - Job Database'!$B$3:$B$1000,"&gt;="&amp;DATE(2028,10,1),'01 - Job Database'!$B$3:$B$1000,"&lt;="&amp;DATE(2029,1,1)-1,'01 - Job Database'!$AT$3:$AT$1000,"Yes")+COUNTIFS('01 - Job Database'!$C$3:$C$1000,"&lt;&gt;",'01 - Job Database'!$W$3:$W$1000,"&lt;&gt;Yes",'01 - Job Database'!$B$3:$B$1000,"&gt;="&amp;DATE(2028,10,1),'01 - Job Database'!$B$3:$B$1000,"&lt;="&amp;DATE(2029,1,1)-1,'01 - Job Database'!$AU$3:$AU$1000,"Yes")+COUNTIFS('01 - Job Database'!$C$3:$C$1000,"&lt;&gt;",'01 - Job Database'!$W$3:$W$1000,"&lt;&gt;Yes",'01 - Job Database'!$B$3:$B$1000,"&gt;="&amp;DATE(2028,10,1),'01 - Job Database'!$B$3:$B$1000,"&lt;="&amp;DATE(2029,1,1)-1,'01 - Job Database'!$AW$3:$AW$1000,"Yes"))/B13,"")</f>
        <v/>
      </c>
      <c r="D13" s="58" t="str">
        <f aca="false">IFERROR((COUNTIFS('01 - Job Database'!$C$3:$C$1000,"&lt;&gt;",'01 - Job Database'!$W$3:$W$1000,"&lt;&gt;Yes",'01 - Job Database'!$B$3:$B$1000,"&gt;="&amp;DATE(2028,10,1),'01 - Job Database'!$B$3:$B$1000,"&lt;="&amp;DATE(2029,1,1)-1,'01 - Job Database'!$AB$3:$AB$1000,"Yes"))/B13,"")</f>
        <v/>
      </c>
      <c r="E13" s="58" t="str">
        <f aca="false">IFERROR((COUNTIFS('01 - Job Database'!$C$3:$C$1000,"&lt;&gt;",'01 - Job Database'!$W$3:$W$1000,"&lt;&gt;Yes",'01 - Job Database'!$B$3:$B$1000,"&gt;="&amp;DATE(2028,10,1),'01 - Job Database'!$B$3:$B$1000,"&lt;="&amp;DATE(2029,1,1)-1,'01 - Job Database'!$AX$3:$AX$1000,"Yes"))/B13,"")</f>
        <v/>
      </c>
      <c r="F13" s="58" t="str">
        <f aca="false">IFERROR((COUNTIFS('01 - Job Database'!$C$3:$C$1000,"&lt;&gt;",'01 - Job Database'!$W$3:$W$1000,"&lt;&gt;Yes",'01 - Job Database'!$B$3:$B$1000,"&gt;="&amp;DATE(2028,10,1),'01 - Job Database'!$B$3:$B$1000,"&lt;="&amp;DATE(2029,1,1)-1,'01 - Job Database'!$AO$3:$AO$1000,"Yes"))/B13,"")</f>
        <v/>
      </c>
      <c r="G13" s="58" t="str">
        <f aca="false">IFERROR((COUNTIFS('01 - Job Database'!$C$3:$C$1000,"&lt;&gt;",'01 - Job Database'!$W$3:$W$1000,"&lt;&gt;Yes",'01 - Job Database'!$B$3:$B$1000,"&gt;="&amp;DATE(2028,10,1),'01 - Job Database'!$B$3:$B$1000,"&lt;="&amp;DATE(2029,1,1)-1,'01 - Job Database'!$AJ$3:$AJ$1000,"Yes"))/B13,"")</f>
        <v/>
      </c>
      <c r="H13" s="58" t="str">
        <f aca="false">IFERROR(COUNTIFS('01 - Job Database'!$C$3:$C$1000,"&lt;&gt;",'01 - Job Database'!$W$3:$W$1000,"&lt;&gt;Yes",'01 - Job Database'!$B$3:$B$1000,"&gt;="&amp;DATE(2028,10,1),'01 - Job Database'!$B$3:$B$1000,"&lt;="&amp;DATE(2029,1,1)-1,'01 - Job Database'!$J$3:$J$1000,"Yes")/B13,"")</f>
        <v/>
      </c>
      <c r="I13" s="58" t="str">
        <f aca="false">IFERROR(COUNTIFS('01 - Job Database'!$C$3:$C$1000,"&lt;&gt;",'01 - Job Database'!$W$3:$W$1000,"&lt;&gt;Yes",'01 - Job Database'!$B$3:$B$1000,"&gt;="&amp;DATE(2028,10,1),'01 - Job Database'!$B$3:$B$1000,"&lt;="&amp;DATE(2029,1,1)-1,'01 - Job Database'!$F$3:$F$1000,"New Grad / Intern")/B13,"")</f>
        <v/>
      </c>
      <c r="J13" s="73" t="str">
        <f aca="false">IFERROR(AVERAGEIFS('01 - Job Database'!$O$3:$O$1000,'01 - Job Database'!$C$3:$C$1000,"&lt;&gt;",'01 - Job Database'!$W$3:$W$1000,"&lt;&gt;Yes",'01 - Job Database'!$B$3:$B$1000,"&gt;="&amp;DATE(2028,10,1),'01 - Job Database'!$B$3:$B$1000,"&lt;="&amp;DATE(2029,1,1)-1),"")</f>
        <v/>
      </c>
      <c r="K13" s="68" t="str">
        <f aca="false">IFERROR(COUNTIFS('01 - Job Database'!$C$3:$C$1000,"&lt;&gt;",'01 - Job Database'!$W$3:$W$1000,"&lt;&gt;Yes",'01 - Job Database'!$B$3:$B$1000,"&gt;="&amp;DATE(2028,10,1),'01 - Job Database'!$B$3:$B$1000,"&lt;="&amp;DATE(2029,1,1)-1,'01 - Job Database'!$G$3:$G$1000,"&lt;&gt;India")/B13,"")</f>
        <v/>
      </c>
      <c r="L13" s="69" t="str">
        <f aca="false">IF(SUM(N13:AC13)=0,"—",INDEX($N$3:$AC$3,MATCH(MAX(N13:AC13),N13:AC13,0)))</f>
        <v>—</v>
      </c>
      <c r="N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Database'!$E$3:$E$1000,"SWE / General")</f>
        <v>0</v>
      </c>
      <c r="O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Database'!$E$3:$E$1000,"Backend Engineer")</f>
        <v>0</v>
      </c>
      <c r="P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Database'!$E$3:$E$1000,"Frontend Engineer")</f>
        <v>0</v>
      </c>
      <c r="Q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Database'!$E$3:$E$1000,"Cloud Engineer")</f>
        <v>0</v>
      </c>
      <c r="R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Database'!$E$3:$E$1000,"DevOps Engineer")</f>
        <v>0</v>
      </c>
      <c r="S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Database'!$E$3:$E$1000,"SRE")</f>
        <v>0</v>
      </c>
      <c r="T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Database'!$E$3:$E$1000,"Data Engineer")</f>
        <v>0</v>
      </c>
      <c r="U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Database'!$E$3:$E$1000,"ML Engineer")</f>
        <v>0</v>
      </c>
      <c r="V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Database'!$E$3:$E$1000,"AI Engineer")</f>
        <v>0</v>
      </c>
      <c r="W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Database'!$E$3:$E$1000,"Systems Engineer")</f>
        <v>0</v>
      </c>
      <c r="X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Database'!$E$3:$E$1000,"Security Engineer")</f>
        <v>0</v>
      </c>
      <c r="Y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Database'!$E$3:$E$1000,"Embedded Engineer")</f>
        <v>0</v>
      </c>
      <c r="Z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Database'!$E$3:$E$1000,"Compiler Engineer")</f>
        <v>0</v>
      </c>
      <c r="AA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Database'!$E$3:$E$1000,"Platform Engineer")</f>
        <v>0</v>
      </c>
      <c r="AB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Database'!$E$3:$E$1000,"Infrastructure Engineer")</f>
        <v>0</v>
      </c>
      <c r="AC13" s="74" t="n">
        <f aca="false">COUNTIFS('01 - Job Database'!$C$3:$C$1000,"&lt;&gt;",'01 - Job Database'!$W$3:$W$1000,"&lt;&gt;Yes",'01 - Job Database'!$B$3:$B$1000,"&gt;="&amp;DATE(2028,10,1),'01 - Job Database'!$B$3:$B$1000,"&lt;="&amp;DATE(2029,1,1)-1,'01 - Job Database'!$E$3:$E$1000,"Quant / Trading Engineer")</f>
        <v>0</v>
      </c>
    </row>
    <row r="15" customFormat="false" ht="15" hidden="false" customHeight="true" outlineLevel="0" collapsed="false">
      <c r="A15" s="48" t="s">
        <v>366</v>
      </c>
      <c r="B15" s="48"/>
      <c r="C15" s="48"/>
      <c r="D15" s="48"/>
      <c r="E15" s="48"/>
      <c r="F15" s="48"/>
      <c r="G15" s="48"/>
      <c r="H15" s="48"/>
      <c r="I15" s="48"/>
    </row>
    <row r="16" customFormat="false" ht="15" hidden="false" customHeight="true" outlineLevel="0" collapsed="false">
      <c r="A16" s="56" t="s">
        <v>367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</row>
  </sheetData>
  <mergeCells count="3">
    <mergeCell ref="A1:I1"/>
    <mergeCell ref="A15:I15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8" min="3" style="1" width="13"/>
    <col collapsed="false" customWidth="true" hidden="false" outlineLevel="0" max="11" min="9" style="1" width="12"/>
  </cols>
  <sheetData>
    <row r="1" customFormat="false" ht="27.75" hidden="false" customHeight="true" outlineLevel="0" collapsed="false">
      <c r="A1" s="75" t="s">
        <v>368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3" customFormat="false" ht="15" hidden="false" customHeight="true" outlineLevel="0" collapsed="false">
      <c r="A3" s="56" t="s">
        <v>369</v>
      </c>
      <c r="B3" s="56"/>
      <c r="C3" s="56"/>
      <c r="D3" s="56"/>
      <c r="E3" s="56"/>
      <c r="F3" s="56"/>
      <c r="G3" s="56"/>
      <c r="H3" s="56"/>
      <c r="I3" s="56"/>
      <c r="J3" s="56"/>
      <c r="K3" s="56"/>
    </row>
    <row r="6" customFormat="false" ht="15" hidden="false" customHeight="true" outlineLevel="0" collapsed="false">
      <c r="A6" s="76" t="s">
        <v>370</v>
      </c>
      <c r="B6" s="76"/>
      <c r="C6" s="76"/>
      <c r="D6" s="76"/>
      <c r="E6" s="76"/>
      <c r="F6" s="76"/>
      <c r="G6" s="76"/>
      <c r="H6" s="76"/>
      <c r="I6" s="76"/>
      <c r="J6" s="76"/>
      <c r="K6" s="76"/>
    </row>
    <row r="8" customFormat="false" ht="34.5" hidden="false" customHeight="true" outlineLevel="0" collapsed="false">
      <c r="A8" s="65" t="s">
        <v>201</v>
      </c>
      <c r="B8" s="65" t="s">
        <v>371</v>
      </c>
      <c r="C8" s="65" t="s">
        <v>372</v>
      </c>
      <c r="D8" s="65" t="s">
        <v>373</v>
      </c>
      <c r="E8" s="65" t="s">
        <v>374</v>
      </c>
      <c r="F8" s="65" t="s">
        <v>375</v>
      </c>
      <c r="G8" s="65" t="s">
        <v>376</v>
      </c>
      <c r="H8" s="65" t="s">
        <v>377</v>
      </c>
      <c r="I8" s="65" t="s">
        <v>378</v>
      </c>
      <c r="J8" s="65" t="s">
        <v>379</v>
      </c>
      <c r="K8" s="65" t="s">
        <v>380</v>
      </c>
    </row>
    <row r="9" customFormat="false" ht="15" hidden="false" customHeight="true" outlineLevel="0" collapsed="false">
      <c r="A9" s="50" t="s">
        <v>231</v>
      </c>
      <c r="B9" s="34" t="n">
        <f aca="false">COUNTIFS('01 - Job Database'!$C$3:$C$1000,"&lt;&gt;",'01 - Job Database'!$W$3:$W$1000,"&lt;&gt;Yes",'01 - Job Database'!$E$3:$E$1000,$A9,'01 - Job Database'!$BJ$3:$BJ$1000,"Yes")</f>
        <v>0</v>
      </c>
      <c r="C9" s="35" t="str">
        <f aca="false">IFERROR(AVERAGEIFS('01 - Job Database'!$BK$3:$BK$1000,'01 - Job Database'!$C$3:$C$1000,"&lt;&gt;",'01 - Job Database'!$W$3:$W$1000,"&lt;&gt;Yes",'01 - Job Database'!$E$3:$E$1000,$A9,'01 - Job Database'!$BJ$3:$BJ$1000,"Yes"),"")</f>
        <v/>
      </c>
      <c r="D9" s="35" t="str">
        <f aca="false">IFERROR(AVERAGEIFS('01 - Job Database'!$BL$3:$BL$1000,'01 - Job Database'!$C$3:$C$1000,"&lt;&gt;",'01 - Job Database'!$W$3:$W$1000,"&lt;&gt;Yes",'01 - Job Database'!$E$3:$E$1000,$A9,'01 - Job Database'!$BJ$3:$BJ$1000,"Yes"),"")</f>
        <v/>
      </c>
      <c r="E9" s="35" t="str">
        <f aca="false">IFERROR(AVERAGEIFS('01 - Job Database'!$BM$3:$BM$1000,'01 - Job Database'!$C$3:$C$1000,"&lt;&gt;",'01 - Job Database'!$W$3:$W$1000,"&lt;&gt;Yes",'01 - Job Database'!$E$3:$E$1000,$A9,'01 - Job Database'!$BJ$3:$BJ$1000,"Yes"),"")</f>
        <v/>
      </c>
      <c r="F9" s="35" t="str">
        <f aca="false">IFERROR(AVERAGEIFS('01 - Job Database'!$BN$3:$BN$1000,'01 - Job Database'!$C$3:$C$1000,"&lt;&gt;",'01 - Job Database'!$W$3:$W$1000,"&lt;&gt;Yes",'01 - Job Database'!$E$3:$E$1000,$A9,'01 - Job Database'!$BJ$3:$BJ$1000,"Yes"),"")</f>
        <v/>
      </c>
      <c r="G9" s="35" t="str">
        <f aca="false">IFERROR(AVERAGEIFS('01 - Job Database'!$BO$3:$BO$1000,'01 - Job Database'!$C$3:$C$1000,"&lt;&gt;",'01 - Job Database'!$W$3:$W$1000,"&lt;&gt;Yes",'01 - Job Database'!$E$3:$E$1000,$A9,'01 - Job Database'!$BJ$3:$BJ$1000,"Yes"),"")</f>
        <v/>
      </c>
      <c r="H9" s="35" t="str">
        <f aca="false">IFERROR(AVERAGEIFS('01 - Job Database'!$BP$3:$BP$1000,'01 - Job Database'!$C$3:$C$1000,"&lt;&gt;",'01 - Job Database'!$W$3:$W$1000,"&lt;&gt;Yes",'01 - Job Database'!$E$3:$E$1000,$A9,'01 - Job Database'!$BJ$3:$BJ$1000,"Yes"),"")</f>
        <v/>
      </c>
      <c r="I9" s="77" t="str">
        <f aca="false">IFERROR(C9/(C9+E9+G9),"")</f>
        <v/>
      </c>
      <c r="J9" s="77" t="str">
        <f aca="false">IFERROR(E9/(C9+E9+G9),"")</f>
        <v/>
      </c>
      <c r="K9" s="77" t="str">
        <f aca="false">IFERROR(G9/(C9+E9+G9),"")</f>
        <v/>
      </c>
    </row>
    <row r="10" customFormat="false" ht="15" hidden="false" customHeight="true" outlineLevel="0" collapsed="false">
      <c r="A10" s="50" t="s">
        <v>151</v>
      </c>
      <c r="B10" s="34" t="n">
        <f aca="false">COUNTIFS('01 - Job Database'!$C$3:$C$1000,"&lt;&gt;",'01 - Job Database'!$W$3:$W$1000,"&lt;&gt;Yes",'01 - Job Database'!$E$3:$E$1000,$A10,'01 - Job Database'!$BJ$3:$BJ$1000,"Yes")</f>
        <v>0</v>
      </c>
      <c r="C10" s="35" t="str">
        <f aca="false">IFERROR(AVERAGEIFS('01 - Job Database'!$BK$3:$BK$1000,'01 - Job Database'!$C$3:$C$1000,"&lt;&gt;",'01 - Job Database'!$W$3:$W$1000,"&lt;&gt;Yes",'01 - Job Database'!$E$3:$E$1000,$A10,'01 - Job Database'!$BJ$3:$BJ$1000,"Yes"),"")</f>
        <v/>
      </c>
      <c r="D10" s="35" t="str">
        <f aca="false">IFERROR(AVERAGEIFS('01 - Job Database'!$BL$3:$BL$1000,'01 - Job Database'!$C$3:$C$1000,"&lt;&gt;",'01 - Job Database'!$W$3:$W$1000,"&lt;&gt;Yes",'01 - Job Database'!$E$3:$E$1000,$A10,'01 - Job Database'!$BJ$3:$BJ$1000,"Yes"),"")</f>
        <v/>
      </c>
      <c r="E10" s="35" t="str">
        <f aca="false">IFERROR(AVERAGEIFS('01 - Job Database'!$BM$3:$BM$1000,'01 - Job Database'!$C$3:$C$1000,"&lt;&gt;",'01 - Job Database'!$W$3:$W$1000,"&lt;&gt;Yes",'01 - Job Database'!$E$3:$E$1000,$A10,'01 - Job Database'!$BJ$3:$BJ$1000,"Yes"),"")</f>
        <v/>
      </c>
      <c r="F10" s="35" t="str">
        <f aca="false">IFERROR(AVERAGEIFS('01 - Job Database'!$BN$3:$BN$1000,'01 - Job Database'!$C$3:$C$1000,"&lt;&gt;",'01 - Job Database'!$W$3:$W$1000,"&lt;&gt;Yes",'01 - Job Database'!$E$3:$E$1000,$A10,'01 - Job Database'!$BJ$3:$BJ$1000,"Yes"),"")</f>
        <v/>
      </c>
      <c r="G10" s="35" t="str">
        <f aca="false">IFERROR(AVERAGEIFS('01 - Job Database'!$BO$3:$BO$1000,'01 - Job Database'!$C$3:$C$1000,"&lt;&gt;",'01 - Job Database'!$W$3:$W$1000,"&lt;&gt;Yes",'01 - Job Database'!$E$3:$E$1000,$A10,'01 - Job Database'!$BJ$3:$BJ$1000,"Yes"),"")</f>
        <v/>
      </c>
      <c r="H10" s="35" t="str">
        <f aca="false">IFERROR(AVERAGEIFS('01 - Job Database'!$BP$3:$BP$1000,'01 - Job Database'!$C$3:$C$1000,"&lt;&gt;",'01 - Job Database'!$W$3:$W$1000,"&lt;&gt;Yes",'01 - Job Database'!$E$3:$E$1000,$A10,'01 - Job Database'!$BJ$3:$BJ$1000,"Yes"),"")</f>
        <v/>
      </c>
      <c r="I10" s="77" t="str">
        <f aca="false">IFERROR(C10/(C10+E10+G10),"")</f>
        <v/>
      </c>
      <c r="J10" s="77" t="str">
        <f aca="false">IFERROR(E10/(C10+E10+G10),"")</f>
        <v/>
      </c>
      <c r="K10" s="77" t="str">
        <f aca="false">IFERROR(G10/(C10+E10+G10),"")</f>
        <v/>
      </c>
    </row>
    <row r="11" customFormat="false" ht="15" hidden="false" customHeight="true" outlineLevel="0" collapsed="false">
      <c r="A11" s="50" t="s">
        <v>232</v>
      </c>
      <c r="B11" s="34" t="n">
        <f aca="false">COUNTIFS('01 - Job Database'!$C$3:$C$1000,"&lt;&gt;",'01 - Job Database'!$W$3:$W$1000,"&lt;&gt;Yes",'01 - Job Database'!$E$3:$E$1000,$A11,'01 - Job Database'!$BJ$3:$BJ$1000,"Yes")</f>
        <v>0</v>
      </c>
      <c r="C11" s="35" t="str">
        <f aca="false">IFERROR(AVERAGEIFS('01 - Job Database'!$BK$3:$BK$1000,'01 - Job Database'!$C$3:$C$1000,"&lt;&gt;",'01 - Job Database'!$W$3:$W$1000,"&lt;&gt;Yes",'01 - Job Database'!$E$3:$E$1000,$A11,'01 - Job Database'!$BJ$3:$BJ$1000,"Yes"),"")</f>
        <v/>
      </c>
      <c r="D11" s="35" t="str">
        <f aca="false">IFERROR(AVERAGEIFS('01 - Job Database'!$BL$3:$BL$1000,'01 - Job Database'!$C$3:$C$1000,"&lt;&gt;",'01 - Job Database'!$W$3:$W$1000,"&lt;&gt;Yes",'01 - Job Database'!$E$3:$E$1000,$A11,'01 - Job Database'!$BJ$3:$BJ$1000,"Yes"),"")</f>
        <v/>
      </c>
      <c r="E11" s="35" t="str">
        <f aca="false">IFERROR(AVERAGEIFS('01 - Job Database'!$BM$3:$BM$1000,'01 - Job Database'!$C$3:$C$1000,"&lt;&gt;",'01 - Job Database'!$W$3:$W$1000,"&lt;&gt;Yes",'01 - Job Database'!$E$3:$E$1000,$A11,'01 - Job Database'!$BJ$3:$BJ$1000,"Yes"),"")</f>
        <v/>
      </c>
      <c r="F11" s="35" t="str">
        <f aca="false">IFERROR(AVERAGEIFS('01 - Job Database'!$BN$3:$BN$1000,'01 - Job Database'!$C$3:$C$1000,"&lt;&gt;",'01 - Job Database'!$W$3:$W$1000,"&lt;&gt;Yes",'01 - Job Database'!$E$3:$E$1000,$A11,'01 - Job Database'!$BJ$3:$BJ$1000,"Yes"),"")</f>
        <v/>
      </c>
      <c r="G11" s="35" t="str">
        <f aca="false">IFERROR(AVERAGEIFS('01 - Job Database'!$BO$3:$BO$1000,'01 - Job Database'!$C$3:$C$1000,"&lt;&gt;",'01 - Job Database'!$W$3:$W$1000,"&lt;&gt;Yes",'01 - Job Database'!$E$3:$E$1000,$A11,'01 - Job Database'!$BJ$3:$BJ$1000,"Yes"),"")</f>
        <v/>
      </c>
      <c r="H11" s="35" t="str">
        <f aca="false">IFERROR(AVERAGEIFS('01 - Job Database'!$BP$3:$BP$1000,'01 - Job Database'!$C$3:$C$1000,"&lt;&gt;",'01 - Job Database'!$W$3:$W$1000,"&lt;&gt;Yes",'01 - Job Database'!$E$3:$E$1000,$A11,'01 - Job Database'!$BJ$3:$BJ$1000,"Yes"),"")</f>
        <v/>
      </c>
      <c r="I11" s="77" t="str">
        <f aca="false">IFERROR(C11/(C11+E11+G11),"")</f>
        <v/>
      </c>
      <c r="J11" s="77" t="str">
        <f aca="false">IFERROR(E11/(C11+E11+G11),"")</f>
        <v/>
      </c>
      <c r="K11" s="77" t="str">
        <f aca="false">IFERROR(G11/(C11+E11+G11),"")</f>
        <v/>
      </c>
    </row>
    <row r="12" customFormat="false" ht="15" hidden="false" customHeight="true" outlineLevel="0" collapsed="false">
      <c r="A12" s="50" t="s">
        <v>233</v>
      </c>
      <c r="B12" s="34" t="n">
        <f aca="false">COUNTIFS('01 - Job Database'!$C$3:$C$1000,"&lt;&gt;",'01 - Job Database'!$W$3:$W$1000,"&lt;&gt;Yes",'01 - Job Database'!$E$3:$E$1000,$A12,'01 - Job Database'!$BJ$3:$BJ$1000,"Yes")</f>
        <v>0</v>
      </c>
      <c r="C12" s="35" t="str">
        <f aca="false">IFERROR(AVERAGEIFS('01 - Job Database'!$BK$3:$BK$1000,'01 - Job Database'!$C$3:$C$1000,"&lt;&gt;",'01 - Job Database'!$W$3:$W$1000,"&lt;&gt;Yes",'01 - Job Database'!$E$3:$E$1000,$A12,'01 - Job Database'!$BJ$3:$BJ$1000,"Yes"),"")</f>
        <v/>
      </c>
      <c r="D12" s="35" t="str">
        <f aca="false">IFERROR(AVERAGEIFS('01 - Job Database'!$BL$3:$BL$1000,'01 - Job Database'!$C$3:$C$1000,"&lt;&gt;",'01 - Job Database'!$W$3:$W$1000,"&lt;&gt;Yes",'01 - Job Database'!$E$3:$E$1000,$A12,'01 - Job Database'!$BJ$3:$BJ$1000,"Yes"),"")</f>
        <v/>
      </c>
      <c r="E12" s="35" t="str">
        <f aca="false">IFERROR(AVERAGEIFS('01 - Job Database'!$BM$3:$BM$1000,'01 - Job Database'!$C$3:$C$1000,"&lt;&gt;",'01 - Job Database'!$W$3:$W$1000,"&lt;&gt;Yes",'01 - Job Database'!$E$3:$E$1000,$A12,'01 - Job Database'!$BJ$3:$BJ$1000,"Yes"),"")</f>
        <v/>
      </c>
      <c r="F12" s="35" t="str">
        <f aca="false">IFERROR(AVERAGEIFS('01 - Job Database'!$BN$3:$BN$1000,'01 - Job Database'!$C$3:$C$1000,"&lt;&gt;",'01 - Job Database'!$W$3:$W$1000,"&lt;&gt;Yes",'01 - Job Database'!$E$3:$E$1000,$A12,'01 - Job Database'!$BJ$3:$BJ$1000,"Yes"),"")</f>
        <v/>
      </c>
      <c r="G12" s="35" t="str">
        <f aca="false">IFERROR(AVERAGEIFS('01 - Job Database'!$BO$3:$BO$1000,'01 - Job Database'!$C$3:$C$1000,"&lt;&gt;",'01 - Job Database'!$W$3:$W$1000,"&lt;&gt;Yes",'01 - Job Database'!$E$3:$E$1000,$A12,'01 - Job Database'!$BJ$3:$BJ$1000,"Yes"),"")</f>
        <v/>
      </c>
      <c r="H12" s="35" t="str">
        <f aca="false">IFERROR(AVERAGEIFS('01 - Job Database'!$BP$3:$BP$1000,'01 - Job Database'!$C$3:$C$1000,"&lt;&gt;",'01 - Job Database'!$W$3:$W$1000,"&lt;&gt;Yes",'01 - Job Database'!$E$3:$E$1000,$A12,'01 - Job Database'!$BJ$3:$BJ$1000,"Yes"),"")</f>
        <v/>
      </c>
      <c r="I12" s="77" t="str">
        <f aca="false">IFERROR(C12/(C12+E12+G12),"")</f>
        <v/>
      </c>
      <c r="J12" s="77" t="str">
        <f aca="false">IFERROR(E12/(C12+E12+G12),"")</f>
        <v/>
      </c>
      <c r="K12" s="77" t="str">
        <f aca="false">IFERROR(G12/(C12+E12+G12),"")</f>
        <v/>
      </c>
    </row>
    <row r="13" customFormat="false" ht="15" hidden="false" customHeight="true" outlineLevel="0" collapsed="false">
      <c r="A13" s="50" t="s">
        <v>234</v>
      </c>
      <c r="B13" s="34" t="n">
        <f aca="false">COUNTIFS('01 - Job Database'!$C$3:$C$1000,"&lt;&gt;",'01 - Job Database'!$W$3:$W$1000,"&lt;&gt;Yes",'01 - Job Database'!$E$3:$E$1000,$A13,'01 - Job Database'!$BJ$3:$BJ$1000,"Yes")</f>
        <v>0</v>
      </c>
      <c r="C13" s="35" t="str">
        <f aca="false">IFERROR(AVERAGEIFS('01 - Job Database'!$BK$3:$BK$1000,'01 - Job Database'!$C$3:$C$1000,"&lt;&gt;",'01 - Job Database'!$W$3:$W$1000,"&lt;&gt;Yes",'01 - Job Database'!$E$3:$E$1000,$A13,'01 - Job Database'!$BJ$3:$BJ$1000,"Yes"),"")</f>
        <v/>
      </c>
      <c r="D13" s="35" t="str">
        <f aca="false">IFERROR(AVERAGEIFS('01 - Job Database'!$BL$3:$BL$1000,'01 - Job Database'!$C$3:$C$1000,"&lt;&gt;",'01 - Job Database'!$W$3:$W$1000,"&lt;&gt;Yes",'01 - Job Database'!$E$3:$E$1000,$A13,'01 - Job Database'!$BJ$3:$BJ$1000,"Yes"),"")</f>
        <v/>
      </c>
      <c r="E13" s="35" t="str">
        <f aca="false">IFERROR(AVERAGEIFS('01 - Job Database'!$BM$3:$BM$1000,'01 - Job Database'!$C$3:$C$1000,"&lt;&gt;",'01 - Job Database'!$W$3:$W$1000,"&lt;&gt;Yes",'01 - Job Database'!$E$3:$E$1000,$A13,'01 - Job Database'!$BJ$3:$BJ$1000,"Yes"),"")</f>
        <v/>
      </c>
      <c r="F13" s="35" t="str">
        <f aca="false">IFERROR(AVERAGEIFS('01 - Job Database'!$BN$3:$BN$1000,'01 - Job Database'!$C$3:$C$1000,"&lt;&gt;",'01 - Job Database'!$W$3:$W$1000,"&lt;&gt;Yes",'01 - Job Database'!$E$3:$E$1000,$A13,'01 - Job Database'!$BJ$3:$BJ$1000,"Yes"),"")</f>
        <v/>
      </c>
      <c r="G13" s="35" t="str">
        <f aca="false">IFERROR(AVERAGEIFS('01 - Job Database'!$BO$3:$BO$1000,'01 - Job Database'!$C$3:$C$1000,"&lt;&gt;",'01 - Job Database'!$W$3:$W$1000,"&lt;&gt;Yes",'01 - Job Database'!$E$3:$E$1000,$A13,'01 - Job Database'!$BJ$3:$BJ$1000,"Yes"),"")</f>
        <v/>
      </c>
      <c r="H13" s="35" t="str">
        <f aca="false">IFERROR(AVERAGEIFS('01 - Job Database'!$BP$3:$BP$1000,'01 - Job Database'!$C$3:$C$1000,"&lt;&gt;",'01 - Job Database'!$W$3:$W$1000,"&lt;&gt;Yes",'01 - Job Database'!$E$3:$E$1000,$A13,'01 - Job Database'!$BJ$3:$BJ$1000,"Yes"),"")</f>
        <v/>
      </c>
      <c r="I13" s="77" t="str">
        <f aca="false">IFERROR(C13/(C13+E13+G13),"")</f>
        <v/>
      </c>
      <c r="J13" s="77" t="str">
        <f aca="false">IFERROR(E13/(C13+E13+G13),"")</f>
        <v/>
      </c>
      <c r="K13" s="77" t="str">
        <f aca="false">IFERROR(G13/(C13+E13+G13),"")</f>
        <v/>
      </c>
    </row>
    <row r="14" customFormat="false" ht="15" hidden="false" customHeight="true" outlineLevel="0" collapsed="false">
      <c r="A14" s="50" t="s">
        <v>235</v>
      </c>
      <c r="B14" s="34" t="n">
        <f aca="false">COUNTIFS('01 - Job Database'!$C$3:$C$1000,"&lt;&gt;",'01 - Job Database'!$W$3:$W$1000,"&lt;&gt;Yes",'01 - Job Database'!$E$3:$E$1000,$A14,'01 - Job Database'!$BJ$3:$BJ$1000,"Yes")</f>
        <v>0</v>
      </c>
      <c r="C14" s="35" t="str">
        <f aca="false">IFERROR(AVERAGEIFS('01 - Job Database'!$BK$3:$BK$1000,'01 - Job Database'!$C$3:$C$1000,"&lt;&gt;",'01 - Job Database'!$W$3:$W$1000,"&lt;&gt;Yes",'01 - Job Database'!$E$3:$E$1000,$A14,'01 - Job Database'!$BJ$3:$BJ$1000,"Yes"),"")</f>
        <v/>
      </c>
      <c r="D14" s="35" t="str">
        <f aca="false">IFERROR(AVERAGEIFS('01 - Job Database'!$BL$3:$BL$1000,'01 - Job Database'!$C$3:$C$1000,"&lt;&gt;",'01 - Job Database'!$W$3:$W$1000,"&lt;&gt;Yes",'01 - Job Database'!$E$3:$E$1000,$A14,'01 - Job Database'!$BJ$3:$BJ$1000,"Yes"),"")</f>
        <v/>
      </c>
      <c r="E14" s="35" t="str">
        <f aca="false">IFERROR(AVERAGEIFS('01 - Job Database'!$BM$3:$BM$1000,'01 - Job Database'!$C$3:$C$1000,"&lt;&gt;",'01 - Job Database'!$W$3:$W$1000,"&lt;&gt;Yes",'01 - Job Database'!$E$3:$E$1000,$A14,'01 - Job Database'!$BJ$3:$BJ$1000,"Yes"),"")</f>
        <v/>
      </c>
      <c r="F14" s="35" t="str">
        <f aca="false">IFERROR(AVERAGEIFS('01 - Job Database'!$BN$3:$BN$1000,'01 - Job Database'!$C$3:$C$1000,"&lt;&gt;",'01 - Job Database'!$W$3:$W$1000,"&lt;&gt;Yes",'01 - Job Database'!$E$3:$E$1000,$A14,'01 - Job Database'!$BJ$3:$BJ$1000,"Yes"),"")</f>
        <v/>
      </c>
      <c r="G14" s="35" t="str">
        <f aca="false">IFERROR(AVERAGEIFS('01 - Job Database'!$BO$3:$BO$1000,'01 - Job Database'!$C$3:$C$1000,"&lt;&gt;",'01 - Job Database'!$W$3:$W$1000,"&lt;&gt;Yes",'01 - Job Database'!$E$3:$E$1000,$A14,'01 - Job Database'!$BJ$3:$BJ$1000,"Yes"),"")</f>
        <v/>
      </c>
      <c r="H14" s="35" t="str">
        <f aca="false">IFERROR(AVERAGEIFS('01 - Job Database'!$BP$3:$BP$1000,'01 - Job Database'!$C$3:$C$1000,"&lt;&gt;",'01 - Job Database'!$W$3:$W$1000,"&lt;&gt;Yes",'01 - Job Database'!$E$3:$E$1000,$A14,'01 - Job Database'!$BJ$3:$BJ$1000,"Yes"),"")</f>
        <v/>
      </c>
      <c r="I14" s="77" t="str">
        <f aca="false">IFERROR(C14/(C14+E14+G14),"")</f>
        <v/>
      </c>
      <c r="J14" s="77" t="str">
        <f aca="false">IFERROR(E14/(C14+E14+G14),"")</f>
        <v/>
      </c>
      <c r="K14" s="77" t="str">
        <f aca="false">IFERROR(G14/(C14+E14+G14),"")</f>
        <v/>
      </c>
    </row>
    <row r="15" customFormat="false" ht="15" hidden="false" customHeight="true" outlineLevel="0" collapsed="false">
      <c r="A15" s="50" t="s">
        <v>236</v>
      </c>
      <c r="B15" s="34" t="n">
        <f aca="false">COUNTIFS('01 - Job Database'!$C$3:$C$1000,"&lt;&gt;",'01 - Job Database'!$W$3:$W$1000,"&lt;&gt;Yes",'01 - Job Database'!$E$3:$E$1000,$A15,'01 - Job Database'!$BJ$3:$BJ$1000,"Yes")</f>
        <v>0</v>
      </c>
      <c r="C15" s="35" t="str">
        <f aca="false">IFERROR(AVERAGEIFS('01 - Job Database'!$BK$3:$BK$1000,'01 - Job Database'!$C$3:$C$1000,"&lt;&gt;",'01 - Job Database'!$W$3:$W$1000,"&lt;&gt;Yes",'01 - Job Database'!$E$3:$E$1000,$A15,'01 - Job Database'!$BJ$3:$BJ$1000,"Yes"),"")</f>
        <v/>
      </c>
      <c r="D15" s="35" t="str">
        <f aca="false">IFERROR(AVERAGEIFS('01 - Job Database'!$BL$3:$BL$1000,'01 - Job Database'!$C$3:$C$1000,"&lt;&gt;",'01 - Job Database'!$W$3:$W$1000,"&lt;&gt;Yes",'01 - Job Database'!$E$3:$E$1000,$A15,'01 - Job Database'!$BJ$3:$BJ$1000,"Yes"),"")</f>
        <v/>
      </c>
      <c r="E15" s="35" t="str">
        <f aca="false">IFERROR(AVERAGEIFS('01 - Job Database'!$BM$3:$BM$1000,'01 - Job Database'!$C$3:$C$1000,"&lt;&gt;",'01 - Job Database'!$W$3:$W$1000,"&lt;&gt;Yes",'01 - Job Database'!$E$3:$E$1000,$A15,'01 - Job Database'!$BJ$3:$BJ$1000,"Yes"),"")</f>
        <v/>
      </c>
      <c r="F15" s="35" t="str">
        <f aca="false">IFERROR(AVERAGEIFS('01 - Job Database'!$BN$3:$BN$1000,'01 - Job Database'!$C$3:$C$1000,"&lt;&gt;",'01 - Job Database'!$W$3:$W$1000,"&lt;&gt;Yes",'01 - Job Database'!$E$3:$E$1000,$A15,'01 - Job Database'!$BJ$3:$BJ$1000,"Yes"),"")</f>
        <v/>
      </c>
      <c r="G15" s="35" t="str">
        <f aca="false">IFERROR(AVERAGEIFS('01 - Job Database'!$BO$3:$BO$1000,'01 - Job Database'!$C$3:$C$1000,"&lt;&gt;",'01 - Job Database'!$W$3:$W$1000,"&lt;&gt;Yes",'01 - Job Database'!$E$3:$E$1000,$A15,'01 - Job Database'!$BJ$3:$BJ$1000,"Yes"),"")</f>
        <v/>
      </c>
      <c r="H15" s="35" t="str">
        <f aca="false">IFERROR(AVERAGEIFS('01 - Job Database'!$BP$3:$BP$1000,'01 - Job Database'!$C$3:$C$1000,"&lt;&gt;",'01 - Job Database'!$W$3:$W$1000,"&lt;&gt;Yes",'01 - Job Database'!$E$3:$E$1000,$A15,'01 - Job Database'!$BJ$3:$BJ$1000,"Yes"),"")</f>
        <v/>
      </c>
      <c r="I15" s="77" t="str">
        <f aca="false">IFERROR(C15/(C15+E15+G15),"")</f>
        <v/>
      </c>
      <c r="J15" s="77" t="str">
        <f aca="false">IFERROR(E15/(C15+E15+G15),"")</f>
        <v/>
      </c>
      <c r="K15" s="77" t="str">
        <f aca="false">IFERROR(G15/(C15+E15+G15),"")</f>
        <v/>
      </c>
    </row>
    <row r="16" customFormat="false" ht="15" hidden="false" customHeight="true" outlineLevel="0" collapsed="false">
      <c r="A16" s="50" t="s">
        <v>237</v>
      </c>
      <c r="B16" s="34" t="n">
        <f aca="false">COUNTIFS('01 - Job Database'!$C$3:$C$1000,"&lt;&gt;",'01 - Job Database'!$W$3:$W$1000,"&lt;&gt;Yes",'01 - Job Database'!$E$3:$E$1000,$A16,'01 - Job Database'!$BJ$3:$BJ$1000,"Yes")</f>
        <v>0</v>
      </c>
      <c r="C16" s="35" t="str">
        <f aca="false">IFERROR(AVERAGEIFS('01 - Job Database'!$BK$3:$BK$1000,'01 - Job Database'!$C$3:$C$1000,"&lt;&gt;",'01 - Job Database'!$W$3:$W$1000,"&lt;&gt;Yes",'01 - Job Database'!$E$3:$E$1000,$A16,'01 - Job Database'!$BJ$3:$BJ$1000,"Yes"),"")</f>
        <v/>
      </c>
      <c r="D16" s="35" t="str">
        <f aca="false">IFERROR(AVERAGEIFS('01 - Job Database'!$BL$3:$BL$1000,'01 - Job Database'!$C$3:$C$1000,"&lt;&gt;",'01 - Job Database'!$W$3:$W$1000,"&lt;&gt;Yes",'01 - Job Database'!$E$3:$E$1000,$A16,'01 - Job Database'!$BJ$3:$BJ$1000,"Yes"),"")</f>
        <v/>
      </c>
      <c r="E16" s="35" t="str">
        <f aca="false">IFERROR(AVERAGEIFS('01 - Job Database'!$BM$3:$BM$1000,'01 - Job Database'!$C$3:$C$1000,"&lt;&gt;",'01 - Job Database'!$W$3:$W$1000,"&lt;&gt;Yes",'01 - Job Database'!$E$3:$E$1000,$A16,'01 - Job Database'!$BJ$3:$BJ$1000,"Yes"),"")</f>
        <v/>
      </c>
      <c r="F16" s="35" t="str">
        <f aca="false">IFERROR(AVERAGEIFS('01 - Job Database'!$BN$3:$BN$1000,'01 - Job Database'!$C$3:$C$1000,"&lt;&gt;",'01 - Job Database'!$W$3:$W$1000,"&lt;&gt;Yes",'01 - Job Database'!$E$3:$E$1000,$A16,'01 - Job Database'!$BJ$3:$BJ$1000,"Yes"),"")</f>
        <v/>
      </c>
      <c r="G16" s="35" t="str">
        <f aca="false">IFERROR(AVERAGEIFS('01 - Job Database'!$BO$3:$BO$1000,'01 - Job Database'!$C$3:$C$1000,"&lt;&gt;",'01 - Job Database'!$W$3:$W$1000,"&lt;&gt;Yes",'01 - Job Database'!$E$3:$E$1000,$A16,'01 - Job Database'!$BJ$3:$BJ$1000,"Yes"),"")</f>
        <v/>
      </c>
      <c r="H16" s="35" t="str">
        <f aca="false">IFERROR(AVERAGEIFS('01 - Job Database'!$BP$3:$BP$1000,'01 - Job Database'!$C$3:$C$1000,"&lt;&gt;",'01 - Job Database'!$W$3:$W$1000,"&lt;&gt;Yes",'01 - Job Database'!$E$3:$E$1000,$A16,'01 - Job Database'!$BJ$3:$BJ$1000,"Yes"),"")</f>
        <v/>
      </c>
      <c r="I16" s="77" t="str">
        <f aca="false">IFERROR(C16/(C16+E16+G16),"")</f>
        <v/>
      </c>
      <c r="J16" s="77" t="str">
        <f aca="false">IFERROR(E16/(C16+E16+G16),"")</f>
        <v/>
      </c>
      <c r="K16" s="77" t="str">
        <f aca="false">IFERROR(G16/(C16+E16+G16),"")</f>
        <v/>
      </c>
    </row>
    <row r="17" customFormat="false" ht="15" hidden="false" customHeight="true" outlineLevel="0" collapsed="false">
      <c r="A17" s="50" t="s">
        <v>238</v>
      </c>
      <c r="B17" s="34" t="n">
        <f aca="false">COUNTIFS('01 - Job Database'!$C$3:$C$1000,"&lt;&gt;",'01 - Job Database'!$W$3:$W$1000,"&lt;&gt;Yes",'01 - Job Database'!$E$3:$E$1000,$A17,'01 - Job Database'!$BJ$3:$BJ$1000,"Yes")</f>
        <v>0</v>
      </c>
      <c r="C17" s="35" t="str">
        <f aca="false">IFERROR(AVERAGEIFS('01 - Job Database'!$BK$3:$BK$1000,'01 - Job Database'!$C$3:$C$1000,"&lt;&gt;",'01 - Job Database'!$W$3:$W$1000,"&lt;&gt;Yes",'01 - Job Database'!$E$3:$E$1000,$A17,'01 - Job Database'!$BJ$3:$BJ$1000,"Yes"),"")</f>
        <v/>
      </c>
      <c r="D17" s="35" t="str">
        <f aca="false">IFERROR(AVERAGEIFS('01 - Job Database'!$BL$3:$BL$1000,'01 - Job Database'!$C$3:$C$1000,"&lt;&gt;",'01 - Job Database'!$W$3:$W$1000,"&lt;&gt;Yes",'01 - Job Database'!$E$3:$E$1000,$A17,'01 - Job Database'!$BJ$3:$BJ$1000,"Yes"),"")</f>
        <v/>
      </c>
      <c r="E17" s="35" t="str">
        <f aca="false">IFERROR(AVERAGEIFS('01 - Job Database'!$BM$3:$BM$1000,'01 - Job Database'!$C$3:$C$1000,"&lt;&gt;",'01 - Job Database'!$W$3:$W$1000,"&lt;&gt;Yes",'01 - Job Database'!$E$3:$E$1000,$A17,'01 - Job Database'!$BJ$3:$BJ$1000,"Yes"),"")</f>
        <v/>
      </c>
      <c r="F17" s="35" t="str">
        <f aca="false">IFERROR(AVERAGEIFS('01 - Job Database'!$BN$3:$BN$1000,'01 - Job Database'!$C$3:$C$1000,"&lt;&gt;",'01 - Job Database'!$W$3:$W$1000,"&lt;&gt;Yes",'01 - Job Database'!$E$3:$E$1000,$A17,'01 - Job Database'!$BJ$3:$BJ$1000,"Yes"),"")</f>
        <v/>
      </c>
      <c r="G17" s="35" t="str">
        <f aca="false">IFERROR(AVERAGEIFS('01 - Job Database'!$BO$3:$BO$1000,'01 - Job Database'!$C$3:$C$1000,"&lt;&gt;",'01 - Job Database'!$W$3:$W$1000,"&lt;&gt;Yes",'01 - Job Database'!$E$3:$E$1000,$A17,'01 - Job Database'!$BJ$3:$BJ$1000,"Yes"),"")</f>
        <v/>
      </c>
      <c r="H17" s="35" t="str">
        <f aca="false">IFERROR(AVERAGEIFS('01 - Job Database'!$BP$3:$BP$1000,'01 - Job Database'!$C$3:$C$1000,"&lt;&gt;",'01 - Job Database'!$W$3:$W$1000,"&lt;&gt;Yes",'01 - Job Database'!$E$3:$E$1000,$A17,'01 - Job Database'!$BJ$3:$BJ$1000,"Yes"),"")</f>
        <v/>
      </c>
      <c r="I17" s="77" t="str">
        <f aca="false">IFERROR(C17/(C17+E17+G17),"")</f>
        <v/>
      </c>
      <c r="J17" s="77" t="str">
        <f aca="false">IFERROR(E17/(C17+E17+G17),"")</f>
        <v/>
      </c>
      <c r="K17" s="77" t="str">
        <f aca="false">IFERROR(G17/(C17+E17+G17),"")</f>
        <v/>
      </c>
    </row>
    <row r="18" customFormat="false" ht="15" hidden="false" customHeight="true" outlineLevel="0" collapsed="false">
      <c r="A18" s="50" t="s">
        <v>239</v>
      </c>
      <c r="B18" s="34" t="n">
        <f aca="false">COUNTIFS('01 - Job Database'!$C$3:$C$1000,"&lt;&gt;",'01 - Job Database'!$W$3:$W$1000,"&lt;&gt;Yes",'01 - Job Database'!$E$3:$E$1000,$A18,'01 - Job Database'!$BJ$3:$BJ$1000,"Yes")</f>
        <v>0</v>
      </c>
      <c r="C18" s="35" t="str">
        <f aca="false">IFERROR(AVERAGEIFS('01 - Job Database'!$BK$3:$BK$1000,'01 - Job Database'!$C$3:$C$1000,"&lt;&gt;",'01 - Job Database'!$W$3:$W$1000,"&lt;&gt;Yes",'01 - Job Database'!$E$3:$E$1000,$A18,'01 - Job Database'!$BJ$3:$BJ$1000,"Yes"),"")</f>
        <v/>
      </c>
      <c r="D18" s="35" t="str">
        <f aca="false">IFERROR(AVERAGEIFS('01 - Job Database'!$BL$3:$BL$1000,'01 - Job Database'!$C$3:$C$1000,"&lt;&gt;",'01 - Job Database'!$W$3:$W$1000,"&lt;&gt;Yes",'01 - Job Database'!$E$3:$E$1000,$A18,'01 - Job Database'!$BJ$3:$BJ$1000,"Yes"),"")</f>
        <v/>
      </c>
      <c r="E18" s="35" t="str">
        <f aca="false">IFERROR(AVERAGEIFS('01 - Job Database'!$BM$3:$BM$1000,'01 - Job Database'!$C$3:$C$1000,"&lt;&gt;",'01 - Job Database'!$W$3:$W$1000,"&lt;&gt;Yes",'01 - Job Database'!$E$3:$E$1000,$A18,'01 - Job Database'!$BJ$3:$BJ$1000,"Yes"),"")</f>
        <v/>
      </c>
      <c r="F18" s="35" t="str">
        <f aca="false">IFERROR(AVERAGEIFS('01 - Job Database'!$BN$3:$BN$1000,'01 - Job Database'!$C$3:$C$1000,"&lt;&gt;",'01 - Job Database'!$W$3:$W$1000,"&lt;&gt;Yes",'01 - Job Database'!$E$3:$E$1000,$A18,'01 - Job Database'!$BJ$3:$BJ$1000,"Yes"),"")</f>
        <v/>
      </c>
      <c r="G18" s="35" t="str">
        <f aca="false">IFERROR(AVERAGEIFS('01 - Job Database'!$BO$3:$BO$1000,'01 - Job Database'!$C$3:$C$1000,"&lt;&gt;",'01 - Job Database'!$W$3:$W$1000,"&lt;&gt;Yes",'01 - Job Database'!$E$3:$E$1000,$A18,'01 - Job Database'!$BJ$3:$BJ$1000,"Yes"),"")</f>
        <v/>
      </c>
      <c r="H18" s="35" t="str">
        <f aca="false">IFERROR(AVERAGEIFS('01 - Job Database'!$BP$3:$BP$1000,'01 - Job Database'!$C$3:$C$1000,"&lt;&gt;",'01 - Job Database'!$W$3:$W$1000,"&lt;&gt;Yes",'01 - Job Database'!$E$3:$E$1000,$A18,'01 - Job Database'!$BJ$3:$BJ$1000,"Yes"),"")</f>
        <v/>
      </c>
      <c r="I18" s="77" t="str">
        <f aca="false">IFERROR(C18/(C18+E18+G18),"")</f>
        <v/>
      </c>
      <c r="J18" s="77" t="str">
        <f aca="false">IFERROR(E18/(C18+E18+G18),"")</f>
        <v/>
      </c>
      <c r="K18" s="77" t="str">
        <f aca="false">IFERROR(G18/(C18+E18+G18),"")</f>
        <v/>
      </c>
    </row>
    <row r="19" customFormat="false" ht="15" hidden="false" customHeight="true" outlineLevel="0" collapsed="false">
      <c r="A19" s="50" t="s">
        <v>240</v>
      </c>
      <c r="B19" s="34" t="n">
        <f aca="false">COUNTIFS('01 - Job Database'!$C$3:$C$1000,"&lt;&gt;",'01 - Job Database'!$W$3:$W$1000,"&lt;&gt;Yes",'01 - Job Database'!$E$3:$E$1000,$A19,'01 - Job Database'!$BJ$3:$BJ$1000,"Yes")</f>
        <v>0</v>
      </c>
      <c r="C19" s="35" t="str">
        <f aca="false">IFERROR(AVERAGEIFS('01 - Job Database'!$BK$3:$BK$1000,'01 - Job Database'!$C$3:$C$1000,"&lt;&gt;",'01 - Job Database'!$W$3:$W$1000,"&lt;&gt;Yes",'01 - Job Database'!$E$3:$E$1000,$A19,'01 - Job Database'!$BJ$3:$BJ$1000,"Yes"),"")</f>
        <v/>
      </c>
      <c r="D19" s="35" t="str">
        <f aca="false">IFERROR(AVERAGEIFS('01 - Job Database'!$BL$3:$BL$1000,'01 - Job Database'!$C$3:$C$1000,"&lt;&gt;",'01 - Job Database'!$W$3:$W$1000,"&lt;&gt;Yes",'01 - Job Database'!$E$3:$E$1000,$A19,'01 - Job Database'!$BJ$3:$BJ$1000,"Yes"),"")</f>
        <v/>
      </c>
      <c r="E19" s="35" t="str">
        <f aca="false">IFERROR(AVERAGEIFS('01 - Job Database'!$BM$3:$BM$1000,'01 - Job Database'!$C$3:$C$1000,"&lt;&gt;",'01 - Job Database'!$W$3:$W$1000,"&lt;&gt;Yes",'01 - Job Database'!$E$3:$E$1000,$A19,'01 - Job Database'!$BJ$3:$BJ$1000,"Yes"),"")</f>
        <v/>
      </c>
      <c r="F19" s="35" t="str">
        <f aca="false">IFERROR(AVERAGEIFS('01 - Job Database'!$BN$3:$BN$1000,'01 - Job Database'!$C$3:$C$1000,"&lt;&gt;",'01 - Job Database'!$W$3:$W$1000,"&lt;&gt;Yes",'01 - Job Database'!$E$3:$E$1000,$A19,'01 - Job Database'!$BJ$3:$BJ$1000,"Yes"),"")</f>
        <v/>
      </c>
      <c r="G19" s="35" t="str">
        <f aca="false">IFERROR(AVERAGEIFS('01 - Job Database'!$BO$3:$BO$1000,'01 - Job Database'!$C$3:$C$1000,"&lt;&gt;",'01 - Job Database'!$W$3:$W$1000,"&lt;&gt;Yes",'01 - Job Database'!$E$3:$E$1000,$A19,'01 - Job Database'!$BJ$3:$BJ$1000,"Yes"),"")</f>
        <v/>
      </c>
      <c r="H19" s="35" t="str">
        <f aca="false">IFERROR(AVERAGEIFS('01 - Job Database'!$BP$3:$BP$1000,'01 - Job Database'!$C$3:$C$1000,"&lt;&gt;",'01 - Job Database'!$W$3:$W$1000,"&lt;&gt;Yes",'01 - Job Database'!$E$3:$E$1000,$A19,'01 - Job Database'!$BJ$3:$BJ$1000,"Yes"),"")</f>
        <v/>
      </c>
      <c r="I19" s="77" t="str">
        <f aca="false">IFERROR(C19/(C19+E19+G19),"")</f>
        <v/>
      </c>
      <c r="J19" s="77" t="str">
        <f aca="false">IFERROR(E19/(C19+E19+G19),"")</f>
        <v/>
      </c>
      <c r="K19" s="77" t="str">
        <f aca="false">IFERROR(G19/(C19+E19+G19),"")</f>
        <v/>
      </c>
    </row>
    <row r="20" customFormat="false" ht="15" hidden="false" customHeight="true" outlineLevel="0" collapsed="false">
      <c r="A20" s="50" t="s">
        <v>241</v>
      </c>
      <c r="B20" s="34" t="n">
        <f aca="false">COUNTIFS('01 - Job Database'!$C$3:$C$1000,"&lt;&gt;",'01 - Job Database'!$W$3:$W$1000,"&lt;&gt;Yes",'01 - Job Database'!$E$3:$E$1000,$A20,'01 - Job Database'!$BJ$3:$BJ$1000,"Yes")</f>
        <v>0</v>
      </c>
      <c r="C20" s="35" t="str">
        <f aca="false">IFERROR(AVERAGEIFS('01 - Job Database'!$BK$3:$BK$1000,'01 - Job Database'!$C$3:$C$1000,"&lt;&gt;",'01 - Job Database'!$W$3:$W$1000,"&lt;&gt;Yes",'01 - Job Database'!$E$3:$E$1000,$A20,'01 - Job Database'!$BJ$3:$BJ$1000,"Yes"),"")</f>
        <v/>
      </c>
      <c r="D20" s="35" t="str">
        <f aca="false">IFERROR(AVERAGEIFS('01 - Job Database'!$BL$3:$BL$1000,'01 - Job Database'!$C$3:$C$1000,"&lt;&gt;",'01 - Job Database'!$W$3:$W$1000,"&lt;&gt;Yes",'01 - Job Database'!$E$3:$E$1000,$A20,'01 - Job Database'!$BJ$3:$BJ$1000,"Yes"),"")</f>
        <v/>
      </c>
      <c r="E20" s="35" t="str">
        <f aca="false">IFERROR(AVERAGEIFS('01 - Job Database'!$BM$3:$BM$1000,'01 - Job Database'!$C$3:$C$1000,"&lt;&gt;",'01 - Job Database'!$W$3:$W$1000,"&lt;&gt;Yes",'01 - Job Database'!$E$3:$E$1000,$A20,'01 - Job Database'!$BJ$3:$BJ$1000,"Yes"),"")</f>
        <v/>
      </c>
      <c r="F20" s="35" t="str">
        <f aca="false">IFERROR(AVERAGEIFS('01 - Job Database'!$BN$3:$BN$1000,'01 - Job Database'!$C$3:$C$1000,"&lt;&gt;",'01 - Job Database'!$W$3:$W$1000,"&lt;&gt;Yes",'01 - Job Database'!$E$3:$E$1000,$A20,'01 - Job Database'!$BJ$3:$BJ$1000,"Yes"),"")</f>
        <v/>
      </c>
      <c r="G20" s="35" t="str">
        <f aca="false">IFERROR(AVERAGEIFS('01 - Job Database'!$BO$3:$BO$1000,'01 - Job Database'!$C$3:$C$1000,"&lt;&gt;",'01 - Job Database'!$W$3:$W$1000,"&lt;&gt;Yes",'01 - Job Database'!$E$3:$E$1000,$A20,'01 - Job Database'!$BJ$3:$BJ$1000,"Yes"),"")</f>
        <v/>
      </c>
      <c r="H20" s="35" t="str">
        <f aca="false">IFERROR(AVERAGEIFS('01 - Job Database'!$BP$3:$BP$1000,'01 - Job Database'!$C$3:$C$1000,"&lt;&gt;",'01 - Job Database'!$W$3:$W$1000,"&lt;&gt;Yes",'01 - Job Database'!$E$3:$E$1000,$A20,'01 - Job Database'!$BJ$3:$BJ$1000,"Yes"),"")</f>
        <v/>
      </c>
      <c r="I20" s="77" t="str">
        <f aca="false">IFERROR(C20/(C20+E20+G20),"")</f>
        <v/>
      </c>
      <c r="J20" s="77" t="str">
        <f aca="false">IFERROR(E20/(C20+E20+G20),"")</f>
        <v/>
      </c>
      <c r="K20" s="77" t="str">
        <f aca="false">IFERROR(G20/(C20+E20+G20),"")</f>
        <v/>
      </c>
    </row>
    <row r="21" customFormat="false" ht="15" hidden="false" customHeight="true" outlineLevel="0" collapsed="false">
      <c r="A21" s="50" t="s">
        <v>242</v>
      </c>
      <c r="B21" s="34" t="n">
        <f aca="false">COUNTIFS('01 - Job Database'!$C$3:$C$1000,"&lt;&gt;",'01 - Job Database'!$W$3:$W$1000,"&lt;&gt;Yes",'01 - Job Database'!$E$3:$E$1000,$A21,'01 - Job Database'!$BJ$3:$BJ$1000,"Yes")</f>
        <v>0</v>
      </c>
      <c r="C21" s="35" t="str">
        <f aca="false">IFERROR(AVERAGEIFS('01 - Job Database'!$BK$3:$BK$1000,'01 - Job Database'!$C$3:$C$1000,"&lt;&gt;",'01 - Job Database'!$W$3:$W$1000,"&lt;&gt;Yes",'01 - Job Database'!$E$3:$E$1000,$A21,'01 - Job Database'!$BJ$3:$BJ$1000,"Yes"),"")</f>
        <v/>
      </c>
      <c r="D21" s="35" t="str">
        <f aca="false">IFERROR(AVERAGEIFS('01 - Job Database'!$BL$3:$BL$1000,'01 - Job Database'!$C$3:$C$1000,"&lt;&gt;",'01 - Job Database'!$W$3:$W$1000,"&lt;&gt;Yes",'01 - Job Database'!$E$3:$E$1000,$A21,'01 - Job Database'!$BJ$3:$BJ$1000,"Yes"),"")</f>
        <v/>
      </c>
      <c r="E21" s="35" t="str">
        <f aca="false">IFERROR(AVERAGEIFS('01 - Job Database'!$BM$3:$BM$1000,'01 - Job Database'!$C$3:$C$1000,"&lt;&gt;",'01 - Job Database'!$W$3:$W$1000,"&lt;&gt;Yes",'01 - Job Database'!$E$3:$E$1000,$A21,'01 - Job Database'!$BJ$3:$BJ$1000,"Yes"),"")</f>
        <v/>
      </c>
      <c r="F21" s="35" t="str">
        <f aca="false">IFERROR(AVERAGEIFS('01 - Job Database'!$BN$3:$BN$1000,'01 - Job Database'!$C$3:$C$1000,"&lt;&gt;",'01 - Job Database'!$W$3:$W$1000,"&lt;&gt;Yes",'01 - Job Database'!$E$3:$E$1000,$A21,'01 - Job Database'!$BJ$3:$BJ$1000,"Yes"),"")</f>
        <v/>
      </c>
      <c r="G21" s="35" t="str">
        <f aca="false">IFERROR(AVERAGEIFS('01 - Job Database'!$BO$3:$BO$1000,'01 - Job Database'!$C$3:$C$1000,"&lt;&gt;",'01 - Job Database'!$W$3:$W$1000,"&lt;&gt;Yes",'01 - Job Database'!$E$3:$E$1000,$A21,'01 - Job Database'!$BJ$3:$BJ$1000,"Yes"),"")</f>
        <v/>
      </c>
      <c r="H21" s="35" t="str">
        <f aca="false">IFERROR(AVERAGEIFS('01 - Job Database'!$BP$3:$BP$1000,'01 - Job Database'!$C$3:$C$1000,"&lt;&gt;",'01 - Job Database'!$W$3:$W$1000,"&lt;&gt;Yes",'01 - Job Database'!$E$3:$E$1000,$A21,'01 - Job Database'!$BJ$3:$BJ$1000,"Yes"),"")</f>
        <v/>
      </c>
      <c r="I21" s="77" t="str">
        <f aca="false">IFERROR(C21/(C21+E21+G21),"")</f>
        <v/>
      </c>
      <c r="J21" s="77" t="str">
        <f aca="false">IFERROR(E21/(C21+E21+G21),"")</f>
        <v/>
      </c>
      <c r="K21" s="77" t="str">
        <f aca="false">IFERROR(G21/(C21+E21+G21),"")</f>
        <v/>
      </c>
    </row>
    <row r="22" customFormat="false" ht="15" hidden="false" customHeight="true" outlineLevel="0" collapsed="false">
      <c r="A22" s="50" t="s">
        <v>243</v>
      </c>
      <c r="B22" s="34" t="n">
        <f aca="false">COUNTIFS('01 - Job Database'!$C$3:$C$1000,"&lt;&gt;",'01 - Job Database'!$W$3:$W$1000,"&lt;&gt;Yes",'01 - Job Database'!$E$3:$E$1000,$A22,'01 - Job Database'!$BJ$3:$BJ$1000,"Yes")</f>
        <v>0</v>
      </c>
      <c r="C22" s="35" t="str">
        <f aca="false">IFERROR(AVERAGEIFS('01 - Job Database'!$BK$3:$BK$1000,'01 - Job Database'!$C$3:$C$1000,"&lt;&gt;",'01 - Job Database'!$W$3:$W$1000,"&lt;&gt;Yes",'01 - Job Database'!$E$3:$E$1000,$A22,'01 - Job Database'!$BJ$3:$BJ$1000,"Yes"),"")</f>
        <v/>
      </c>
      <c r="D22" s="35" t="str">
        <f aca="false">IFERROR(AVERAGEIFS('01 - Job Database'!$BL$3:$BL$1000,'01 - Job Database'!$C$3:$C$1000,"&lt;&gt;",'01 - Job Database'!$W$3:$W$1000,"&lt;&gt;Yes",'01 - Job Database'!$E$3:$E$1000,$A22,'01 - Job Database'!$BJ$3:$BJ$1000,"Yes"),"")</f>
        <v/>
      </c>
      <c r="E22" s="35" t="str">
        <f aca="false">IFERROR(AVERAGEIFS('01 - Job Database'!$BM$3:$BM$1000,'01 - Job Database'!$C$3:$C$1000,"&lt;&gt;",'01 - Job Database'!$W$3:$W$1000,"&lt;&gt;Yes",'01 - Job Database'!$E$3:$E$1000,$A22,'01 - Job Database'!$BJ$3:$BJ$1000,"Yes"),"")</f>
        <v/>
      </c>
      <c r="F22" s="35" t="str">
        <f aca="false">IFERROR(AVERAGEIFS('01 - Job Database'!$BN$3:$BN$1000,'01 - Job Database'!$C$3:$C$1000,"&lt;&gt;",'01 - Job Database'!$W$3:$W$1000,"&lt;&gt;Yes",'01 - Job Database'!$E$3:$E$1000,$A22,'01 - Job Database'!$BJ$3:$BJ$1000,"Yes"),"")</f>
        <v/>
      </c>
      <c r="G22" s="35" t="str">
        <f aca="false">IFERROR(AVERAGEIFS('01 - Job Database'!$BO$3:$BO$1000,'01 - Job Database'!$C$3:$C$1000,"&lt;&gt;",'01 - Job Database'!$W$3:$W$1000,"&lt;&gt;Yes",'01 - Job Database'!$E$3:$E$1000,$A22,'01 - Job Database'!$BJ$3:$BJ$1000,"Yes"),"")</f>
        <v/>
      </c>
      <c r="H22" s="35" t="str">
        <f aca="false">IFERROR(AVERAGEIFS('01 - Job Database'!$BP$3:$BP$1000,'01 - Job Database'!$C$3:$C$1000,"&lt;&gt;",'01 - Job Database'!$W$3:$W$1000,"&lt;&gt;Yes",'01 - Job Database'!$E$3:$E$1000,$A22,'01 - Job Database'!$BJ$3:$BJ$1000,"Yes"),"")</f>
        <v/>
      </c>
      <c r="I22" s="77" t="str">
        <f aca="false">IFERROR(C22/(C22+E22+G22),"")</f>
        <v/>
      </c>
      <c r="J22" s="77" t="str">
        <f aca="false">IFERROR(E22/(C22+E22+G22),"")</f>
        <v/>
      </c>
      <c r="K22" s="77" t="str">
        <f aca="false">IFERROR(G22/(C22+E22+G22),"")</f>
        <v/>
      </c>
    </row>
    <row r="23" customFormat="false" ht="15" hidden="false" customHeight="true" outlineLevel="0" collapsed="false">
      <c r="A23" s="50" t="s">
        <v>244</v>
      </c>
      <c r="B23" s="34" t="n">
        <f aca="false">COUNTIFS('01 - Job Database'!$C$3:$C$1000,"&lt;&gt;",'01 - Job Database'!$W$3:$W$1000,"&lt;&gt;Yes",'01 - Job Database'!$E$3:$E$1000,$A23,'01 - Job Database'!$BJ$3:$BJ$1000,"Yes")</f>
        <v>0</v>
      </c>
      <c r="C23" s="35" t="str">
        <f aca="false">IFERROR(AVERAGEIFS('01 - Job Database'!$BK$3:$BK$1000,'01 - Job Database'!$C$3:$C$1000,"&lt;&gt;",'01 - Job Database'!$W$3:$W$1000,"&lt;&gt;Yes",'01 - Job Database'!$E$3:$E$1000,$A23,'01 - Job Database'!$BJ$3:$BJ$1000,"Yes"),"")</f>
        <v/>
      </c>
      <c r="D23" s="35" t="str">
        <f aca="false">IFERROR(AVERAGEIFS('01 - Job Database'!$BL$3:$BL$1000,'01 - Job Database'!$C$3:$C$1000,"&lt;&gt;",'01 - Job Database'!$W$3:$W$1000,"&lt;&gt;Yes",'01 - Job Database'!$E$3:$E$1000,$A23,'01 - Job Database'!$BJ$3:$BJ$1000,"Yes"),"")</f>
        <v/>
      </c>
      <c r="E23" s="35" t="str">
        <f aca="false">IFERROR(AVERAGEIFS('01 - Job Database'!$BM$3:$BM$1000,'01 - Job Database'!$C$3:$C$1000,"&lt;&gt;",'01 - Job Database'!$W$3:$W$1000,"&lt;&gt;Yes",'01 - Job Database'!$E$3:$E$1000,$A23,'01 - Job Database'!$BJ$3:$BJ$1000,"Yes"),"")</f>
        <v/>
      </c>
      <c r="F23" s="35" t="str">
        <f aca="false">IFERROR(AVERAGEIFS('01 - Job Database'!$BN$3:$BN$1000,'01 - Job Database'!$C$3:$C$1000,"&lt;&gt;",'01 - Job Database'!$W$3:$W$1000,"&lt;&gt;Yes",'01 - Job Database'!$E$3:$E$1000,$A23,'01 - Job Database'!$BJ$3:$BJ$1000,"Yes"),"")</f>
        <v/>
      </c>
      <c r="G23" s="35" t="str">
        <f aca="false">IFERROR(AVERAGEIFS('01 - Job Database'!$BO$3:$BO$1000,'01 - Job Database'!$C$3:$C$1000,"&lt;&gt;",'01 - Job Database'!$W$3:$W$1000,"&lt;&gt;Yes",'01 - Job Database'!$E$3:$E$1000,$A23,'01 - Job Database'!$BJ$3:$BJ$1000,"Yes"),"")</f>
        <v/>
      </c>
      <c r="H23" s="35" t="str">
        <f aca="false">IFERROR(AVERAGEIFS('01 - Job Database'!$BP$3:$BP$1000,'01 - Job Database'!$C$3:$C$1000,"&lt;&gt;",'01 - Job Database'!$W$3:$W$1000,"&lt;&gt;Yes",'01 - Job Database'!$E$3:$E$1000,$A23,'01 - Job Database'!$BJ$3:$BJ$1000,"Yes"),"")</f>
        <v/>
      </c>
      <c r="I23" s="77" t="str">
        <f aca="false">IFERROR(C23/(C23+E23+G23),"")</f>
        <v/>
      </c>
      <c r="J23" s="77" t="str">
        <f aca="false">IFERROR(E23/(C23+E23+G23),"")</f>
        <v/>
      </c>
      <c r="K23" s="77" t="str">
        <f aca="false">IFERROR(G23/(C23+E23+G23),"")</f>
        <v/>
      </c>
    </row>
    <row r="24" customFormat="false" ht="15" hidden="false" customHeight="true" outlineLevel="0" collapsed="false">
      <c r="A24" s="50" t="s">
        <v>245</v>
      </c>
      <c r="B24" s="34" t="n">
        <f aca="false">COUNTIFS('01 - Job Database'!$C$3:$C$1000,"&lt;&gt;",'01 - Job Database'!$W$3:$W$1000,"&lt;&gt;Yes",'01 - Job Database'!$E$3:$E$1000,$A24,'01 - Job Database'!$BJ$3:$BJ$1000,"Yes")</f>
        <v>0</v>
      </c>
      <c r="C24" s="35" t="str">
        <f aca="false">IFERROR(AVERAGEIFS('01 - Job Database'!$BK$3:$BK$1000,'01 - Job Database'!$C$3:$C$1000,"&lt;&gt;",'01 - Job Database'!$W$3:$W$1000,"&lt;&gt;Yes",'01 - Job Database'!$E$3:$E$1000,$A24,'01 - Job Database'!$BJ$3:$BJ$1000,"Yes"),"")</f>
        <v/>
      </c>
      <c r="D24" s="35" t="str">
        <f aca="false">IFERROR(AVERAGEIFS('01 - Job Database'!$BL$3:$BL$1000,'01 - Job Database'!$C$3:$C$1000,"&lt;&gt;",'01 - Job Database'!$W$3:$W$1000,"&lt;&gt;Yes",'01 - Job Database'!$E$3:$E$1000,$A24,'01 - Job Database'!$BJ$3:$BJ$1000,"Yes"),"")</f>
        <v/>
      </c>
      <c r="E24" s="35" t="str">
        <f aca="false">IFERROR(AVERAGEIFS('01 - Job Database'!$BM$3:$BM$1000,'01 - Job Database'!$C$3:$C$1000,"&lt;&gt;",'01 - Job Database'!$W$3:$W$1000,"&lt;&gt;Yes",'01 - Job Database'!$E$3:$E$1000,$A24,'01 - Job Database'!$BJ$3:$BJ$1000,"Yes"),"")</f>
        <v/>
      </c>
      <c r="F24" s="35" t="str">
        <f aca="false">IFERROR(AVERAGEIFS('01 - Job Database'!$BN$3:$BN$1000,'01 - Job Database'!$C$3:$C$1000,"&lt;&gt;",'01 - Job Database'!$W$3:$W$1000,"&lt;&gt;Yes",'01 - Job Database'!$E$3:$E$1000,$A24,'01 - Job Database'!$BJ$3:$BJ$1000,"Yes"),"")</f>
        <v/>
      </c>
      <c r="G24" s="35" t="str">
        <f aca="false">IFERROR(AVERAGEIFS('01 - Job Database'!$BO$3:$BO$1000,'01 - Job Database'!$C$3:$C$1000,"&lt;&gt;",'01 - Job Database'!$W$3:$W$1000,"&lt;&gt;Yes",'01 - Job Database'!$E$3:$E$1000,$A24,'01 - Job Database'!$BJ$3:$BJ$1000,"Yes"),"")</f>
        <v/>
      </c>
      <c r="H24" s="35" t="str">
        <f aca="false">IFERROR(AVERAGEIFS('01 - Job Database'!$BP$3:$BP$1000,'01 - Job Database'!$C$3:$C$1000,"&lt;&gt;",'01 - Job Database'!$W$3:$W$1000,"&lt;&gt;Yes",'01 - Job Database'!$E$3:$E$1000,$A24,'01 - Job Database'!$BJ$3:$BJ$1000,"Yes"),"")</f>
        <v/>
      </c>
      <c r="I24" s="77" t="str">
        <f aca="false">IFERROR(C24/(C24+E24+G24),"")</f>
        <v/>
      </c>
      <c r="J24" s="77" t="str">
        <f aca="false">IFERROR(E24/(C24+E24+G24),"")</f>
        <v/>
      </c>
      <c r="K24" s="77" t="str">
        <f aca="false">IFERROR(G24/(C24+E24+G24),"")</f>
        <v/>
      </c>
    </row>
    <row r="26" customFormat="false" ht="15" hidden="false" customHeight="true" outlineLevel="0" collapsed="false">
      <c r="A26" s="76" t="s">
        <v>381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</row>
    <row r="28" customFormat="false" ht="34.5" hidden="false" customHeight="true" outlineLevel="0" collapsed="false">
      <c r="A28" s="65" t="s">
        <v>54</v>
      </c>
      <c r="B28" s="65" t="s">
        <v>371</v>
      </c>
      <c r="C28" s="65" t="s">
        <v>372</v>
      </c>
      <c r="D28" s="65" t="s">
        <v>373</v>
      </c>
      <c r="E28" s="65" t="s">
        <v>374</v>
      </c>
      <c r="F28" s="65" t="s">
        <v>375</v>
      </c>
      <c r="G28" s="65" t="s">
        <v>376</v>
      </c>
      <c r="H28" s="65" t="s">
        <v>377</v>
      </c>
      <c r="I28" s="65" t="s">
        <v>378</v>
      </c>
      <c r="J28" s="65" t="s">
        <v>379</v>
      </c>
      <c r="K28" s="65" t="s">
        <v>380</v>
      </c>
    </row>
    <row r="29" customFormat="false" ht="15" hidden="false" customHeight="true" outlineLevel="0" collapsed="false">
      <c r="A29" s="50" t="s">
        <v>261</v>
      </c>
      <c r="B29" s="34" t="n">
        <f aca="false">COUNTIFS('01 - Job Database'!$C$3:$C$1000,"&lt;&gt;",'01 - Job Database'!$W$3:$W$1000,"&lt;&gt;Yes",'01 - Job Database'!$G$3:$G$1000,$A29,'01 - Job Database'!$BJ$3:$BJ$1000,"Yes")</f>
        <v>0</v>
      </c>
      <c r="C29" s="35" t="str">
        <f aca="false">IFERROR(AVERAGEIFS('01 - Job Database'!$BK$3:$BK$1000,'01 - Job Database'!$C$3:$C$1000,"&lt;&gt;",'01 - Job Database'!$W$3:$W$1000,"&lt;&gt;Yes",'01 - Job Database'!$G$3:$G$1000,$A29,'01 - Job Database'!$BJ$3:$BJ$1000,"Yes"),"")</f>
        <v/>
      </c>
      <c r="D29" s="35" t="str">
        <f aca="false">IFERROR(AVERAGEIFS('01 - Job Database'!$BL$3:$BL$1000,'01 - Job Database'!$C$3:$C$1000,"&lt;&gt;",'01 - Job Database'!$W$3:$W$1000,"&lt;&gt;Yes",'01 - Job Database'!$G$3:$G$1000,$A29,'01 - Job Database'!$BJ$3:$BJ$1000,"Yes"),"")</f>
        <v/>
      </c>
      <c r="E29" s="35" t="str">
        <f aca="false">IFERROR(AVERAGEIFS('01 - Job Database'!$BM$3:$BM$1000,'01 - Job Database'!$C$3:$C$1000,"&lt;&gt;",'01 - Job Database'!$W$3:$W$1000,"&lt;&gt;Yes",'01 - Job Database'!$G$3:$G$1000,$A29,'01 - Job Database'!$BJ$3:$BJ$1000,"Yes"),"")</f>
        <v/>
      </c>
      <c r="F29" s="35" t="str">
        <f aca="false">IFERROR(AVERAGEIFS('01 - Job Database'!$BN$3:$BN$1000,'01 - Job Database'!$C$3:$C$1000,"&lt;&gt;",'01 - Job Database'!$W$3:$W$1000,"&lt;&gt;Yes",'01 - Job Database'!$G$3:$G$1000,$A29,'01 - Job Database'!$BJ$3:$BJ$1000,"Yes"),"")</f>
        <v/>
      </c>
      <c r="G29" s="35" t="str">
        <f aca="false">IFERROR(AVERAGEIFS('01 - Job Database'!$BO$3:$BO$1000,'01 - Job Database'!$C$3:$C$1000,"&lt;&gt;",'01 - Job Database'!$W$3:$W$1000,"&lt;&gt;Yes",'01 - Job Database'!$G$3:$G$1000,$A29,'01 - Job Database'!$BJ$3:$BJ$1000,"Yes"),"")</f>
        <v/>
      </c>
      <c r="H29" s="35" t="str">
        <f aca="false">IFERROR(AVERAGEIFS('01 - Job Database'!$BP$3:$BP$1000,'01 - Job Database'!$C$3:$C$1000,"&lt;&gt;",'01 - Job Database'!$W$3:$W$1000,"&lt;&gt;Yes",'01 - Job Database'!$G$3:$G$1000,$A29,'01 - Job Database'!$BJ$3:$BJ$1000,"Yes"),"")</f>
        <v/>
      </c>
      <c r="I29" s="77" t="str">
        <f aca="false">IFERROR(C29/(C29+E29+G29),"")</f>
        <v/>
      </c>
      <c r="J29" s="77" t="str">
        <f aca="false">IFERROR(E29/(C29+E29+G29),"")</f>
        <v/>
      </c>
      <c r="K29" s="77" t="str">
        <f aca="false">IFERROR(G29/(C29+E29+G29),"")</f>
        <v/>
      </c>
    </row>
    <row r="30" customFormat="false" ht="15" hidden="false" customHeight="true" outlineLevel="0" collapsed="false">
      <c r="A30" s="50" t="s">
        <v>153</v>
      </c>
      <c r="B30" s="34" t="n">
        <f aca="false">COUNTIFS('01 - Job Database'!$C$3:$C$1000,"&lt;&gt;",'01 - Job Database'!$W$3:$W$1000,"&lt;&gt;Yes",'01 - Job Database'!$G$3:$G$1000,$A30,'01 - Job Database'!$BJ$3:$BJ$1000,"Yes")</f>
        <v>1</v>
      </c>
      <c r="C30" s="35" t="n">
        <f aca="false">IFERROR(AVERAGEIFS('01 - Job Database'!$BK$3:$BK$1000,'01 - Job Database'!$C$3:$C$1000,"&lt;&gt;",'01 - Job Database'!$W$3:$W$1000,"&lt;&gt;Yes",'01 - Job Database'!$G$3:$G$1000,$A30,'01 - Job Database'!$BJ$3:$BJ$1000,"Yes"),"")</f>
        <v>125.019</v>
      </c>
      <c r="D30" s="35" t="n">
        <f aca="false">IFERROR(AVERAGEIFS('01 - Job Database'!$BL$3:$BL$1000,'01 - Job Database'!$C$3:$C$1000,"&lt;&gt;",'01 - Job Database'!$W$3:$W$1000,"&lt;&gt;Yes",'01 - Job Database'!$G$3:$G$1000,$A30,'01 - Job Database'!$BJ$3:$BJ$1000,"Yes"),"")</f>
        <v>186.006</v>
      </c>
      <c r="E30" s="35" t="str">
        <f aca="false">IFERROR(AVERAGEIFS('01 - Job Database'!$BM$3:$BM$1000,'01 - Job Database'!$C$3:$C$1000,"&lt;&gt;",'01 - Job Database'!$W$3:$W$1000,"&lt;&gt;Yes",'01 - Job Database'!$G$3:$G$1000,$A30,'01 - Job Database'!$BJ$3:$BJ$1000,"Yes"),"")</f>
        <v/>
      </c>
      <c r="F30" s="35" t="str">
        <f aca="false">IFERROR(AVERAGEIFS('01 - Job Database'!$BN$3:$BN$1000,'01 - Job Database'!$C$3:$C$1000,"&lt;&gt;",'01 - Job Database'!$W$3:$W$1000,"&lt;&gt;Yes",'01 - Job Database'!$G$3:$G$1000,$A30,'01 - Job Database'!$BJ$3:$BJ$1000,"Yes"),"")</f>
        <v/>
      </c>
      <c r="G30" s="35" t="str">
        <f aca="false">IFERROR(AVERAGEIFS('01 - Job Database'!$BO$3:$BO$1000,'01 - Job Database'!$C$3:$C$1000,"&lt;&gt;",'01 - Job Database'!$W$3:$W$1000,"&lt;&gt;Yes",'01 - Job Database'!$G$3:$G$1000,$A30,'01 - Job Database'!$BJ$3:$BJ$1000,"Yes"),"")</f>
        <v/>
      </c>
      <c r="H30" s="35" t="str">
        <f aca="false">IFERROR(AVERAGEIFS('01 - Job Database'!$BP$3:$BP$1000,'01 - Job Database'!$C$3:$C$1000,"&lt;&gt;",'01 - Job Database'!$W$3:$W$1000,"&lt;&gt;Yes",'01 - Job Database'!$G$3:$G$1000,$A30,'01 - Job Database'!$BJ$3:$BJ$1000,"Yes"),"")</f>
        <v/>
      </c>
      <c r="I30" s="77" t="str">
        <f aca="false">IFERROR(C30/(C30+E30+G30),"")</f>
        <v/>
      </c>
      <c r="J30" s="77" t="str">
        <f aca="false">IFERROR(E30/(C30+E30+G30),"")</f>
        <v/>
      </c>
      <c r="K30" s="77" t="str">
        <f aca="false">IFERROR(G30/(C30+E30+G30),"")</f>
        <v/>
      </c>
    </row>
    <row r="31" customFormat="false" ht="15" hidden="false" customHeight="true" outlineLevel="0" collapsed="false">
      <c r="A31" s="50" t="s">
        <v>262</v>
      </c>
      <c r="B31" s="34" t="n">
        <f aca="false">COUNTIFS('01 - Job Database'!$C$3:$C$1000,"&lt;&gt;",'01 - Job Database'!$W$3:$W$1000,"&lt;&gt;Yes",'01 - Job Database'!$G$3:$G$1000,$A31,'01 - Job Database'!$BJ$3:$BJ$1000,"Yes")</f>
        <v>0</v>
      </c>
      <c r="C31" s="35" t="str">
        <f aca="false">IFERROR(AVERAGEIFS('01 - Job Database'!$BK$3:$BK$1000,'01 - Job Database'!$C$3:$C$1000,"&lt;&gt;",'01 - Job Database'!$W$3:$W$1000,"&lt;&gt;Yes",'01 - Job Database'!$G$3:$G$1000,$A31,'01 - Job Database'!$BJ$3:$BJ$1000,"Yes"),"")</f>
        <v/>
      </c>
      <c r="D31" s="35" t="str">
        <f aca="false">IFERROR(AVERAGEIFS('01 - Job Database'!$BL$3:$BL$1000,'01 - Job Database'!$C$3:$C$1000,"&lt;&gt;",'01 - Job Database'!$W$3:$W$1000,"&lt;&gt;Yes",'01 - Job Database'!$G$3:$G$1000,$A31,'01 - Job Database'!$BJ$3:$BJ$1000,"Yes"),"")</f>
        <v/>
      </c>
      <c r="E31" s="35" t="str">
        <f aca="false">IFERROR(AVERAGEIFS('01 - Job Database'!$BM$3:$BM$1000,'01 - Job Database'!$C$3:$C$1000,"&lt;&gt;",'01 - Job Database'!$W$3:$W$1000,"&lt;&gt;Yes",'01 - Job Database'!$G$3:$G$1000,$A31,'01 - Job Database'!$BJ$3:$BJ$1000,"Yes"),"")</f>
        <v/>
      </c>
      <c r="F31" s="35" t="str">
        <f aca="false">IFERROR(AVERAGEIFS('01 - Job Database'!$BN$3:$BN$1000,'01 - Job Database'!$C$3:$C$1000,"&lt;&gt;",'01 - Job Database'!$W$3:$W$1000,"&lt;&gt;Yes",'01 - Job Database'!$G$3:$G$1000,$A31,'01 - Job Database'!$BJ$3:$BJ$1000,"Yes"),"")</f>
        <v/>
      </c>
      <c r="G31" s="35" t="str">
        <f aca="false">IFERROR(AVERAGEIFS('01 - Job Database'!$BO$3:$BO$1000,'01 - Job Database'!$C$3:$C$1000,"&lt;&gt;",'01 - Job Database'!$W$3:$W$1000,"&lt;&gt;Yes",'01 - Job Database'!$G$3:$G$1000,$A31,'01 - Job Database'!$BJ$3:$BJ$1000,"Yes"),"")</f>
        <v/>
      </c>
      <c r="H31" s="35" t="str">
        <f aca="false">IFERROR(AVERAGEIFS('01 - Job Database'!$BP$3:$BP$1000,'01 - Job Database'!$C$3:$C$1000,"&lt;&gt;",'01 - Job Database'!$W$3:$W$1000,"&lt;&gt;Yes",'01 - Job Database'!$G$3:$G$1000,$A31,'01 - Job Database'!$BJ$3:$BJ$1000,"Yes"),"")</f>
        <v/>
      </c>
      <c r="I31" s="77" t="str">
        <f aca="false">IFERROR(C31/(C31+E31+G31),"")</f>
        <v/>
      </c>
      <c r="J31" s="77" t="str">
        <f aca="false">IFERROR(E31/(C31+E31+G31),"")</f>
        <v/>
      </c>
      <c r="K31" s="77" t="str">
        <f aca="false">IFERROR(G31/(C31+E31+G31),"")</f>
        <v/>
      </c>
    </row>
    <row r="32" customFormat="false" ht="15" hidden="false" customHeight="true" outlineLevel="0" collapsed="false">
      <c r="A32" s="50" t="s">
        <v>263</v>
      </c>
      <c r="B32" s="34" t="n">
        <f aca="false">COUNTIFS('01 - Job Database'!$C$3:$C$1000,"&lt;&gt;",'01 - Job Database'!$W$3:$W$1000,"&lt;&gt;Yes",'01 - Job Database'!$G$3:$G$1000,$A32,'01 - Job Database'!$BJ$3:$BJ$1000,"Yes")</f>
        <v>0</v>
      </c>
      <c r="C32" s="35" t="str">
        <f aca="false">IFERROR(AVERAGEIFS('01 - Job Database'!$BK$3:$BK$1000,'01 - Job Database'!$C$3:$C$1000,"&lt;&gt;",'01 - Job Database'!$W$3:$W$1000,"&lt;&gt;Yes",'01 - Job Database'!$G$3:$G$1000,$A32,'01 - Job Database'!$BJ$3:$BJ$1000,"Yes"),"")</f>
        <v/>
      </c>
      <c r="D32" s="35" t="str">
        <f aca="false">IFERROR(AVERAGEIFS('01 - Job Database'!$BL$3:$BL$1000,'01 - Job Database'!$C$3:$C$1000,"&lt;&gt;",'01 - Job Database'!$W$3:$W$1000,"&lt;&gt;Yes",'01 - Job Database'!$G$3:$G$1000,$A32,'01 - Job Database'!$BJ$3:$BJ$1000,"Yes"),"")</f>
        <v/>
      </c>
      <c r="E32" s="35" t="str">
        <f aca="false">IFERROR(AVERAGEIFS('01 - Job Database'!$BM$3:$BM$1000,'01 - Job Database'!$C$3:$C$1000,"&lt;&gt;",'01 - Job Database'!$W$3:$W$1000,"&lt;&gt;Yes",'01 - Job Database'!$G$3:$G$1000,$A32,'01 - Job Database'!$BJ$3:$BJ$1000,"Yes"),"")</f>
        <v/>
      </c>
      <c r="F32" s="35" t="str">
        <f aca="false">IFERROR(AVERAGEIFS('01 - Job Database'!$BN$3:$BN$1000,'01 - Job Database'!$C$3:$C$1000,"&lt;&gt;",'01 - Job Database'!$W$3:$W$1000,"&lt;&gt;Yes",'01 - Job Database'!$G$3:$G$1000,$A32,'01 - Job Database'!$BJ$3:$BJ$1000,"Yes"),"")</f>
        <v/>
      </c>
      <c r="G32" s="35" t="str">
        <f aca="false">IFERROR(AVERAGEIFS('01 - Job Database'!$BO$3:$BO$1000,'01 - Job Database'!$C$3:$C$1000,"&lt;&gt;",'01 - Job Database'!$W$3:$W$1000,"&lt;&gt;Yes",'01 - Job Database'!$G$3:$G$1000,$A32,'01 - Job Database'!$BJ$3:$BJ$1000,"Yes"),"")</f>
        <v/>
      </c>
      <c r="H32" s="35" t="str">
        <f aca="false">IFERROR(AVERAGEIFS('01 - Job Database'!$BP$3:$BP$1000,'01 - Job Database'!$C$3:$C$1000,"&lt;&gt;",'01 - Job Database'!$W$3:$W$1000,"&lt;&gt;Yes",'01 - Job Database'!$G$3:$G$1000,$A32,'01 - Job Database'!$BJ$3:$BJ$1000,"Yes"),"")</f>
        <v/>
      </c>
      <c r="I32" s="77" t="str">
        <f aca="false">IFERROR(C32/(C32+E32+G32),"")</f>
        <v/>
      </c>
      <c r="J32" s="77" t="str">
        <f aca="false">IFERROR(E32/(C32+E32+G32),"")</f>
        <v/>
      </c>
      <c r="K32" s="77" t="str">
        <f aca="false">IFERROR(G32/(C32+E32+G32),"")</f>
        <v/>
      </c>
    </row>
    <row r="33" customFormat="false" ht="15" hidden="false" customHeight="true" outlineLevel="0" collapsed="false">
      <c r="A33" s="50" t="s">
        <v>264</v>
      </c>
      <c r="B33" s="34" t="n">
        <f aca="false">COUNTIFS('01 - Job Database'!$C$3:$C$1000,"&lt;&gt;",'01 - Job Database'!$W$3:$W$1000,"&lt;&gt;Yes",'01 - Job Database'!$G$3:$G$1000,$A33,'01 - Job Database'!$BJ$3:$BJ$1000,"Yes")</f>
        <v>0</v>
      </c>
      <c r="C33" s="35" t="str">
        <f aca="false">IFERROR(AVERAGEIFS('01 - Job Database'!$BK$3:$BK$1000,'01 - Job Database'!$C$3:$C$1000,"&lt;&gt;",'01 - Job Database'!$W$3:$W$1000,"&lt;&gt;Yes",'01 - Job Database'!$G$3:$G$1000,$A33,'01 - Job Database'!$BJ$3:$BJ$1000,"Yes"),"")</f>
        <v/>
      </c>
      <c r="D33" s="35" t="str">
        <f aca="false">IFERROR(AVERAGEIFS('01 - Job Database'!$BL$3:$BL$1000,'01 - Job Database'!$C$3:$C$1000,"&lt;&gt;",'01 - Job Database'!$W$3:$W$1000,"&lt;&gt;Yes",'01 - Job Database'!$G$3:$G$1000,$A33,'01 - Job Database'!$BJ$3:$BJ$1000,"Yes"),"")</f>
        <v/>
      </c>
      <c r="E33" s="35" t="str">
        <f aca="false">IFERROR(AVERAGEIFS('01 - Job Database'!$BM$3:$BM$1000,'01 - Job Database'!$C$3:$C$1000,"&lt;&gt;",'01 - Job Database'!$W$3:$W$1000,"&lt;&gt;Yes",'01 - Job Database'!$G$3:$G$1000,$A33,'01 - Job Database'!$BJ$3:$BJ$1000,"Yes"),"")</f>
        <v/>
      </c>
      <c r="F33" s="35" t="str">
        <f aca="false">IFERROR(AVERAGEIFS('01 - Job Database'!$BN$3:$BN$1000,'01 - Job Database'!$C$3:$C$1000,"&lt;&gt;",'01 - Job Database'!$W$3:$W$1000,"&lt;&gt;Yes",'01 - Job Database'!$G$3:$G$1000,$A33,'01 - Job Database'!$BJ$3:$BJ$1000,"Yes"),"")</f>
        <v/>
      </c>
      <c r="G33" s="35" t="str">
        <f aca="false">IFERROR(AVERAGEIFS('01 - Job Database'!$BO$3:$BO$1000,'01 - Job Database'!$C$3:$C$1000,"&lt;&gt;",'01 - Job Database'!$W$3:$W$1000,"&lt;&gt;Yes",'01 - Job Database'!$G$3:$G$1000,$A33,'01 - Job Database'!$BJ$3:$BJ$1000,"Yes"),"")</f>
        <v/>
      </c>
      <c r="H33" s="35" t="str">
        <f aca="false">IFERROR(AVERAGEIFS('01 - Job Database'!$BP$3:$BP$1000,'01 - Job Database'!$C$3:$C$1000,"&lt;&gt;",'01 - Job Database'!$W$3:$W$1000,"&lt;&gt;Yes",'01 - Job Database'!$G$3:$G$1000,$A33,'01 - Job Database'!$BJ$3:$BJ$1000,"Yes"),"")</f>
        <v/>
      </c>
      <c r="I33" s="77" t="str">
        <f aca="false">IFERROR(C33/(C33+E33+G33),"")</f>
        <v/>
      </c>
      <c r="J33" s="77" t="str">
        <f aca="false">IFERROR(E33/(C33+E33+G33),"")</f>
        <v/>
      </c>
      <c r="K33" s="77" t="str">
        <f aca="false">IFERROR(G33/(C33+E33+G33),"")</f>
        <v/>
      </c>
    </row>
    <row r="34" customFormat="false" ht="15" hidden="false" customHeight="true" outlineLevel="0" collapsed="false">
      <c r="A34" s="50" t="s">
        <v>265</v>
      </c>
      <c r="B34" s="34" t="n">
        <f aca="false">COUNTIFS('01 - Job Database'!$C$3:$C$1000,"&lt;&gt;",'01 - Job Database'!$W$3:$W$1000,"&lt;&gt;Yes",'01 - Job Database'!$G$3:$G$1000,$A34,'01 - Job Database'!$BJ$3:$BJ$1000,"Yes")</f>
        <v>0</v>
      </c>
      <c r="C34" s="35" t="str">
        <f aca="false">IFERROR(AVERAGEIFS('01 - Job Database'!$BK$3:$BK$1000,'01 - Job Database'!$C$3:$C$1000,"&lt;&gt;",'01 - Job Database'!$W$3:$W$1000,"&lt;&gt;Yes",'01 - Job Database'!$G$3:$G$1000,$A34,'01 - Job Database'!$BJ$3:$BJ$1000,"Yes"),"")</f>
        <v/>
      </c>
      <c r="D34" s="35" t="str">
        <f aca="false">IFERROR(AVERAGEIFS('01 - Job Database'!$BL$3:$BL$1000,'01 - Job Database'!$C$3:$C$1000,"&lt;&gt;",'01 - Job Database'!$W$3:$W$1000,"&lt;&gt;Yes",'01 - Job Database'!$G$3:$G$1000,$A34,'01 - Job Database'!$BJ$3:$BJ$1000,"Yes"),"")</f>
        <v/>
      </c>
      <c r="E34" s="35" t="str">
        <f aca="false">IFERROR(AVERAGEIFS('01 - Job Database'!$BM$3:$BM$1000,'01 - Job Database'!$C$3:$C$1000,"&lt;&gt;",'01 - Job Database'!$W$3:$W$1000,"&lt;&gt;Yes",'01 - Job Database'!$G$3:$G$1000,$A34,'01 - Job Database'!$BJ$3:$BJ$1000,"Yes"),"")</f>
        <v/>
      </c>
      <c r="F34" s="35" t="str">
        <f aca="false">IFERROR(AVERAGEIFS('01 - Job Database'!$BN$3:$BN$1000,'01 - Job Database'!$C$3:$C$1000,"&lt;&gt;",'01 - Job Database'!$W$3:$W$1000,"&lt;&gt;Yes",'01 - Job Database'!$G$3:$G$1000,$A34,'01 - Job Database'!$BJ$3:$BJ$1000,"Yes"),"")</f>
        <v/>
      </c>
      <c r="G34" s="35" t="str">
        <f aca="false">IFERROR(AVERAGEIFS('01 - Job Database'!$BO$3:$BO$1000,'01 - Job Database'!$C$3:$C$1000,"&lt;&gt;",'01 - Job Database'!$W$3:$W$1000,"&lt;&gt;Yes",'01 - Job Database'!$G$3:$G$1000,$A34,'01 - Job Database'!$BJ$3:$BJ$1000,"Yes"),"")</f>
        <v/>
      </c>
      <c r="H34" s="35" t="str">
        <f aca="false">IFERROR(AVERAGEIFS('01 - Job Database'!$BP$3:$BP$1000,'01 - Job Database'!$C$3:$C$1000,"&lt;&gt;",'01 - Job Database'!$W$3:$W$1000,"&lt;&gt;Yes",'01 - Job Database'!$G$3:$G$1000,$A34,'01 - Job Database'!$BJ$3:$BJ$1000,"Yes"),"")</f>
        <v/>
      </c>
      <c r="I34" s="77" t="str">
        <f aca="false">IFERROR(C34/(C34+E34+G34),"")</f>
        <v/>
      </c>
      <c r="J34" s="77" t="str">
        <f aca="false">IFERROR(E34/(C34+E34+G34),"")</f>
        <v/>
      </c>
      <c r="K34" s="77" t="str">
        <f aca="false">IFERROR(G34/(C34+E34+G34),"")</f>
        <v/>
      </c>
    </row>
    <row r="35" customFormat="false" ht="15" hidden="false" customHeight="true" outlineLevel="0" collapsed="false">
      <c r="A35" s="50" t="s">
        <v>266</v>
      </c>
      <c r="B35" s="34" t="n">
        <f aca="false">COUNTIFS('01 - Job Database'!$C$3:$C$1000,"&lt;&gt;",'01 - Job Database'!$W$3:$W$1000,"&lt;&gt;Yes",'01 - Job Database'!$G$3:$G$1000,$A35,'01 - Job Database'!$BJ$3:$BJ$1000,"Yes")</f>
        <v>0</v>
      </c>
      <c r="C35" s="35" t="str">
        <f aca="false">IFERROR(AVERAGEIFS('01 - Job Database'!$BK$3:$BK$1000,'01 - Job Database'!$C$3:$C$1000,"&lt;&gt;",'01 - Job Database'!$W$3:$W$1000,"&lt;&gt;Yes",'01 - Job Database'!$G$3:$G$1000,$A35,'01 - Job Database'!$BJ$3:$BJ$1000,"Yes"),"")</f>
        <v/>
      </c>
      <c r="D35" s="35" t="str">
        <f aca="false">IFERROR(AVERAGEIFS('01 - Job Database'!$BL$3:$BL$1000,'01 - Job Database'!$C$3:$C$1000,"&lt;&gt;",'01 - Job Database'!$W$3:$W$1000,"&lt;&gt;Yes",'01 - Job Database'!$G$3:$G$1000,$A35,'01 - Job Database'!$BJ$3:$BJ$1000,"Yes"),"")</f>
        <v/>
      </c>
      <c r="E35" s="35" t="str">
        <f aca="false">IFERROR(AVERAGEIFS('01 - Job Database'!$BM$3:$BM$1000,'01 - Job Database'!$C$3:$C$1000,"&lt;&gt;",'01 - Job Database'!$W$3:$W$1000,"&lt;&gt;Yes",'01 - Job Database'!$G$3:$G$1000,$A35,'01 - Job Database'!$BJ$3:$BJ$1000,"Yes"),"")</f>
        <v/>
      </c>
      <c r="F35" s="35" t="str">
        <f aca="false">IFERROR(AVERAGEIFS('01 - Job Database'!$BN$3:$BN$1000,'01 - Job Database'!$C$3:$C$1000,"&lt;&gt;",'01 - Job Database'!$W$3:$W$1000,"&lt;&gt;Yes",'01 - Job Database'!$G$3:$G$1000,$A35,'01 - Job Database'!$BJ$3:$BJ$1000,"Yes"),"")</f>
        <v/>
      </c>
      <c r="G35" s="35" t="str">
        <f aca="false">IFERROR(AVERAGEIFS('01 - Job Database'!$BO$3:$BO$1000,'01 - Job Database'!$C$3:$C$1000,"&lt;&gt;",'01 - Job Database'!$W$3:$W$1000,"&lt;&gt;Yes",'01 - Job Database'!$G$3:$G$1000,$A35,'01 - Job Database'!$BJ$3:$BJ$1000,"Yes"),"")</f>
        <v/>
      </c>
      <c r="H35" s="35" t="str">
        <f aca="false">IFERROR(AVERAGEIFS('01 - Job Database'!$BP$3:$BP$1000,'01 - Job Database'!$C$3:$C$1000,"&lt;&gt;",'01 - Job Database'!$W$3:$W$1000,"&lt;&gt;Yes",'01 - Job Database'!$G$3:$G$1000,$A35,'01 - Job Database'!$BJ$3:$BJ$1000,"Yes"),"")</f>
        <v/>
      </c>
      <c r="I35" s="77" t="str">
        <f aca="false">IFERROR(C35/(C35+E35+G35),"")</f>
        <v/>
      </c>
      <c r="J35" s="77" t="str">
        <f aca="false">IFERROR(E35/(C35+E35+G35),"")</f>
        <v/>
      </c>
      <c r="K35" s="77" t="str">
        <f aca="false">IFERROR(G35/(C35+E35+G35),"")</f>
        <v/>
      </c>
    </row>
    <row r="36" customFormat="false" ht="15" hidden="false" customHeight="true" outlineLevel="0" collapsed="false">
      <c r="A36" s="50" t="s">
        <v>267</v>
      </c>
      <c r="B36" s="34" t="n">
        <f aca="false">COUNTIFS('01 - Job Database'!$C$3:$C$1000,"&lt;&gt;",'01 - Job Database'!$W$3:$W$1000,"&lt;&gt;Yes",'01 - Job Database'!$G$3:$G$1000,$A36,'01 - Job Database'!$BJ$3:$BJ$1000,"Yes")</f>
        <v>0</v>
      </c>
      <c r="C36" s="35" t="str">
        <f aca="false">IFERROR(AVERAGEIFS('01 - Job Database'!$BK$3:$BK$1000,'01 - Job Database'!$C$3:$C$1000,"&lt;&gt;",'01 - Job Database'!$W$3:$W$1000,"&lt;&gt;Yes",'01 - Job Database'!$G$3:$G$1000,$A36,'01 - Job Database'!$BJ$3:$BJ$1000,"Yes"),"")</f>
        <v/>
      </c>
      <c r="D36" s="35" t="str">
        <f aca="false">IFERROR(AVERAGEIFS('01 - Job Database'!$BL$3:$BL$1000,'01 - Job Database'!$C$3:$C$1000,"&lt;&gt;",'01 - Job Database'!$W$3:$W$1000,"&lt;&gt;Yes",'01 - Job Database'!$G$3:$G$1000,$A36,'01 - Job Database'!$BJ$3:$BJ$1000,"Yes"),"")</f>
        <v/>
      </c>
      <c r="E36" s="35" t="str">
        <f aca="false">IFERROR(AVERAGEIFS('01 - Job Database'!$BM$3:$BM$1000,'01 - Job Database'!$C$3:$C$1000,"&lt;&gt;",'01 - Job Database'!$W$3:$W$1000,"&lt;&gt;Yes",'01 - Job Database'!$G$3:$G$1000,$A36,'01 - Job Database'!$BJ$3:$BJ$1000,"Yes"),"")</f>
        <v/>
      </c>
      <c r="F36" s="35" t="str">
        <f aca="false">IFERROR(AVERAGEIFS('01 - Job Database'!$BN$3:$BN$1000,'01 - Job Database'!$C$3:$C$1000,"&lt;&gt;",'01 - Job Database'!$W$3:$W$1000,"&lt;&gt;Yes",'01 - Job Database'!$G$3:$G$1000,$A36,'01 - Job Database'!$BJ$3:$BJ$1000,"Yes"),"")</f>
        <v/>
      </c>
      <c r="G36" s="35" t="str">
        <f aca="false">IFERROR(AVERAGEIFS('01 - Job Database'!$BO$3:$BO$1000,'01 - Job Database'!$C$3:$C$1000,"&lt;&gt;",'01 - Job Database'!$W$3:$W$1000,"&lt;&gt;Yes",'01 - Job Database'!$G$3:$G$1000,$A36,'01 - Job Database'!$BJ$3:$BJ$1000,"Yes"),"")</f>
        <v/>
      </c>
      <c r="H36" s="35" t="str">
        <f aca="false">IFERROR(AVERAGEIFS('01 - Job Database'!$BP$3:$BP$1000,'01 - Job Database'!$C$3:$C$1000,"&lt;&gt;",'01 - Job Database'!$W$3:$W$1000,"&lt;&gt;Yes",'01 - Job Database'!$G$3:$G$1000,$A36,'01 - Job Database'!$BJ$3:$BJ$1000,"Yes"),"")</f>
        <v/>
      </c>
      <c r="I36" s="77" t="str">
        <f aca="false">IFERROR(C36/(C36+E36+G36),"")</f>
        <v/>
      </c>
      <c r="J36" s="77" t="str">
        <f aca="false">IFERROR(E36/(C36+E36+G36),"")</f>
        <v/>
      </c>
      <c r="K36" s="77" t="str">
        <f aca="false">IFERROR(G36/(C36+E36+G36),"")</f>
        <v/>
      </c>
    </row>
    <row r="37" customFormat="false" ht="15" hidden="false" customHeight="true" outlineLevel="0" collapsed="false">
      <c r="A37" s="50" t="s">
        <v>268</v>
      </c>
      <c r="B37" s="34" t="n">
        <f aca="false">COUNTIFS('01 - Job Database'!$C$3:$C$1000,"&lt;&gt;",'01 - Job Database'!$W$3:$W$1000,"&lt;&gt;Yes",'01 - Job Database'!$G$3:$G$1000,$A37,'01 - Job Database'!$BJ$3:$BJ$1000,"Yes")</f>
        <v>0</v>
      </c>
      <c r="C37" s="35" t="str">
        <f aca="false">IFERROR(AVERAGEIFS('01 - Job Database'!$BK$3:$BK$1000,'01 - Job Database'!$C$3:$C$1000,"&lt;&gt;",'01 - Job Database'!$W$3:$W$1000,"&lt;&gt;Yes",'01 - Job Database'!$G$3:$G$1000,$A37,'01 - Job Database'!$BJ$3:$BJ$1000,"Yes"),"")</f>
        <v/>
      </c>
      <c r="D37" s="35" t="str">
        <f aca="false">IFERROR(AVERAGEIFS('01 - Job Database'!$BL$3:$BL$1000,'01 - Job Database'!$C$3:$C$1000,"&lt;&gt;",'01 - Job Database'!$W$3:$W$1000,"&lt;&gt;Yes",'01 - Job Database'!$G$3:$G$1000,$A37,'01 - Job Database'!$BJ$3:$BJ$1000,"Yes"),"")</f>
        <v/>
      </c>
      <c r="E37" s="35" t="str">
        <f aca="false">IFERROR(AVERAGEIFS('01 - Job Database'!$BM$3:$BM$1000,'01 - Job Database'!$C$3:$C$1000,"&lt;&gt;",'01 - Job Database'!$W$3:$W$1000,"&lt;&gt;Yes",'01 - Job Database'!$G$3:$G$1000,$A37,'01 - Job Database'!$BJ$3:$BJ$1000,"Yes"),"")</f>
        <v/>
      </c>
      <c r="F37" s="35" t="str">
        <f aca="false">IFERROR(AVERAGEIFS('01 - Job Database'!$BN$3:$BN$1000,'01 - Job Database'!$C$3:$C$1000,"&lt;&gt;",'01 - Job Database'!$W$3:$W$1000,"&lt;&gt;Yes",'01 - Job Database'!$G$3:$G$1000,$A37,'01 - Job Database'!$BJ$3:$BJ$1000,"Yes"),"")</f>
        <v/>
      </c>
      <c r="G37" s="35" t="str">
        <f aca="false">IFERROR(AVERAGEIFS('01 - Job Database'!$BO$3:$BO$1000,'01 - Job Database'!$C$3:$C$1000,"&lt;&gt;",'01 - Job Database'!$W$3:$W$1000,"&lt;&gt;Yes",'01 - Job Database'!$G$3:$G$1000,$A37,'01 - Job Database'!$BJ$3:$BJ$1000,"Yes"),"")</f>
        <v/>
      </c>
      <c r="H37" s="35" t="str">
        <f aca="false">IFERROR(AVERAGEIFS('01 - Job Database'!$BP$3:$BP$1000,'01 - Job Database'!$C$3:$C$1000,"&lt;&gt;",'01 - Job Database'!$W$3:$W$1000,"&lt;&gt;Yes",'01 - Job Database'!$G$3:$G$1000,$A37,'01 - Job Database'!$BJ$3:$BJ$1000,"Yes"),"")</f>
        <v/>
      </c>
      <c r="I37" s="77" t="str">
        <f aca="false">IFERROR(C37/(C37+E37+G37),"")</f>
        <v/>
      </c>
      <c r="J37" s="77" t="str">
        <f aca="false">IFERROR(E37/(C37+E37+G37),"")</f>
        <v/>
      </c>
      <c r="K37" s="77" t="str">
        <f aca="false">IFERROR(G37/(C37+E37+G37),"")</f>
        <v/>
      </c>
    </row>
    <row r="38" customFormat="false" ht="15" hidden="false" customHeight="true" outlineLevel="0" collapsed="false">
      <c r="A38" s="50" t="s">
        <v>269</v>
      </c>
      <c r="B38" s="34" t="n">
        <f aca="false">COUNTIFS('01 - Job Database'!$C$3:$C$1000,"&lt;&gt;",'01 - Job Database'!$W$3:$W$1000,"&lt;&gt;Yes",'01 - Job Database'!$G$3:$G$1000,$A38,'01 - Job Database'!$BJ$3:$BJ$1000,"Yes")</f>
        <v>0</v>
      </c>
      <c r="C38" s="35" t="str">
        <f aca="false">IFERROR(AVERAGEIFS('01 - Job Database'!$BK$3:$BK$1000,'01 - Job Database'!$C$3:$C$1000,"&lt;&gt;",'01 - Job Database'!$W$3:$W$1000,"&lt;&gt;Yes",'01 - Job Database'!$G$3:$G$1000,$A38,'01 - Job Database'!$BJ$3:$BJ$1000,"Yes"),"")</f>
        <v/>
      </c>
      <c r="D38" s="35" t="str">
        <f aca="false">IFERROR(AVERAGEIFS('01 - Job Database'!$BL$3:$BL$1000,'01 - Job Database'!$C$3:$C$1000,"&lt;&gt;",'01 - Job Database'!$W$3:$W$1000,"&lt;&gt;Yes",'01 - Job Database'!$G$3:$G$1000,$A38,'01 - Job Database'!$BJ$3:$BJ$1000,"Yes"),"")</f>
        <v/>
      </c>
      <c r="E38" s="35" t="str">
        <f aca="false">IFERROR(AVERAGEIFS('01 - Job Database'!$BM$3:$BM$1000,'01 - Job Database'!$C$3:$C$1000,"&lt;&gt;",'01 - Job Database'!$W$3:$W$1000,"&lt;&gt;Yes",'01 - Job Database'!$G$3:$G$1000,$A38,'01 - Job Database'!$BJ$3:$BJ$1000,"Yes"),"")</f>
        <v/>
      </c>
      <c r="F38" s="35" t="str">
        <f aca="false">IFERROR(AVERAGEIFS('01 - Job Database'!$BN$3:$BN$1000,'01 - Job Database'!$C$3:$C$1000,"&lt;&gt;",'01 - Job Database'!$W$3:$W$1000,"&lt;&gt;Yes",'01 - Job Database'!$G$3:$G$1000,$A38,'01 - Job Database'!$BJ$3:$BJ$1000,"Yes"),"")</f>
        <v/>
      </c>
      <c r="G38" s="35" t="str">
        <f aca="false">IFERROR(AVERAGEIFS('01 - Job Database'!$BO$3:$BO$1000,'01 - Job Database'!$C$3:$C$1000,"&lt;&gt;",'01 - Job Database'!$W$3:$W$1000,"&lt;&gt;Yes",'01 - Job Database'!$G$3:$G$1000,$A38,'01 - Job Database'!$BJ$3:$BJ$1000,"Yes"),"")</f>
        <v/>
      </c>
      <c r="H38" s="35" t="str">
        <f aca="false">IFERROR(AVERAGEIFS('01 - Job Database'!$BP$3:$BP$1000,'01 - Job Database'!$C$3:$C$1000,"&lt;&gt;",'01 - Job Database'!$W$3:$W$1000,"&lt;&gt;Yes",'01 - Job Database'!$G$3:$G$1000,$A38,'01 - Job Database'!$BJ$3:$BJ$1000,"Yes"),"")</f>
        <v/>
      </c>
      <c r="I38" s="77" t="str">
        <f aca="false">IFERROR(C38/(C38+E38+G38),"")</f>
        <v/>
      </c>
      <c r="J38" s="77" t="str">
        <f aca="false">IFERROR(E38/(C38+E38+G38),"")</f>
        <v/>
      </c>
      <c r="K38" s="77" t="str">
        <f aca="false">IFERROR(G38/(C38+E38+G38),"")</f>
        <v/>
      </c>
    </row>
    <row r="39" customFormat="false" ht="15" hidden="false" customHeight="true" outlineLevel="0" collapsed="false">
      <c r="A39" s="50" t="s">
        <v>270</v>
      </c>
      <c r="B39" s="34" t="n">
        <f aca="false">COUNTIFS('01 - Job Database'!$C$3:$C$1000,"&lt;&gt;",'01 - Job Database'!$W$3:$W$1000,"&lt;&gt;Yes",'01 - Job Database'!$G$3:$G$1000,$A39,'01 - Job Database'!$BJ$3:$BJ$1000,"Yes")</f>
        <v>0</v>
      </c>
      <c r="C39" s="35" t="str">
        <f aca="false">IFERROR(AVERAGEIFS('01 - Job Database'!$BK$3:$BK$1000,'01 - Job Database'!$C$3:$C$1000,"&lt;&gt;",'01 - Job Database'!$W$3:$W$1000,"&lt;&gt;Yes",'01 - Job Database'!$G$3:$G$1000,$A39,'01 - Job Database'!$BJ$3:$BJ$1000,"Yes"),"")</f>
        <v/>
      </c>
      <c r="D39" s="35" t="str">
        <f aca="false">IFERROR(AVERAGEIFS('01 - Job Database'!$BL$3:$BL$1000,'01 - Job Database'!$C$3:$C$1000,"&lt;&gt;",'01 - Job Database'!$W$3:$W$1000,"&lt;&gt;Yes",'01 - Job Database'!$G$3:$G$1000,$A39,'01 - Job Database'!$BJ$3:$BJ$1000,"Yes"),"")</f>
        <v/>
      </c>
      <c r="E39" s="35" t="str">
        <f aca="false">IFERROR(AVERAGEIFS('01 - Job Database'!$BM$3:$BM$1000,'01 - Job Database'!$C$3:$C$1000,"&lt;&gt;",'01 - Job Database'!$W$3:$W$1000,"&lt;&gt;Yes",'01 - Job Database'!$G$3:$G$1000,$A39,'01 - Job Database'!$BJ$3:$BJ$1000,"Yes"),"")</f>
        <v/>
      </c>
      <c r="F39" s="35" t="str">
        <f aca="false">IFERROR(AVERAGEIFS('01 - Job Database'!$BN$3:$BN$1000,'01 - Job Database'!$C$3:$C$1000,"&lt;&gt;",'01 - Job Database'!$W$3:$W$1000,"&lt;&gt;Yes",'01 - Job Database'!$G$3:$G$1000,$A39,'01 - Job Database'!$BJ$3:$BJ$1000,"Yes"),"")</f>
        <v/>
      </c>
      <c r="G39" s="35" t="str">
        <f aca="false">IFERROR(AVERAGEIFS('01 - Job Database'!$BO$3:$BO$1000,'01 - Job Database'!$C$3:$C$1000,"&lt;&gt;",'01 - Job Database'!$W$3:$W$1000,"&lt;&gt;Yes",'01 - Job Database'!$G$3:$G$1000,$A39,'01 - Job Database'!$BJ$3:$BJ$1000,"Yes"),"")</f>
        <v/>
      </c>
      <c r="H39" s="35" t="str">
        <f aca="false">IFERROR(AVERAGEIFS('01 - Job Database'!$BP$3:$BP$1000,'01 - Job Database'!$C$3:$C$1000,"&lt;&gt;",'01 - Job Database'!$W$3:$W$1000,"&lt;&gt;Yes",'01 - Job Database'!$G$3:$G$1000,$A39,'01 - Job Database'!$BJ$3:$BJ$1000,"Yes"),"")</f>
        <v/>
      </c>
      <c r="I39" s="77" t="str">
        <f aca="false">IFERROR(C39/(C39+E39+G39),"")</f>
        <v/>
      </c>
      <c r="J39" s="77" t="str">
        <f aca="false">IFERROR(E39/(C39+E39+G39),"")</f>
        <v/>
      </c>
      <c r="K39" s="77" t="str">
        <f aca="false">IFERROR(G39/(C39+E39+G39),"")</f>
        <v/>
      </c>
    </row>
    <row r="40" customFormat="false" ht="15" hidden="false" customHeight="true" outlineLevel="0" collapsed="false">
      <c r="A40" s="50" t="s">
        <v>271</v>
      </c>
      <c r="B40" s="34" t="n">
        <f aca="false">COUNTIFS('01 - Job Database'!$C$3:$C$1000,"&lt;&gt;",'01 - Job Database'!$W$3:$W$1000,"&lt;&gt;Yes",'01 - Job Database'!$G$3:$G$1000,$A40,'01 - Job Database'!$BJ$3:$BJ$1000,"Yes")</f>
        <v>0</v>
      </c>
      <c r="C40" s="35" t="str">
        <f aca="false">IFERROR(AVERAGEIFS('01 - Job Database'!$BK$3:$BK$1000,'01 - Job Database'!$C$3:$C$1000,"&lt;&gt;",'01 - Job Database'!$W$3:$W$1000,"&lt;&gt;Yes",'01 - Job Database'!$G$3:$G$1000,$A40,'01 - Job Database'!$BJ$3:$BJ$1000,"Yes"),"")</f>
        <v/>
      </c>
      <c r="D40" s="35" t="str">
        <f aca="false">IFERROR(AVERAGEIFS('01 - Job Database'!$BL$3:$BL$1000,'01 - Job Database'!$C$3:$C$1000,"&lt;&gt;",'01 - Job Database'!$W$3:$W$1000,"&lt;&gt;Yes",'01 - Job Database'!$G$3:$G$1000,$A40,'01 - Job Database'!$BJ$3:$BJ$1000,"Yes"),"")</f>
        <v/>
      </c>
      <c r="E40" s="35" t="str">
        <f aca="false">IFERROR(AVERAGEIFS('01 - Job Database'!$BM$3:$BM$1000,'01 - Job Database'!$C$3:$C$1000,"&lt;&gt;",'01 - Job Database'!$W$3:$W$1000,"&lt;&gt;Yes",'01 - Job Database'!$G$3:$G$1000,$A40,'01 - Job Database'!$BJ$3:$BJ$1000,"Yes"),"")</f>
        <v/>
      </c>
      <c r="F40" s="35" t="str">
        <f aca="false">IFERROR(AVERAGEIFS('01 - Job Database'!$BN$3:$BN$1000,'01 - Job Database'!$C$3:$C$1000,"&lt;&gt;",'01 - Job Database'!$W$3:$W$1000,"&lt;&gt;Yes",'01 - Job Database'!$G$3:$G$1000,$A40,'01 - Job Database'!$BJ$3:$BJ$1000,"Yes"),"")</f>
        <v/>
      </c>
      <c r="G40" s="35" t="str">
        <f aca="false">IFERROR(AVERAGEIFS('01 - Job Database'!$BO$3:$BO$1000,'01 - Job Database'!$C$3:$C$1000,"&lt;&gt;",'01 - Job Database'!$W$3:$W$1000,"&lt;&gt;Yes",'01 - Job Database'!$G$3:$G$1000,$A40,'01 - Job Database'!$BJ$3:$BJ$1000,"Yes"),"")</f>
        <v/>
      </c>
      <c r="H40" s="35" t="str">
        <f aca="false">IFERROR(AVERAGEIFS('01 - Job Database'!$BP$3:$BP$1000,'01 - Job Database'!$C$3:$C$1000,"&lt;&gt;",'01 - Job Database'!$W$3:$W$1000,"&lt;&gt;Yes",'01 - Job Database'!$G$3:$G$1000,$A40,'01 - Job Database'!$BJ$3:$BJ$1000,"Yes"),"")</f>
        <v/>
      </c>
      <c r="I40" s="77" t="str">
        <f aca="false">IFERROR(C40/(C40+E40+G40),"")</f>
        <v/>
      </c>
      <c r="J40" s="77" t="str">
        <f aca="false">IFERROR(E40/(C40+E40+G40),"")</f>
        <v/>
      </c>
      <c r="K40" s="77" t="str">
        <f aca="false">IFERROR(G40/(C40+E40+G40),"")</f>
        <v/>
      </c>
    </row>
    <row r="41" customFormat="false" ht="15" hidden="false" customHeight="true" outlineLevel="0" collapsed="false">
      <c r="A41" s="50" t="s">
        <v>272</v>
      </c>
      <c r="B41" s="34" t="n">
        <f aca="false">COUNTIFS('01 - Job Database'!$C$3:$C$1000,"&lt;&gt;",'01 - Job Database'!$W$3:$W$1000,"&lt;&gt;Yes",'01 - Job Database'!$G$3:$G$1000,$A41,'01 - Job Database'!$BJ$3:$BJ$1000,"Yes")</f>
        <v>0</v>
      </c>
      <c r="C41" s="35" t="str">
        <f aca="false">IFERROR(AVERAGEIFS('01 - Job Database'!$BK$3:$BK$1000,'01 - Job Database'!$C$3:$C$1000,"&lt;&gt;",'01 - Job Database'!$W$3:$W$1000,"&lt;&gt;Yes",'01 - Job Database'!$G$3:$G$1000,$A41,'01 - Job Database'!$BJ$3:$BJ$1000,"Yes"),"")</f>
        <v/>
      </c>
      <c r="D41" s="35" t="str">
        <f aca="false">IFERROR(AVERAGEIFS('01 - Job Database'!$BL$3:$BL$1000,'01 - Job Database'!$C$3:$C$1000,"&lt;&gt;",'01 - Job Database'!$W$3:$W$1000,"&lt;&gt;Yes",'01 - Job Database'!$G$3:$G$1000,$A41,'01 - Job Database'!$BJ$3:$BJ$1000,"Yes"),"")</f>
        <v/>
      </c>
      <c r="E41" s="35" t="str">
        <f aca="false">IFERROR(AVERAGEIFS('01 - Job Database'!$BM$3:$BM$1000,'01 - Job Database'!$C$3:$C$1000,"&lt;&gt;",'01 - Job Database'!$W$3:$W$1000,"&lt;&gt;Yes",'01 - Job Database'!$G$3:$G$1000,$A41,'01 - Job Database'!$BJ$3:$BJ$1000,"Yes"),"")</f>
        <v/>
      </c>
      <c r="F41" s="35" t="str">
        <f aca="false">IFERROR(AVERAGEIFS('01 - Job Database'!$BN$3:$BN$1000,'01 - Job Database'!$C$3:$C$1000,"&lt;&gt;",'01 - Job Database'!$W$3:$W$1000,"&lt;&gt;Yes",'01 - Job Database'!$G$3:$G$1000,$A41,'01 - Job Database'!$BJ$3:$BJ$1000,"Yes"),"")</f>
        <v/>
      </c>
      <c r="G41" s="35" t="str">
        <f aca="false">IFERROR(AVERAGEIFS('01 - Job Database'!$BO$3:$BO$1000,'01 - Job Database'!$C$3:$C$1000,"&lt;&gt;",'01 - Job Database'!$W$3:$W$1000,"&lt;&gt;Yes",'01 - Job Database'!$G$3:$G$1000,$A41,'01 - Job Database'!$BJ$3:$BJ$1000,"Yes"),"")</f>
        <v/>
      </c>
      <c r="H41" s="35" t="str">
        <f aca="false">IFERROR(AVERAGEIFS('01 - Job Database'!$BP$3:$BP$1000,'01 - Job Database'!$C$3:$C$1000,"&lt;&gt;",'01 - Job Database'!$W$3:$W$1000,"&lt;&gt;Yes",'01 - Job Database'!$G$3:$G$1000,$A41,'01 - Job Database'!$BJ$3:$BJ$1000,"Yes"),"")</f>
        <v/>
      </c>
      <c r="I41" s="77" t="str">
        <f aca="false">IFERROR(C41/(C41+E41+G41),"")</f>
        <v/>
      </c>
      <c r="J41" s="77" t="str">
        <f aca="false">IFERROR(E41/(C41+E41+G41),"")</f>
        <v/>
      </c>
      <c r="K41" s="77" t="str">
        <f aca="false">IFERROR(G41/(C41+E41+G41),"")</f>
        <v/>
      </c>
    </row>
    <row r="42" customFormat="false" ht="15" hidden="false" customHeight="true" outlineLevel="0" collapsed="false">
      <c r="A42" s="50" t="s">
        <v>273</v>
      </c>
      <c r="B42" s="34" t="n">
        <f aca="false">COUNTIFS('01 - Job Database'!$C$3:$C$1000,"&lt;&gt;",'01 - Job Database'!$W$3:$W$1000,"&lt;&gt;Yes",'01 - Job Database'!$G$3:$G$1000,$A42,'01 - Job Database'!$BJ$3:$BJ$1000,"Yes")</f>
        <v>0</v>
      </c>
      <c r="C42" s="35" t="str">
        <f aca="false">IFERROR(AVERAGEIFS('01 - Job Database'!$BK$3:$BK$1000,'01 - Job Database'!$C$3:$C$1000,"&lt;&gt;",'01 - Job Database'!$W$3:$W$1000,"&lt;&gt;Yes",'01 - Job Database'!$G$3:$G$1000,$A42,'01 - Job Database'!$BJ$3:$BJ$1000,"Yes"),"")</f>
        <v/>
      </c>
      <c r="D42" s="35" t="str">
        <f aca="false">IFERROR(AVERAGEIFS('01 - Job Database'!$BL$3:$BL$1000,'01 - Job Database'!$C$3:$C$1000,"&lt;&gt;",'01 - Job Database'!$W$3:$W$1000,"&lt;&gt;Yes",'01 - Job Database'!$G$3:$G$1000,$A42,'01 - Job Database'!$BJ$3:$BJ$1000,"Yes"),"")</f>
        <v/>
      </c>
      <c r="E42" s="35" t="str">
        <f aca="false">IFERROR(AVERAGEIFS('01 - Job Database'!$BM$3:$BM$1000,'01 - Job Database'!$C$3:$C$1000,"&lt;&gt;",'01 - Job Database'!$W$3:$W$1000,"&lt;&gt;Yes",'01 - Job Database'!$G$3:$G$1000,$A42,'01 - Job Database'!$BJ$3:$BJ$1000,"Yes"),"")</f>
        <v/>
      </c>
      <c r="F42" s="35" t="str">
        <f aca="false">IFERROR(AVERAGEIFS('01 - Job Database'!$BN$3:$BN$1000,'01 - Job Database'!$C$3:$C$1000,"&lt;&gt;",'01 - Job Database'!$W$3:$W$1000,"&lt;&gt;Yes",'01 - Job Database'!$G$3:$G$1000,$A42,'01 - Job Database'!$BJ$3:$BJ$1000,"Yes"),"")</f>
        <v/>
      </c>
      <c r="G42" s="35" t="str">
        <f aca="false">IFERROR(AVERAGEIFS('01 - Job Database'!$BO$3:$BO$1000,'01 - Job Database'!$C$3:$C$1000,"&lt;&gt;",'01 - Job Database'!$W$3:$W$1000,"&lt;&gt;Yes",'01 - Job Database'!$G$3:$G$1000,$A42,'01 - Job Database'!$BJ$3:$BJ$1000,"Yes"),"")</f>
        <v/>
      </c>
      <c r="H42" s="35" t="str">
        <f aca="false">IFERROR(AVERAGEIFS('01 - Job Database'!$BP$3:$BP$1000,'01 - Job Database'!$C$3:$C$1000,"&lt;&gt;",'01 - Job Database'!$W$3:$W$1000,"&lt;&gt;Yes",'01 - Job Database'!$G$3:$G$1000,$A42,'01 - Job Database'!$BJ$3:$BJ$1000,"Yes"),"")</f>
        <v/>
      </c>
      <c r="I42" s="77" t="str">
        <f aca="false">IFERROR(C42/(C42+E42+G42),"")</f>
        <v/>
      </c>
      <c r="J42" s="77" t="str">
        <f aca="false">IFERROR(E42/(C42+E42+G42),"")</f>
        <v/>
      </c>
      <c r="K42" s="77" t="str">
        <f aca="false">IFERROR(G42/(C42+E42+G42),"")</f>
        <v/>
      </c>
    </row>
    <row r="43" customFormat="false" ht="15" hidden="false" customHeight="true" outlineLevel="0" collapsed="false">
      <c r="A43" s="50" t="s">
        <v>274</v>
      </c>
      <c r="B43" s="34" t="n">
        <f aca="false">COUNTIFS('01 - Job Database'!$C$3:$C$1000,"&lt;&gt;",'01 - Job Database'!$W$3:$W$1000,"&lt;&gt;Yes",'01 - Job Database'!$G$3:$G$1000,$A43,'01 - Job Database'!$BJ$3:$BJ$1000,"Yes")</f>
        <v>0</v>
      </c>
      <c r="C43" s="35" t="str">
        <f aca="false">IFERROR(AVERAGEIFS('01 - Job Database'!$BK$3:$BK$1000,'01 - Job Database'!$C$3:$C$1000,"&lt;&gt;",'01 - Job Database'!$W$3:$W$1000,"&lt;&gt;Yes",'01 - Job Database'!$G$3:$G$1000,$A43,'01 - Job Database'!$BJ$3:$BJ$1000,"Yes"),"")</f>
        <v/>
      </c>
      <c r="D43" s="35" t="str">
        <f aca="false">IFERROR(AVERAGEIFS('01 - Job Database'!$BL$3:$BL$1000,'01 - Job Database'!$C$3:$C$1000,"&lt;&gt;",'01 - Job Database'!$W$3:$W$1000,"&lt;&gt;Yes",'01 - Job Database'!$G$3:$G$1000,$A43,'01 - Job Database'!$BJ$3:$BJ$1000,"Yes"),"")</f>
        <v/>
      </c>
      <c r="E43" s="35" t="str">
        <f aca="false">IFERROR(AVERAGEIFS('01 - Job Database'!$BM$3:$BM$1000,'01 - Job Database'!$C$3:$C$1000,"&lt;&gt;",'01 - Job Database'!$W$3:$W$1000,"&lt;&gt;Yes",'01 - Job Database'!$G$3:$G$1000,$A43,'01 - Job Database'!$BJ$3:$BJ$1000,"Yes"),"")</f>
        <v/>
      </c>
      <c r="F43" s="35" t="str">
        <f aca="false">IFERROR(AVERAGEIFS('01 - Job Database'!$BN$3:$BN$1000,'01 - Job Database'!$C$3:$C$1000,"&lt;&gt;",'01 - Job Database'!$W$3:$W$1000,"&lt;&gt;Yes",'01 - Job Database'!$G$3:$G$1000,$A43,'01 - Job Database'!$BJ$3:$BJ$1000,"Yes"),"")</f>
        <v/>
      </c>
      <c r="G43" s="35" t="str">
        <f aca="false">IFERROR(AVERAGEIFS('01 - Job Database'!$BO$3:$BO$1000,'01 - Job Database'!$C$3:$C$1000,"&lt;&gt;",'01 - Job Database'!$W$3:$W$1000,"&lt;&gt;Yes",'01 - Job Database'!$G$3:$G$1000,$A43,'01 - Job Database'!$BJ$3:$BJ$1000,"Yes"),"")</f>
        <v/>
      </c>
      <c r="H43" s="35" t="str">
        <f aca="false">IFERROR(AVERAGEIFS('01 - Job Database'!$BP$3:$BP$1000,'01 - Job Database'!$C$3:$C$1000,"&lt;&gt;",'01 - Job Database'!$W$3:$W$1000,"&lt;&gt;Yes",'01 - Job Database'!$G$3:$G$1000,$A43,'01 - Job Database'!$BJ$3:$BJ$1000,"Yes"),"")</f>
        <v/>
      </c>
      <c r="I43" s="77" t="str">
        <f aca="false">IFERROR(C43/(C43+E43+G43),"")</f>
        <v/>
      </c>
      <c r="J43" s="77" t="str">
        <f aca="false">IFERROR(E43/(C43+E43+G43),"")</f>
        <v/>
      </c>
      <c r="K43" s="77" t="str">
        <f aca="false">IFERROR(G43/(C43+E43+G43),"")</f>
        <v/>
      </c>
    </row>
    <row r="44" customFormat="false" ht="15" hidden="false" customHeight="true" outlineLevel="0" collapsed="false">
      <c r="A44" s="50" t="s">
        <v>275</v>
      </c>
      <c r="B44" s="34" t="n">
        <f aca="false">COUNTIFS('01 - Job Database'!$C$3:$C$1000,"&lt;&gt;",'01 - Job Database'!$W$3:$W$1000,"&lt;&gt;Yes",'01 - Job Database'!$G$3:$G$1000,$A44,'01 - Job Database'!$BJ$3:$BJ$1000,"Yes")</f>
        <v>0</v>
      </c>
      <c r="C44" s="35" t="str">
        <f aca="false">IFERROR(AVERAGEIFS('01 - Job Database'!$BK$3:$BK$1000,'01 - Job Database'!$C$3:$C$1000,"&lt;&gt;",'01 - Job Database'!$W$3:$W$1000,"&lt;&gt;Yes",'01 - Job Database'!$G$3:$G$1000,$A44,'01 - Job Database'!$BJ$3:$BJ$1000,"Yes"),"")</f>
        <v/>
      </c>
      <c r="D44" s="35" t="str">
        <f aca="false">IFERROR(AVERAGEIFS('01 - Job Database'!$BL$3:$BL$1000,'01 - Job Database'!$C$3:$C$1000,"&lt;&gt;",'01 - Job Database'!$W$3:$W$1000,"&lt;&gt;Yes",'01 - Job Database'!$G$3:$G$1000,$A44,'01 - Job Database'!$BJ$3:$BJ$1000,"Yes"),"")</f>
        <v/>
      </c>
      <c r="E44" s="35" t="str">
        <f aca="false">IFERROR(AVERAGEIFS('01 - Job Database'!$BM$3:$BM$1000,'01 - Job Database'!$C$3:$C$1000,"&lt;&gt;",'01 - Job Database'!$W$3:$W$1000,"&lt;&gt;Yes",'01 - Job Database'!$G$3:$G$1000,$A44,'01 - Job Database'!$BJ$3:$BJ$1000,"Yes"),"")</f>
        <v/>
      </c>
      <c r="F44" s="35" t="str">
        <f aca="false">IFERROR(AVERAGEIFS('01 - Job Database'!$BN$3:$BN$1000,'01 - Job Database'!$C$3:$C$1000,"&lt;&gt;",'01 - Job Database'!$W$3:$W$1000,"&lt;&gt;Yes",'01 - Job Database'!$G$3:$G$1000,$A44,'01 - Job Database'!$BJ$3:$BJ$1000,"Yes"),"")</f>
        <v/>
      </c>
      <c r="G44" s="35" t="str">
        <f aca="false">IFERROR(AVERAGEIFS('01 - Job Database'!$BO$3:$BO$1000,'01 - Job Database'!$C$3:$C$1000,"&lt;&gt;",'01 - Job Database'!$W$3:$W$1000,"&lt;&gt;Yes",'01 - Job Database'!$G$3:$G$1000,$A44,'01 - Job Database'!$BJ$3:$BJ$1000,"Yes"),"")</f>
        <v/>
      </c>
      <c r="H44" s="35" t="str">
        <f aca="false">IFERROR(AVERAGEIFS('01 - Job Database'!$BP$3:$BP$1000,'01 - Job Database'!$C$3:$C$1000,"&lt;&gt;",'01 - Job Database'!$W$3:$W$1000,"&lt;&gt;Yes",'01 - Job Database'!$G$3:$G$1000,$A44,'01 - Job Database'!$BJ$3:$BJ$1000,"Yes"),"")</f>
        <v/>
      </c>
      <c r="I44" s="77" t="str">
        <f aca="false">IFERROR(C44/(C44+E44+G44),"")</f>
        <v/>
      </c>
      <c r="J44" s="77" t="str">
        <f aca="false">IFERROR(E44/(C44+E44+G44),"")</f>
        <v/>
      </c>
      <c r="K44" s="77" t="str">
        <f aca="false">IFERROR(G44/(C44+E44+G44),"")</f>
        <v/>
      </c>
    </row>
    <row r="45" customFormat="false" ht="15" hidden="false" customHeight="true" outlineLevel="0" collapsed="false">
      <c r="A45" s="50" t="s">
        <v>276</v>
      </c>
      <c r="B45" s="34" t="n">
        <f aca="false">COUNTIFS('01 - Job Database'!$C$3:$C$1000,"&lt;&gt;",'01 - Job Database'!$W$3:$W$1000,"&lt;&gt;Yes",'01 - Job Database'!$G$3:$G$1000,$A45,'01 - Job Database'!$BJ$3:$BJ$1000,"Yes")</f>
        <v>0</v>
      </c>
      <c r="C45" s="35" t="str">
        <f aca="false">IFERROR(AVERAGEIFS('01 - Job Database'!$BK$3:$BK$1000,'01 - Job Database'!$C$3:$C$1000,"&lt;&gt;",'01 - Job Database'!$W$3:$W$1000,"&lt;&gt;Yes",'01 - Job Database'!$G$3:$G$1000,$A45,'01 - Job Database'!$BJ$3:$BJ$1000,"Yes"),"")</f>
        <v/>
      </c>
      <c r="D45" s="35" t="str">
        <f aca="false">IFERROR(AVERAGEIFS('01 - Job Database'!$BL$3:$BL$1000,'01 - Job Database'!$C$3:$C$1000,"&lt;&gt;",'01 - Job Database'!$W$3:$W$1000,"&lt;&gt;Yes",'01 - Job Database'!$G$3:$G$1000,$A45,'01 - Job Database'!$BJ$3:$BJ$1000,"Yes"),"")</f>
        <v/>
      </c>
      <c r="E45" s="35" t="str">
        <f aca="false">IFERROR(AVERAGEIFS('01 - Job Database'!$BM$3:$BM$1000,'01 - Job Database'!$C$3:$C$1000,"&lt;&gt;",'01 - Job Database'!$W$3:$W$1000,"&lt;&gt;Yes",'01 - Job Database'!$G$3:$G$1000,$A45,'01 - Job Database'!$BJ$3:$BJ$1000,"Yes"),"")</f>
        <v/>
      </c>
      <c r="F45" s="35" t="str">
        <f aca="false">IFERROR(AVERAGEIFS('01 - Job Database'!$BN$3:$BN$1000,'01 - Job Database'!$C$3:$C$1000,"&lt;&gt;",'01 - Job Database'!$W$3:$W$1000,"&lt;&gt;Yes",'01 - Job Database'!$G$3:$G$1000,$A45,'01 - Job Database'!$BJ$3:$BJ$1000,"Yes"),"")</f>
        <v/>
      </c>
      <c r="G45" s="35" t="str">
        <f aca="false">IFERROR(AVERAGEIFS('01 - Job Database'!$BO$3:$BO$1000,'01 - Job Database'!$C$3:$C$1000,"&lt;&gt;",'01 - Job Database'!$W$3:$W$1000,"&lt;&gt;Yes",'01 - Job Database'!$G$3:$G$1000,$A45,'01 - Job Database'!$BJ$3:$BJ$1000,"Yes"),"")</f>
        <v/>
      </c>
      <c r="H45" s="35" t="str">
        <f aca="false">IFERROR(AVERAGEIFS('01 - Job Database'!$BP$3:$BP$1000,'01 - Job Database'!$C$3:$C$1000,"&lt;&gt;",'01 - Job Database'!$W$3:$W$1000,"&lt;&gt;Yes",'01 - Job Database'!$G$3:$G$1000,$A45,'01 - Job Database'!$BJ$3:$BJ$1000,"Yes"),"")</f>
        <v/>
      </c>
      <c r="I45" s="77" t="str">
        <f aca="false">IFERROR(C45/(C45+E45+G45),"")</f>
        <v/>
      </c>
      <c r="J45" s="77" t="str">
        <f aca="false">IFERROR(E45/(C45+E45+G45),"")</f>
        <v/>
      </c>
      <c r="K45" s="77" t="str">
        <f aca="false">IFERROR(G45/(C45+E45+G45),"")</f>
        <v/>
      </c>
    </row>
    <row r="46" customFormat="false" ht="15" hidden="false" customHeight="true" outlineLevel="0" collapsed="false">
      <c r="A46" s="50" t="s">
        <v>277</v>
      </c>
      <c r="B46" s="34" t="n">
        <f aca="false">COUNTIFS('01 - Job Database'!$C$3:$C$1000,"&lt;&gt;",'01 - Job Database'!$W$3:$W$1000,"&lt;&gt;Yes",'01 - Job Database'!$G$3:$G$1000,$A46,'01 - Job Database'!$BJ$3:$BJ$1000,"Yes")</f>
        <v>0</v>
      </c>
      <c r="C46" s="35" t="str">
        <f aca="false">IFERROR(AVERAGEIFS('01 - Job Database'!$BK$3:$BK$1000,'01 - Job Database'!$C$3:$C$1000,"&lt;&gt;",'01 - Job Database'!$W$3:$W$1000,"&lt;&gt;Yes",'01 - Job Database'!$G$3:$G$1000,$A46,'01 - Job Database'!$BJ$3:$BJ$1000,"Yes"),"")</f>
        <v/>
      </c>
      <c r="D46" s="35" t="str">
        <f aca="false">IFERROR(AVERAGEIFS('01 - Job Database'!$BL$3:$BL$1000,'01 - Job Database'!$C$3:$C$1000,"&lt;&gt;",'01 - Job Database'!$W$3:$W$1000,"&lt;&gt;Yes",'01 - Job Database'!$G$3:$G$1000,$A46,'01 - Job Database'!$BJ$3:$BJ$1000,"Yes"),"")</f>
        <v/>
      </c>
      <c r="E46" s="35" t="str">
        <f aca="false">IFERROR(AVERAGEIFS('01 - Job Database'!$BM$3:$BM$1000,'01 - Job Database'!$C$3:$C$1000,"&lt;&gt;",'01 - Job Database'!$W$3:$W$1000,"&lt;&gt;Yes",'01 - Job Database'!$G$3:$G$1000,$A46,'01 - Job Database'!$BJ$3:$BJ$1000,"Yes"),"")</f>
        <v/>
      </c>
      <c r="F46" s="35" t="str">
        <f aca="false">IFERROR(AVERAGEIFS('01 - Job Database'!$BN$3:$BN$1000,'01 - Job Database'!$C$3:$C$1000,"&lt;&gt;",'01 - Job Database'!$W$3:$W$1000,"&lt;&gt;Yes",'01 - Job Database'!$G$3:$G$1000,$A46,'01 - Job Database'!$BJ$3:$BJ$1000,"Yes"),"")</f>
        <v/>
      </c>
      <c r="G46" s="35" t="str">
        <f aca="false">IFERROR(AVERAGEIFS('01 - Job Database'!$BO$3:$BO$1000,'01 - Job Database'!$C$3:$C$1000,"&lt;&gt;",'01 - Job Database'!$W$3:$W$1000,"&lt;&gt;Yes",'01 - Job Database'!$G$3:$G$1000,$A46,'01 - Job Database'!$BJ$3:$BJ$1000,"Yes"),"")</f>
        <v/>
      </c>
      <c r="H46" s="35" t="str">
        <f aca="false">IFERROR(AVERAGEIFS('01 - Job Database'!$BP$3:$BP$1000,'01 - Job Database'!$C$3:$C$1000,"&lt;&gt;",'01 - Job Database'!$W$3:$W$1000,"&lt;&gt;Yes",'01 - Job Database'!$G$3:$G$1000,$A46,'01 - Job Database'!$BJ$3:$BJ$1000,"Yes"),"")</f>
        <v/>
      </c>
      <c r="I46" s="77" t="str">
        <f aca="false">IFERROR(C46/(C46+E46+G46),"")</f>
        <v/>
      </c>
      <c r="J46" s="77" t="str">
        <f aca="false">IFERROR(E46/(C46+E46+G46),"")</f>
        <v/>
      </c>
      <c r="K46" s="77" t="str">
        <f aca="false">IFERROR(G46/(C46+E46+G46),"")</f>
        <v/>
      </c>
    </row>
  </sheetData>
  <mergeCells count="4">
    <mergeCell ref="A1:K1"/>
    <mergeCell ref="A3:K3"/>
    <mergeCell ref="A6:K6"/>
    <mergeCell ref="A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3" min="2" style="1" width="4.5"/>
    <col collapsed="false" customWidth="true" hidden="false" outlineLevel="0" max="44" min="34" style="1" width="10"/>
  </cols>
  <sheetData>
    <row r="1" customFormat="false" ht="25.5" hidden="false" customHeight="true" outlineLevel="0" collapsed="false">
      <c r="A1" s="75" t="s">
        <v>382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3" customFormat="false" ht="15" hidden="false" customHeight="true" outlineLevel="0" collapsed="false">
      <c r="A3" s="56" t="s">
        <v>383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</row>
    <row r="5" customFormat="false" ht="90" hidden="false" customHeight="true" outlineLevel="0" collapsed="false">
      <c r="A5" s="78" t="s">
        <v>201</v>
      </c>
      <c r="B5" s="79" t="s">
        <v>71</v>
      </c>
      <c r="C5" s="79" t="s">
        <v>72</v>
      </c>
      <c r="D5" s="79" t="s">
        <v>73</v>
      </c>
      <c r="E5" s="79" t="s">
        <v>74</v>
      </c>
      <c r="F5" s="79" t="s">
        <v>75</v>
      </c>
      <c r="G5" s="79" t="s">
        <v>76</v>
      </c>
      <c r="H5" s="79" t="s">
        <v>77</v>
      </c>
      <c r="I5" s="79" t="s">
        <v>78</v>
      </c>
      <c r="J5" s="79" t="s">
        <v>79</v>
      </c>
      <c r="K5" s="79" t="s">
        <v>80</v>
      </c>
      <c r="L5" s="79" t="s">
        <v>81</v>
      </c>
      <c r="M5" s="79" t="s">
        <v>82</v>
      </c>
      <c r="N5" s="79" t="s">
        <v>83</v>
      </c>
      <c r="O5" s="79" t="s">
        <v>84</v>
      </c>
      <c r="P5" s="79" t="s">
        <v>85</v>
      </c>
      <c r="Q5" s="79" t="s">
        <v>86</v>
      </c>
      <c r="R5" s="79" t="s">
        <v>87</v>
      </c>
      <c r="S5" s="79" t="s">
        <v>88</v>
      </c>
      <c r="T5" s="79" t="s">
        <v>89</v>
      </c>
      <c r="U5" s="79" t="s">
        <v>90</v>
      </c>
      <c r="V5" s="79" t="s">
        <v>91</v>
      </c>
      <c r="W5" s="79" t="s">
        <v>92</v>
      </c>
      <c r="X5" s="79" t="s">
        <v>93</v>
      </c>
      <c r="Y5" s="79" t="s">
        <v>94</v>
      </c>
      <c r="Z5" s="79" t="s">
        <v>95</v>
      </c>
      <c r="AA5" s="79" t="s">
        <v>96</v>
      </c>
      <c r="AB5" s="79" t="s">
        <v>97</v>
      </c>
      <c r="AC5" s="79" t="s">
        <v>98</v>
      </c>
      <c r="AD5" s="79" t="s">
        <v>99</v>
      </c>
      <c r="AE5" s="79" t="s">
        <v>100</v>
      </c>
      <c r="AF5" s="79" t="s">
        <v>101</v>
      </c>
      <c r="AG5" s="79" t="s">
        <v>102</v>
      </c>
      <c r="AH5" s="80" t="s">
        <v>138</v>
      </c>
      <c r="AI5" s="80" t="s">
        <v>139</v>
      </c>
      <c r="AJ5" s="80" t="s">
        <v>140</v>
      </c>
      <c r="AK5" s="80" t="s">
        <v>141</v>
      </c>
      <c r="AL5" s="80" t="s">
        <v>142</v>
      </c>
      <c r="AM5" s="80" t="s">
        <v>143</v>
      </c>
      <c r="AN5" s="80" t="s">
        <v>144</v>
      </c>
      <c r="AO5" s="80" t="s">
        <v>145</v>
      </c>
      <c r="AP5" s="80" t="s">
        <v>146</v>
      </c>
      <c r="AQ5" s="80" t="s">
        <v>147</v>
      </c>
      <c r="AR5" s="80" t="s">
        <v>148</v>
      </c>
    </row>
    <row r="6" customFormat="false" ht="15" hidden="false" customHeight="true" outlineLevel="0" collapsed="false">
      <c r="A6" s="81" t="s">
        <v>231</v>
      </c>
      <c r="B6" s="82" t="str">
        <f aca="false">IF('04 - Role Intelligence'!B24="","⬜",IF('04 - Role Intelligence'!B24&gt;=0.5,"🟩",IF('04 - Role Intelligence'!B24&gt;=0.15,"🟨",IF('04 - Role Intelligence'!B24&gt;0,"🟥","⬜"))))</f>
        <v>⬜</v>
      </c>
      <c r="C6" s="82" t="str">
        <f aca="false">IF('04 - Role Intelligence'!C24="","⬜",IF('04 - Role Intelligence'!C24&gt;=0.5,"🟩",IF('04 - Role Intelligence'!C24&gt;=0.15,"🟨",IF('04 - Role Intelligence'!C24&gt;0,"🟥","⬜"))))</f>
        <v>⬜</v>
      </c>
      <c r="D6" s="82" t="str">
        <f aca="false">IF('04 - Role Intelligence'!D24="","⬜",IF('04 - Role Intelligence'!D24&gt;=0.5,"🟩",IF('04 - Role Intelligence'!D24&gt;=0.15,"🟨",IF('04 - Role Intelligence'!D24&gt;0,"🟥","⬜"))))</f>
        <v>⬜</v>
      </c>
      <c r="E6" s="82" t="str">
        <f aca="false">IF('04 - Role Intelligence'!E24="","⬜",IF('04 - Role Intelligence'!E24&gt;=0.5,"🟩",IF('04 - Role Intelligence'!E24&gt;=0.15,"🟨",IF('04 - Role Intelligence'!E24&gt;0,"🟥","⬜"))))</f>
        <v>⬜</v>
      </c>
      <c r="F6" s="82" t="str">
        <f aca="false">IF('04 - Role Intelligence'!F24="","⬜",IF('04 - Role Intelligence'!F24&gt;=0.5,"🟩",IF('04 - Role Intelligence'!F24&gt;=0.15,"🟨",IF('04 - Role Intelligence'!F24&gt;0,"🟥","⬜"))))</f>
        <v>⬜</v>
      </c>
      <c r="G6" s="82" t="str">
        <f aca="false">IF('04 - Role Intelligence'!G24="","⬜",IF('04 - Role Intelligence'!G24&gt;=0.5,"🟩",IF('04 - Role Intelligence'!G24&gt;=0.15,"🟨",IF('04 - Role Intelligence'!G24&gt;0,"🟥","⬜"))))</f>
        <v>⬜</v>
      </c>
      <c r="H6" s="82" t="str">
        <f aca="false">IF('04 - Role Intelligence'!H24="","⬜",IF('04 - Role Intelligence'!H24&gt;=0.5,"🟩",IF('04 - Role Intelligence'!H24&gt;=0.15,"🟨",IF('04 - Role Intelligence'!H24&gt;0,"🟥","⬜"))))</f>
        <v>⬜</v>
      </c>
      <c r="I6" s="82" t="str">
        <f aca="false">IF('04 - Role Intelligence'!I24="","⬜",IF('04 - Role Intelligence'!I24&gt;=0.5,"🟩",IF('04 - Role Intelligence'!I24&gt;=0.15,"🟨",IF('04 - Role Intelligence'!I24&gt;0,"🟥","⬜"))))</f>
        <v>⬜</v>
      </c>
      <c r="J6" s="82" t="str">
        <f aca="false">IF('04 - Role Intelligence'!J24="","⬜",IF('04 - Role Intelligence'!J24&gt;=0.5,"🟩",IF('04 - Role Intelligence'!J24&gt;=0.15,"🟨",IF('04 - Role Intelligence'!J24&gt;0,"🟥","⬜"))))</f>
        <v>⬜</v>
      </c>
      <c r="K6" s="82" t="str">
        <f aca="false">IF('04 - Role Intelligence'!K24="","⬜",IF('04 - Role Intelligence'!K24&gt;=0.5,"🟩",IF('04 - Role Intelligence'!K24&gt;=0.15,"🟨",IF('04 - Role Intelligence'!K24&gt;0,"🟥","⬜"))))</f>
        <v>⬜</v>
      </c>
      <c r="L6" s="82" t="str">
        <f aca="false">IF('04 - Role Intelligence'!L24="","⬜",IF('04 - Role Intelligence'!L24&gt;=0.5,"🟩",IF('04 - Role Intelligence'!L24&gt;=0.15,"🟨",IF('04 - Role Intelligence'!L24&gt;0,"🟥","⬜"))))</f>
        <v>⬜</v>
      </c>
      <c r="M6" s="82" t="str">
        <f aca="false">IF('04 - Role Intelligence'!M24="","⬜",IF('04 - Role Intelligence'!M24&gt;=0.5,"🟩",IF('04 - Role Intelligence'!M24&gt;=0.15,"🟨",IF('04 - Role Intelligence'!M24&gt;0,"🟥","⬜"))))</f>
        <v>⬜</v>
      </c>
      <c r="N6" s="82" t="str">
        <f aca="false">IF('04 - Role Intelligence'!N24="","⬜",IF('04 - Role Intelligence'!N24&gt;=0.5,"🟩",IF('04 - Role Intelligence'!N24&gt;=0.15,"🟨",IF('04 - Role Intelligence'!N24&gt;0,"🟥","⬜"))))</f>
        <v>⬜</v>
      </c>
      <c r="O6" s="82" t="str">
        <f aca="false">IF('04 - Role Intelligence'!O24="","⬜",IF('04 - Role Intelligence'!O24&gt;=0.5,"🟩",IF('04 - Role Intelligence'!O24&gt;=0.15,"🟨",IF('04 - Role Intelligence'!O24&gt;0,"🟥","⬜"))))</f>
        <v>⬜</v>
      </c>
      <c r="P6" s="82" t="str">
        <f aca="false">IF('04 - Role Intelligence'!P24="","⬜",IF('04 - Role Intelligence'!P24&gt;=0.5,"🟩",IF('04 - Role Intelligence'!P24&gt;=0.15,"🟨",IF('04 - Role Intelligence'!P24&gt;0,"🟥","⬜"))))</f>
        <v>⬜</v>
      </c>
      <c r="Q6" s="82" t="str">
        <f aca="false">IF('04 - Role Intelligence'!Q24="","⬜",IF('04 - Role Intelligence'!Q24&gt;=0.5,"🟩",IF('04 - Role Intelligence'!Q24&gt;=0.15,"🟨",IF('04 - Role Intelligence'!Q24&gt;0,"🟥","⬜"))))</f>
        <v>⬜</v>
      </c>
      <c r="R6" s="82" t="str">
        <f aca="false">IF('04 - Role Intelligence'!R24="","⬜",IF('04 - Role Intelligence'!R24&gt;=0.5,"🟩",IF('04 - Role Intelligence'!R24&gt;=0.15,"🟨",IF('04 - Role Intelligence'!R24&gt;0,"🟥","⬜"))))</f>
        <v>⬜</v>
      </c>
      <c r="S6" s="82" t="str">
        <f aca="false">IF('04 - Role Intelligence'!S24="","⬜",IF('04 - Role Intelligence'!S24&gt;=0.5,"🟩",IF('04 - Role Intelligence'!S24&gt;=0.15,"🟨",IF('04 - Role Intelligence'!S24&gt;0,"🟥","⬜"))))</f>
        <v>⬜</v>
      </c>
      <c r="T6" s="82" t="str">
        <f aca="false">IF('04 - Role Intelligence'!T24="","⬜",IF('04 - Role Intelligence'!T24&gt;=0.5,"🟩",IF('04 - Role Intelligence'!T24&gt;=0.15,"🟨",IF('04 - Role Intelligence'!T24&gt;0,"🟥","⬜"))))</f>
        <v>⬜</v>
      </c>
      <c r="U6" s="82" t="str">
        <f aca="false">IF('04 - Role Intelligence'!U24="","⬜",IF('04 - Role Intelligence'!U24&gt;=0.5,"🟩",IF('04 - Role Intelligence'!U24&gt;=0.15,"🟨",IF('04 - Role Intelligence'!U24&gt;0,"🟥","⬜"))))</f>
        <v>⬜</v>
      </c>
      <c r="V6" s="82" t="str">
        <f aca="false">IF('04 - Role Intelligence'!V24="","⬜",IF('04 - Role Intelligence'!V24&gt;=0.5,"🟩",IF('04 - Role Intelligence'!V24&gt;=0.15,"🟨",IF('04 - Role Intelligence'!V24&gt;0,"🟥","⬜"))))</f>
        <v>⬜</v>
      </c>
      <c r="W6" s="82" t="str">
        <f aca="false">IF('04 - Role Intelligence'!W24="","⬜",IF('04 - Role Intelligence'!W24&gt;=0.5,"🟩",IF('04 - Role Intelligence'!W24&gt;=0.15,"🟨",IF('04 - Role Intelligence'!W24&gt;0,"🟥","⬜"))))</f>
        <v>⬜</v>
      </c>
      <c r="X6" s="82" t="str">
        <f aca="false">IF('04 - Role Intelligence'!X24="","⬜",IF('04 - Role Intelligence'!X24&gt;=0.5,"🟩",IF('04 - Role Intelligence'!X24&gt;=0.15,"🟨",IF('04 - Role Intelligence'!X24&gt;0,"🟥","⬜"))))</f>
        <v>⬜</v>
      </c>
      <c r="Y6" s="82" t="str">
        <f aca="false">IF('04 - Role Intelligence'!Y24="","⬜",IF('04 - Role Intelligence'!Y24&gt;=0.5,"🟩",IF('04 - Role Intelligence'!Y24&gt;=0.15,"🟨",IF('04 - Role Intelligence'!Y24&gt;0,"🟥","⬜"))))</f>
        <v>⬜</v>
      </c>
      <c r="Z6" s="82" t="str">
        <f aca="false">IF('04 - Role Intelligence'!Z24="","⬜",IF('04 - Role Intelligence'!Z24&gt;=0.5,"🟩",IF('04 - Role Intelligence'!Z24&gt;=0.15,"🟨",IF('04 - Role Intelligence'!Z24&gt;0,"🟥","⬜"))))</f>
        <v>⬜</v>
      </c>
      <c r="AA6" s="82" t="str">
        <f aca="false">IF('04 - Role Intelligence'!AA24="","⬜",IF('04 - Role Intelligence'!AA24&gt;=0.5,"🟩",IF('04 - Role Intelligence'!AA24&gt;=0.15,"🟨",IF('04 - Role Intelligence'!AA24&gt;0,"🟥","⬜"))))</f>
        <v>⬜</v>
      </c>
      <c r="AB6" s="82" t="str">
        <f aca="false">IF('04 - Role Intelligence'!AB24="","⬜",IF('04 - Role Intelligence'!AB24&gt;=0.5,"🟩",IF('04 - Role Intelligence'!AB24&gt;=0.15,"🟨",IF('04 - Role Intelligence'!AB24&gt;0,"🟥","⬜"))))</f>
        <v>⬜</v>
      </c>
      <c r="AC6" s="82" t="str">
        <f aca="false">IF('04 - Role Intelligence'!AC24="","⬜",IF('04 - Role Intelligence'!AC24&gt;=0.5,"🟩",IF('04 - Role Intelligence'!AC24&gt;=0.15,"🟨",IF('04 - Role Intelligence'!AC24&gt;0,"🟥","⬜"))))</f>
        <v>⬜</v>
      </c>
      <c r="AD6" s="82" t="str">
        <f aca="false">IF('04 - Role Intelligence'!AD24="","⬜",IF('04 - Role Intelligence'!AD24&gt;=0.5,"🟩",IF('04 - Role Intelligence'!AD24&gt;=0.15,"🟨",IF('04 - Role Intelligence'!AD24&gt;0,"🟥","⬜"))))</f>
        <v>⬜</v>
      </c>
      <c r="AE6" s="82" t="str">
        <f aca="false">IF('04 - Role Intelligence'!AE24="","⬜",IF('04 - Role Intelligence'!AE24&gt;=0.5,"🟩",IF('04 - Role Intelligence'!AE24&gt;=0.15,"🟨",IF('04 - Role Intelligence'!AE24&gt;0,"🟥","⬜"))))</f>
        <v>⬜</v>
      </c>
      <c r="AF6" s="82" t="str">
        <f aca="false">IF('04 - Role Intelligence'!AF24="","⬜",IF('04 - Role Intelligence'!AF24&gt;=0.5,"🟩",IF('04 - Role Intelligence'!AF24&gt;=0.15,"🟨",IF('04 - Role Intelligence'!AF24&gt;0,"🟥","⬜"))))</f>
        <v>⬜</v>
      </c>
      <c r="AG6" s="82" t="str">
        <f aca="false">IF('04 - Role Intelligence'!AG24="","⬜",IF('04 - Role Intelligence'!AG24&gt;=0.5,"🟩",IF('04 - Role Intelligence'!AG24&gt;=0.15,"🟨",IF('04 - Role Intelligence'!AG24&gt;0,"🟥","⬜"))))</f>
        <v>⬜</v>
      </c>
      <c r="AH6" s="83" t="str">
        <f aca="false">IF('04 - Role Intelligence'!AH24="","⬜",IF('04 - Role Intelligence'!AH24&gt;=0.5,"🟩",IF('04 - Role Intelligence'!AH24&gt;=0.15,"🟨",IF('04 - Role Intelligence'!AH24&gt;0,"🟥","⬜"))))</f>
        <v>⬜</v>
      </c>
      <c r="AI6" s="83" t="str">
        <f aca="false">IF('04 - Role Intelligence'!AI24="","⬜",IF('04 - Role Intelligence'!AI24&gt;=0.5,"🟩",IF('04 - Role Intelligence'!AI24&gt;=0.15,"🟨",IF('04 - Role Intelligence'!AI24&gt;0,"🟥","⬜"))))</f>
        <v>⬜</v>
      </c>
      <c r="AJ6" s="83" t="str">
        <f aca="false">IF('04 - Role Intelligence'!AJ24="","⬜",IF('04 - Role Intelligence'!AJ24&gt;=0.5,"🟩",IF('04 - Role Intelligence'!AJ24&gt;=0.15,"🟨",IF('04 - Role Intelligence'!AJ24&gt;0,"🟥","⬜"))))</f>
        <v>⬜</v>
      </c>
      <c r="AK6" s="83" t="str">
        <f aca="false">IF('04 - Role Intelligence'!AK24="","⬜",IF('04 - Role Intelligence'!AK24&gt;=0.5,"🟩",IF('04 - Role Intelligence'!AK24&gt;=0.15,"🟨",IF('04 - Role Intelligence'!AK24&gt;0,"🟥","⬜"))))</f>
        <v>⬜</v>
      </c>
      <c r="AL6" s="83" t="str">
        <f aca="false">IF('04 - Role Intelligence'!AL24="","⬜",IF('04 - Role Intelligence'!AL24&gt;=0.5,"🟩",IF('04 - Role Intelligence'!AL24&gt;=0.15,"🟨",IF('04 - Role Intelligence'!AL24&gt;0,"🟥","⬜"))))</f>
        <v>⬜</v>
      </c>
      <c r="AM6" s="83" t="str">
        <f aca="false">IF('04 - Role Intelligence'!AM24="","⬜",IF('04 - Role Intelligence'!AM24&gt;=0.5,"🟩",IF('04 - Role Intelligence'!AM24&gt;=0.15,"🟨",IF('04 - Role Intelligence'!AM24&gt;0,"🟥","⬜"))))</f>
        <v>⬜</v>
      </c>
      <c r="AN6" s="83" t="str">
        <f aca="false">IF('04 - Role Intelligence'!AN24="","⬜",IF('04 - Role Intelligence'!AN24&gt;=0.5,"🟩",IF('04 - Role Intelligence'!AN24&gt;=0.15,"🟨",IF('04 - Role Intelligence'!AN24&gt;0,"🟥","⬜"))))</f>
        <v>⬜</v>
      </c>
      <c r="AO6" s="83" t="str">
        <f aca="false">IF('04 - Role Intelligence'!AO24="","⬜",IF('04 - Role Intelligence'!AO24&gt;=0.5,"🟩",IF('04 - Role Intelligence'!AO24&gt;=0.15,"🟨",IF('04 - Role Intelligence'!AO24&gt;0,"🟥","⬜"))))</f>
        <v>⬜</v>
      </c>
      <c r="AP6" s="83" t="str">
        <f aca="false">IF('04 - Role Intelligence'!AP24="","⬜",IF('04 - Role Intelligence'!AP24&gt;=0.5,"🟩",IF('04 - Role Intelligence'!AP24&gt;=0.15,"🟨",IF('04 - Role Intelligence'!AP24&gt;0,"🟥","⬜"))))</f>
        <v>⬜</v>
      </c>
      <c r="AQ6" s="83" t="str">
        <f aca="false">IF('04 - Role Intelligence'!AQ24="","⬜",IF('04 - Role Intelligence'!AQ24&gt;=0.5,"🟩",IF('04 - Role Intelligence'!AQ24&gt;=0.15,"🟨",IF('04 - Role Intelligence'!AQ24&gt;0,"🟥","⬜"))))</f>
        <v>⬜</v>
      </c>
      <c r="AR6" s="83" t="str">
        <f aca="false">IF('04 - Role Intelligence'!AR24="","⬜",IF('04 - Role Intelligence'!AR24&gt;=0.5,"🟩",IF('04 - Role Intelligence'!AR24&gt;=0.15,"🟨",IF('04 - Role Intelligence'!AR24&gt;0,"🟥","⬜"))))</f>
        <v>⬜</v>
      </c>
    </row>
    <row r="7" customFormat="false" ht="15" hidden="false" customHeight="true" outlineLevel="0" collapsed="false">
      <c r="A7" s="81" t="s">
        <v>151</v>
      </c>
      <c r="B7" s="82" t="str">
        <f aca="false">IF('04 - Role Intelligence'!B25="","⬜",IF('04 - Role Intelligence'!B25&gt;=0.5,"🟩",IF('04 - Role Intelligence'!B25&gt;=0.15,"🟨",IF('04 - Role Intelligence'!B25&gt;0,"🟥","⬜"))))</f>
        <v>⬜</v>
      </c>
      <c r="C7" s="82" t="str">
        <f aca="false">IF('04 - Role Intelligence'!C25="","⬜",IF('04 - Role Intelligence'!C25&gt;=0.5,"🟩",IF('04 - Role Intelligence'!C25&gt;=0.15,"🟨",IF('04 - Role Intelligence'!C25&gt;0,"🟥","⬜"))))</f>
        <v>⬜</v>
      </c>
      <c r="D7" s="82" t="str">
        <f aca="false">IF('04 - Role Intelligence'!D25="","⬜",IF('04 - Role Intelligence'!D25&gt;=0.5,"🟩",IF('04 - Role Intelligence'!D25&gt;=0.15,"🟨",IF('04 - Role Intelligence'!D25&gt;0,"🟥","⬜"))))</f>
        <v>⬜</v>
      </c>
      <c r="E7" s="82" t="str">
        <f aca="false">IF('04 - Role Intelligence'!E25="","⬜",IF('04 - Role Intelligence'!E25&gt;=0.5,"🟩",IF('04 - Role Intelligence'!E25&gt;=0.15,"🟨",IF('04 - Role Intelligence'!E25&gt;0,"🟥","⬜"))))</f>
        <v>⬜</v>
      </c>
      <c r="F7" s="82" t="str">
        <f aca="false">IF('04 - Role Intelligence'!F25="","⬜",IF('04 - Role Intelligence'!F25&gt;=0.5,"🟩",IF('04 - Role Intelligence'!F25&gt;=0.15,"🟨",IF('04 - Role Intelligence'!F25&gt;0,"🟥","⬜"))))</f>
        <v>⬜</v>
      </c>
      <c r="G7" s="82" t="str">
        <f aca="false">IF('04 - Role Intelligence'!G25="","⬜",IF('04 - Role Intelligence'!G25&gt;=0.5,"🟩",IF('04 - Role Intelligence'!G25&gt;=0.15,"🟨",IF('04 - Role Intelligence'!G25&gt;0,"🟥","⬜"))))</f>
        <v>⬜</v>
      </c>
      <c r="H7" s="82" t="str">
        <f aca="false">IF('04 - Role Intelligence'!H25="","⬜",IF('04 - Role Intelligence'!H25&gt;=0.5,"🟩",IF('04 - Role Intelligence'!H25&gt;=0.15,"🟨",IF('04 - Role Intelligence'!H25&gt;0,"🟥","⬜"))))</f>
        <v>⬜</v>
      </c>
      <c r="I7" s="82" t="str">
        <f aca="false">IF('04 - Role Intelligence'!I25="","⬜",IF('04 - Role Intelligence'!I25&gt;=0.5,"🟩",IF('04 - Role Intelligence'!I25&gt;=0.15,"🟨",IF('04 - Role Intelligence'!I25&gt;0,"🟥","⬜"))))</f>
        <v>⬜</v>
      </c>
      <c r="J7" s="82" t="str">
        <f aca="false">IF('04 - Role Intelligence'!J25="","⬜",IF('04 - Role Intelligence'!J25&gt;=0.5,"🟩",IF('04 - Role Intelligence'!J25&gt;=0.15,"🟨",IF('04 - Role Intelligence'!J25&gt;0,"🟥","⬜"))))</f>
        <v>⬜</v>
      </c>
      <c r="K7" s="82" t="str">
        <f aca="false">IF('04 - Role Intelligence'!K25="","⬜",IF('04 - Role Intelligence'!K25&gt;=0.5,"🟩",IF('04 - Role Intelligence'!K25&gt;=0.15,"🟨",IF('04 - Role Intelligence'!K25&gt;0,"🟥","⬜"))))</f>
        <v>⬜</v>
      </c>
      <c r="L7" s="82" t="str">
        <f aca="false">IF('04 - Role Intelligence'!L25="","⬜",IF('04 - Role Intelligence'!L25&gt;=0.5,"🟩",IF('04 - Role Intelligence'!L25&gt;=0.15,"🟨",IF('04 - Role Intelligence'!L25&gt;0,"🟥","⬜"))))</f>
        <v>⬜</v>
      </c>
      <c r="M7" s="82" t="str">
        <f aca="false">IF('04 - Role Intelligence'!M25="","⬜",IF('04 - Role Intelligence'!M25&gt;=0.5,"🟩",IF('04 - Role Intelligence'!M25&gt;=0.15,"🟨",IF('04 - Role Intelligence'!M25&gt;0,"🟥","⬜"))))</f>
        <v>⬜</v>
      </c>
      <c r="N7" s="82" t="str">
        <f aca="false">IF('04 - Role Intelligence'!N25="","⬜",IF('04 - Role Intelligence'!N25&gt;=0.5,"🟩",IF('04 - Role Intelligence'!N25&gt;=0.15,"🟨",IF('04 - Role Intelligence'!N25&gt;0,"🟥","⬜"))))</f>
        <v>⬜</v>
      </c>
      <c r="O7" s="82" t="str">
        <f aca="false">IF('04 - Role Intelligence'!O25="","⬜",IF('04 - Role Intelligence'!O25&gt;=0.5,"🟩",IF('04 - Role Intelligence'!O25&gt;=0.15,"🟨",IF('04 - Role Intelligence'!O25&gt;0,"🟥","⬜"))))</f>
        <v>⬜</v>
      </c>
      <c r="P7" s="82" t="str">
        <f aca="false">IF('04 - Role Intelligence'!P25="","⬜",IF('04 - Role Intelligence'!P25&gt;=0.5,"🟩",IF('04 - Role Intelligence'!P25&gt;=0.15,"🟨",IF('04 - Role Intelligence'!P25&gt;0,"🟥","⬜"))))</f>
        <v>⬜</v>
      </c>
      <c r="Q7" s="82" t="str">
        <f aca="false">IF('04 - Role Intelligence'!Q25="","⬜",IF('04 - Role Intelligence'!Q25&gt;=0.5,"🟩",IF('04 - Role Intelligence'!Q25&gt;=0.15,"🟨",IF('04 - Role Intelligence'!Q25&gt;0,"🟥","⬜"))))</f>
        <v>⬜</v>
      </c>
      <c r="R7" s="82" t="str">
        <f aca="false">IF('04 - Role Intelligence'!R25="","⬜",IF('04 - Role Intelligence'!R25&gt;=0.5,"🟩",IF('04 - Role Intelligence'!R25&gt;=0.15,"🟨",IF('04 - Role Intelligence'!R25&gt;0,"🟥","⬜"))))</f>
        <v>⬜</v>
      </c>
      <c r="S7" s="82" t="str">
        <f aca="false">IF('04 - Role Intelligence'!S25="","⬜",IF('04 - Role Intelligence'!S25&gt;=0.5,"🟩",IF('04 - Role Intelligence'!S25&gt;=0.15,"🟨",IF('04 - Role Intelligence'!S25&gt;0,"🟥","⬜"))))</f>
        <v>⬜</v>
      </c>
      <c r="T7" s="82" t="str">
        <f aca="false">IF('04 - Role Intelligence'!T25="","⬜",IF('04 - Role Intelligence'!T25&gt;=0.5,"🟩",IF('04 - Role Intelligence'!T25&gt;=0.15,"🟨",IF('04 - Role Intelligence'!T25&gt;0,"🟥","⬜"))))</f>
        <v>⬜</v>
      </c>
      <c r="U7" s="82" t="str">
        <f aca="false">IF('04 - Role Intelligence'!U25="","⬜",IF('04 - Role Intelligence'!U25&gt;=0.5,"🟩",IF('04 - Role Intelligence'!U25&gt;=0.15,"🟨",IF('04 - Role Intelligence'!U25&gt;0,"🟥","⬜"))))</f>
        <v>⬜</v>
      </c>
      <c r="V7" s="82" t="str">
        <f aca="false">IF('04 - Role Intelligence'!V25="","⬜",IF('04 - Role Intelligence'!V25&gt;=0.5,"🟩",IF('04 - Role Intelligence'!V25&gt;=0.15,"🟨",IF('04 - Role Intelligence'!V25&gt;0,"🟥","⬜"))))</f>
        <v>⬜</v>
      </c>
      <c r="W7" s="82" t="str">
        <f aca="false">IF('04 - Role Intelligence'!W25="","⬜",IF('04 - Role Intelligence'!W25&gt;=0.5,"🟩",IF('04 - Role Intelligence'!W25&gt;=0.15,"🟨",IF('04 - Role Intelligence'!W25&gt;0,"🟥","⬜"))))</f>
        <v>⬜</v>
      </c>
      <c r="X7" s="82" t="str">
        <f aca="false">IF('04 - Role Intelligence'!X25="","⬜",IF('04 - Role Intelligence'!X25&gt;=0.5,"🟩",IF('04 - Role Intelligence'!X25&gt;=0.15,"🟨",IF('04 - Role Intelligence'!X25&gt;0,"🟥","⬜"))))</f>
        <v>⬜</v>
      </c>
      <c r="Y7" s="82" t="str">
        <f aca="false">IF('04 - Role Intelligence'!Y25="","⬜",IF('04 - Role Intelligence'!Y25&gt;=0.5,"🟩",IF('04 - Role Intelligence'!Y25&gt;=0.15,"🟨",IF('04 - Role Intelligence'!Y25&gt;0,"🟥","⬜"))))</f>
        <v>⬜</v>
      </c>
      <c r="Z7" s="82" t="str">
        <f aca="false">IF('04 - Role Intelligence'!Z25="","⬜",IF('04 - Role Intelligence'!Z25&gt;=0.5,"🟩",IF('04 - Role Intelligence'!Z25&gt;=0.15,"🟨",IF('04 - Role Intelligence'!Z25&gt;0,"🟥","⬜"))))</f>
        <v>⬜</v>
      </c>
      <c r="AA7" s="82" t="str">
        <f aca="false">IF('04 - Role Intelligence'!AA25="","⬜",IF('04 - Role Intelligence'!AA25&gt;=0.5,"🟩",IF('04 - Role Intelligence'!AA25&gt;=0.15,"🟨",IF('04 - Role Intelligence'!AA25&gt;0,"🟥","⬜"))))</f>
        <v>⬜</v>
      </c>
      <c r="AB7" s="82" t="str">
        <f aca="false">IF('04 - Role Intelligence'!AB25="","⬜",IF('04 - Role Intelligence'!AB25&gt;=0.5,"🟩",IF('04 - Role Intelligence'!AB25&gt;=0.15,"🟨",IF('04 - Role Intelligence'!AB25&gt;0,"🟥","⬜"))))</f>
        <v>⬜</v>
      </c>
      <c r="AC7" s="82" t="str">
        <f aca="false">IF('04 - Role Intelligence'!AC25="","⬜",IF('04 - Role Intelligence'!AC25&gt;=0.5,"🟩",IF('04 - Role Intelligence'!AC25&gt;=0.15,"🟨",IF('04 - Role Intelligence'!AC25&gt;0,"🟥","⬜"))))</f>
        <v>⬜</v>
      </c>
      <c r="AD7" s="82" t="str">
        <f aca="false">IF('04 - Role Intelligence'!AD25="","⬜",IF('04 - Role Intelligence'!AD25&gt;=0.5,"🟩",IF('04 - Role Intelligence'!AD25&gt;=0.15,"🟨",IF('04 - Role Intelligence'!AD25&gt;0,"🟥","⬜"))))</f>
        <v>⬜</v>
      </c>
      <c r="AE7" s="82" t="str">
        <f aca="false">IF('04 - Role Intelligence'!AE25="","⬜",IF('04 - Role Intelligence'!AE25&gt;=0.5,"🟩",IF('04 - Role Intelligence'!AE25&gt;=0.15,"🟨",IF('04 - Role Intelligence'!AE25&gt;0,"🟥","⬜"))))</f>
        <v>⬜</v>
      </c>
      <c r="AF7" s="82" t="str">
        <f aca="false">IF('04 - Role Intelligence'!AF25="","⬜",IF('04 - Role Intelligence'!AF25&gt;=0.5,"🟩",IF('04 - Role Intelligence'!AF25&gt;=0.15,"🟨",IF('04 - Role Intelligence'!AF25&gt;0,"🟥","⬜"))))</f>
        <v>⬜</v>
      </c>
      <c r="AG7" s="82" t="str">
        <f aca="false">IF('04 - Role Intelligence'!AG25="","⬜",IF('04 - Role Intelligence'!AG25&gt;=0.5,"🟩",IF('04 - Role Intelligence'!AG25&gt;=0.15,"🟨",IF('04 - Role Intelligence'!AG25&gt;0,"🟥","⬜"))))</f>
        <v>⬜</v>
      </c>
      <c r="AH7" s="83" t="str">
        <f aca="false">IF('04 - Role Intelligence'!AH25="","⬜",IF('04 - Role Intelligence'!AH25&gt;=0.5,"🟩",IF('04 - Role Intelligence'!AH25&gt;=0.15,"🟨",IF('04 - Role Intelligence'!AH25&gt;0,"🟥","⬜"))))</f>
        <v>⬜</v>
      </c>
      <c r="AI7" s="83" t="str">
        <f aca="false">IF('04 - Role Intelligence'!AI25="","⬜",IF('04 - Role Intelligence'!AI25&gt;=0.5,"🟩",IF('04 - Role Intelligence'!AI25&gt;=0.15,"🟨",IF('04 - Role Intelligence'!AI25&gt;0,"🟥","⬜"))))</f>
        <v>⬜</v>
      </c>
      <c r="AJ7" s="83" t="str">
        <f aca="false">IF('04 - Role Intelligence'!AJ25="","⬜",IF('04 - Role Intelligence'!AJ25&gt;=0.5,"🟩",IF('04 - Role Intelligence'!AJ25&gt;=0.15,"🟨",IF('04 - Role Intelligence'!AJ25&gt;0,"🟥","⬜"))))</f>
        <v>⬜</v>
      </c>
      <c r="AK7" s="83" t="str">
        <f aca="false">IF('04 - Role Intelligence'!AK25="","⬜",IF('04 - Role Intelligence'!AK25&gt;=0.5,"🟩",IF('04 - Role Intelligence'!AK25&gt;=0.15,"🟨",IF('04 - Role Intelligence'!AK25&gt;0,"🟥","⬜"))))</f>
        <v>⬜</v>
      </c>
      <c r="AL7" s="83" t="str">
        <f aca="false">IF('04 - Role Intelligence'!AL25="","⬜",IF('04 - Role Intelligence'!AL25&gt;=0.5,"🟩",IF('04 - Role Intelligence'!AL25&gt;=0.15,"🟨",IF('04 - Role Intelligence'!AL25&gt;0,"🟥","⬜"))))</f>
        <v>⬜</v>
      </c>
      <c r="AM7" s="83" t="str">
        <f aca="false">IF('04 - Role Intelligence'!AM25="","⬜",IF('04 - Role Intelligence'!AM25&gt;=0.5,"🟩",IF('04 - Role Intelligence'!AM25&gt;=0.15,"🟨",IF('04 - Role Intelligence'!AM25&gt;0,"🟥","⬜"))))</f>
        <v>⬜</v>
      </c>
      <c r="AN7" s="83" t="str">
        <f aca="false">IF('04 - Role Intelligence'!AN25="","⬜",IF('04 - Role Intelligence'!AN25&gt;=0.5,"🟩",IF('04 - Role Intelligence'!AN25&gt;=0.15,"🟨",IF('04 - Role Intelligence'!AN25&gt;0,"🟥","⬜"))))</f>
        <v>⬜</v>
      </c>
      <c r="AO7" s="83" t="str">
        <f aca="false">IF('04 - Role Intelligence'!AO25="","⬜",IF('04 - Role Intelligence'!AO25&gt;=0.5,"🟩",IF('04 - Role Intelligence'!AO25&gt;=0.15,"🟨",IF('04 - Role Intelligence'!AO25&gt;0,"🟥","⬜"))))</f>
        <v>⬜</v>
      </c>
      <c r="AP7" s="83" t="str">
        <f aca="false">IF('04 - Role Intelligence'!AP25="","⬜",IF('04 - Role Intelligence'!AP25&gt;=0.5,"🟩",IF('04 - Role Intelligence'!AP25&gt;=0.15,"🟨",IF('04 - Role Intelligence'!AP25&gt;0,"🟥","⬜"))))</f>
        <v>⬜</v>
      </c>
      <c r="AQ7" s="83" t="str">
        <f aca="false">IF('04 - Role Intelligence'!AQ25="","⬜",IF('04 - Role Intelligence'!AQ25&gt;=0.5,"🟩",IF('04 - Role Intelligence'!AQ25&gt;=0.15,"🟨",IF('04 - Role Intelligence'!AQ25&gt;0,"🟥","⬜"))))</f>
        <v>⬜</v>
      </c>
      <c r="AR7" s="83" t="str">
        <f aca="false">IF('04 - Role Intelligence'!AR25="","⬜",IF('04 - Role Intelligence'!AR25&gt;=0.5,"🟩",IF('04 - Role Intelligence'!AR25&gt;=0.15,"🟨",IF('04 - Role Intelligence'!AR25&gt;0,"🟥","⬜"))))</f>
        <v>⬜</v>
      </c>
    </row>
    <row r="8" customFormat="false" ht="15" hidden="false" customHeight="true" outlineLevel="0" collapsed="false">
      <c r="A8" s="81" t="s">
        <v>232</v>
      </c>
      <c r="B8" s="82" t="str">
        <f aca="false">IF('04 - Role Intelligence'!B26="","⬜",IF('04 - Role Intelligence'!B26&gt;=0.5,"🟩",IF('04 - Role Intelligence'!B26&gt;=0.15,"🟨",IF('04 - Role Intelligence'!B26&gt;0,"🟥","⬜"))))</f>
        <v>⬜</v>
      </c>
      <c r="C8" s="82" t="str">
        <f aca="false">IF('04 - Role Intelligence'!C26="","⬜",IF('04 - Role Intelligence'!C26&gt;=0.5,"🟩",IF('04 - Role Intelligence'!C26&gt;=0.15,"🟨",IF('04 - Role Intelligence'!C26&gt;0,"🟥","⬜"))))</f>
        <v>⬜</v>
      </c>
      <c r="D8" s="82" t="str">
        <f aca="false">IF('04 - Role Intelligence'!D26="","⬜",IF('04 - Role Intelligence'!D26&gt;=0.5,"🟩",IF('04 - Role Intelligence'!D26&gt;=0.15,"🟨",IF('04 - Role Intelligence'!D26&gt;0,"🟥","⬜"))))</f>
        <v>⬜</v>
      </c>
      <c r="E8" s="82" t="str">
        <f aca="false">IF('04 - Role Intelligence'!E26="","⬜",IF('04 - Role Intelligence'!E26&gt;=0.5,"🟩",IF('04 - Role Intelligence'!E26&gt;=0.15,"🟨",IF('04 - Role Intelligence'!E26&gt;0,"🟥","⬜"))))</f>
        <v>⬜</v>
      </c>
      <c r="F8" s="82" t="str">
        <f aca="false">IF('04 - Role Intelligence'!F26="","⬜",IF('04 - Role Intelligence'!F26&gt;=0.5,"🟩",IF('04 - Role Intelligence'!F26&gt;=0.15,"🟨",IF('04 - Role Intelligence'!F26&gt;0,"🟥","⬜"))))</f>
        <v>⬜</v>
      </c>
      <c r="G8" s="82" t="str">
        <f aca="false">IF('04 - Role Intelligence'!G26="","⬜",IF('04 - Role Intelligence'!G26&gt;=0.5,"🟩",IF('04 - Role Intelligence'!G26&gt;=0.15,"🟨",IF('04 - Role Intelligence'!G26&gt;0,"🟥","⬜"))))</f>
        <v>⬜</v>
      </c>
      <c r="H8" s="82" t="str">
        <f aca="false">IF('04 - Role Intelligence'!H26="","⬜",IF('04 - Role Intelligence'!H26&gt;=0.5,"🟩",IF('04 - Role Intelligence'!H26&gt;=0.15,"🟨",IF('04 - Role Intelligence'!H26&gt;0,"🟥","⬜"))))</f>
        <v>⬜</v>
      </c>
      <c r="I8" s="82" t="str">
        <f aca="false">IF('04 - Role Intelligence'!I26="","⬜",IF('04 - Role Intelligence'!I26&gt;=0.5,"🟩",IF('04 - Role Intelligence'!I26&gt;=0.15,"🟨",IF('04 - Role Intelligence'!I26&gt;0,"🟥","⬜"))))</f>
        <v>⬜</v>
      </c>
      <c r="J8" s="82" t="str">
        <f aca="false">IF('04 - Role Intelligence'!J26="","⬜",IF('04 - Role Intelligence'!J26&gt;=0.5,"🟩",IF('04 - Role Intelligence'!J26&gt;=0.15,"🟨",IF('04 - Role Intelligence'!J26&gt;0,"🟥","⬜"))))</f>
        <v>⬜</v>
      </c>
      <c r="K8" s="82" t="str">
        <f aca="false">IF('04 - Role Intelligence'!K26="","⬜",IF('04 - Role Intelligence'!K26&gt;=0.5,"🟩",IF('04 - Role Intelligence'!K26&gt;=0.15,"🟨",IF('04 - Role Intelligence'!K26&gt;0,"🟥","⬜"))))</f>
        <v>⬜</v>
      </c>
      <c r="L8" s="82" t="str">
        <f aca="false">IF('04 - Role Intelligence'!L26="","⬜",IF('04 - Role Intelligence'!L26&gt;=0.5,"🟩",IF('04 - Role Intelligence'!L26&gt;=0.15,"🟨",IF('04 - Role Intelligence'!L26&gt;0,"🟥","⬜"))))</f>
        <v>⬜</v>
      </c>
      <c r="M8" s="82" t="str">
        <f aca="false">IF('04 - Role Intelligence'!M26="","⬜",IF('04 - Role Intelligence'!M26&gt;=0.5,"🟩",IF('04 - Role Intelligence'!M26&gt;=0.15,"🟨",IF('04 - Role Intelligence'!M26&gt;0,"🟥","⬜"))))</f>
        <v>⬜</v>
      </c>
      <c r="N8" s="82" t="str">
        <f aca="false">IF('04 - Role Intelligence'!N26="","⬜",IF('04 - Role Intelligence'!N26&gt;=0.5,"🟩",IF('04 - Role Intelligence'!N26&gt;=0.15,"🟨",IF('04 - Role Intelligence'!N26&gt;0,"🟥","⬜"))))</f>
        <v>⬜</v>
      </c>
      <c r="O8" s="82" t="str">
        <f aca="false">IF('04 - Role Intelligence'!O26="","⬜",IF('04 - Role Intelligence'!O26&gt;=0.5,"🟩",IF('04 - Role Intelligence'!O26&gt;=0.15,"🟨",IF('04 - Role Intelligence'!O26&gt;0,"🟥","⬜"))))</f>
        <v>⬜</v>
      </c>
      <c r="P8" s="82" t="str">
        <f aca="false">IF('04 - Role Intelligence'!P26="","⬜",IF('04 - Role Intelligence'!P26&gt;=0.5,"🟩",IF('04 - Role Intelligence'!P26&gt;=0.15,"🟨",IF('04 - Role Intelligence'!P26&gt;0,"🟥","⬜"))))</f>
        <v>⬜</v>
      </c>
      <c r="Q8" s="82" t="str">
        <f aca="false">IF('04 - Role Intelligence'!Q26="","⬜",IF('04 - Role Intelligence'!Q26&gt;=0.5,"🟩",IF('04 - Role Intelligence'!Q26&gt;=0.15,"🟨",IF('04 - Role Intelligence'!Q26&gt;0,"🟥","⬜"))))</f>
        <v>⬜</v>
      </c>
      <c r="R8" s="82" t="str">
        <f aca="false">IF('04 - Role Intelligence'!R26="","⬜",IF('04 - Role Intelligence'!R26&gt;=0.5,"🟩",IF('04 - Role Intelligence'!R26&gt;=0.15,"🟨",IF('04 - Role Intelligence'!R26&gt;0,"🟥","⬜"))))</f>
        <v>⬜</v>
      </c>
      <c r="S8" s="82" t="str">
        <f aca="false">IF('04 - Role Intelligence'!S26="","⬜",IF('04 - Role Intelligence'!S26&gt;=0.5,"🟩",IF('04 - Role Intelligence'!S26&gt;=0.15,"🟨",IF('04 - Role Intelligence'!S26&gt;0,"🟥","⬜"))))</f>
        <v>⬜</v>
      </c>
      <c r="T8" s="82" t="str">
        <f aca="false">IF('04 - Role Intelligence'!T26="","⬜",IF('04 - Role Intelligence'!T26&gt;=0.5,"🟩",IF('04 - Role Intelligence'!T26&gt;=0.15,"🟨",IF('04 - Role Intelligence'!T26&gt;0,"🟥","⬜"))))</f>
        <v>⬜</v>
      </c>
      <c r="U8" s="82" t="str">
        <f aca="false">IF('04 - Role Intelligence'!U26="","⬜",IF('04 - Role Intelligence'!U26&gt;=0.5,"🟩",IF('04 - Role Intelligence'!U26&gt;=0.15,"🟨",IF('04 - Role Intelligence'!U26&gt;0,"🟥","⬜"))))</f>
        <v>⬜</v>
      </c>
      <c r="V8" s="82" t="str">
        <f aca="false">IF('04 - Role Intelligence'!V26="","⬜",IF('04 - Role Intelligence'!V26&gt;=0.5,"🟩",IF('04 - Role Intelligence'!V26&gt;=0.15,"🟨",IF('04 - Role Intelligence'!V26&gt;0,"🟥","⬜"))))</f>
        <v>⬜</v>
      </c>
      <c r="W8" s="82" t="str">
        <f aca="false">IF('04 - Role Intelligence'!W26="","⬜",IF('04 - Role Intelligence'!W26&gt;=0.5,"🟩",IF('04 - Role Intelligence'!W26&gt;=0.15,"🟨",IF('04 - Role Intelligence'!W26&gt;0,"🟥","⬜"))))</f>
        <v>⬜</v>
      </c>
      <c r="X8" s="82" t="str">
        <f aca="false">IF('04 - Role Intelligence'!X26="","⬜",IF('04 - Role Intelligence'!X26&gt;=0.5,"🟩",IF('04 - Role Intelligence'!X26&gt;=0.15,"🟨",IF('04 - Role Intelligence'!X26&gt;0,"🟥","⬜"))))</f>
        <v>⬜</v>
      </c>
      <c r="Y8" s="82" t="str">
        <f aca="false">IF('04 - Role Intelligence'!Y26="","⬜",IF('04 - Role Intelligence'!Y26&gt;=0.5,"🟩",IF('04 - Role Intelligence'!Y26&gt;=0.15,"🟨",IF('04 - Role Intelligence'!Y26&gt;0,"🟥","⬜"))))</f>
        <v>⬜</v>
      </c>
      <c r="Z8" s="82" t="str">
        <f aca="false">IF('04 - Role Intelligence'!Z26="","⬜",IF('04 - Role Intelligence'!Z26&gt;=0.5,"🟩",IF('04 - Role Intelligence'!Z26&gt;=0.15,"🟨",IF('04 - Role Intelligence'!Z26&gt;0,"🟥","⬜"))))</f>
        <v>⬜</v>
      </c>
      <c r="AA8" s="82" t="str">
        <f aca="false">IF('04 - Role Intelligence'!AA26="","⬜",IF('04 - Role Intelligence'!AA26&gt;=0.5,"🟩",IF('04 - Role Intelligence'!AA26&gt;=0.15,"🟨",IF('04 - Role Intelligence'!AA26&gt;0,"🟥","⬜"))))</f>
        <v>⬜</v>
      </c>
      <c r="AB8" s="82" t="str">
        <f aca="false">IF('04 - Role Intelligence'!AB26="","⬜",IF('04 - Role Intelligence'!AB26&gt;=0.5,"🟩",IF('04 - Role Intelligence'!AB26&gt;=0.15,"🟨",IF('04 - Role Intelligence'!AB26&gt;0,"🟥","⬜"))))</f>
        <v>⬜</v>
      </c>
      <c r="AC8" s="82" t="str">
        <f aca="false">IF('04 - Role Intelligence'!AC26="","⬜",IF('04 - Role Intelligence'!AC26&gt;=0.5,"🟩",IF('04 - Role Intelligence'!AC26&gt;=0.15,"🟨",IF('04 - Role Intelligence'!AC26&gt;0,"🟥","⬜"))))</f>
        <v>⬜</v>
      </c>
      <c r="AD8" s="82" t="str">
        <f aca="false">IF('04 - Role Intelligence'!AD26="","⬜",IF('04 - Role Intelligence'!AD26&gt;=0.5,"🟩",IF('04 - Role Intelligence'!AD26&gt;=0.15,"🟨",IF('04 - Role Intelligence'!AD26&gt;0,"🟥","⬜"))))</f>
        <v>⬜</v>
      </c>
      <c r="AE8" s="82" t="str">
        <f aca="false">IF('04 - Role Intelligence'!AE26="","⬜",IF('04 - Role Intelligence'!AE26&gt;=0.5,"🟩",IF('04 - Role Intelligence'!AE26&gt;=0.15,"🟨",IF('04 - Role Intelligence'!AE26&gt;0,"🟥","⬜"))))</f>
        <v>⬜</v>
      </c>
      <c r="AF8" s="82" t="str">
        <f aca="false">IF('04 - Role Intelligence'!AF26="","⬜",IF('04 - Role Intelligence'!AF26&gt;=0.5,"🟩",IF('04 - Role Intelligence'!AF26&gt;=0.15,"🟨",IF('04 - Role Intelligence'!AF26&gt;0,"🟥","⬜"))))</f>
        <v>⬜</v>
      </c>
      <c r="AG8" s="82" t="str">
        <f aca="false">IF('04 - Role Intelligence'!AG26="","⬜",IF('04 - Role Intelligence'!AG26&gt;=0.5,"🟩",IF('04 - Role Intelligence'!AG26&gt;=0.15,"🟨",IF('04 - Role Intelligence'!AG26&gt;0,"🟥","⬜"))))</f>
        <v>⬜</v>
      </c>
      <c r="AH8" s="83" t="str">
        <f aca="false">IF('04 - Role Intelligence'!AH26="","⬜",IF('04 - Role Intelligence'!AH26&gt;=0.5,"🟩",IF('04 - Role Intelligence'!AH26&gt;=0.15,"🟨",IF('04 - Role Intelligence'!AH26&gt;0,"🟥","⬜"))))</f>
        <v>⬜</v>
      </c>
      <c r="AI8" s="83" t="str">
        <f aca="false">IF('04 - Role Intelligence'!AI26="","⬜",IF('04 - Role Intelligence'!AI26&gt;=0.5,"🟩",IF('04 - Role Intelligence'!AI26&gt;=0.15,"🟨",IF('04 - Role Intelligence'!AI26&gt;0,"🟥","⬜"))))</f>
        <v>⬜</v>
      </c>
      <c r="AJ8" s="83" t="str">
        <f aca="false">IF('04 - Role Intelligence'!AJ26="","⬜",IF('04 - Role Intelligence'!AJ26&gt;=0.5,"🟩",IF('04 - Role Intelligence'!AJ26&gt;=0.15,"🟨",IF('04 - Role Intelligence'!AJ26&gt;0,"🟥","⬜"))))</f>
        <v>⬜</v>
      </c>
      <c r="AK8" s="83" t="str">
        <f aca="false">IF('04 - Role Intelligence'!AK26="","⬜",IF('04 - Role Intelligence'!AK26&gt;=0.5,"🟩",IF('04 - Role Intelligence'!AK26&gt;=0.15,"🟨",IF('04 - Role Intelligence'!AK26&gt;0,"🟥","⬜"))))</f>
        <v>⬜</v>
      </c>
      <c r="AL8" s="83" t="str">
        <f aca="false">IF('04 - Role Intelligence'!AL26="","⬜",IF('04 - Role Intelligence'!AL26&gt;=0.5,"🟩",IF('04 - Role Intelligence'!AL26&gt;=0.15,"🟨",IF('04 - Role Intelligence'!AL26&gt;0,"🟥","⬜"))))</f>
        <v>⬜</v>
      </c>
      <c r="AM8" s="83" t="str">
        <f aca="false">IF('04 - Role Intelligence'!AM26="","⬜",IF('04 - Role Intelligence'!AM26&gt;=0.5,"🟩",IF('04 - Role Intelligence'!AM26&gt;=0.15,"🟨",IF('04 - Role Intelligence'!AM26&gt;0,"🟥","⬜"))))</f>
        <v>⬜</v>
      </c>
      <c r="AN8" s="83" t="str">
        <f aca="false">IF('04 - Role Intelligence'!AN26="","⬜",IF('04 - Role Intelligence'!AN26&gt;=0.5,"🟩",IF('04 - Role Intelligence'!AN26&gt;=0.15,"🟨",IF('04 - Role Intelligence'!AN26&gt;0,"🟥","⬜"))))</f>
        <v>⬜</v>
      </c>
      <c r="AO8" s="83" t="str">
        <f aca="false">IF('04 - Role Intelligence'!AO26="","⬜",IF('04 - Role Intelligence'!AO26&gt;=0.5,"🟩",IF('04 - Role Intelligence'!AO26&gt;=0.15,"🟨",IF('04 - Role Intelligence'!AO26&gt;0,"🟥","⬜"))))</f>
        <v>⬜</v>
      </c>
      <c r="AP8" s="83" t="str">
        <f aca="false">IF('04 - Role Intelligence'!AP26="","⬜",IF('04 - Role Intelligence'!AP26&gt;=0.5,"🟩",IF('04 - Role Intelligence'!AP26&gt;=0.15,"🟨",IF('04 - Role Intelligence'!AP26&gt;0,"🟥","⬜"))))</f>
        <v>⬜</v>
      </c>
      <c r="AQ8" s="83" t="str">
        <f aca="false">IF('04 - Role Intelligence'!AQ26="","⬜",IF('04 - Role Intelligence'!AQ26&gt;=0.5,"🟩",IF('04 - Role Intelligence'!AQ26&gt;=0.15,"🟨",IF('04 - Role Intelligence'!AQ26&gt;0,"🟥","⬜"))))</f>
        <v>⬜</v>
      </c>
      <c r="AR8" s="83" t="str">
        <f aca="false">IF('04 - Role Intelligence'!AR26="","⬜",IF('04 - Role Intelligence'!AR26&gt;=0.5,"🟩",IF('04 - Role Intelligence'!AR26&gt;=0.15,"🟨",IF('04 - Role Intelligence'!AR26&gt;0,"🟥","⬜"))))</f>
        <v>⬜</v>
      </c>
    </row>
    <row r="9" customFormat="false" ht="15" hidden="false" customHeight="true" outlineLevel="0" collapsed="false">
      <c r="A9" s="81" t="s">
        <v>233</v>
      </c>
      <c r="B9" s="82" t="str">
        <f aca="false">IF('04 - Role Intelligence'!B27="","⬜",IF('04 - Role Intelligence'!B27&gt;=0.5,"🟩",IF('04 - Role Intelligence'!B27&gt;=0.15,"🟨",IF('04 - Role Intelligence'!B27&gt;0,"🟥","⬜"))))</f>
        <v>⬜</v>
      </c>
      <c r="C9" s="82" t="str">
        <f aca="false">IF('04 - Role Intelligence'!C27="","⬜",IF('04 - Role Intelligence'!C27&gt;=0.5,"🟩",IF('04 - Role Intelligence'!C27&gt;=0.15,"🟨",IF('04 - Role Intelligence'!C27&gt;0,"🟥","⬜"))))</f>
        <v>⬜</v>
      </c>
      <c r="D9" s="82" t="str">
        <f aca="false">IF('04 - Role Intelligence'!D27="","⬜",IF('04 - Role Intelligence'!D27&gt;=0.5,"🟩",IF('04 - Role Intelligence'!D27&gt;=0.15,"🟨",IF('04 - Role Intelligence'!D27&gt;0,"🟥","⬜"))))</f>
        <v>⬜</v>
      </c>
      <c r="E9" s="82" t="str">
        <f aca="false">IF('04 - Role Intelligence'!E27="","⬜",IF('04 - Role Intelligence'!E27&gt;=0.5,"🟩",IF('04 - Role Intelligence'!E27&gt;=0.15,"🟨",IF('04 - Role Intelligence'!E27&gt;0,"🟥","⬜"))))</f>
        <v>⬜</v>
      </c>
      <c r="F9" s="82" t="str">
        <f aca="false">IF('04 - Role Intelligence'!F27="","⬜",IF('04 - Role Intelligence'!F27&gt;=0.5,"🟩",IF('04 - Role Intelligence'!F27&gt;=0.15,"🟨",IF('04 - Role Intelligence'!F27&gt;0,"🟥","⬜"))))</f>
        <v>⬜</v>
      </c>
      <c r="G9" s="82" t="str">
        <f aca="false">IF('04 - Role Intelligence'!G27="","⬜",IF('04 - Role Intelligence'!G27&gt;=0.5,"🟩",IF('04 - Role Intelligence'!G27&gt;=0.15,"🟨",IF('04 - Role Intelligence'!G27&gt;0,"🟥","⬜"))))</f>
        <v>⬜</v>
      </c>
      <c r="H9" s="82" t="str">
        <f aca="false">IF('04 - Role Intelligence'!H27="","⬜",IF('04 - Role Intelligence'!H27&gt;=0.5,"🟩",IF('04 - Role Intelligence'!H27&gt;=0.15,"🟨",IF('04 - Role Intelligence'!H27&gt;0,"🟥","⬜"))))</f>
        <v>⬜</v>
      </c>
      <c r="I9" s="82" t="str">
        <f aca="false">IF('04 - Role Intelligence'!I27="","⬜",IF('04 - Role Intelligence'!I27&gt;=0.5,"🟩",IF('04 - Role Intelligence'!I27&gt;=0.15,"🟨",IF('04 - Role Intelligence'!I27&gt;0,"🟥","⬜"))))</f>
        <v>⬜</v>
      </c>
      <c r="J9" s="82" t="str">
        <f aca="false">IF('04 - Role Intelligence'!J27="","⬜",IF('04 - Role Intelligence'!J27&gt;=0.5,"🟩",IF('04 - Role Intelligence'!J27&gt;=0.15,"🟨",IF('04 - Role Intelligence'!J27&gt;0,"🟥","⬜"))))</f>
        <v>⬜</v>
      </c>
      <c r="K9" s="82" t="str">
        <f aca="false">IF('04 - Role Intelligence'!K27="","⬜",IF('04 - Role Intelligence'!K27&gt;=0.5,"🟩",IF('04 - Role Intelligence'!K27&gt;=0.15,"🟨",IF('04 - Role Intelligence'!K27&gt;0,"🟥","⬜"))))</f>
        <v>⬜</v>
      </c>
      <c r="L9" s="82" t="str">
        <f aca="false">IF('04 - Role Intelligence'!L27="","⬜",IF('04 - Role Intelligence'!L27&gt;=0.5,"🟩",IF('04 - Role Intelligence'!L27&gt;=0.15,"🟨",IF('04 - Role Intelligence'!L27&gt;0,"🟥","⬜"))))</f>
        <v>⬜</v>
      </c>
      <c r="M9" s="82" t="str">
        <f aca="false">IF('04 - Role Intelligence'!M27="","⬜",IF('04 - Role Intelligence'!M27&gt;=0.5,"🟩",IF('04 - Role Intelligence'!M27&gt;=0.15,"🟨",IF('04 - Role Intelligence'!M27&gt;0,"🟥","⬜"))))</f>
        <v>⬜</v>
      </c>
      <c r="N9" s="82" t="str">
        <f aca="false">IF('04 - Role Intelligence'!N27="","⬜",IF('04 - Role Intelligence'!N27&gt;=0.5,"🟩",IF('04 - Role Intelligence'!N27&gt;=0.15,"🟨",IF('04 - Role Intelligence'!N27&gt;0,"🟥","⬜"))))</f>
        <v>⬜</v>
      </c>
      <c r="O9" s="82" t="str">
        <f aca="false">IF('04 - Role Intelligence'!O27="","⬜",IF('04 - Role Intelligence'!O27&gt;=0.5,"🟩",IF('04 - Role Intelligence'!O27&gt;=0.15,"🟨",IF('04 - Role Intelligence'!O27&gt;0,"🟥","⬜"))))</f>
        <v>⬜</v>
      </c>
      <c r="P9" s="82" t="str">
        <f aca="false">IF('04 - Role Intelligence'!P27="","⬜",IF('04 - Role Intelligence'!P27&gt;=0.5,"🟩",IF('04 - Role Intelligence'!P27&gt;=0.15,"🟨",IF('04 - Role Intelligence'!P27&gt;0,"🟥","⬜"))))</f>
        <v>⬜</v>
      </c>
      <c r="Q9" s="82" t="str">
        <f aca="false">IF('04 - Role Intelligence'!Q27="","⬜",IF('04 - Role Intelligence'!Q27&gt;=0.5,"🟩",IF('04 - Role Intelligence'!Q27&gt;=0.15,"🟨",IF('04 - Role Intelligence'!Q27&gt;0,"🟥","⬜"))))</f>
        <v>⬜</v>
      </c>
      <c r="R9" s="82" t="str">
        <f aca="false">IF('04 - Role Intelligence'!R27="","⬜",IF('04 - Role Intelligence'!R27&gt;=0.5,"🟩",IF('04 - Role Intelligence'!R27&gt;=0.15,"🟨",IF('04 - Role Intelligence'!R27&gt;0,"🟥","⬜"))))</f>
        <v>⬜</v>
      </c>
      <c r="S9" s="82" t="str">
        <f aca="false">IF('04 - Role Intelligence'!S27="","⬜",IF('04 - Role Intelligence'!S27&gt;=0.5,"🟩",IF('04 - Role Intelligence'!S27&gt;=0.15,"🟨",IF('04 - Role Intelligence'!S27&gt;0,"🟥","⬜"))))</f>
        <v>⬜</v>
      </c>
      <c r="T9" s="82" t="str">
        <f aca="false">IF('04 - Role Intelligence'!T27="","⬜",IF('04 - Role Intelligence'!T27&gt;=0.5,"🟩",IF('04 - Role Intelligence'!T27&gt;=0.15,"🟨",IF('04 - Role Intelligence'!T27&gt;0,"🟥","⬜"))))</f>
        <v>⬜</v>
      </c>
      <c r="U9" s="82" t="str">
        <f aca="false">IF('04 - Role Intelligence'!U27="","⬜",IF('04 - Role Intelligence'!U27&gt;=0.5,"🟩",IF('04 - Role Intelligence'!U27&gt;=0.15,"🟨",IF('04 - Role Intelligence'!U27&gt;0,"🟥","⬜"))))</f>
        <v>⬜</v>
      </c>
      <c r="V9" s="82" t="str">
        <f aca="false">IF('04 - Role Intelligence'!V27="","⬜",IF('04 - Role Intelligence'!V27&gt;=0.5,"🟩",IF('04 - Role Intelligence'!V27&gt;=0.15,"🟨",IF('04 - Role Intelligence'!V27&gt;0,"🟥","⬜"))))</f>
        <v>⬜</v>
      </c>
      <c r="W9" s="82" t="str">
        <f aca="false">IF('04 - Role Intelligence'!W27="","⬜",IF('04 - Role Intelligence'!W27&gt;=0.5,"🟩",IF('04 - Role Intelligence'!W27&gt;=0.15,"🟨",IF('04 - Role Intelligence'!W27&gt;0,"🟥","⬜"))))</f>
        <v>⬜</v>
      </c>
      <c r="X9" s="82" t="str">
        <f aca="false">IF('04 - Role Intelligence'!X27="","⬜",IF('04 - Role Intelligence'!X27&gt;=0.5,"🟩",IF('04 - Role Intelligence'!X27&gt;=0.15,"🟨",IF('04 - Role Intelligence'!X27&gt;0,"🟥","⬜"))))</f>
        <v>⬜</v>
      </c>
      <c r="Y9" s="82" t="str">
        <f aca="false">IF('04 - Role Intelligence'!Y27="","⬜",IF('04 - Role Intelligence'!Y27&gt;=0.5,"🟩",IF('04 - Role Intelligence'!Y27&gt;=0.15,"🟨",IF('04 - Role Intelligence'!Y27&gt;0,"🟥","⬜"))))</f>
        <v>⬜</v>
      </c>
      <c r="Z9" s="82" t="str">
        <f aca="false">IF('04 - Role Intelligence'!Z27="","⬜",IF('04 - Role Intelligence'!Z27&gt;=0.5,"🟩",IF('04 - Role Intelligence'!Z27&gt;=0.15,"🟨",IF('04 - Role Intelligence'!Z27&gt;0,"🟥","⬜"))))</f>
        <v>⬜</v>
      </c>
      <c r="AA9" s="82" t="str">
        <f aca="false">IF('04 - Role Intelligence'!AA27="","⬜",IF('04 - Role Intelligence'!AA27&gt;=0.5,"🟩",IF('04 - Role Intelligence'!AA27&gt;=0.15,"🟨",IF('04 - Role Intelligence'!AA27&gt;0,"🟥","⬜"))))</f>
        <v>⬜</v>
      </c>
      <c r="AB9" s="82" t="str">
        <f aca="false">IF('04 - Role Intelligence'!AB27="","⬜",IF('04 - Role Intelligence'!AB27&gt;=0.5,"🟩",IF('04 - Role Intelligence'!AB27&gt;=0.15,"🟨",IF('04 - Role Intelligence'!AB27&gt;0,"🟥","⬜"))))</f>
        <v>⬜</v>
      </c>
      <c r="AC9" s="82" t="str">
        <f aca="false">IF('04 - Role Intelligence'!AC27="","⬜",IF('04 - Role Intelligence'!AC27&gt;=0.5,"🟩",IF('04 - Role Intelligence'!AC27&gt;=0.15,"🟨",IF('04 - Role Intelligence'!AC27&gt;0,"🟥","⬜"))))</f>
        <v>⬜</v>
      </c>
      <c r="AD9" s="82" t="str">
        <f aca="false">IF('04 - Role Intelligence'!AD27="","⬜",IF('04 - Role Intelligence'!AD27&gt;=0.5,"🟩",IF('04 - Role Intelligence'!AD27&gt;=0.15,"🟨",IF('04 - Role Intelligence'!AD27&gt;0,"🟥","⬜"))))</f>
        <v>⬜</v>
      </c>
      <c r="AE9" s="82" t="str">
        <f aca="false">IF('04 - Role Intelligence'!AE27="","⬜",IF('04 - Role Intelligence'!AE27&gt;=0.5,"🟩",IF('04 - Role Intelligence'!AE27&gt;=0.15,"🟨",IF('04 - Role Intelligence'!AE27&gt;0,"🟥","⬜"))))</f>
        <v>⬜</v>
      </c>
      <c r="AF9" s="82" t="str">
        <f aca="false">IF('04 - Role Intelligence'!AF27="","⬜",IF('04 - Role Intelligence'!AF27&gt;=0.5,"🟩",IF('04 - Role Intelligence'!AF27&gt;=0.15,"🟨",IF('04 - Role Intelligence'!AF27&gt;0,"🟥","⬜"))))</f>
        <v>⬜</v>
      </c>
      <c r="AG9" s="82" t="str">
        <f aca="false">IF('04 - Role Intelligence'!AG27="","⬜",IF('04 - Role Intelligence'!AG27&gt;=0.5,"🟩",IF('04 - Role Intelligence'!AG27&gt;=0.15,"🟨",IF('04 - Role Intelligence'!AG27&gt;0,"🟥","⬜"))))</f>
        <v>⬜</v>
      </c>
      <c r="AH9" s="83" t="str">
        <f aca="false">IF('04 - Role Intelligence'!AH27="","⬜",IF('04 - Role Intelligence'!AH27&gt;=0.5,"🟩",IF('04 - Role Intelligence'!AH27&gt;=0.15,"🟨",IF('04 - Role Intelligence'!AH27&gt;0,"🟥","⬜"))))</f>
        <v>⬜</v>
      </c>
      <c r="AI9" s="83" t="str">
        <f aca="false">IF('04 - Role Intelligence'!AI27="","⬜",IF('04 - Role Intelligence'!AI27&gt;=0.5,"🟩",IF('04 - Role Intelligence'!AI27&gt;=0.15,"🟨",IF('04 - Role Intelligence'!AI27&gt;0,"🟥","⬜"))))</f>
        <v>⬜</v>
      </c>
      <c r="AJ9" s="83" t="str">
        <f aca="false">IF('04 - Role Intelligence'!AJ27="","⬜",IF('04 - Role Intelligence'!AJ27&gt;=0.5,"🟩",IF('04 - Role Intelligence'!AJ27&gt;=0.15,"🟨",IF('04 - Role Intelligence'!AJ27&gt;0,"🟥","⬜"))))</f>
        <v>⬜</v>
      </c>
      <c r="AK9" s="83" t="str">
        <f aca="false">IF('04 - Role Intelligence'!AK27="","⬜",IF('04 - Role Intelligence'!AK27&gt;=0.5,"🟩",IF('04 - Role Intelligence'!AK27&gt;=0.15,"🟨",IF('04 - Role Intelligence'!AK27&gt;0,"🟥","⬜"))))</f>
        <v>⬜</v>
      </c>
      <c r="AL9" s="83" t="str">
        <f aca="false">IF('04 - Role Intelligence'!AL27="","⬜",IF('04 - Role Intelligence'!AL27&gt;=0.5,"🟩",IF('04 - Role Intelligence'!AL27&gt;=0.15,"🟨",IF('04 - Role Intelligence'!AL27&gt;0,"🟥","⬜"))))</f>
        <v>⬜</v>
      </c>
      <c r="AM9" s="83" t="str">
        <f aca="false">IF('04 - Role Intelligence'!AM27="","⬜",IF('04 - Role Intelligence'!AM27&gt;=0.5,"🟩",IF('04 - Role Intelligence'!AM27&gt;=0.15,"🟨",IF('04 - Role Intelligence'!AM27&gt;0,"🟥","⬜"))))</f>
        <v>⬜</v>
      </c>
      <c r="AN9" s="83" t="str">
        <f aca="false">IF('04 - Role Intelligence'!AN27="","⬜",IF('04 - Role Intelligence'!AN27&gt;=0.5,"🟩",IF('04 - Role Intelligence'!AN27&gt;=0.15,"🟨",IF('04 - Role Intelligence'!AN27&gt;0,"🟥","⬜"))))</f>
        <v>⬜</v>
      </c>
      <c r="AO9" s="83" t="str">
        <f aca="false">IF('04 - Role Intelligence'!AO27="","⬜",IF('04 - Role Intelligence'!AO27&gt;=0.5,"🟩",IF('04 - Role Intelligence'!AO27&gt;=0.15,"🟨",IF('04 - Role Intelligence'!AO27&gt;0,"🟥","⬜"))))</f>
        <v>⬜</v>
      </c>
      <c r="AP9" s="83" t="str">
        <f aca="false">IF('04 - Role Intelligence'!AP27="","⬜",IF('04 - Role Intelligence'!AP27&gt;=0.5,"🟩",IF('04 - Role Intelligence'!AP27&gt;=0.15,"🟨",IF('04 - Role Intelligence'!AP27&gt;0,"🟥","⬜"))))</f>
        <v>⬜</v>
      </c>
      <c r="AQ9" s="83" t="str">
        <f aca="false">IF('04 - Role Intelligence'!AQ27="","⬜",IF('04 - Role Intelligence'!AQ27&gt;=0.5,"🟩",IF('04 - Role Intelligence'!AQ27&gt;=0.15,"🟨",IF('04 - Role Intelligence'!AQ27&gt;0,"🟥","⬜"))))</f>
        <v>⬜</v>
      </c>
      <c r="AR9" s="83" t="str">
        <f aca="false">IF('04 - Role Intelligence'!AR27="","⬜",IF('04 - Role Intelligence'!AR27&gt;=0.5,"🟩",IF('04 - Role Intelligence'!AR27&gt;=0.15,"🟨",IF('04 - Role Intelligence'!AR27&gt;0,"🟥","⬜"))))</f>
        <v>⬜</v>
      </c>
    </row>
    <row r="10" customFormat="false" ht="15" hidden="false" customHeight="true" outlineLevel="0" collapsed="false">
      <c r="A10" s="81" t="s">
        <v>234</v>
      </c>
      <c r="B10" s="82" t="str">
        <f aca="false">IF('04 - Role Intelligence'!B28="","⬜",IF('04 - Role Intelligence'!B28&gt;=0.5,"🟩",IF('04 - Role Intelligence'!B28&gt;=0.15,"🟨",IF('04 - Role Intelligence'!B28&gt;0,"🟥","⬜"))))</f>
        <v>⬜</v>
      </c>
      <c r="C10" s="82" t="str">
        <f aca="false">IF('04 - Role Intelligence'!C28="","⬜",IF('04 - Role Intelligence'!C28&gt;=0.5,"🟩",IF('04 - Role Intelligence'!C28&gt;=0.15,"🟨",IF('04 - Role Intelligence'!C28&gt;0,"🟥","⬜"))))</f>
        <v>⬜</v>
      </c>
      <c r="D10" s="82" t="str">
        <f aca="false">IF('04 - Role Intelligence'!D28="","⬜",IF('04 - Role Intelligence'!D28&gt;=0.5,"🟩",IF('04 - Role Intelligence'!D28&gt;=0.15,"🟨",IF('04 - Role Intelligence'!D28&gt;0,"🟥","⬜"))))</f>
        <v>⬜</v>
      </c>
      <c r="E10" s="82" t="str">
        <f aca="false">IF('04 - Role Intelligence'!E28="","⬜",IF('04 - Role Intelligence'!E28&gt;=0.5,"🟩",IF('04 - Role Intelligence'!E28&gt;=0.15,"🟨",IF('04 - Role Intelligence'!E28&gt;0,"🟥","⬜"))))</f>
        <v>⬜</v>
      </c>
      <c r="F10" s="82" t="str">
        <f aca="false">IF('04 - Role Intelligence'!F28="","⬜",IF('04 - Role Intelligence'!F28&gt;=0.5,"🟩",IF('04 - Role Intelligence'!F28&gt;=0.15,"🟨",IF('04 - Role Intelligence'!F28&gt;0,"🟥","⬜"))))</f>
        <v>⬜</v>
      </c>
      <c r="G10" s="82" t="str">
        <f aca="false">IF('04 - Role Intelligence'!G28="","⬜",IF('04 - Role Intelligence'!G28&gt;=0.5,"🟩",IF('04 - Role Intelligence'!G28&gt;=0.15,"🟨",IF('04 - Role Intelligence'!G28&gt;0,"🟥","⬜"))))</f>
        <v>⬜</v>
      </c>
      <c r="H10" s="82" t="str">
        <f aca="false">IF('04 - Role Intelligence'!H28="","⬜",IF('04 - Role Intelligence'!H28&gt;=0.5,"🟩",IF('04 - Role Intelligence'!H28&gt;=0.15,"🟨",IF('04 - Role Intelligence'!H28&gt;0,"🟥","⬜"))))</f>
        <v>⬜</v>
      </c>
      <c r="I10" s="82" t="str">
        <f aca="false">IF('04 - Role Intelligence'!I28="","⬜",IF('04 - Role Intelligence'!I28&gt;=0.5,"🟩",IF('04 - Role Intelligence'!I28&gt;=0.15,"🟨",IF('04 - Role Intelligence'!I28&gt;0,"🟥","⬜"))))</f>
        <v>⬜</v>
      </c>
      <c r="J10" s="82" t="str">
        <f aca="false">IF('04 - Role Intelligence'!J28="","⬜",IF('04 - Role Intelligence'!J28&gt;=0.5,"🟩",IF('04 - Role Intelligence'!J28&gt;=0.15,"🟨",IF('04 - Role Intelligence'!J28&gt;0,"🟥","⬜"))))</f>
        <v>⬜</v>
      </c>
      <c r="K10" s="82" t="str">
        <f aca="false">IF('04 - Role Intelligence'!K28="","⬜",IF('04 - Role Intelligence'!K28&gt;=0.5,"🟩",IF('04 - Role Intelligence'!K28&gt;=0.15,"🟨",IF('04 - Role Intelligence'!K28&gt;0,"🟥","⬜"))))</f>
        <v>⬜</v>
      </c>
      <c r="L10" s="82" t="str">
        <f aca="false">IF('04 - Role Intelligence'!L28="","⬜",IF('04 - Role Intelligence'!L28&gt;=0.5,"🟩",IF('04 - Role Intelligence'!L28&gt;=0.15,"🟨",IF('04 - Role Intelligence'!L28&gt;0,"🟥","⬜"))))</f>
        <v>⬜</v>
      </c>
      <c r="M10" s="82" t="str">
        <f aca="false">IF('04 - Role Intelligence'!M28="","⬜",IF('04 - Role Intelligence'!M28&gt;=0.5,"🟩",IF('04 - Role Intelligence'!M28&gt;=0.15,"🟨",IF('04 - Role Intelligence'!M28&gt;0,"🟥","⬜"))))</f>
        <v>⬜</v>
      </c>
      <c r="N10" s="82" t="str">
        <f aca="false">IF('04 - Role Intelligence'!N28="","⬜",IF('04 - Role Intelligence'!N28&gt;=0.5,"🟩",IF('04 - Role Intelligence'!N28&gt;=0.15,"🟨",IF('04 - Role Intelligence'!N28&gt;0,"🟥","⬜"))))</f>
        <v>⬜</v>
      </c>
      <c r="O10" s="82" t="str">
        <f aca="false">IF('04 - Role Intelligence'!O28="","⬜",IF('04 - Role Intelligence'!O28&gt;=0.5,"🟩",IF('04 - Role Intelligence'!O28&gt;=0.15,"🟨",IF('04 - Role Intelligence'!O28&gt;0,"🟥","⬜"))))</f>
        <v>⬜</v>
      </c>
      <c r="P10" s="82" t="str">
        <f aca="false">IF('04 - Role Intelligence'!P28="","⬜",IF('04 - Role Intelligence'!P28&gt;=0.5,"🟩",IF('04 - Role Intelligence'!P28&gt;=0.15,"🟨",IF('04 - Role Intelligence'!P28&gt;0,"🟥","⬜"))))</f>
        <v>⬜</v>
      </c>
      <c r="Q10" s="82" t="str">
        <f aca="false">IF('04 - Role Intelligence'!Q28="","⬜",IF('04 - Role Intelligence'!Q28&gt;=0.5,"🟩",IF('04 - Role Intelligence'!Q28&gt;=0.15,"🟨",IF('04 - Role Intelligence'!Q28&gt;0,"🟥","⬜"))))</f>
        <v>⬜</v>
      </c>
      <c r="R10" s="82" t="str">
        <f aca="false">IF('04 - Role Intelligence'!R28="","⬜",IF('04 - Role Intelligence'!R28&gt;=0.5,"🟩",IF('04 - Role Intelligence'!R28&gt;=0.15,"🟨",IF('04 - Role Intelligence'!R28&gt;0,"🟥","⬜"))))</f>
        <v>⬜</v>
      </c>
      <c r="S10" s="82" t="str">
        <f aca="false">IF('04 - Role Intelligence'!S28="","⬜",IF('04 - Role Intelligence'!S28&gt;=0.5,"🟩",IF('04 - Role Intelligence'!S28&gt;=0.15,"🟨",IF('04 - Role Intelligence'!S28&gt;0,"🟥","⬜"))))</f>
        <v>⬜</v>
      </c>
      <c r="T10" s="82" t="str">
        <f aca="false">IF('04 - Role Intelligence'!T28="","⬜",IF('04 - Role Intelligence'!T28&gt;=0.5,"🟩",IF('04 - Role Intelligence'!T28&gt;=0.15,"🟨",IF('04 - Role Intelligence'!T28&gt;0,"🟥","⬜"))))</f>
        <v>⬜</v>
      </c>
      <c r="U10" s="82" t="str">
        <f aca="false">IF('04 - Role Intelligence'!U28="","⬜",IF('04 - Role Intelligence'!U28&gt;=0.5,"🟩",IF('04 - Role Intelligence'!U28&gt;=0.15,"🟨",IF('04 - Role Intelligence'!U28&gt;0,"🟥","⬜"))))</f>
        <v>⬜</v>
      </c>
      <c r="V10" s="82" t="str">
        <f aca="false">IF('04 - Role Intelligence'!V28="","⬜",IF('04 - Role Intelligence'!V28&gt;=0.5,"🟩",IF('04 - Role Intelligence'!V28&gt;=0.15,"🟨",IF('04 - Role Intelligence'!V28&gt;0,"🟥","⬜"))))</f>
        <v>⬜</v>
      </c>
      <c r="W10" s="82" t="str">
        <f aca="false">IF('04 - Role Intelligence'!W28="","⬜",IF('04 - Role Intelligence'!W28&gt;=0.5,"🟩",IF('04 - Role Intelligence'!W28&gt;=0.15,"🟨",IF('04 - Role Intelligence'!W28&gt;0,"🟥","⬜"))))</f>
        <v>⬜</v>
      </c>
      <c r="X10" s="82" t="str">
        <f aca="false">IF('04 - Role Intelligence'!X28="","⬜",IF('04 - Role Intelligence'!X28&gt;=0.5,"🟩",IF('04 - Role Intelligence'!X28&gt;=0.15,"🟨",IF('04 - Role Intelligence'!X28&gt;0,"🟥","⬜"))))</f>
        <v>⬜</v>
      </c>
      <c r="Y10" s="82" t="str">
        <f aca="false">IF('04 - Role Intelligence'!Y28="","⬜",IF('04 - Role Intelligence'!Y28&gt;=0.5,"🟩",IF('04 - Role Intelligence'!Y28&gt;=0.15,"🟨",IF('04 - Role Intelligence'!Y28&gt;0,"🟥","⬜"))))</f>
        <v>⬜</v>
      </c>
      <c r="Z10" s="82" t="str">
        <f aca="false">IF('04 - Role Intelligence'!Z28="","⬜",IF('04 - Role Intelligence'!Z28&gt;=0.5,"🟩",IF('04 - Role Intelligence'!Z28&gt;=0.15,"🟨",IF('04 - Role Intelligence'!Z28&gt;0,"🟥","⬜"))))</f>
        <v>⬜</v>
      </c>
      <c r="AA10" s="82" t="str">
        <f aca="false">IF('04 - Role Intelligence'!AA28="","⬜",IF('04 - Role Intelligence'!AA28&gt;=0.5,"🟩",IF('04 - Role Intelligence'!AA28&gt;=0.15,"🟨",IF('04 - Role Intelligence'!AA28&gt;0,"🟥","⬜"))))</f>
        <v>⬜</v>
      </c>
      <c r="AB10" s="82" t="str">
        <f aca="false">IF('04 - Role Intelligence'!AB28="","⬜",IF('04 - Role Intelligence'!AB28&gt;=0.5,"🟩",IF('04 - Role Intelligence'!AB28&gt;=0.15,"🟨",IF('04 - Role Intelligence'!AB28&gt;0,"🟥","⬜"))))</f>
        <v>⬜</v>
      </c>
      <c r="AC10" s="82" t="str">
        <f aca="false">IF('04 - Role Intelligence'!AC28="","⬜",IF('04 - Role Intelligence'!AC28&gt;=0.5,"🟩",IF('04 - Role Intelligence'!AC28&gt;=0.15,"🟨",IF('04 - Role Intelligence'!AC28&gt;0,"🟥","⬜"))))</f>
        <v>⬜</v>
      </c>
      <c r="AD10" s="82" t="str">
        <f aca="false">IF('04 - Role Intelligence'!AD28="","⬜",IF('04 - Role Intelligence'!AD28&gt;=0.5,"🟩",IF('04 - Role Intelligence'!AD28&gt;=0.15,"🟨",IF('04 - Role Intelligence'!AD28&gt;0,"🟥","⬜"))))</f>
        <v>⬜</v>
      </c>
      <c r="AE10" s="82" t="str">
        <f aca="false">IF('04 - Role Intelligence'!AE28="","⬜",IF('04 - Role Intelligence'!AE28&gt;=0.5,"🟩",IF('04 - Role Intelligence'!AE28&gt;=0.15,"🟨",IF('04 - Role Intelligence'!AE28&gt;0,"🟥","⬜"))))</f>
        <v>⬜</v>
      </c>
      <c r="AF10" s="82" t="str">
        <f aca="false">IF('04 - Role Intelligence'!AF28="","⬜",IF('04 - Role Intelligence'!AF28&gt;=0.5,"🟩",IF('04 - Role Intelligence'!AF28&gt;=0.15,"🟨",IF('04 - Role Intelligence'!AF28&gt;0,"🟥","⬜"))))</f>
        <v>⬜</v>
      </c>
      <c r="AG10" s="82" t="str">
        <f aca="false">IF('04 - Role Intelligence'!AG28="","⬜",IF('04 - Role Intelligence'!AG28&gt;=0.5,"🟩",IF('04 - Role Intelligence'!AG28&gt;=0.15,"🟨",IF('04 - Role Intelligence'!AG28&gt;0,"🟥","⬜"))))</f>
        <v>⬜</v>
      </c>
      <c r="AH10" s="83" t="str">
        <f aca="false">IF('04 - Role Intelligence'!AH28="","⬜",IF('04 - Role Intelligence'!AH28&gt;=0.5,"🟩",IF('04 - Role Intelligence'!AH28&gt;=0.15,"🟨",IF('04 - Role Intelligence'!AH28&gt;0,"🟥","⬜"))))</f>
        <v>⬜</v>
      </c>
      <c r="AI10" s="83" t="str">
        <f aca="false">IF('04 - Role Intelligence'!AI28="","⬜",IF('04 - Role Intelligence'!AI28&gt;=0.5,"🟩",IF('04 - Role Intelligence'!AI28&gt;=0.15,"🟨",IF('04 - Role Intelligence'!AI28&gt;0,"🟥","⬜"))))</f>
        <v>⬜</v>
      </c>
      <c r="AJ10" s="83" t="str">
        <f aca="false">IF('04 - Role Intelligence'!AJ28="","⬜",IF('04 - Role Intelligence'!AJ28&gt;=0.5,"🟩",IF('04 - Role Intelligence'!AJ28&gt;=0.15,"🟨",IF('04 - Role Intelligence'!AJ28&gt;0,"🟥","⬜"))))</f>
        <v>⬜</v>
      </c>
      <c r="AK10" s="83" t="str">
        <f aca="false">IF('04 - Role Intelligence'!AK28="","⬜",IF('04 - Role Intelligence'!AK28&gt;=0.5,"🟩",IF('04 - Role Intelligence'!AK28&gt;=0.15,"🟨",IF('04 - Role Intelligence'!AK28&gt;0,"🟥","⬜"))))</f>
        <v>⬜</v>
      </c>
      <c r="AL10" s="83" t="str">
        <f aca="false">IF('04 - Role Intelligence'!AL28="","⬜",IF('04 - Role Intelligence'!AL28&gt;=0.5,"🟩",IF('04 - Role Intelligence'!AL28&gt;=0.15,"🟨",IF('04 - Role Intelligence'!AL28&gt;0,"🟥","⬜"))))</f>
        <v>⬜</v>
      </c>
      <c r="AM10" s="83" t="str">
        <f aca="false">IF('04 - Role Intelligence'!AM28="","⬜",IF('04 - Role Intelligence'!AM28&gt;=0.5,"🟩",IF('04 - Role Intelligence'!AM28&gt;=0.15,"🟨",IF('04 - Role Intelligence'!AM28&gt;0,"🟥","⬜"))))</f>
        <v>⬜</v>
      </c>
      <c r="AN10" s="83" t="str">
        <f aca="false">IF('04 - Role Intelligence'!AN28="","⬜",IF('04 - Role Intelligence'!AN28&gt;=0.5,"🟩",IF('04 - Role Intelligence'!AN28&gt;=0.15,"🟨",IF('04 - Role Intelligence'!AN28&gt;0,"🟥","⬜"))))</f>
        <v>⬜</v>
      </c>
      <c r="AO10" s="83" t="str">
        <f aca="false">IF('04 - Role Intelligence'!AO28="","⬜",IF('04 - Role Intelligence'!AO28&gt;=0.5,"🟩",IF('04 - Role Intelligence'!AO28&gt;=0.15,"🟨",IF('04 - Role Intelligence'!AO28&gt;0,"🟥","⬜"))))</f>
        <v>⬜</v>
      </c>
      <c r="AP10" s="83" t="str">
        <f aca="false">IF('04 - Role Intelligence'!AP28="","⬜",IF('04 - Role Intelligence'!AP28&gt;=0.5,"🟩",IF('04 - Role Intelligence'!AP28&gt;=0.15,"🟨",IF('04 - Role Intelligence'!AP28&gt;0,"🟥","⬜"))))</f>
        <v>⬜</v>
      </c>
      <c r="AQ10" s="83" t="str">
        <f aca="false">IF('04 - Role Intelligence'!AQ28="","⬜",IF('04 - Role Intelligence'!AQ28&gt;=0.5,"🟩",IF('04 - Role Intelligence'!AQ28&gt;=0.15,"🟨",IF('04 - Role Intelligence'!AQ28&gt;0,"🟥","⬜"))))</f>
        <v>⬜</v>
      </c>
      <c r="AR10" s="83" t="str">
        <f aca="false">IF('04 - Role Intelligence'!AR28="","⬜",IF('04 - Role Intelligence'!AR28&gt;=0.5,"🟩",IF('04 - Role Intelligence'!AR28&gt;=0.15,"🟨",IF('04 - Role Intelligence'!AR28&gt;0,"🟥","⬜"))))</f>
        <v>⬜</v>
      </c>
    </row>
    <row r="11" customFormat="false" ht="15" hidden="false" customHeight="true" outlineLevel="0" collapsed="false">
      <c r="A11" s="81" t="s">
        <v>235</v>
      </c>
      <c r="B11" s="82" t="str">
        <f aca="false">IF('04 - Role Intelligence'!B29="","⬜",IF('04 - Role Intelligence'!B29&gt;=0.5,"🟩",IF('04 - Role Intelligence'!B29&gt;=0.15,"🟨",IF('04 - Role Intelligence'!B29&gt;0,"🟥","⬜"))))</f>
        <v>⬜</v>
      </c>
      <c r="C11" s="82" t="str">
        <f aca="false">IF('04 - Role Intelligence'!C29="","⬜",IF('04 - Role Intelligence'!C29&gt;=0.5,"🟩",IF('04 - Role Intelligence'!C29&gt;=0.15,"🟨",IF('04 - Role Intelligence'!C29&gt;0,"🟥","⬜"))))</f>
        <v>⬜</v>
      </c>
      <c r="D11" s="82" t="str">
        <f aca="false">IF('04 - Role Intelligence'!D29="","⬜",IF('04 - Role Intelligence'!D29&gt;=0.5,"🟩",IF('04 - Role Intelligence'!D29&gt;=0.15,"🟨",IF('04 - Role Intelligence'!D29&gt;0,"🟥","⬜"))))</f>
        <v>⬜</v>
      </c>
      <c r="E11" s="82" t="str">
        <f aca="false">IF('04 - Role Intelligence'!E29="","⬜",IF('04 - Role Intelligence'!E29&gt;=0.5,"🟩",IF('04 - Role Intelligence'!E29&gt;=0.15,"🟨",IF('04 - Role Intelligence'!E29&gt;0,"🟥","⬜"))))</f>
        <v>⬜</v>
      </c>
      <c r="F11" s="82" t="str">
        <f aca="false">IF('04 - Role Intelligence'!F29="","⬜",IF('04 - Role Intelligence'!F29&gt;=0.5,"🟩",IF('04 - Role Intelligence'!F29&gt;=0.15,"🟨",IF('04 - Role Intelligence'!F29&gt;0,"🟥","⬜"))))</f>
        <v>⬜</v>
      </c>
      <c r="G11" s="82" t="str">
        <f aca="false">IF('04 - Role Intelligence'!G29="","⬜",IF('04 - Role Intelligence'!G29&gt;=0.5,"🟩",IF('04 - Role Intelligence'!G29&gt;=0.15,"🟨",IF('04 - Role Intelligence'!G29&gt;0,"🟥","⬜"))))</f>
        <v>⬜</v>
      </c>
      <c r="H11" s="82" t="str">
        <f aca="false">IF('04 - Role Intelligence'!H29="","⬜",IF('04 - Role Intelligence'!H29&gt;=0.5,"🟩",IF('04 - Role Intelligence'!H29&gt;=0.15,"🟨",IF('04 - Role Intelligence'!H29&gt;0,"🟥","⬜"))))</f>
        <v>⬜</v>
      </c>
      <c r="I11" s="82" t="str">
        <f aca="false">IF('04 - Role Intelligence'!I29="","⬜",IF('04 - Role Intelligence'!I29&gt;=0.5,"🟩",IF('04 - Role Intelligence'!I29&gt;=0.15,"🟨",IF('04 - Role Intelligence'!I29&gt;0,"🟥","⬜"))))</f>
        <v>⬜</v>
      </c>
      <c r="J11" s="82" t="str">
        <f aca="false">IF('04 - Role Intelligence'!J29="","⬜",IF('04 - Role Intelligence'!J29&gt;=0.5,"🟩",IF('04 - Role Intelligence'!J29&gt;=0.15,"🟨",IF('04 - Role Intelligence'!J29&gt;0,"🟥","⬜"))))</f>
        <v>⬜</v>
      </c>
      <c r="K11" s="82" t="str">
        <f aca="false">IF('04 - Role Intelligence'!K29="","⬜",IF('04 - Role Intelligence'!K29&gt;=0.5,"🟩",IF('04 - Role Intelligence'!K29&gt;=0.15,"🟨",IF('04 - Role Intelligence'!K29&gt;0,"🟥","⬜"))))</f>
        <v>⬜</v>
      </c>
      <c r="L11" s="82" t="str">
        <f aca="false">IF('04 - Role Intelligence'!L29="","⬜",IF('04 - Role Intelligence'!L29&gt;=0.5,"🟩",IF('04 - Role Intelligence'!L29&gt;=0.15,"🟨",IF('04 - Role Intelligence'!L29&gt;0,"🟥","⬜"))))</f>
        <v>⬜</v>
      </c>
      <c r="M11" s="82" t="str">
        <f aca="false">IF('04 - Role Intelligence'!M29="","⬜",IF('04 - Role Intelligence'!M29&gt;=0.5,"🟩",IF('04 - Role Intelligence'!M29&gt;=0.15,"🟨",IF('04 - Role Intelligence'!M29&gt;0,"🟥","⬜"))))</f>
        <v>⬜</v>
      </c>
      <c r="N11" s="82" t="str">
        <f aca="false">IF('04 - Role Intelligence'!N29="","⬜",IF('04 - Role Intelligence'!N29&gt;=0.5,"🟩",IF('04 - Role Intelligence'!N29&gt;=0.15,"🟨",IF('04 - Role Intelligence'!N29&gt;0,"🟥","⬜"))))</f>
        <v>⬜</v>
      </c>
      <c r="O11" s="82" t="str">
        <f aca="false">IF('04 - Role Intelligence'!O29="","⬜",IF('04 - Role Intelligence'!O29&gt;=0.5,"🟩",IF('04 - Role Intelligence'!O29&gt;=0.15,"🟨",IF('04 - Role Intelligence'!O29&gt;0,"🟥","⬜"))))</f>
        <v>⬜</v>
      </c>
      <c r="P11" s="82" t="str">
        <f aca="false">IF('04 - Role Intelligence'!P29="","⬜",IF('04 - Role Intelligence'!P29&gt;=0.5,"🟩",IF('04 - Role Intelligence'!P29&gt;=0.15,"🟨",IF('04 - Role Intelligence'!P29&gt;0,"🟥","⬜"))))</f>
        <v>⬜</v>
      </c>
      <c r="Q11" s="82" t="str">
        <f aca="false">IF('04 - Role Intelligence'!Q29="","⬜",IF('04 - Role Intelligence'!Q29&gt;=0.5,"🟩",IF('04 - Role Intelligence'!Q29&gt;=0.15,"🟨",IF('04 - Role Intelligence'!Q29&gt;0,"🟥","⬜"))))</f>
        <v>⬜</v>
      </c>
      <c r="R11" s="82" t="str">
        <f aca="false">IF('04 - Role Intelligence'!R29="","⬜",IF('04 - Role Intelligence'!R29&gt;=0.5,"🟩",IF('04 - Role Intelligence'!R29&gt;=0.15,"🟨",IF('04 - Role Intelligence'!R29&gt;0,"🟥","⬜"))))</f>
        <v>⬜</v>
      </c>
      <c r="S11" s="82" t="str">
        <f aca="false">IF('04 - Role Intelligence'!S29="","⬜",IF('04 - Role Intelligence'!S29&gt;=0.5,"🟩",IF('04 - Role Intelligence'!S29&gt;=0.15,"🟨",IF('04 - Role Intelligence'!S29&gt;0,"🟥","⬜"))))</f>
        <v>⬜</v>
      </c>
      <c r="T11" s="82" t="str">
        <f aca="false">IF('04 - Role Intelligence'!T29="","⬜",IF('04 - Role Intelligence'!T29&gt;=0.5,"🟩",IF('04 - Role Intelligence'!T29&gt;=0.15,"🟨",IF('04 - Role Intelligence'!T29&gt;0,"🟥","⬜"))))</f>
        <v>⬜</v>
      </c>
      <c r="U11" s="82" t="str">
        <f aca="false">IF('04 - Role Intelligence'!U29="","⬜",IF('04 - Role Intelligence'!U29&gt;=0.5,"🟩",IF('04 - Role Intelligence'!U29&gt;=0.15,"🟨",IF('04 - Role Intelligence'!U29&gt;0,"🟥","⬜"))))</f>
        <v>⬜</v>
      </c>
      <c r="V11" s="82" t="str">
        <f aca="false">IF('04 - Role Intelligence'!V29="","⬜",IF('04 - Role Intelligence'!V29&gt;=0.5,"🟩",IF('04 - Role Intelligence'!V29&gt;=0.15,"🟨",IF('04 - Role Intelligence'!V29&gt;0,"🟥","⬜"))))</f>
        <v>⬜</v>
      </c>
      <c r="W11" s="82" t="str">
        <f aca="false">IF('04 - Role Intelligence'!W29="","⬜",IF('04 - Role Intelligence'!W29&gt;=0.5,"🟩",IF('04 - Role Intelligence'!W29&gt;=0.15,"🟨",IF('04 - Role Intelligence'!W29&gt;0,"🟥","⬜"))))</f>
        <v>⬜</v>
      </c>
      <c r="X11" s="82" t="str">
        <f aca="false">IF('04 - Role Intelligence'!X29="","⬜",IF('04 - Role Intelligence'!X29&gt;=0.5,"🟩",IF('04 - Role Intelligence'!X29&gt;=0.15,"🟨",IF('04 - Role Intelligence'!X29&gt;0,"🟥","⬜"))))</f>
        <v>⬜</v>
      </c>
      <c r="Y11" s="82" t="str">
        <f aca="false">IF('04 - Role Intelligence'!Y29="","⬜",IF('04 - Role Intelligence'!Y29&gt;=0.5,"🟩",IF('04 - Role Intelligence'!Y29&gt;=0.15,"🟨",IF('04 - Role Intelligence'!Y29&gt;0,"🟥","⬜"))))</f>
        <v>⬜</v>
      </c>
      <c r="Z11" s="82" t="str">
        <f aca="false">IF('04 - Role Intelligence'!Z29="","⬜",IF('04 - Role Intelligence'!Z29&gt;=0.5,"🟩",IF('04 - Role Intelligence'!Z29&gt;=0.15,"🟨",IF('04 - Role Intelligence'!Z29&gt;0,"🟥","⬜"))))</f>
        <v>⬜</v>
      </c>
      <c r="AA11" s="82" t="str">
        <f aca="false">IF('04 - Role Intelligence'!AA29="","⬜",IF('04 - Role Intelligence'!AA29&gt;=0.5,"🟩",IF('04 - Role Intelligence'!AA29&gt;=0.15,"🟨",IF('04 - Role Intelligence'!AA29&gt;0,"🟥","⬜"))))</f>
        <v>⬜</v>
      </c>
      <c r="AB11" s="82" t="str">
        <f aca="false">IF('04 - Role Intelligence'!AB29="","⬜",IF('04 - Role Intelligence'!AB29&gt;=0.5,"🟩",IF('04 - Role Intelligence'!AB29&gt;=0.15,"🟨",IF('04 - Role Intelligence'!AB29&gt;0,"🟥","⬜"))))</f>
        <v>⬜</v>
      </c>
      <c r="AC11" s="82" t="str">
        <f aca="false">IF('04 - Role Intelligence'!AC29="","⬜",IF('04 - Role Intelligence'!AC29&gt;=0.5,"🟩",IF('04 - Role Intelligence'!AC29&gt;=0.15,"🟨",IF('04 - Role Intelligence'!AC29&gt;0,"🟥","⬜"))))</f>
        <v>⬜</v>
      </c>
      <c r="AD11" s="82" t="str">
        <f aca="false">IF('04 - Role Intelligence'!AD29="","⬜",IF('04 - Role Intelligence'!AD29&gt;=0.5,"🟩",IF('04 - Role Intelligence'!AD29&gt;=0.15,"🟨",IF('04 - Role Intelligence'!AD29&gt;0,"🟥","⬜"))))</f>
        <v>⬜</v>
      </c>
      <c r="AE11" s="82" t="str">
        <f aca="false">IF('04 - Role Intelligence'!AE29="","⬜",IF('04 - Role Intelligence'!AE29&gt;=0.5,"🟩",IF('04 - Role Intelligence'!AE29&gt;=0.15,"🟨",IF('04 - Role Intelligence'!AE29&gt;0,"🟥","⬜"))))</f>
        <v>⬜</v>
      </c>
      <c r="AF11" s="82" t="str">
        <f aca="false">IF('04 - Role Intelligence'!AF29="","⬜",IF('04 - Role Intelligence'!AF29&gt;=0.5,"🟩",IF('04 - Role Intelligence'!AF29&gt;=0.15,"🟨",IF('04 - Role Intelligence'!AF29&gt;0,"🟥","⬜"))))</f>
        <v>⬜</v>
      </c>
      <c r="AG11" s="82" t="str">
        <f aca="false">IF('04 - Role Intelligence'!AG29="","⬜",IF('04 - Role Intelligence'!AG29&gt;=0.5,"🟩",IF('04 - Role Intelligence'!AG29&gt;=0.15,"🟨",IF('04 - Role Intelligence'!AG29&gt;0,"🟥","⬜"))))</f>
        <v>⬜</v>
      </c>
      <c r="AH11" s="83" t="str">
        <f aca="false">IF('04 - Role Intelligence'!AH29="","⬜",IF('04 - Role Intelligence'!AH29&gt;=0.5,"🟩",IF('04 - Role Intelligence'!AH29&gt;=0.15,"🟨",IF('04 - Role Intelligence'!AH29&gt;0,"🟥","⬜"))))</f>
        <v>⬜</v>
      </c>
      <c r="AI11" s="83" t="str">
        <f aca="false">IF('04 - Role Intelligence'!AI29="","⬜",IF('04 - Role Intelligence'!AI29&gt;=0.5,"🟩",IF('04 - Role Intelligence'!AI29&gt;=0.15,"🟨",IF('04 - Role Intelligence'!AI29&gt;0,"🟥","⬜"))))</f>
        <v>⬜</v>
      </c>
      <c r="AJ11" s="83" t="str">
        <f aca="false">IF('04 - Role Intelligence'!AJ29="","⬜",IF('04 - Role Intelligence'!AJ29&gt;=0.5,"🟩",IF('04 - Role Intelligence'!AJ29&gt;=0.15,"🟨",IF('04 - Role Intelligence'!AJ29&gt;0,"🟥","⬜"))))</f>
        <v>⬜</v>
      </c>
      <c r="AK11" s="83" t="str">
        <f aca="false">IF('04 - Role Intelligence'!AK29="","⬜",IF('04 - Role Intelligence'!AK29&gt;=0.5,"🟩",IF('04 - Role Intelligence'!AK29&gt;=0.15,"🟨",IF('04 - Role Intelligence'!AK29&gt;0,"🟥","⬜"))))</f>
        <v>⬜</v>
      </c>
      <c r="AL11" s="83" t="str">
        <f aca="false">IF('04 - Role Intelligence'!AL29="","⬜",IF('04 - Role Intelligence'!AL29&gt;=0.5,"🟩",IF('04 - Role Intelligence'!AL29&gt;=0.15,"🟨",IF('04 - Role Intelligence'!AL29&gt;0,"🟥","⬜"))))</f>
        <v>⬜</v>
      </c>
      <c r="AM11" s="83" t="str">
        <f aca="false">IF('04 - Role Intelligence'!AM29="","⬜",IF('04 - Role Intelligence'!AM29&gt;=0.5,"🟩",IF('04 - Role Intelligence'!AM29&gt;=0.15,"🟨",IF('04 - Role Intelligence'!AM29&gt;0,"🟥","⬜"))))</f>
        <v>⬜</v>
      </c>
      <c r="AN11" s="83" t="str">
        <f aca="false">IF('04 - Role Intelligence'!AN29="","⬜",IF('04 - Role Intelligence'!AN29&gt;=0.5,"🟩",IF('04 - Role Intelligence'!AN29&gt;=0.15,"🟨",IF('04 - Role Intelligence'!AN29&gt;0,"🟥","⬜"))))</f>
        <v>⬜</v>
      </c>
      <c r="AO11" s="83" t="str">
        <f aca="false">IF('04 - Role Intelligence'!AO29="","⬜",IF('04 - Role Intelligence'!AO29&gt;=0.5,"🟩",IF('04 - Role Intelligence'!AO29&gt;=0.15,"🟨",IF('04 - Role Intelligence'!AO29&gt;0,"🟥","⬜"))))</f>
        <v>⬜</v>
      </c>
      <c r="AP11" s="83" t="str">
        <f aca="false">IF('04 - Role Intelligence'!AP29="","⬜",IF('04 - Role Intelligence'!AP29&gt;=0.5,"🟩",IF('04 - Role Intelligence'!AP29&gt;=0.15,"🟨",IF('04 - Role Intelligence'!AP29&gt;0,"🟥","⬜"))))</f>
        <v>⬜</v>
      </c>
      <c r="AQ11" s="83" t="str">
        <f aca="false">IF('04 - Role Intelligence'!AQ29="","⬜",IF('04 - Role Intelligence'!AQ29&gt;=0.5,"🟩",IF('04 - Role Intelligence'!AQ29&gt;=0.15,"🟨",IF('04 - Role Intelligence'!AQ29&gt;0,"🟥","⬜"))))</f>
        <v>⬜</v>
      </c>
      <c r="AR11" s="83" t="str">
        <f aca="false">IF('04 - Role Intelligence'!AR29="","⬜",IF('04 - Role Intelligence'!AR29&gt;=0.5,"🟩",IF('04 - Role Intelligence'!AR29&gt;=0.15,"🟨",IF('04 - Role Intelligence'!AR29&gt;0,"🟥","⬜"))))</f>
        <v>⬜</v>
      </c>
    </row>
    <row r="12" customFormat="false" ht="15" hidden="false" customHeight="true" outlineLevel="0" collapsed="false">
      <c r="A12" s="81" t="s">
        <v>236</v>
      </c>
      <c r="B12" s="82" t="str">
        <f aca="false">IF('04 - Role Intelligence'!B30="","⬜",IF('04 - Role Intelligence'!B30&gt;=0.5,"🟩",IF('04 - Role Intelligence'!B30&gt;=0.15,"🟨",IF('04 - Role Intelligence'!B30&gt;0,"🟥","⬜"))))</f>
        <v>⬜</v>
      </c>
      <c r="C12" s="82" t="str">
        <f aca="false">IF('04 - Role Intelligence'!C30="","⬜",IF('04 - Role Intelligence'!C30&gt;=0.5,"🟩",IF('04 - Role Intelligence'!C30&gt;=0.15,"🟨",IF('04 - Role Intelligence'!C30&gt;0,"🟥","⬜"))))</f>
        <v>⬜</v>
      </c>
      <c r="D12" s="82" t="str">
        <f aca="false">IF('04 - Role Intelligence'!D30="","⬜",IF('04 - Role Intelligence'!D30&gt;=0.5,"🟩",IF('04 - Role Intelligence'!D30&gt;=0.15,"🟨",IF('04 - Role Intelligence'!D30&gt;0,"🟥","⬜"))))</f>
        <v>⬜</v>
      </c>
      <c r="E12" s="82" t="str">
        <f aca="false">IF('04 - Role Intelligence'!E30="","⬜",IF('04 - Role Intelligence'!E30&gt;=0.5,"🟩",IF('04 - Role Intelligence'!E30&gt;=0.15,"🟨",IF('04 - Role Intelligence'!E30&gt;0,"🟥","⬜"))))</f>
        <v>⬜</v>
      </c>
      <c r="F12" s="82" t="str">
        <f aca="false">IF('04 - Role Intelligence'!F30="","⬜",IF('04 - Role Intelligence'!F30&gt;=0.5,"🟩",IF('04 - Role Intelligence'!F30&gt;=0.15,"🟨",IF('04 - Role Intelligence'!F30&gt;0,"🟥","⬜"))))</f>
        <v>⬜</v>
      </c>
      <c r="G12" s="82" t="str">
        <f aca="false">IF('04 - Role Intelligence'!G30="","⬜",IF('04 - Role Intelligence'!G30&gt;=0.5,"🟩",IF('04 - Role Intelligence'!G30&gt;=0.15,"🟨",IF('04 - Role Intelligence'!G30&gt;0,"🟥","⬜"))))</f>
        <v>⬜</v>
      </c>
      <c r="H12" s="82" t="str">
        <f aca="false">IF('04 - Role Intelligence'!H30="","⬜",IF('04 - Role Intelligence'!H30&gt;=0.5,"🟩",IF('04 - Role Intelligence'!H30&gt;=0.15,"🟨",IF('04 - Role Intelligence'!H30&gt;0,"🟥","⬜"))))</f>
        <v>⬜</v>
      </c>
      <c r="I12" s="82" t="str">
        <f aca="false">IF('04 - Role Intelligence'!I30="","⬜",IF('04 - Role Intelligence'!I30&gt;=0.5,"🟩",IF('04 - Role Intelligence'!I30&gt;=0.15,"🟨",IF('04 - Role Intelligence'!I30&gt;0,"🟥","⬜"))))</f>
        <v>⬜</v>
      </c>
      <c r="J12" s="82" t="str">
        <f aca="false">IF('04 - Role Intelligence'!J30="","⬜",IF('04 - Role Intelligence'!J30&gt;=0.5,"🟩",IF('04 - Role Intelligence'!J30&gt;=0.15,"🟨",IF('04 - Role Intelligence'!J30&gt;0,"🟥","⬜"))))</f>
        <v>⬜</v>
      </c>
      <c r="K12" s="82" t="str">
        <f aca="false">IF('04 - Role Intelligence'!K30="","⬜",IF('04 - Role Intelligence'!K30&gt;=0.5,"🟩",IF('04 - Role Intelligence'!K30&gt;=0.15,"🟨",IF('04 - Role Intelligence'!K30&gt;0,"🟥","⬜"))))</f>
        <v>⬜</v>
      </c>
      <c r="L12" s="82" t="str">
        <f aca="false">IF('04 - Role Intelligence'!L30="","⬜",IF('04 - Role Intelligence'!L30&gt;=0.5,"🟩",IF('04 - Role Intelligence'!L30&gt;=0.15,"🟨",IF('04 - Role Intelligence'!L30&gt;0,"🟥","⬜"))))</f>
        <v>⬜</v>
      </c>
      <c r="M12" s="82" t="str">
        <f aca="false">IF('04 - Role Intelligence'!M30="","⬜",IF('04 - Role Intelligence'!M30&gt;=0.5,"🟩",IF('04 - Role Intelligence'!M30&gt;=0.15,"🟨",IF('04 - Role Intelligence'!M30&gt;0,"🟥","⬜"))))</f>
        <v>⬜</v>
      </c>
      <c r="N12" s="82" t="str">
        <f aca="false">IF('04 - Role Intelligence'!N30="","⬜",IF('04 - Role Intelligence'!N30&gt;=0.5,"🟩",IF('04 - Role Intelligence'!N30&gt;=0.15,"🟨",IF('04 - Role Intelligence'!N30&gt;0,"🟥","⬜"))))</f>
        <v>⬜</v>
      </c>
      <c r="O12" s="82" t="str">
        <f aca="false">IF('04 - Role Intelligence'!O30="","⬜",IF('04 - Role Intelligence'!O30&gt;=0.5,"🟩",IF('04 - Role Intelligence'!O30&gt;=0.15,"🟨",IF('04 - Role Intelligence'!O30&gt;0,"🟥","⬜"))))</f>
        <v>⬜</v>
      </c>
      <c r="P12" s="82" t="str">
        <f aca="false">IF('04 - Role Intelligence'!P30="","⬜",IF('04 - Role Intelligence'!P30&gt;=0.5,"🟩",IF('04 - Role Intelligence'!P30&gt;=0.15,"🟨",IF('04 - Role Intelligence'!P30&gt;0,"🟥","⬜"))))</f>
        <v>⬜</v>
      </c>
      <c r="Q12" s="82" t="str">
        <f aca="false">IF('04 - Role Intelligence'!Q30="","⬜",IF('04 - Role Intelligence'!Q30&gt;=0.5,"🟩",IF('04 - Role Intelligence'!Q30&gt;=0.15,"🟨",IF('04 - Role Intelligence'!Q30&gt;0,"🟥","⬜"))))</f>
        <v>⬜</v>
      </c>
      <c r="R12" s="82" t="str">
        <f aca="false">IF('04 - Role Intelligence'!R30="","⬜",IF('04 - Role Intelligence'!R30&gt;=0.5,"🟩",IF('04 - Role Intelligence'!R30&gt;=0.15,"🟨",IF('04 - Role Intelligence'!R30&gt;0,"🟥","⬜"))))</f>
        <v>⬜</v>
      </c>
      <c r="S12" s="82" t="str">
        <f aca="false">IF('04 - Role Intelligence'!S30="","⬜",IF('04 - Role Intelligence'!S30&gt;=0.5,"🟩",IF('04 - Role Intelligence'!S30&gt;=0.15,"🟨",IF('04 - Role Intelligence'!S30&gt;0,"🟥","⬜"))))</f>
        <v>⬜</v>
      </c>
      <c r="T12" s="82" t="str">
        <f aca="false">IF('04 - Role Intelligence'!T30="","⬜",IF('04 - Role Intelligence'!T30&gt;=0.5,"🟩",IF('04 - Role Intelligence'!T30&gt;=0.15,"🟨",IF('04 - Role Intelligence'!T30&gt;0,"🟥","⬜"))))</f>
        <v>⬜</v>
      </c>
      <c r="U12" s="82" t="str">
        <f aca="false">IF('04 - Role Intelligence'!U30="","⬜",IF('04 - Role Intelligence'!U30&gt;=0.5,"🟩",IF('04 - Role Intelligence'!U30&gt;=0.15,"🟨",IF('04 - Role Intelligence'!U30&gt;0,"🟥","⬜"))))</f>
        <v>⬜</v>
      </c>
      <c r="V12" s="82" t="str">
        <f aca="false">IF('04 - Role Intelligence'!V30="","⬜",IF('04 - Role Intelligence'!V30&gt;=0.5,"🟩",IF('04 - Role Intelligence'!V30&gt;=0.15,"🟨",IF('04 - Role Intelligence'!V30&gt;0,"🟥","⬜"))))</f>
        <v>⬜</v>
      </c>
      <c r="W12" s="82" t="str">
        <f aca="false">IF('04 - Role Intelligence'!W30="","⬜",IF('04 - Role Intelligence'!W30&gt;=0.5,"🟩",IF('04 - Role Intelligence'!W30&gt;=0.15,"🟨",IF('04 - Role Intelligence'!W30&gt;0,"🟥","⬜"))))</f>
        <v>⬜</v>
      </c>
      <c r="X12" s="82" t="str">
        <f aca="false">IF('04 - Role Intelligence'!X30="","⬜",IF('04 - Role Intelligence'!X30&gt;=0.5,"🟩",IF('04 - Role Intelligence'!X30&gt;=0.15,"🟨",IF('04 - Role Intelligence'!X30&gt;0,"🟥","⬜"))))</f>
        <v>⬜</v>
      </c>
      <c r="Y12" s="82" t="str">
        <f aca="false">IF('04 - Role Intelligence'!Y30="","⬜",IF('04 - Role Intelligence'!Y30&gt;=0.5,"🟩",IF('04 - Role Intelligence'!Y30&gt;=0.15,"🟨",IF('04 - Role Intelligence'!Y30&gt;0,"🟥","⬜"))))</f>
        <v>⬜</v>
      </c>
      <c r="Z12" s="82" t="str">
        <f aca="false">IF('04 - Role Intelligence'!Z30="","⬜",IF('04 - Role Intelligence'!Z30&gt;=0.5,"🟩",IF('04 - Role Intelligence'!Z30&gt;=0.15,"🟨",IF('04 - Role Intelligence'!Z30&gt;0,"🟥","⬜"))))</f>
        <v>⬜</v>
      </c>
      <c r="AA12" s="82" t="str">
        <f aca="false">IF('04 - Role Intelligence'!AA30="","⬜",IF('04 - Role Intelligence'!AA30&gt;=0.5,"🟩",IF('04 - Role Intelligence'!AA30&gt;=0.15,"🟨",IF('04 - Role Intelligence'!AA30&gt;0,"🟥","⬜"))))</f>
        <v>⬜</v>
      </c>
      <c r="AB12" s="82" t="str">
        <f aca="false">IF('04 - Role Intelligence'!AB30="","⬜",IF('04 - Role Intelligence'!AB30&gt;=0.5,"🟩",IF('04 - Role Intelligence'!AB30&gt;=0.15,"🟨",IF('04 - Role Intelligence'!AB30&gt;0,"🟥","⬜"))))</f>
        <v>⬜</v>
      </c>
      <c r="AC12" s="82" t="str">
        <f aca="false">IF('04 - Role Intelligence'!AC30="","⬜",IF('04 - Role Intelligence'!AC30&gt;=0.5,"🟩",IF('04 - Role Intelligence'!AC30&gt;=0.15,"🟨",IF('04 - Role Intelligence'!AC30&gt;0,"🟥","⬜"))))</f>
        <v>⬜</v>
      </c>
      <c r="AD12" s="82" t="str">
        <f aca="false">IF('04 - Role Intelligence'!AD30="","⬜",IF('04 - Role Intelligence'!AD30&gt;=0.5,"🟩",IF('04 - Role Intelligence'!AD30&gt;=0.15,"🟨",IF('04 - Role Intelligence'!AD30&gt;0,"🟥","⬜"))))</f>
        <v>⬜</v>
      </c>
      <c r="AE12" s="82" t="str">
        <f aca="false">IF('04 - Role Intelligence'!AE30="","⬜",IF('04 - Role Intelligence'!AE30&gt;=0.5,"🟩",IF('04 - Role Intelligence'!AE30&gt;=0.15,"🟨",IF('04 - Role Intelligence'!AE30&gt;0,"🟥","⬜"))))</f>
        <v>⬜</v>
      </c>
      <c r="AF12" s="82" t="str">
        <f aca="false">IF('04 - Role Intelligence'!AF30="","⬜",IF('04 - Role Intelligence'!AF30&gt;=0.5,"🟩",IF('04 - Role Intelligence'!AF30&gt;=0.15,"🟨",IF('04 - Role Intelligence'!AF30&gt;0,"🟥","⬜"))))</f>
        <v>⬜</v>
      </c>
      <c r="AG12" s="82" t="str">
        <f aca="false">IF('04 - Role Intelligence'!AG30="","⬜",IF('04 - Role Intelligence'!AG30&gt;=0.5,"🟩",IF('04 - Role Intelligence'!AG30&gt;=0.15,"🟨",IF('04 - Role Intelligence'!AG30&gt;0,"🟥","⬜"))))</f>
        <v>⬜</v>
      </c>
      <c r="AH12" s="83" t="str">
        <f aca="false">IF('04 - Role Intelligence'!AH30="","⬜",IF('04 - Role Intelligence'!AH30&gt;=0.5,"🟩",IF('04 - Role Intelligence'!AH30&gt;=0.15,"🟨",IF('04 - Role Intelligence'!AH30&gt;0,"🟥","⬜"))))</f>
        <v>⬜</v>
      </c>
      <c r="AI12" s="83" t="str">
        <f aca="false">IF('04 - Role Intelligence'!AI30="","⬜",IF('04 - Role Intelligence'!AI30&gt;=0.5,"🟩",IF('04 - Role Intelligence'!AI30&gt;=0.15,"🟨",IF('04 - Role Intelligence'!AI30&gt;0,"🟥","⬜"))))</f>
        <v>⬜</v>
      </c>
      <c r="AJ12" s="83" t="str">
        <f aca="false">IF('04 - Role Intelligence'!AJ30="","⬜",IF('04 - Role Intelligence'!AJ30&gt;=0.5,"🟩",IF('04 - Role Intelligence'!AJ30&gt;=0.15,"🟨",IF('04 - Role Intelligence'!AJ30&gt;0,"🟥","⬜"))))</f>
        <v>⬜</v>
      </c>
      <c r="AK12" s="83" t="str">
        <f aca="false">IF('04 - Role Intelligence'!AK30="","⬜",IF('04 - Role Intelligence'!AK30&gt;=0.5,"🟩",IF('04 - Role Intelligence'!AK30&gt;=0.15,"🟨",IF('04 - Role Intelligence'!AK30&gt;0,"🟥","⬜"))))</f>
        <v>⬜</v>
      </c>
      <c r="AL12" s="83" t="str">
        <f aca="false">IF('04 - Role Intelligence'!AL30="","⬜",IF('04 - Role Intelligence'!AL30&gt;=0.5,"🟩",IF('04 - Role Intelligence'!AL30&gt;=0.15,"🟨",IF('04 - Role Intelligence'!AL30&gt;0,"🟥","⬜"))))</f>
        <v>⬜</v>
      </c>
      <c r="AM12" s="83" t="str">
        <f aca="false">IF('04 - Role Intelligence'!AM30="","⬜",IF('04 - Role Intelligence'!AM30&gt;=0.5,"🟩",IF('04 - Role Intelligence'!AM30&gt;=0.15,"🟨",IF('04 - Role Intelligence'!AM30&gt;0,"🟥","⬜"))))</f>
        <v>⬜</v>
      </c>
      <c r="AN12" s="83" t="str">
        <f aca="false">IF('04 - Role Intelligence'!AN30="","⬜",IF('04 - Role Intelligence'!AN30&gt;=0.5,"🟩",IF('04 - Role Intelligence'!AN30&gt;=0.15,"🟨",IF('04 - Role Intelligence'!AN30&gt;0,"🟥","⬜"))))</f>
        <v>⬜</v>
      </c>
      <c r="AO12" s="83" t="str">
        <f aca="false">IF('04 - Role Intelligence'!AO30="","⬜",IF('04 - Role Intelligence'!AO30&gt;=0.5,"🟩",IF('04 - Role Intelligence'!AO30&gt;=0.15,"🟨",IF('04 - Role Intelligence'!AO30&gt;0,"🟥","⬜"))))</f>
        <v>⬜</v>
      </c>
      <c r="AP12" s="83" t="str">
        <f aca="false">IF('04 - Role Intelligence'!AP30="","⬜",IF('04 - Role Intelligence'!AP30&gt;=0.5,"🟩",IF('04 - Role Intelligence'!AP30&gt;=0.15,"🟨",IF('04 - Role Intelligence'!AP30&gt;0,"🟥","⬜"))))</f>
        <v>⬜</v>
      </c>
      <c r="AQ12" s="83" t="str">
        <f aca="false">IF('04 - Role Intelligence'!AQ30="","⬜",IF('04 - Role Intelligence'!AQ30&gt;=0.5,"🟩",IF('04 - Role Intelligence'!AQ30&gt;=0.15,"🟨",IF('04 - Role Intelligence'!AQ30&gt;0,"🟥","⬜"))))</f>
        <v>⬜</v>
      </c>
      <c r="AR12" s="83" t="str">
        <f aca="false">IF('04 - Role Intelligence'!AR30="","⬜",IF('04 - Role Intelligence'!AR30&gt;=0.5,"🟩",IF('04 - Role Intelligence'!AR30&gt;=0.15,"🟨",IF('04 - Role Intelligence'!AR30&gt;0,"🟥","⬜"))))</f>
        <v>⬜</v>
      </c>
    </row>
    <row r="13" customFormat="false" ht="15" hidden="false" customHeight="true" outlineLevel="0" collapsed="false">
      <c r="A13" s="81" t="s">
        <v>237</v>
      </c>
      <c r="B13" s="82" t="str">
        <f aca="false">IF('04 - Role Intelligence'!B31="","⬜",IF('04 - Role Intelligence'!B31&gt;=0.5,"🟩",IF('04 - Role Intelligence'!B31&gt;=0.15,"🟨",IF('04 - Role Intelligence'!B31&gt;0,"🟥","⬜"))))</f>
        <v>⬜</v>
      </c>
      <c r="C13" s="82" t="str">
        <f aca="false">IF('04 - Role Intelligence'!C31="","⬜",IF('04 - Role Intelligence'!C31&gt;=0.5,"🟩",IF('04 - Role Intelligence'!C31&gt;=0.15,"🟨",IF('04 - Role Intelligence'!C31&gt;0,"🟥","⬜"))))</f>
        <v>⬜</v>
      </c>
      <c r="D13" s="82" t="str">
        <f aca="false">IF('04 - Role Intelligence'!D31="","⬜",IF('04 - Role Intelligence'!D31&gt;=0.5,"🟩",IF('04 - Role Intelligence'!D31&gt;=0.15,"🟨",IF('04 - Role Intelligence'!D31&gt;0,"🟥","⬜"))))</f>
        <v>⬜</v>
      </c>
      <c r="E13" s="82" t="str">
        <f aca="false">IF('04 - Role Intelligence'!E31="","⬜",IF('04 - Role Intelligence'!E31&gt;=0.5,"🟩",IF('04 - Role Intelligence'!E31&gt;=0.15,"🟨",IF('04 - Role Intelligence'!E31&gt;0,"🟥","⬜"))))</f>
        <v>⬜</v>
      </c>
      <c r="F13" s="82" t="str">
        <f aca="false">IF('04 - Role Intelligence'!F31="","⬜",IF('04 - Role Intelligence'!F31&gt;=0.5,"🟩",IF('04 - Role Intelligence'!F31&gt;=0.15,"🟨",IF('04 - Role Intelligence'!F31&gt;0,"🟥","⬜"))))</f>
        <v>⬜</v>
      </c>
      <c r="G13" s="82" t="str">
        <f aca="false">IF('04 - Role Intelligence'!G31="","⬜",IF('04 - Role Intelligence'!G31&gt;=0.5,"🟩",IF('04 - Role Intelligence'!G31&gt;=0.15,"🟨",IF('04 - Role Intelligence'!G31&gt;0,"🟥","⬜"))))</f>
        <v>⬜</v>
      </c>
      <c r="H13" s="82" t="str">
        <f aca="false">IF('04 - Role Intelligence'!H31="","⬜",IF('04 - Role Intelligence'!H31&gt;=0.5,"🟩",IF('04 - Role Intelligence'!H31&gt;=0.15,"🟨",IF('04 - Role Intelligence'!H31&gt;0,"🟥","⬜"))))</f>
        <v>⬜</v>
      </c>
      <c r="I13" s="82" t="str">
        <f aca="false">IF('04 - Role Intelligence'!I31="","⬜",IF('04 - Role Intelligence'!I31&gt;=0.5,"🟩",IF('04 - Role Intelligence'!I31&gt;=0.15,"🟨",IF('04 - Role Intelligence'!I31&gt;0,"🟥","⬜"))))</f>
        <v>⬜</v>
      </c>
      <c r="J13" s="82" t="str">
        <f aca="false">IF('04 - Role Intelligence'!J31="","⬜",IF('04 - Role Intelligence'!J31&gt;=0.5,"🟩",IF('04 - Role Intelligence'!J31&gt;=0.15,"🟨",IF('04 - Role Intelligence'!J31&gt;0,"🟥","⬜"))))</f>
        <v>⬜</v>
      </c>
      <c r="K13" s="82" t="str">
        <f aca="false">IF('04 - Role Intelligence'!K31="","⬜",IF('04 - Role Intelligence'!K31&gt;=0.5,"🟩",IF('04 - Role Intelligence'!K31&gt;=0.15,"🟨",IF('04 - Role Intelligence'!K31&gt;0,"🟥","⬜"))))</f>
        <v>⬜</v>
      </c>
      <c r="L13" s="82" t="str">
        <f aca="false">IF('04 - Role Intelligence'!L31="","⬜",IF('04 - Role Intelligence'!L31&gt;=0.5,"🟩",IF('04 - Role Intelligence'!L31&gt;=0.15,"🟨",IF('04 - Role Intelligence'!L31&gt;0,"🟥","⬜"))))</f>
        <v>⬜</v>
      </c>
      <c r="M13" s="82" t="str">
        <f aca="false">IF('04 - Role Intelligence'!M31="","⬜",IF('04 - Role Intelligence'!M31&gt;=0.5,"🟩",IF('04 - Role Intelligence'!M31&gt;=0.15,"🟨",IF('04 - Role Intelligence'!M31&gt;0,"🟥","⬜"))))</f>
        <v>⬜</v>
      </c>
      <c r="N13" s="82" t="str">
        <f aca="false">IF('04 - Role Intelligence'!N31="","⬜",IF('04 - Role Intelligence'!N31&gt;=0.5,"🟩",IF('04 - Role Intelligence'!N31&gt;=0.15,"🟨",IF('04 - Role Intelligence'!N31&gt;0,"🟥","⬜"))))</f>
        <v>⬜</v>
      </c>
      <c r="O13" s="82" t="str">
        <f aca="false">IF('04 - Role Intelligence'!O31="","⬜",IF('04 - Role Intelligence'!O31&gt;=0.5,"🟩",IF('04 - Role Intelligence'!O31&gt;=0.15,"🟨",IF('04 - Role Intelligence'!O31&gt;0,"🟥","⬜"))))</f>
        <v>⬜</v>
      </c>
      <c r="P13" s="82" t="str">
        <f aca="false">IF('04 - Role Intelligence'!P31="","⬜",IF('04 - Role Intelligence'!P31&gt;=0.5,"🟩",IF('04 - Role Intelligence'!P31&gt;=0.15,"🟨",IF('04 - Role Intelligence'!P31&gt;0,"🟥","⬜"))))</f>
        <v>⬜</v>
      </c>
      <c r="Q13" s="82" t="str">
        <f aca="false">IF('04 - Role Intelligence'!Q31="","⬜",IF('04 - Role Intelligence'!Q31&gt;=0.5,"🟩",IF('04 - Role Intelligence'!Q31&gt;=0.15,"🟨",IF('04 - Role Intelligence'!Q31&gt;0,"🟥","⬜"))))</f>
        <v>⬜</v>
      </c>
      <c r="R13" s="82" t="str">
        <f aca="false">IF('04 - Role Intelligence'!R31="","⬜",IF('04 - Role Intelligence'!R31&gt;=0.5,"🟩",IF('04 - Role Intelligence'!R31&gt;=0.15,"🟨",IF('04 - Role Intelligence'!R31&gt;0,"🟥","⬜"))))</f>
        <v>⬜</v>
      </c>
      <c r="S13" s="82" t="str">
        <f aca="false">IF('04 - Role Intelligence'!S31="","⬜",IF('04 - Role Intelligence'!S31&gt;=0.5,"🟩",IF('04 - Role Intelligence'!S31&gt;=0.15,"🟨",IF('04 - Role Intelligence'!S31&gt;0,"🟥","⬜"))))</f>
        <v>⬜</v>
      </c>
      <c r="T13" s="82" t="str">
        <f aca="false">IF('04 - Role Intelligence'!T31="","⬜",IF('04 - Role Intelligence'!T31&gt;=0.5,"🟩",IF('04 - Role Intelligence'!T31&gt;=0.15,"🟨",IF('04 - Role Intelligence'!T31&gt;0,"🟥","⬜"))))</f>
        <v>⬜</v>
      </c>
      <c r="U13" s="82" t="str">
        <f aca="false">IF('04 - Role Intelligence'!U31="","⬜",IF('04 - Role Intelligence'!U31&gt;=0.5,"🟩",IF('04 - Role Intelligence'!U31&gt;=0.15,"🟨",IF('04 - Role Intelligence'!U31&gt;0,"🟥","⬜"))))</f>
        <v>⬜</v>
      </c>
      <c r="V13" s="82" t="str">
        <f aca="false">IF('04 - Role Intelligence'!V31="","⬜",IF('04 - Role Intelligence'!V31&gt;=0.5,"🟩",IF('04 - Role Intelligence'!V31&gt;=0.15,"🟨",IF('04 - Role Intelligence'!V31&gt;0,"🟥","⬜"))))</f>
        <v>⬜</v>
      </c>
      <c r="W13" s="82" t="str">
        <f aca="false">IF('04 - Role Intelligence'!W31="","⬜",IF('04 - Role Intelligence'!W31&gt;=0.5,"🟩",IF('04 - Role Intelligence'!W31&gt;=0.15,"🟨",IF('04 - Role Intelligence'!W31&gt;0,"🟥","⬜"))))</f>
        <v>⬜</v>
      </c>
      <c r="X13" s="82" t="str">
        <f aca="false">IF('04 - Role Intelligence'!X31="","⬜",IF('04 - Role Intelligence'!X31&gt;=0.5,"🟩",IF('04 - Role Intelligence'!X31&gt;=0.15,"🟨",IF('04 - Role Intelligence'!X31&gt;0,"🟥","⬜"))))</f>
        <v>⬜</v>
      </c>
      <c r="Y13" s="82" t="str">
        <f aca="false">IF('04 - Role Intelligence'!Y31="","⬜",IF('04 - Role Intelligence'!Y31&gt;=0.5,"🟩",IF('04 - Role Intelligence'!Y31&gt;=0.15,"🟨",IF('04 - Role Intelligence'!Y31&gt;0,"🟥","⬜"))))</f>
        <v>⬜</v>
      </c>
      <c r="Z13" s="82" t="str">
        <f aca="false">IF('04 - Role Intelligence'!Z31="","⬜",IF('04 - Role Intelligence'!Z31&gt;=0.5,"🟩",IF('04 - Role Intelligence'!Z31&gt;=0.15,"🟨",IF('04 - Role Intelligence'!Z31&gt;0,"🟥","⬜"))))</f>
        <v>⬜</v>
      </c>
      <c r="AA13" s="82" t="str">
        <f aca="false">IF('04 - Role Intelligence'!AA31="","⬜",IF('04 - Role Intelligence'!AA31&gt;=0.5,"🟩",IF('04 - Role Intelligence'!AA31&gt;=0.15,"🟨",IF('04 - Role Intelligence'!AA31&gt;0,"🟥","⬜"))))</f>
        <v>⬜</v>
      </c>
      <c r="AB13" s="82" t="str">
        <f aca="false">IF('04 - Role Intelligence'!AB31="","⬜",IF('04 - Role Intelligence'!AB31&gt;=0.5,"🟩",IF('04 - Role Intelligence'!AB31&gt;=0.15,"🟨",IF('04 - Role Intelligence'!AB31&gt;0,"🟥","⬜"))))</f>
        <v>⬜</v>
      </c>
      <c r="AC13" s="82" t="str">
        <f aca="false">IF('04 - Role Intelligence'!AC31="","⬜",IF('04 - Role Intelligence'!AC31&gt;=0.5,"🟩",IF('04 - Role Intelligence'!AC31&gt;=0.15,"🟨",IF('04 - Role Intelligence'!AC31&gt;0,"🟥","⬜"))))</f>
        <v>⬜</v>
      </c>
      <c r="AD13" s="82" t="str">
        <f aca="false">IF('04 - Role Intelligence'!AD31="","⬜",IF('04 - Role Intelligence'!AD31&gt;=0.5,"🟩",IF('04 - Role Intelligence'!AD31&gt;=0.15,"🟨",IF('04 - Role Intelligence'!AD31&gt;0,"🟥","⬜"))))</f>
        <v>⬜</v>
      </c>
      <c r="AE13" s="82" t="str">
        <f aca="false">IF('04 - Role Intelligence'!AE31="","⬜",IF('04 - Role Intelligence'!AE31&gt;=0.5,"🟩",IF('04 - Role Intelligence'!AE31&gt;=0.15,"🟨",IF('04 - Role Intelligence'!AE31&gt;0,"🟥","⬜"))))</f>
        <v>⬜</v>
      </c>
      <c r="AF13" s="82" t="str">
        <f aca="false">IF('04 - Role Intelligence'!AF31="","⬜",IF('04 - Role Intelligence'!AF31&gt;=0.5,"🟩",IF('04 - Role Intelligence'!AF31&gt;=0.15,"🟨",IF('04 - Role Intelligence'!AF31&gt;0,"🟥","⬜"))))</f>
        <v>⬜</v>
      </c>
      <c r="AG13" s="82" t="str">
        <f aca="false">IF('04 - Role Intelligence'!AG31="","⬜",IF('04 - Role Intelligence'!AG31&gt;=0.5,"🟩",IF('04 - Role Intelligence'!AG31&gt;=0.15,"🟨",IF('04 - Role Intelligence'!AG31&gt;0,"🟥","⬜"))))</f>
        <v>⬜</v>
      </c>
      <c r="AH13" s="83" t="str">
        <f aca="false">IF('04 - Role Intelligence'!AH31="","⬜",IF('04 - Role Intelligence'!AH31&gt;=0.5,"🟩",IF('04 - Role Intelligence'!AH31&gt;=0.15,"🟨",IF('04 - Role Intelligence'!AH31&gt;0,"🟥","⬜"))))</f>
        <v>⬜</v>
      </c>
      <c r="AI13" s="83" t="str">
        <f aca="false">IF('04 - Role Intelligence'!AI31="","⬜",IF('04 - Role Intelligence'!AI31&gt;=0.5,"🟩",IF('04 - Role Intelligence'!AI31&gt;=0.15,"🟨",IF('04 - Role Intelligence'!AI31&gt;0,"🟥","⬜"))))</f>
        <v>⬜</v>
      </c>
      <c r="AJ13" s="83" t="str">
        <f aca="false">IF('04 - Role Intelligence'!AJ31="","⬜",IF('04 - Role Intelligence'!AJ31&gt;=0.5,"🟩",IF('04 - Role Intelligence'!AJ31&gt;=0.15,"🟨",IF('04 - Role Intelligence'!AJ31&gt;0,"🟥","⬜"))))</f>
        <v>⬜</v>
      </c>
      <c r="AK13" s="83" t="str">
        <f aca="false">IF('04 - Role Intelligence'!AK31="","⬜",IF('04 - Role Intelligence'!AK31&gt;=0.5,"🟩",IF('04 - Role Intelligence'!AK31&gt;=0.15,"🟨",IF('04 - Role Intelligence'!AK31&gt;0,"🟥","⬜"))))</f>
        <v>⬜</v>
      </c>
      <c r="AL13" s="83" t="str">
        <f aca="false">IF('04 - Role Intelligence'!AL31="","⬜",IF('04 - Role Intelligence'!AL31&gt;=0.5,"🟩",IF('04 - Role Intelligence'!AL31&gt;=0.15,"🟨",IF('04 - Role Intelligence'!AL31&gt;0,"🟥","⬜"))))</f>
        <v>⬜</v>
      </c>
      <c r="AM13" s="83" t="str">
        <f aca="false">IF('04 - Role Intelligence'!AM31="","⬜",IF('04 - Role Intelligence'!AM31&gt;=0.5,"🟩",IF('04 - Role Intelligence'!AM31&gt;=0.15,"🟨",IF('04 - Role Intelligence'!AM31&gt;0,"🟥","⬜"))))</f>
        <v>⬜</v>
      </c>
      <c r="AN13" s="83" t="str">
        <f aca="false">IF('04 - Role Intelligence'!AN31="","⬜",IF('04 - Role Intelligence'!AN31&gt;=0.5,"🟩",IF('04 - Role Intelligence'!AN31&gt;=0.15,"🟨",IF('04 - Role Intelligence'!AN31&gt;0,"🟥","⬜"))))</f>
        <v>⬜</v>
      </c>
      <c r="AO13" s="83" t="str">
        <f aca="false">IF('04 - Role Intelligence'!AO31="","⬜",IF('04 - Role Intelligence'!AO31&gt;=0.5,"🟩",IF('04 - Role Intelligence'!AO31&gt;=0.15,"🟨",IF('04 - Role Intelligence'!AO31&gt;0,"🟥","⬜"))))</f>
        <v>⬜</v>
      </c>
      <c r="AP13" s="83" t="str">
        <f aca="false">IF('04 - Role Intelligence'!AP31="","⬜",IF('04 - Role Intelligence'!AP31&gt;=0.5,"🟩",IF('04 - Role Intelligence'!AP31&gt;=0.15,"🟨",IF('04 - Role Intelligence'!AP31&gt;0,"🟥","⬜"))))</f>
        <v>⬜</v>
      </c>
      <c r="AQ13" s="83" t="str">
        <f aca="false">IF('04 - Role Intelligence'!AQ31="","⬜",IF('04 - Role Intelligence'!AQ31&gt;=0.5,"🟩",IF('04 - Role Intelligence'!AQ31&gt;=0.15,"🟨",IF('04 - Role Intelligence'!AQ31&gt;0,"🟥","⬜"))))</f>
        <v>⬜</v>
      </c>
      <c r="AR13" s="83" t="str">
        <f aca="false">IF('04 - Role Intelligence'!AR31="","⬜",IF('04 - Role Intelligence'!AR31&gt;=0.5,"🟩",IF('04 - Role Intelligence'!AR31&gt;=0.15,"🟨",IF('04 - Role Intelligence'!AR31&gt;0,"🟥","⬜"))))</f>
        <v>⬜</v>
      </c>
    </row>
    <row r="14" customFormat="false" ht="15" hidden="false" customHeight="true" outlineLevel="0" collapsed="false">
      <c r="A14" s="81" t="s">
        <v>238</v>
      </c>
      <c r="B14" s="82" t="str">
        <f aca="false">IF('04 - Role Intelligence'!B32="","⬜",IF('04 - Role Intelligence'!B32&gt;=0.5,"🟩",IF('04 - Role Intelligence'!B32&gt;=0.15,"🟨",IF('04 - Role Intelligence'!B32&gt;0,"🟥","⬜"))))</f>
        <v>⬜</v>
      </c>
      <c r="C14" s="82" t="str">
        <f aca="false">IF('04 - Role Intelligence'!C32="","⬜",IF('04 - Role Intelligence'!C32&gt;=0.5,"🟩",IF('04 - Role Intelligence'!C32&gt;=0.15,"🟨",IF('04 - Role Intelligence'!C32&gt;0,"🟥","⬜"))))</f>
        <v>⬜</v>
      </c>
      <c r="D14" s="82" t="str">
        <f aca="false">IF('04 - Role Intelligence'!D32="","⬜",IF('04 - Role Intelligence'!D32&gt;=0.5,"🟩",IF('04 - Role Intelligence'!D32&gt;=0.15,"🟨",IF('04 - Role Intelligence'!D32&gt;0,"🟥","⬜"))))</f>
        <v>⬜</v>
      </c>
      <c r="E14" s="82" t="str">
        <f aca="false">IF('04 - Role Intelligence'!E32="","⬜",IF('04 - Role Intelligence'!E32&gt;=0.5,"🟩",IF('04 - Role Intelligence'!E32&gt;=0.15,"🟨",IF('04 - Role Intelligence'!E32&gt;0,"🟥","⬜"))))</f>
        <v>⬜</v>
      </c>
      <c r="F14" s="82" t="str">
        <f aca="false">IF('04 - Role Intelligence'!F32="","⬜",IF('04 - Role Intelligence'!F32&gt;=0.5,"🟩",IF('04 - Role Intelligence'!F32&gt;=0.15,"🟨",IF('04 - Role Intelligence'!F32&gt;0,"🟥","⬜"))))</f>
        <v>⬜</v>
      </c>
      <c r="G14" s="82" t="str">
        <f aca="false">IF('04 - Role Intelligence'!G32="","⬜",IF('04 - Role Intelligence'!G32&gt;=0.5,"🟩",IF('04 - Role Intelligence'!G32&gt;=0.15,"🟨",IF('04 - Role Intelligence'!G32&gt;0,"🟥","⬜"))))</f>
        <v>⬜</v>
      </c>
      <c r="H14" s="82" t="str">
        <f aca="false">IF('04 - Role Intelligence'!H32="","⬜",IF('04 - Role Intelligence'!H32&gt;=0.5,"🟩",IF('04 - Role Intelligence'!H32&gt;=0.15,"🟨",IF('04 - Role Intelligence'!H32&gt;0,"🟥","⬜"))))</f>
        <v>⬜</v>
      </c>
      <c r="I14" s="82" t="str">
        <f aca="false">IF('04 - Role Intelligence'!I32="","⬜",IF('04 - Role Intelligence'!I32&gt;=0.5,"🟩",IF('04 - Role Intelligence'!I32&gt;=0.15,"🟨",IF('04 - Role Intelligence'!I32&gt;0,"🟥","⬜"))))</f>
        <v>⬜</v>
      </c>
      <c r="J14" s="82" t="str">
        <f aca="false">IF('04 - Role Intelligence'!J32="","⬜",IF('04 - Role Intelligence'!J32&gt;=0.5,"🟩",IF('04 - Role Intelligence'!J32&gt;=0.15,"🟨",IF('04 - Role Intelligence'!J32&gt;0,"🟥","⬜"))))</f>
        <v>⬜</v>
      </c>
      <c r="K14" s="82" t="str">
        <f aca="false">IF('04 - Role Intelligence'!K32="","⬜",IF('04 - Role Intelligence'!K32&gt;=0.5,"🟩",IF('04 - Role Intelligence'!K32&gt;=0.15,"🟨",IF('04 - Role Intelligence'!K32&gt;0,"🟥","⬜"))))</f>
        <v>⬜</v>
      </c>
      <c r="L14" s="82" t="str">
        <f aca="false">IF('04 - Role Intelligence'!L32="","⬜",IF('04 - Role Intelligence'!L32&gt;=0.5,"🟩",IF('04 - Role Intelligence'!L32&gt;=0.15,"🟨",IF('04 - Role Intelligence'!L32&gt;0,"🟥","⬜"))))</f>
        <v>⬜</v>
      </c>
      <c r="M14" s="82" t="str">
        <f aca="false">IF('04 - Role Intelligence'!M32="","⬜",IF('04 - Role Intelligence'!M32&gt;=0.5,"🟩",IF('04 - Role Intelligence'!M32&gt;=0.15,"🟨",IF('04 - Role Intelligence'!M32&gt;0,"🟥","⬜"))))</f>
        <v>⬜</v>
      </c>
      <c r="N14" s="82" t="str">
        <f aca="false">IF('04 - Role Intelligence'!N32="","⬜",IF('04 - Role Intelligence'!N32&gt;=0.5,"🟩",IF('04 - Role Intelligence'!N32&gt;=0.15,"🟨",IF('04 - Role Intelligence'!N32&gt;0,"🟥","⬜"))))</f>
        <v>⬜</v>
      </c>
      <c r="O14" s="82" t="str">
        <f aca="false">IF('04 - Role Intelligence'!O32="","⬜",IF('04 - Role Intelligence'!O32&gt;=0.5,"🟩",IF('04 - Role Intelligence'!O32&gt;=0.15,"🟨",IF('04 - Role Intelligence'!O32&gt;0,"🟥","⬜"))))</f>
        <v>⬜</v>
      </c>
      <c r="P14" s="82" t="str">
        <f aca="false">IF('04 - Role Intelligence'!P32="","⬜",IF('04 - Role Intelligence'!P32&gt;=0.5,"🟩",IF('04 - Role Intelligence'!P32&gt;=0.15,"🟨",IF('04 - Role Intelligence'!P32&gt;0,"🟥","⬜"))))</f>
        <v>⬜</v>
      </c>
      <c r="Q14" s="82" t="str">
        <f aca="false">IF('04 - Role Intelligence'!Q32="","⬜",IF('04 - Role Intelligence'!Q32&gt;=0.5,"🟩",IF('04 - Role Intelligence'!Q32&gt;=0.15,"🟨",IF('04 - Role Intelligence'!Q32&gt;0,"🟥","⬜"))))</f>
        <v>⬜</v>
      </c>
      <c r="R14" s="82" t="str">
        <f aca="false">IF('04 - Role Intelligence'!R32="","⬜",IF('04 - Role Intelligence'!R32&gt;=0.5,"🟩",IF('04 - Role Intelligence'!R32&gt;=0.15,"🟨",IF('04 - Role Intelligence'!R32&gt;0,"🟥","⬜"))))</f>
        <v>⬜</v>
      </c>
      <c r="S14" s="82" t="str">
        <f aca="false">IF('04 - Role Intelligence'!S32="","⬜",IF('04 - Role Intelligence'!S32&gt;=0.5,"🟩",IF('04 - Role Intelligence'!S32&gt;=0.15,"🟨",IF('04 - Role Intelligence'!S32&gt;0,"🟥","⬜"))))</f>
        <v>⬜</v>
      </c>
      <c r="T14" s="82" t="str">
        <f aca="false">IF('04 - Role Intelligence'!T32="","⬜",IF('04 - Role Intelligence'!T32&gt;=0.5,"🟩",IF('04 - Role Intelligence'!T32&gt;=0.15,"🟨",IF('04 - Role Intelligence'!T32&gt;0,"🟥","⬜"))))</f>
        <v>⬜</v>
      </c>
      <c r="U14" s="82" t="str">
        <f aca="false">IF('04 - Role Intelligence'!U32="","⬜",IF('04 - Role Intelligence'!U32&gt;=0.5,"🟩",IF('04 - Role Intelligence'!U32&gt;=0.15,"🟨",IF('04 - Role Intelligence'!U32&gt;0,"🟥","⬜"))))</f>
        <v>⬜</v>
      </c>
      <c r="V14" s="82" t="str">
        <f aca="false">IF('04 - Role Intelligence'!V32="","⬜",IF('04 - Role Intelligence'!V32&gt;=0.5,"🟩",IF('04 - Role Intelligence'!V32&gt;=0.15,"🟨",IF('04 - Role Intelligence'!V32&gt;0,"🟥","⬜"))))</f>
        <v>⬜</v>
      </c>
      <c r="W14" s="82" t="str">
        <f aca="false">IF('04 - Role Intelligence'!W32="","⬜",IF('04 - Role Intelligence'!W32&gt;=0.5,"🟩",IF('04 - Role Intelligence'!W32&gt;=0.15,"🟨",IF('04 - Role Intelligence'!W32&gt;0,"🟥","⬜"))))</f>
        <v>⬜</v>
      </c>
      <c r="X14" s="82" t="str">
        <f aca="false">IF('04 - Role Intelligence'!X32="","⬜",IF('04 - Role Intelligence'!X32&gt;=0.5,"🟩",IF('04 - Role Intelligence'!X32&gt;=0.15,"🟨",IF('04 - Role Intelligence'!X32&gt;0,"🟥","⬜"))))</f>
        <v>⬜</v>
      </c>
      <c r="Y14" s="82" t="str">
        <f aca="false">IF('04 - Role Intelligence'!Y32="","⬜",IF('04 - Role Intelligence'!Y32&gt;=0.5,"🟩",IF('04 - Role Intelligence'!Y32&gt;=0.15,"🟨",IF('04 - Role Intelligence'!Y32&gt;0,"🟥","⬜"))))</f>
        <v>⬜</v>
      </c>
      <c r="Z14" s="82" t="str">
        <f aca="false">IF('04 - Role Intelligence'!Z32="","⬜",IF('04 - Role Intelligence'!Z32&gt;=0.5,"🟩",IF('04 - Role Intelligence'!Z32&gt;=0.15,"🟨",IF('04 - Role Intelligence'!Z32&gt;0,"🟥","⬜"))))</f>
        <v>⬜</v>
      </c>
      <c r="AA14" s="82" t="str">
        <f aca="false">IF('04 - Role Intelligence'!AA32="","⬜",IF('04 - Role Intelligence'!AA32&gt;=0.5,"🟩",IF('04 - Role Intelligence'!AA32&gt;=0.15,"🟨",IF('04 - Role Intelligence'!AA32&gt;0,"🟥","⬜"))))</f>
        <v>⬜</v>
      </c>
      <c r="AB14" s="82" t="str">
        <f aca="false">IF('04 - Role Intelligence'!AB32="","⬜",IF('04 - Role Intelligence'!AB32&gt;=0.5,"🟩",IF('04 - Role Intelligence'!AB32&gt;=0.15,"🟨",IF('04 - Role Intelligence'!AB32&gt;0,"🟥","⬜"))))</f>
        <v>⬜</v>
      </c>
      <c r="AC14" s="82" t="str">
        <f aca="false">IF('04 - Role Intelligence'!AC32="","⬜",IF('04 - Role Intelligence'!AC32&gt;=0.5,"🟩",IF('04 - Role Intelligence'!AC32&gt;=0.15,"🟨",IF('04 - Role Intelligence'!AC32&gt;0,"🟥","⬜"))))</f>
        <v>⬜</v>
      </c>
      <c r="AD14" s="82" t="str">
        <f aca="false">IF('04 - Role Intelligence'!AD32="","⬜",IF('04 - Role Intelligence'!AD32&gt;=0.5,"🟩",IF('04 - Role Intelligence'!AD32&gt;=0.15,"🟨",IF('04 - Role Intelligence'!AD32&gt;0,"🟥","⬜"))))</f>
        <v>⬜</v>
      </c>
      <c r="AE14" s="82" t="str">
        <f aca="false">IF('04 - Role Intelligence'!AE32="","⬜",IF('04 - Role Intelligence'!AE32&gt;=0.5,"🟩",IF('04 - Role Intelligence'!AE32&gt;=0.15,"🟨",IF('04 - Role Intelligence'!AE32&gt;0,"🟥","⬜"))))</f>
        <v>⬜</v>
      </c>
      <c r="AF14" s="82" t="str">
        <f aca="false">IF('04 - Role Intelligence'!AF32="","⬜",IF('04 - Role Intelligence'!AF32&gt;=0.5,"🟩",IF('04 - Role Intelligence'!AF32&gt;=0.15,"🟨",IF('04 - Role Intelligence'!AF32&gt;0,"🟥","⬜"))))</f>
        <v>⬜</v>
      </c>
      <c r="AG14" s="82" t="str">
        <f aca="false">IF('04 - Role Intelligence'!AG32="","⬜",IF('04 - Role Intelligence'!AG32&gt;=0.5,"🟩",IF('04 - Role Intelligence'!AG32&gt;=0.15,"🟨",IF('04 - Role Intelligence'!AG32&gt;0,"🟥","⬜"))))</f>
        <v>⬜</v>
      </c>
      <c r="AH14" s="83" t="str">
        <f aca="false">IF('04 - Role Intelligence'!AH32="","⬜",IF('04 - Role Intelligence'!AH32&gt;=0.5,"🟩",IF('04 - Role Intelligence'!AH32&gt;=0.15,"🟨",IF('04 - Role Intelligence'!AH32&gt;0,"🟥","⬜"))))</f>
        <v>⬜</v>
      </c>
      <c r="AI14" s="83" t="str">
        <f aca="false">IF('04 - Role Intelligence'!AI32="","⬜",IF('04 - Role Intelligence'!AI32&gt;=0.5,"🟩",IF('04 - Role Intelligence'!AI32&gt;=0.15,"🟨",IF('04 - Role Intelligence'!AI32&gt;0,"🟥","⬜"))))</f>
        <v>⬜</v>
      </c>
      <c r="AJ14" s="83" t="str">
        <f aca="false">IF('04 - Role Intelligence'!AJ32="","⬜",IF('04 - Role Intelligence'!AJ32&gt;=0.5,"🟩",IF('04 - Role Intelligence'!AJ32&gt;=0.15,"🟨",IF('04 - Role Intelligence'!AJ32&gt;0,"🟥","⬜"))))</f>
        <v>⬜</v>
      </c>
      <c r="AK14" s="83" t="str">
        <f aca="false">IF('04 - Role Intelligence'!AK32="","⬜",IF('04 - Role Intelligence'!AK32&gt;=0.5,"🟩",IF('04 - Role Intelligence'!AK32&gt;=0.15,"🟨",IF('04 - Role Intelligence'!AK32&gt;0,"🟥","⬜"))))</f>
        <v>⬜</v>
      </c>
      <c r="AL14" s="83" t="str">
        <f aca="false">IF('04 - Role Intelligence'!AL32="","⬜",IF('04 - Role Intelligence'!AL32&gt;=0.5,"🟩",IF('04 - Role Intelligence'!AL32&gt;=0.15,"🟨",IF('04 - Role Intelligence'!AL32&gt;0,"🟥","⬜"))))</f>
        <v>⬜</v>
      </c>
      <c r="AM14" s="83" t="str">
        <f aca="false">IF('04 - Role Intelligence'!AM32="","⬜",IF('04 - Role Intelligence'!AM32&gt;=0.5,"🟩",IF('04 - Role Intelligence'!AM32&gt;=0.15,"🟨",IF('04 - Role Intelligence'!AM32&gt;0,"🟥","⬜"))))</f>
        <v>⬜</v>
      </c>
      <c r="AN14" s="83" t="str">
        <f aca="false">IF('04 - Role Intelligence'!AN32="","⬜",IF('04 - Role Intelligence'!AN32&gt;=0.5,"🟩",IF('04 - Role Intelligence'!AN32&gt;=0.15,"🟨",IF('04 - Role Intelligence'!AN32&gt;0,"🟥","⬜"))))</f>
        <v>⬜</v>
      </c>
      <c r="AO14" s="83" t="str">
        <f aca="false">IF('04 - Role Intelligence'!AO32="","⬜",IF('04 - Role Intelligence'!AO32&gt;=0.5,"🟩",IF('04 - Role Intelligence'!AO32&gt;=0.15,"🟨",IF('04 - Role Intelligence'!AO32&gt;0,"🟥","⬜"))))</f>
        <v>⬜</v>
      </c>
      <c r="AP14" s="83" t="str">
        <f aca="false">IF('04 - Role Intelligence'!AP32="","⬜",IF('04 - Role Intelligence'!AP32&gt;=0.5,"🟩",IF('04 - Role Intelligence'!AP32&gt;=0.15,"🟨",IF('04 - Role Intelligence'!AP32&gt;0,"🟥","⬜"))))</f>
        <v>⬜</v>
      </c>
      <c r="AQ14" s="83" t="str">
        <f aca="false">IF('04 - Role Intelligence'!AQ32="","⬜",IF('04 - Role Intelligence'!AQ32&gt;=0.5,"🟩",IF('04 - Role Intelligence'!AQ32&gt;=0.15,"🟨",IF('04 - Role Intelligence'!AQ32&gt;0,"🟥","⬜"))))</f>
        <v>⬜</v>
      </c>
      <c r="AR14" s="83" t="str">
        <f aca="false">IF('04 - Role Intelligence'!AR32="","⬜",IF('04 - Role Intelligence'!AR32&gt;=0.5,"🟩",IF('04 - Role Intelligence'!AR32&gt;=0.15,"🟨",IF('04 - Role Intelligence'!AR32&gt;0,"🟥","⬜"))))</f>
        <v>⬜</v>
      </c>
    </row>
    <row r="15" customFormat="false" ht="15" hidden="false" customHeight="true" outlineLevel="0" collapsed="false">
      <c r="A15" s="81" t="s">
        <v>239</v>
      </c>
      <c r="B15" s="82" t="str">
        <f aca="false">IF('04 - Role Intelligence'!B33="","⬜",IF('04 - Role Intelligence'!B33&gt;=0.5,"🟩",IF('04 - Role Intelligence'!B33&gt;=0.15,"🟨",IF('04 - Role Intelligence'!B33&gt;0,"🟥","⬜"))))</f>
        <v>⬜</v>
      </c>
      <c r="C15" s="82" t="str">
        <f aca="false">IF('04 - Role Intelligence'!C33="","⬜",IF('04 - Role Intelligence'!C33&gt;=0.5,"🟩",IF('04 - Role Intelligence'!C33&gt;=0.15,"🟨",IF('04 - Role Intelligence'!C33&gt;0,"🟥","⬜"))))</f>
        <v>⬜</v>
      </c>
      <c r="D15" s="82" t="str">
        <f aca="false">IF('04 - Role Intelligence'!D33="","⬜",IF('04 - Role Intelligence'!D33&gt;=0.5,"🟩",IF('04 - Role Intelligence'!D33&gt;=0.15,"🟨",IF('04 - Role Intelligence'!D33&gt;0,"🟥","⬜"))))</f>
        <v>⬜</v>
      </c>
      <c r="E15" s="82" t="str">
        <f aca="false">IF('04 - Role Intelligence'!E33="","⬜",IF('04 - Role Intelligence'!E33&gt;=0.5,"🟩",IF('04 - Role Intelligence'!E33&gt;=0.15,"🟨",IF('04 - Role Intelligence'!E33&gt;0,"🟥","⬜"))))</f>
        <v>⬜</v>
      </c>
      <c r="F15" s="82" t="str">
        <f aca="false">IF('04 - Role Intelligence'!F33="","⬜",IF('04 - Role Intelligence'!F33&gt;=0.5,"🟩",IF('04 - Role Intelligence'!F33&gt;=0.15,"🟨",IF('04 - Role Intelligence'!F33&gt;0,"🟥","⬜"))))</f>
        <v>⬜</v>
      </c>
      <c r="G15" s="82" t="str">
        <f aca="false">IF('04 - Role Intelligence'!G33="","⬜",IF('04 - Role Intelligence'!G33&gt;=0.5,"🟩",IF('04 - Role Intelligence'!G33&gt;=0.15,"🟨",IF('04 - Role Intelligence'!G33&gt;0,"🟥","⬜"))))</f>
        <v>⬜</v>
      </c>
      <c r="H15" s="82" t="str">
        <f aca="false">IF('04 - Role Intelligence'!H33="","⬜",IF('04 - Role Intelligence'!H33&gt;=0.5,"🟩",IF('04 - Role Intelligence'!H33&gt;=0.15,"🟨",IF('04 - Role Intelligence'!H33&gt;0,"🟥","⬜"))))</f>
        <v>⬜</v>
      </c>
      <c r="I15" s="82" t="str">
        <f aca="false">IF('04 - Role Intelligence'!I33="","⬜",IF('04 - Role Intelligence'!I33&gt;=0.5,"🟩",IF('04 - Role Intelligence'!I33&gt;=0.15,"🟨",IF('04 - Role Intelligence'!I33&gt;0,"🟥","⬜"))))</f>
        <v>⬜</v>
      </c>
      <c r="J15" s="82" t="str">
        <f aca="false">IF('04 - Role Intelligence'!J33="","⬜",IF('04 - Role Intelligence'!J33&gt;=0.5,"🟩",IF('04 - Role Intelligence'!J33&gt;=0.15,"🟨",IF('04 - Role Intelligence'!J33&gt;0,"🟥","⬜"))))</f>
        <v>⬜</v>
      </c>
      <c r="K15" s="82" t="str">
        <f aca="false">IF('04 - Role Intelligence'!K33="","⬜",IF('04 - Role Intelligence'!K33&gt;=0.5,"🟩",IF('04 - Role Intelligence'!K33&gt;=0.15,"🟨",IF('04 - Role Intelligence'!K33&gt;0,"🟥","⬜"))))</f>
        <v>⬜</v>
      </c>
      <c r="L15" s="82" t="str">
        <f aca="false">IF('04 - Role Intelligence'!L33="","⬜",IF('04 - Role Intelligence'!L33&gt;=0.5,"🟩",IF('04 - Role Intelligence'!L33&gt;=0.15,"🟨",IF('04 - Role Intelligence'!L33&gt;0,"🟥","⬜"))))</f>
        <v>⬜</v>
      </c>
      <c r="M15" s="82" t="str">
        <f aca="false">IF('04 - Role Intelligence'!M33="","⬜",IF('04 - Role Intelligence'!M33&gt;=0.5,"🟩",IF('04 - Role Intelligence'!M33&gt;=0.15,"🟨",IF('04 - Role Intelligence'!M33&gt;0,"🟥","⬜"))))</f>
        <v>⬜</v>
      </c>
      <c r="N15" s="82" t="str">
        <f aca="false">IF('04 - Role Intelligence'!N33="","⬜",IF('04 - Role Intelligence'!N33&gt;=0.5,"🟩",IF('04 - Role Intelligence'!N33&gt;=0.15,"🟨",IF('04 - Role Intelligence'!N33&gt;0,"🟥","⬜"))))</f>
        <v>⬜</v>
      </c>
      <c r="O15" s="82" t="str">
        <f aca="false">IF('04 - Role Intelligence'!O33="","⬜",IF('04 - Role Intelligence'!O33&gt;=0.5,"🟩",IF('04 - Role Intelligence'!O33&gt;=0.15,"🟨",IF('04 - Role Intelligence'!O33&gt;0,"🟥","⬜"))))</f>
        <v>⬜</v>
      </c>
      <c r="P15" s="82" t="str">
        <f aca="false">IF('04 - Role Intelligence'!P33="","⬜",IF('04 - Role Intelligence'!P33&gt;=0.5,"🟩",IF('04 - Role Intelligence'!P33&gt;=0.15,"🟨",IF('04 - Role Intelligence'!P33&gt;0,"🟥","⬜"))))</f>
        <v>⬜</v>
      </c>
      <c r="Q15" s="82" t="str">
        <f aca="false">IF('04 - Role Intelligence'!Q33="","⬜",IF('04 - Role Intelligence'!Q33&gt;=0.5,"🟩",IF('04 - Role Intelligence'!Q33&gt;=0.15,"🟨",IF('04 - Role Intelligence'!Q33&gt;0,"🟥","⬜"))))</f>
        <v>⬜</v>
      </c>
      <c r="R15" s="82" t="str">
        <f aca="false">IF('04 - Role Intelligence'!R33="","⬜",IF('04 - Role Intelligence'!R33&gt;=0.5,"🟩",IF('04 - Role Intelligence'!R33&gt;=0.15,"🟨",IF('04 - Role Intelligence'!R33&gt;0,"🟥","⬜"))))</f>
        <v>⬜</v>
      </c>
      <c r="S15" s="82" t="str">
        <f aca="false">IF('04 - Role Intelligence'!S33="","⬜",IF('04 - Role Intelligence'!S33&gt;=0.5,"🟩",IF('04 - Role Intelligence'!S33&gt;=0.15,"🟨",IF('04 - Role Intelligence'!S33&gt;0,"🟥","⬜"))))</f>
        <v>⬜</v>
      </c>
      <c r="T15" s="82" t="str">
        <f aca="false">IF('04 - Role Intelligence'!T33="","⬜",IF('04 - Role Intelligence'!T33&gt;=0.5,"🟩",IF('04 - Role Intelligence'!T33&gt;=0.15,"🟨",IF('04 - Role Intelligence'!T33&gt;0,"🟥","⬜"))))</f>
        <v>⬜</v>
      </c>
      <c r="U15" s="82" t="str">
        <f aca="false">IF('04 - Role Intelligence'!U33="","⬜",IF('04 - Role Intelligence'!U33&gt;=0.5,"🟩",IF('04 - Role Intelligence'!U33&gt;=0.15,"🟨",IF('04 - Role Intelligence'!U33&gt;0,"🟥","⬜"))))</f>
        <v>⬜</v>
      </c>
      <c r="V15" s="82" t="str">
        <f aca="false">IF('04 - Role Intelligence'!V33="","⬜",IF('04 - Role Intelligence'!V33&gt;=0.5,"🟩",IF('04 - Role Intelligence'!V33&gt;=0.15,"🟨",IF('04 - Role Intelligence'!V33&gt;0,"🟥","⬜"))))</f>
        <v>⬜</v>
      </c>
      <c r="W15" s="82" t="str">
        <f aca="false">IF('04 - Role Intelligence'!W33="","⬜",IF('04 - Role Intelligence'!W33&gt;=0.5,"🟩",IF('04 - Role Intelligence'!W33&gt;=0.15,"🟨",IF('04 - Role Intelligence'!W33&gt;0,"🟥","⬜"))))</f>
        <v>⬜</v>
      </c>
      <c r="X15" s="82" t="str">
        <f aca="false">IF('04 - Role Intelligence'!X33="","⬜",IF('04 - Role Intelligence'!X33&gt;=0.5,"🟩",IF('04 - Role Intelligence'!X33&gt;=0.15,"🟨",IF('04 - Role Intelligence'!X33&gt;0,"🟥","⬜"))))</f>
        <v>⬜</v>
      </c>
      <c r="Y15" s="82" t="str">
        <f aca="false">IF('04 - Role Intelligence'!Y33="","⬜",IF('04 - Role Intelligence'!Y33&gt;=0.5,"🟩",IF('04 - Role Intelligence'!Y33&gt;=0.15,"🟨",IF('04 - Role Intelligence'!Y33&gt;0,"🟥","⬜"))))</f>
        <v>⬜</v>
      </c>
      <c r="Z15" s="82" t="str">
        <f aca="false">IF('04 - Role Intelligence'!Z33="","⬜",IF('04 - Role Intelligence'!Z33&gt;=0.5,"🟩",IF('04 - Role Intelligence'!Z33&gt;=0.15,"🟨",IF('04 - Role Intelligence'!Z33&gt;0,"🟥","⬜"))))</f>
        <v>⬜</v>
      </c>
      <c r="AA15" s="82" t="str">
        <f aca="false">IF('04 - Role Intelligence'!AA33="","⬜",IF('04 - Role Intelligence'!AA33&gt;=0.5,"🟩",IF('04 - Role Intelligence'!AA33&gt;=0.15,"🟨",IF('04 - Role Intelligence'!AA33&gt;0,"🟥","⬜"))))</f>
        <v>⬜</v>
      </c>
      <c r="AB15" s="82" t="str">
        <f aca="false">IF('04 - Role Intelligence'!AB33="","⬜",IF('04 - Role Intelligence'!AB33&gt;=0.5,"🟩",IF('04 - Role Intelligence'!AB33&gt;=0.15,"🟨",IF('04 - Role Intelligence'!AB33&gt;0,"🟥","⬜"))))</f>
        <v>⬜</v>
      </c>
      <c r="AC15" s="82" t="str">
        <f aca="false">IF('04 - Role Intelligence'!AC33="","⬜",IF('04 - Role Intelligence'!AC33&gt;=0.5,"🟩",IF('04 - Role Intelligence'!AC33&gt;=0.15,"🟨",IF('04 - Role Intelligence'!AC33&gt;0,"🟥","⬜"))))</f>
        <v>⬜</v>
      </c>
      <c r="AD15" s="82" t="str">
        <f aca="false">IF('04 - Role Intelligence'!AD33="","⬜",IF('04 - Role Intelligence'!AD33&gt;=0.5,"🟩",IF('04 - Role Intelligence'!AD33&gt;=0.15,"🟨",IF('04 - Role Intelligence'!AD33&gt;0,"🟥","⬜"))))</f>
        <v>⬜</v>
      </c>
      <c r="AE15" s="82" t="str">
        <f aca="false">IF('04 - Role Intelligence'!AE33="","⬜",IF('04 - Role Intelligence'!AE33&gt;=0.5,"🟩",IF('04 - Role Intelligence'!AE33&gt;=0.15,"🟨",IF('04 - Role Intelligence'!AE33&gt;0,"🟥","⬜"))))</f>
        <v>⬜</v>
      </c>
      <c r="AF15" s="82" t="str">
        <f aca="false">IF('04 - Role Intelligence'!AF33="","⬜",IF('04 - Role Intelligence'!AF33&gt;=0.5,"🟩",IF('04 - Role Intelligence'!AF33&gt;=0.15,"🟨",IF('04 - Role Intelligence'!AF33&gt;0,"🟥","⬜"))))</f>
        <v>⬜</v>
      </c>
      <c r="AG15" s="82" t="str">
        <f aca="false">IF('04 - Role Intelligence'!AG33="","⬜",IF('04 - Role Intelligence'!AG33&gt;=0.5,"🟩",IF('04 - Role Intelligence'!AG33&gt;=0.15,"🟨",IF('04 - Role Intelligence'!AG33&gt;0,"🟥","⬜"))))</f>
        <v>⬜</v>
      </c>
      <c r="AH15" s="83" t="str">
        <f aca="false">IF('04 - Role Intelligence'!AH33="","⬜",IF('04 - Role Intelligence'!AH33&gt;=0.5,"🟩",IF('04 - Role Intelligence'!AH33&gt;=0.15,"🟨",IF('04 - Role Intelligence'!AH33&gt;0,"🟥","⬜"))))</f>
        <v>⬜</v>
      </c>
      <c r="AI15" s="83" t="str">
        <f aca="false">IF('04 - Role Intelligence'!AI33="","⬜",IF('04 - Role Intelligence'!AI33&gt;=0.5,"🟩",IF('04 - Role Intelligence'!AI33&gt;=0.15,"🟨",IF('04 - Role Intelligence'!AI33&gt;0,"🟥","⬜"))))</f>
        <v>⬜</v>
      </c>
      <c r="AJ15" s="83" t="str">
        <f aca="false">IF('04 - Role Intelligence'!AJ33="","⬜",IF('04 - Role Intelligence'!AJ33&gt;=0.5,"🟩",IF('04 - Role Intelligence'!AJ33&gt;=0.15,"🟨",IF('04 - Role Intelligence'!AJ33&gt;0,"🟥","⬜"))))</f>
        <v>⬜</v>
      </c>
      <c r="AK15" s="83" t="str">
        <f aca="false">IF('04 - Role Intelligence'!AK33="","⬜",IF('04 - Role Intelligence'!AK33&gt;=0.5,"🟩",IF('04 - Role Intelligence'!AK33&gt;=0.15,"🟨",IF('04 - Role Intelligence'!AK33&gt;0,"🟥","⬜"))))</f>
        <v>⬜</v>
      </c>
      <c r="AL15" s="83" t="str">
        <f aca="false">IF('04 - Role Intelligence'!AL33="","⬜",IF('04 - Role Intelligence'!AL33&gt;=0.5,"🟩",IF('04 - Role Intelligence'!AL33&gt;=0.15,"🟨",IF('04 - Role Intelligence'!AL33&gt;0,"🟥","⬜"))))</f>
        <v>⬜</v>
      </c>
      <c r="AM15" s="83" t="str">
        <f aca="false">IF('04 - Role Intelligence'!AM33="","⬜",IF('04 - Role Intelligence'!AM33&gt;=0.5,"🟩",IF('04 - Role Intelligence'!AM33&gt;=0.15,"🟨",IF('04 - Role Intelligence'!AM33&gt;0,"🟥","⬜"))))</f>
        <v>⬜</v>
      </c>
      <c r="AN15" s="83" t="str">
        <f aca="false">IF('04 - Role Intelligence'!AN33="","⬜",IF('04 - Role Intelligence'!AN33&gt;=0.5,"🟩",IF('04 - Role Intelligence'!AN33&gt;=0.15,"🟨",IF('04 - Role Intelligence'!AN33&gt;0,"🟥","⬜"))))</f>
        <v>⬜</v>
      </c>
      <c r="AO15" s="83" t="str">
        <f aca="false">IF('04 - Role Intelligence'!AO33="","⬜",IF('04 - Role Intelligence'!AO33&gt;=0.5,"🟩",IF('04 - Role Intelligence'!AO33&gt;=0.15,"🟨",IF('04 - Role Intelligence'!AO33&gt;0,"🟥","⬜"))))</f>
        <v>⬜</v>
      </c>
      <c r="AP15" s="83" t="str">
        <f aca="false">IF('04 - Role Intelligence'!AP33="","⬜",IF('04 - Role Intelligence'!AP33&gt;=0.5,"🟩",IF('04 - Role Intelligence'!AP33&gt;=0.15,"🟨",IF('04 - Role Intelligence'!AP33&gt;0,"🟥","⬜"))))</f>
        <v>⬜</v>
      </c>
      <c r="AQ15" s="83" t="str">
        <f aca="false">IF('04 - Role Intelligence'!AQ33="","⬜",IF('04 - Role Intelligence'!AQ33&gt;=0.5,"🟩",IF('04 - Role Intelligence'!AQ33&gt;=0.15,"🟨",IF('04 - Role Intelligence'!AQ33&gt;0,"🟥","⬜"))))</f>
        <v>⬜</v>
      </c>
      <c r="AR15" s="83" t="str">
        <f aca="false">IF('04 - Role Intelligence'!AR33="","⬜",IF('04 - Role Intelligence'!AR33&gt;=0.5,"🟩",IF('04 - Role Intelligence'!AR33&gt;=0.15,"🟨",IF('04 - Role Intelligence'!AR33&gt;0,"🟥","⬜"))))</f>
        <v>⬜</v>
      </c>
    </row>
    <row r="16" customFormat="false" ht="15" hidden="false" customHeight="true" outlineLevel="0" collapsed="false">
      <c r="A16" s="81" t="s">
        <v>240</v>
      </c>
      <c r="B16" s="82" t="str">
        <f aca="false">IF('04 - Role Intelligence'!B34="","⬜",IF('04 - Role Intelligence'!B34&gt;=0.5,"🟩",IF('04 - Role Intelligence'!B34&gt;=0.15,"🟨",IF('04 - Role Intelligence'!B34&gt;0,"🟥","⬜"))))</f>
        <v>⬜</v>
      </c>
      <c r="C16" s="82" t="str">
        <f aca="false">IF('04 - Role Intelligence'!C34="","⬜",IF('04 - Role Intelligence'!C34&gt;=0.5,"🟩",IF('04 - Role Intelligence'!C34&gt;=0.15,"🟨",IF('04 - Role Intelligence'!C34&gt;0,"🟥","⬜"))))</f>
        <v>⬜</v>
      </c>
      <c r="D16" s="82" t="str">
        <f aca="false">IF('04 - Role Intelligence'!D34="","⬜",IF('04 - Role Intelligence'!D34&gt;=0.5,"🟩",IF('04 - Role Intelligence'!D34&gt;=0.15,"🟨",IF('04 - Role Intelligence'!D34&gt;0,"🟥","⬜"))))</f>
        <v>⬜</v>
      </c>
      <c r="E16" s="82" t="str">
        <f aca="false">IF('04 - Role Intelligence'!E34="","⬜",IF('04 - Role Intelligence'!E34&gt;=0.5,"🟩",IF('04 - Role Intelligence'!E34&gt;=0.15,"🟨",IF('04 - Role Intelligence'!E34&gt;0,"🟥","⬜"))))</f>
        <v>⬜</v>
      </c>
      <c r="F16" s="82" t="str">
        <f aca="false">IF('04 - Role Intelligence'!F34="","⬜",IF('04 - Role Intelligence'!F34&gt;=0.5,"🟩",IF('04 - Role Intelligence'!F34&gt;=0.15,"🟨",IF('04 - Role Intelligence'!F34&gt;0,"🟥","⬜"))))</f>
        <v>⬜</v>
      </c>
      <c r="G16" s="82" t="str">
        <f aca="false">IF('04 - Role Intelligence'!G34="","⬜",IF('04 - Role Intelligence'!G34&gt;=0.5,"🟩",IF('04 - Role Intelligence'!G34&gt;=0.15,"🟨",IF('04 - Role Intelligence'!G34&gt;0,"🟥","⬜"))))</f>
        <v>⬜</v>
      </c>
      <c r="H16" s="82" t="str">
        <f aca="false">IF('04 - Role Intelligence'!H34="","⬜",IF('04 - Role Intelligence'!H34&gt;=0.5,"🟩",IF('04 - Role Intelligence'!H34&gt;=0.15,"🟨",IF('04 - Role Intelligence'!H34&gt;0,"🟥","⬜"))))</f>
        <v>⬜</v>
      </c>
      <c r="I16" s="82" t="str">
        <f aca="false">IF('04 - Role Intelligence'!I34="","⬜",IF('04 - Role Intelligence'!I34&gt;=0.5,"🟩",IF('04 - Role Intelligence'!I34&gt;=0.15,"🟨",IF('04 - Role Intelligence'!I34&gt;0,"🟥","⬜"))))</f>
        <v>⬜</v>
      </c>
      <c r="J16" s="82" t="str">
        <f aca="false">IF('04 - Role Intelligence'!J34="","⬜",IF('04 - Role Intelligence'!J34&gt;=0.5,"🟩",IF('04 - Role Intelligence'!J34&gt;=0.15,"🟨",IF('04 - Role Intelligence'!J34&gt;0,"🟥","⬜"))))</f>
        <v>⬜</v>
      </c>
      <c r="K16" s="82" t="str">
        <f aca="false">IF('04 - Role Intelligence'!K34="","⬜",IF('04 - Role Intelligence'!K34&gt;=0.5,"🟩",IF('04 - Role Intelligence'!K34&gt;=0.15,"🟨",IF('04 - Role Intelligence'!K34&gt;0,"🟥","⬜"))))</f>
        <v>⬜</v>
      </c>
      <c r="L16" s="82" t="str">
        <f aca="false">IF('04 - Role Intelligence'!L34="","⬜",IF('04 - Role Intelligence'!L34&gt;=0.5,"🟩",IF('04 - Role Intelligence'!L34&gt;=0.15,"🟨",IF('04 - Role Intelligence'!L34&gt;0,"🟥","⬜"))))</f>
        <v>⬜</v>
      </c>
      <c r="M16" s="82" t="str">
        <f aca="false">IF('04 - Role Intelligence'!M34="","⬜",IF('04 - Role Intelligence'!M34&gt;=0.5,"🟩",IF('04 - Role Intelligence'!M34&gt;=0.15,"🟨",IF('04 - Role Intelligence'!M34&gt;0,"🟥","⬜"))))</f>
        <v>⬜</v>
      </c>
      <c r="N16" s="82" t="str">
        <f aca="false">IF('04 - Role Intelligence'!N34="","⬜",IF('04 - Role Intelligence'!N34&gt;=0.5,"🟩",IF('04 - Role Intelligence'!N34&gt;=0.15,"🟨",IF('04 - Role Intelligence'!N34&gt;0,"🟥","⬜"))))</f>
        <v>⬜</v>
      </c>
      <c r="O16" s="82" t="str">
        <f aca="false">IF('04 - Role Intelligence'!O34="","⬜",IF('04 - Role Intelligence'!O34&gt;=0.5,"🟩",IF('04 - Role Intelligence'!O34&gt;=0.15,"🟨",IF('04 - Role Intelligence'!O34&gt;0,"🟥","⬜"))))</f>
        <v>⬜</v>
      </c>
      <c r="P16" s="82" t="str">
        <f aca="false">IF('04 - Role Intelligence'!P34="","⬜",IF('04 - Role Intelligence'!P34&gt;=0.5,"🟩",IF('04 - Role Intelligence'!P34&gt;=0.15,"🟨",IF('04 - Role Intelligence'!P34&gt;0,"🟥","⬜"))))</f>
        <v>⬜</v>
      </c>
      <c r="Q16" s="82" t="str">
        <f aca="false">IF('04 - Role Intelligence'!Q34="","⬜",IF('04 - Role Intelligence'!Q34&gt;=0.5,"🟩",IF('04 - Role Intelligence'!Q34&gt;=0.15,"🟨",IF('04 - Role Intelligence'!Q34&gt;0,"🟥","⬜"))))</f>
        <v>⬜</v>
      </c>
      <c r="R16" s="82" t="str">
        <f aca="false">IF('04 - Role Intelligence'!R34="","⬜",IF('04 - Role Intelligence'!R34&gt;=0.5,"🟩",IF('04 - Role Intelligence'!R34&gt;=0.15,"🟨",IF('04 - Role Intelligence'!R34&gt;0,"🟥","⬜"))))</f>
        <v>⬜</v>
      </c>
      <c r="S16" s="82" t="str">
        <f aca="false">IF('04 - Role Intelligence'!S34="","⬜",IF('04 - Role Intelligence'!S34&gt;=0.5,"🟩",IF('04 - Role Intelligence'!S34&gt;=0.15,"🟨",IF('04 - Role Intelligence'!S34&gt;0,"🟥","⬜"))))</f>
        <v>⬜</v>
      </c>
      <c r="T16" s="82" t="str">
        <f aca="false">IF('04 - Role Intelligence'!T34="","⬜",IF('04 - Role Intelligence'!T34&gt;=0.5,"🟩",IF('04 - Role Intelligence'!T34&gt;=0.15,"🟨",IF('04 - Role Intelligence'!T34&gt;0,"🟥","⬜"))))</f>
        <v>⬜</v>
      </c>
      <c r="U16" s="82" t="str">
        <f aca="false">IF('04 - Role Intelligence'!U34="","⬜",IF('04 - Role Intelligence'!U34&gt;=0.5,"🟩",IF('04 - Role Intelligence'!U34&gt;=0.15,"🟨",IF('04 - Role Intelligence'!U34&gt;0,"🟥","⬜"))))</f>
        <v>⬜</v>
      </c>
      <c r="V16" s="82" t="str">
        <f aca="false">IF('04 - Role Intelligence'!V34="","⬜",IF('04 - Role Intelligence'!V34&gt;=0.5,"🟩",IF('04 - Role Intelligence'!V34&gt;=0.15,"🟨",IF('04 - Role Intelligence'!V34&gt;0,"🟥","⬜"))))</f>
        <v>⬜</v>
      </c>
      <c r="W16" s="82" t="str">
        <f aca="false">IF('04 - Role Intelligence'!W34="","⬜",IF('04 - Role Intelligence'!W34&gt;=0.5,"🟩",IF('04 - Role Intelligence'!W34&gt;=0.15,"🟨",IF('04 - Role Intelligence'!W34&gt;0,"🟥","⬜"))))</f>
        <v>⬜</v>
      </c>
      <c r="X16" s="82" t="str">
        <f aca="false">IF('04 - Role Intelligence'!X34="","⬜",IF('04 - Role Intelligence'!X34&gt;=0.5,"🟩",IF('04 - Role Intelligence'!X34&gt;=0.15,"🟨",IF('04 - Role Intelligence'!X34&gt;0,"🟥","⬜"))))</f>
        <v>⬜</v>
      </c>
      <c r="Y16" s="82" t="str">
        <f aca="false">IF('04 - Role Intelligence'!Y34="","⬜",IF('04 - Role Intelligence'!Y34&gt;=0.5,"🟩",IF('04 - Role Intelligence'!Y34&gt;=0.15,"🟨",IF('04 - Role Intelligence'!Y34&gt;0,"🟥","⬜"))))</f>
        <v>⬜</v>
      </c>
      <c r="Z16" s="82" t="str">
        <f aca="false">IF('04 - Role Intelligence'!Z34="","⬜",IF('04 - Role Intelligence'!Z34&gt;=0.5,"🟩",IF('04 - Role Intelligence'!Z34&gt;=0.15,"🟨",IF('04 - Role Intelligence'!Z34&gt;0,"🟥","⬜"))))</f>
        <v>⬜</v>
      </c>
      <c r="AA16" s="82" t="str">
        <f aca="false">IF('04 - Role Intelligence'!AA34="","⬜",IF('04 - Role Intelligence'!AA34&gt;=0.5,"🟩",IF('04 - Role Intelligence'!AA34&gt;=0.15,"🟨",IF('04 - Role Intelligence'!AA34&gt;0,"🟥","⬜"))))</f>
        <v>⬜</v>
      </c>
      <c r="AB16" s="82" t="str">
        <f aca="false">IF('04 - Role Intelligence'!AB34="","⬜",IF('04 - Role Intelligence'!AB34&gt;=0.5,"🟩",IF('04 - Role Intelligence'!AB34&gt;=0.15,"🟨",IF('04 - Role Intelligence'!AB34&gt;0,"🟥","⬜"))))</f>
        <v>⬜</v>
      </c>
      <c r="AC16" s="82" t="str">
        <f aca="false">IF('04 - Role Intelligence'!AC34="","⬜",IF('04 - Role Intelligence'!AC34&gt;=0.5,"🟩",IF('04 - Role Intelligence'!AC34&gt;=0.15,"🟨",IF('04 - Role Intelligence'!AC34&gt;0,"🟥","⬜"))))</f>
        <v>⬜</v>
      </c>
      <c r="AD16" s="82" t="str">
        <f aca="false">IF('04 - Role Intelligence'!AD34="","⬜",IF('04 - Role Intelligence'!AD34&gt;=0.5,"🟩",IF('04 - Role Intelligence'!AD34&gt;=0.15,"🟨",IF('04 - Role Intelligence'!AD34&gt;0,"🟥","⬜"))))</f>
        <v>⬜</v>
      </c>
      <c r="AE16" s="82" t="str">
        <f aca="false">IF('04 - Role Intelligence'!AE34="","⬜",IF('04 - Role Intelligence'!AE34&gt;=0.5,"🟩",IF('04 - Role Intelligence'!AE34&gt;=0.15,"🟨",IF('04 - Role Intelligence'!AE34&gt;0,"🟥","⬜"))))</f>
        <v>⬜</v>
      </c>
      <c r="AF16" s="82" t="str">
        <f aca="false">IF('04 - Role Intelligence'!AF34="","⬜",IF('04 - Role Intelligence'!AF34&gt;=0.5,"🟩",IF('04 - Role Intelligence'!AF34&gt;=0.15,"🟨",IF('04 - Role Intelligence'!AF34&gt;0,"🟥","⬜"))))</f>
        <v>⬜</v>
      </c>
      <c r="AG16" s="82" t="str">
        <f aca="false">IF('04 - Role Intelligence'!AG34="","⬜",IF('04 - Role Intelligence'!AG34&gt;=0.5,"🟩",IF('04 - Role Intelligence'!AG34&gt;=0.15,"🟨",IF('04 - Role Intelligence'!AG34&gt;0,"🟥","⬜"))))</f>
        <v>⬜</v>
      </c>
      <c r="AH16" s="83" t="str">
        <f aca="false">IF('04 - Role Intelligence'!AH34="","⬜",IF('04 - Role Intelligence'!AH34&gt;=0.5,"🟩",IF('04 - Role Intelligence'!AH34&gt;=0.15,"🟨",IF('04 - Role Intelligence'!AH34&gt;0,"🟥","⬜"))))</f>
        <v>⬜</v>
      </c>
      <c r="AI16" s="83" t="str">
        <f aca="false">IF('04 - Role Intelligence'!AI34="","⬜",IF('04 - Role Intelligence'!AI34&gt;=0.5,"🟩",IF('04 - Role Intelligence'!AI34&gt;=0.15,"🟨",IF('04 - Role Intelligence'!AI34&gt;0,"🟥","⬜"))))</f>
        <v>⬜</v>
      </c>
      <c r="AJ16" s="83" t="str">
        <f aca="false">IF('04 - Role Intelligence'!AJ34="","⬜",IF('04 - Role Intelligence'!AJ34&gt;=0.5,"🟩",IF('04 - Role Intelligence'!AJ34&gt;=0.15,"🟨",IF('04 - Role Intelligence'!AJ34&gt;0,"🟥","⬜"))))</f>
        <v>⬜</v>
      </c>
      <c r="AK16" s="83" t="str">
        <f aca="false">IF('04 - Role Intelligence'!AK34="","⬜",IF('04 - Role Intelligence'!AK34&gt;=0.5,"🟩",IF('04 - Role Intelligence'!AK34&gt;=0.15,"🟨",IF('04 - Role Intelligence'!AK34&gt;0,"🟥","⬜"))))</f>
        <v>⬜</v>
      </c>
      <c r="AL16" s="83" t="str">
        <f aca="false">IF('04 - Role Intelligence'!AL34="","⬜",IF('04 - Role Intelligence'!AL34&gt;=0.5,"🟩",IF('04 - Role Intelligence'!AL34&gt;=0.15,"🟨",IF('04 - Role Intelligence'!AL34&gt;0,"🟥","⬜"))))</f>
        <v>⬜</v>
      </c>
      <c r="AM16" s="83" t="str">
        <f aca="false">IF('04 - Role Intelligence'!AM34="","⬜",IF('04 - Role Intelligence'!AM34&gt;=0.5,"🟩",IF('04 - Role Intelligence'!AM34&gt;=0.15,"🟨",IF('04 - Role Intelligence'!AM34&gt;0,"🟥","⬜"))))</f>
        <v>⬜</v>
      </c>
      <c r="AN16" s="83" t="str">
        <f aca="false">IF('04 - Role Intelligence'!AN34="","⬜",IF('04 - Role Intelligence'!AN34&gt;=0.5,"🟩",IF('04 - Role Intelligence'!AN34&gt;=0.15,"🟨",IF('04 - Role Intelligence'!AN34&gt;0,"🟥","⬜"))))</f>
        <v>⬜</v>
      </c>
      <c r="AO16" s="83" t="str">
        <f aca="false">IF('04 - Role Intelligence'!AO34="","⬜",IF('04 - Role Intelligence'!AO34&gt;=0.5,"🟩",IF('04 - Role Intelligence'!AO34&gt;=0.15,"🟨",IF('04 - Role Intelligence'!AO34&gt;0,"🟥","⬜"))))</f>
        <v>⬜</v>
      </c>
      <c r="AP16" s="83" t="str">
        <f aca="false">IF('04 - Role Intelligence'!AP34="","⬜",IF('04 - Role Intelligence'!AP34&gt;=0.5,"🟩",IF('04 - Role Intelligence'!AP34&gt;=0.15,"🟨",IF('04 - Role Intelligence'!AP34&gt;0,"🟥","⬜"))))</f>
        <v>⬜</v>
      </c>
      <c r="AQ16" s="83" t="str">
        <f aca="false">IF('04 - Role Intelligence'!AQ34="","⬜",IF('04 - Role Intelligence'!AQ34&gt;=0.5,"🟩",IF('04 - Role Intelligence'!AQ34&gt;=0.15,"🟨",IF('04 - Role Intelligence'!AQ34&gt;0,"🟥","⬜"))))</f>
        <v>⬜</v>
      </c>
      <c r="AR16" s="83" t="str">
        <f aca="false">IF('04 - Role Intelligence'!AR34="","⬜",IF('04 - Role Intelligence'!AR34&gt;=0.5,"🟩",IF('04 - Role Intelligence'!AR34&gt;=0.15,"🟨",IF('04 - Role Intelligence'!AR34&gt;0,"🟥","⬜"))))</f>
        <v>⬜</v>
      </c>
    </row>
    <row r="17" customFormat="false" ht="15" hidden="false" customHeight="true" outlineLevel="0" collapsed="false">
      <c r="A17" s="81" t="s">
        <v>241</v>
      </c>
      <c r="B17" s="82" t="str">
        <f aca="false">IF('04 - Role Intelligence'!B35="","⬜",IF('04 - Role Intelligence'!B35&gt;=0.5,"🟩",IF('04 - Role Intelligence'!B35&gt;=0.15,"🟨",IF('04 - Role Intelligence'!B35&gt;0,"🟥","⬜"))))</f>
        <v>⬜</v>
      </c>
      <c r="C17" s="82" t="str">
        <f aca="false">IF('04 - Role Intelligence'!C35="","⬜",IF('04 - Role Intelligence'!C35&gt;=0.5,"🟩",IF('04 - Role Intelligence'!C35&gt;=0.15,"🟨",IF('04 - Role Intelligence'!C35&gt;0,"🟥","⬜"))))</f>
        <v>⬜</v>
      </c>
      <c r="D17" s="82" t="str">
        <f aca="false">IF('04 - Role Intelligence'!D35="","⬜",IF('04 - Role Intelligence'!D35&gt;=0.5,"🟩",IF('04 - Role Intelligence'!D35&gt;=0.15,"🟨",IF('04 - Role Intelligence'!D35&gt;0,"🟥","⬜"))))</f>
        <v>⬜</v>
      </c>
      <c r="E17" s="82" t="str">
        <f aca="false">IF('04 - Role Intelligence'!E35="","⬜",IF('04 - Role Intelligence'!E35&gt;=0.5,"🟩",IF('04 - Role Intelligence'!E35&gt;=0.15,"🟨",IF('04 - Role Intelligence'!E35&gt;0,"🟥","⬜"))))</f>
        <v>⬜</v>
      </c>
      <c r="F17" s="82" t="str">
        <f aca="false">IF('04 - Role Intelligence'!F35="","⬜",IF('04 - Role Intelligence'!F35&gt;=0.5,"🟩",IF('04 - Role Intelligence'!F35&gt;=0.15,"🟨",IF('04 - Role Intelligence'!F35&gt;0,"🟥","⬜"))))</f>
        <v>⬜</v>
      </c>
      <c r="G17" s="82" t="str">
        <f aca="false">IF('04 - Role Intelligence'!G35="","⬜",IF('04 - Role Intelligence'!G35&gt;=0.5,"🟩",IF('04 - Role Intelligence'!G35&gt;=0.15,"🟨",IF('04 - Role Intelligence'!G35&gt;0,"🟥","⬜"))))</f>
        <v>⬜</v>
      </c>
      <c r="H17" s="82" t="str">
        <f aca="false">IF('04 - Role Intelligence'!H35="","⬜",IF('04 - Role Intelligence'!H35&gt;=0.5,"🟩",IF('04 - Role Intelligence'!H35&gt;=0.15,"🟨",IF('04 - Role Intelligence'!H35&gt;0,"🟥","⬜"))))</f>
        <v>⬜</v>
      </c>
      <c r="I17" s="82" t="str">
        <f aca="false">IF('04 - Role Intelligence'!I35="","⬜",IF('04 - Role Intelligence'!I35&gt;=0.5,"🟩",IF('04 - Role Intelligence'!I35&gt;=0.15,"🟨",IF('04 - Role Intelligence'!I35&gt;0,"🟥","⬜"))))</f>
        <v>⬜</v>
      </c>
      <c r="J17" s="82" t="str">
        <f aca="false">IF('04 - Role Intelligence'!J35="","⬜",IF('04 - Role Intelligence'!J35&gt;=0.5,"🟩",IF('04 - Role Intelligence'!J35&gt;=0.15,"🟨",IF('04 - Role Intelligence'!J35&gt;0,"🟥","⬜"))))</f>
        <v>⬜</v>
      </c>
      <c r="K17" s="82" t="str">
        <f aca="false">IF('04 - Role Intelligence'!K35="","⬜",IF('04 - Role Intelligence'!K35&gt;=0.5,"🟩",IF('04 - Role Intelligence'!K35&gt;=0.15,"🟨",IF('04 - Role Intelligence'!K35&gt;0,"🟥","⬜"))))</f>
        <v>⬜</v>
      </c>
      <c r="L17" s="82" t="str">
        <f aca="false">IF('04 - Role Intelligence'!L35="","⬜",IF('04 - Role Intelligence'!L35&gt;=0.5,"🟩",IF('04 - Role Intelligence'!L35&gt;=0.15,"🟨",IF('04 - Role Intelligence'!L35&gt;0,"🟥","⬜"))))</f>
        <v>⬜</v>
      </c>
      <c r="M17" s="82" t="str">
        <f aca="false">IF('04 - Role Intelligence'!M35="","⬜",IF('04 - Role Intelligence'!M35&gt;=0.5,"🟩",IF('04 - Role Intelligence'!M35&gt;=0.15,"🟨",IF('04 - Role Intelligence'!M35&gt;0,"🟥","⬜"))))</f>
        <v>⬜</v>
      </c>
      <c r="N17" s="82" t="str">
        <f aca="false">IF('04 - Role Intelligence'!N35="","⬜",IF('04 - Role Intelligence'!N35&gt;=0.5,"🟩",IF('04 - Role Intelligence'!N35&gt;=0.15,"🟨",IF('04 - Role Intelligence'!N35&gt;0,"🟥","⬜"))))</f>
        <v>⬜</v>
      </c>
      <c r="O17" s="82" t="str">
        <f aca="false">IF('04 - Role Intelligence'!O35="","⬜",IF('04 - Role Intelligence'!O35&gt;=0.5,"🟩",IF('04 - Role Intelligence'!O35&gt;=0.15,"🟨",IF('04 - Role Intelligence'!O35&gt;0,"🟥","⬜"))))</f>
        <v>⬜</v>
      </c>
      <c r="P17" s="82" t="str">
        <f aca="false">IF('04 - Role Intelligence'!P35="","⬜",IF('04 - Role Intelligence'!P35&gt;=0.5,"🟩",IF('04 - Role Intelligence'!P35&gt;=0.15,"🟨",IF('04 - Role Intelligence'!P35&gt;0,"🟥","⬜"))))</f>
        <v>⬜</v>
      </c>
      <c r="Q17" s="82" t="str">
        <f aca="false">IF('04 - Role Intelligence'!Q35="","⬜",IF('04 - Role Intelligence'!Q35&gt;=0.5,"🟩",IF('04 - Role Intelligence'!Q35&gt;=0.15,"🟨",IF('04 - Role Intelligence'!Q35&gt;0,"🟥","⬜"))))</f>
        <v>⬜</v>
      </c>
      <c r="R17" s="82" t="str">
        <f aca="false">IF('04 - Role Intelligence'!R35="","⬜",IF('04 - Role Intelligence'!R35&gt;=0.5,"🟩",IF('04 - Role Intelligence'!R35&gt;=0.15,"🟨",IF('04 - Role Intelligence'!R35&gt;0,"🟥","⬜"))))</f>
        <v>⬜</v>
      </c>
      <c r="S17" s="82" t="str">
        <f aca="false">IF('04 - Role Intelligence'!S35="","⬜",IF('04 - Role Intelligence'!S35&gt;=0.5,"🟩",IF('04 - Role Intelligence'!S35&gt;=0.15,"🟨",IF('04 - Role Intelligence'!S35&gt;0,"🟥","⬜"))))</f>
        <v>⬜</v>
      </c>
      <c r="T17" s="82" t="str">
        <f aca="false">IF('04 - Role Intelligence'!T35="","⬜",IF('04 - Role Intelligence'!T35&gt;=0.5,"🟩",IF('04 - Role Intelligence'!T35&gt;=0.15,"🟨",IF('04 - Role Intelligence'!T35&gt;0,"🟥","⬜"))))</f>
        <v>⬜</v>
      </c>
      <c r="U17" s="82" t="str">
        <f aca="false">IF('04 - Role Intelligence'!U35="","⬜",IF('04 - Role Intelligence'!U35&gt;=0.5,"🟩",IF('04 - Role Intelligence'!U35&gt;=0.15,"🟨",IF('04 - Role Intelligence'!U35&gt;0,"🟥","⬜"))))</f>
        <v>⬜</v>
      </c>
      <c r="V17" s="82" t="str">
        <f aca="false">IF('04 - Role Intelligence'!V35="","⬜",IF('04 - Role Intelligence'!V35&gt;=0.5,"🟩",IF('04 - Role Intelligence'!V35&gt;=0.15,"🟨",IF('04 - Role Intelligence'!V35&gt;0,"🟥","⬜"))))</f>
        <v>⬜</v>
      </c>
      <c r="W17" s="82" t="str">
        <f aca="false">IF('04 - Role Intelligence'!W35="","⬜",IF('04 - Role Intelligence'!W35&gt;=0.5,"🟩",IF('04 - Role Intelligence'!W35&gt;=0.15,"🟨",IF('04 - Role Intelligence'!W35&gt;0,"🟥","⬜"))))</f>
        <v>⬜</v>
      </c>
      <c r="X17" s="82" t="str">
        <f aca="false">IF('04 - Role Intelligence'!X35="","⬜",IF('04 - Role Intelligence'!X35&gt;=0.5,"🟩",IF('04 - Role Intelligence'!X35&gt;=0.15,"🟨",IF('04 - Role Intelligence'!X35&gt;0,"🟥","⬜"))))</f>
        <v>⬜</v>
      </c>
      <c r="Y17" s="82" t="str">
        <f aca="false">IF('04 - Role Intelligence'!Y35="","⬜",IF('04 - Role Intelligence'!Y35&gt;=0.5,"🟩",IF('04 - Role Intelligence'!Y35&gt;=0.15,"🟨",IF('04 - Role Intelligence'!Y35&gt;0,"🟥","⬜"))))</f>
        <v>⬜</v>
      </c>
      <c r="Z17" s="82" t="str">
        <f aca="false">IF('04 - Role Intelligence'!Z35="","⬜",IF('04 - Role Intelligence'!Z35&gt;=0.5,"🟩",IF('04 - Role Intelligence'!Z35&gt;=0.15,"🟨",IF('04 - Role Intelligence'!Z35&gt;0,"🟥","⬜"))))</f>
        <v>⬜</v>
      </c>
      <c r="AA17" s="82" t="str">
        <f aca="false">IF('04 - Role Intelligence'!AA35="","⬜",IF('04 - Role Intelligence'!AA35&gt;=0.5,"🟩",IF('04 - Role Intelligence'!AA35&gt;=0.15,"🟨",IF('04 - Role Intelligence'!AA35&gt;0,"🟥","⬜"))))</f>
        <v>⬜</v>
      </c>
      <c r="AB17" s="82" t="str">
        <f aca="false">IF('04 - Role Intelligence'!AB35="","⬜",IF('04 - Role Intelligence'!AB35&gt;=0.5,"🟩",IF('04 - Role Intelligence'!AB35&gt;=0.15,"🟨",IF('04 - Role Intelligence'!AB35&gt;0,"🟥","⬜"))))</f>
        <v>⬜</v>
      </c>
      <c r="AC17" s="82" t="str">
        <f aca="false">IF('04 - Role Intelligence'!AC35="","⬜",IF('04 - Role Intelligence'!AC35&gt;=0.5,"🟩",IF('04 - Role Intelligence'!AC35&gt;=0.15,"🟨",IF('04 - Role Intelligence'!AC35&gt;0,"🟥","⬜"))))</f>
        <v>⬜</v>
      </c>
      <c r="AD17" s="82" t="str">
        <f aca="false">IF('04 - Role Intelligence'!AD35="","⬜",IF('04 - Role Intelligence'!AD35&gt;=0.5,"🟩",IF('04 - Role Intelligence'!AD35&gt;=0.15,"🟨",IF('04 - Role Intelligence'!AD35&gt;0,"🟥","⬜"))))</f>
        <v>⬜</v>
      </c>
      <c r="AE17" s="82" t="str">
        <f aca="false">IF('04 - Role Intelligence'!AE35="","⬜",IF('04 - Role Intelligence'!AE35&gt;=0.5,"🟩",IF('04 - Role Intelligence'!AE35&gt;=0.15,"🟨",IF('04 - Role Intelligence'!AE35&gt;0,"🟥","⬜"))))</f>
        <v>⬜</v>
      </c>
      <c r="AF17" s="82" t="str">
        <f aca="false">IF('04 - Role Intelligence'!AF35="","⬜",IF('04 - Role Intelligence'!AF35&gt;=0.5,"🟩",IF('04 - Role Intelligence'!AF35&gt;=0.15,"🟨",IF('04 - Role Intelligence'!AF35&gt;0,"🟥","⬜"))))</f>
        <v>⬜</v>
      </c>
      <c r="AG17" s="82" t="str">
        <f aca="false">IF('04 - Role Intelligence'!AG35="","⬜",IF('04 - Role Intelligence'!AG35&gt;=0.5,"🟩",IF('04 - Role Intelligence'!AG35&gt;=0.15,"🟨",IF('04 - Role Intelligence'!AG35&gt;0,"🟥","⬜"))))</f>
        <v>⬜</v>
      </c>
      <c r="AH17" s="83" t="str">
        <f aca="false">IF('04 - Role Intelligence'!AH35="","⬜",IF('04 - Role Intelligence'!AH35&gt;=0.5,"🟩",IF('04 - Role Intelligence'!AH35&gt;=0.15,"🟨",IF('04 - Role Intelligence'!AH35&gt;0,"🟥","⬜"))))</f>
        <v>⬜</v>
      </c>
      <c r="AI17" s="83" t="str">
        <f aca="false">IF('04 - Role Intelligence'!AI35="","⬜",IF('04 - Role Intelligence'!AI35&gt;=0.5,"🟩",IF('04 - Role Intelligence'!AI35&gt;=0.15,"🟨",IF('04 - Role Intelligence'!AI35&gt;0,"🟥","⬜"))))</f>
        <v>⬜</v>
      </c>
      <c r="AJ17" s="83" t="str">
        <f aca="false">IF('04 - Role Intelligence'!AJ35="","⬜",IF('04 - Role Intelligence'!AJ35&gt;=0.5,"🟩",IF('04 - Role Intelligence'!AJ35&gt;=0.15,"🟨",IF('04 - Role Intelligence'!AJ35&gt;0,"🟥","⬜"))))</f>
        <v>⬜</v>
      </c>
      <c r="AK17" s="83" t="str">
        <f aca="false">IF('04 - Role Intelligence'!AK35="","⬜",IF('04 - Role Intelligence'!AK35&gt;=0.5,"🟩",IF('04 - Role Intelligence'!AK35&gt;=0.15,"🟨",IF('04 - Role Intelligence'!AK35&gt;0,"🟥","⬜"))))</f>
        <v>⬜</v>
      </c>
      <c r="AL17" s="83" t="str">
        <f aca="false">IF('04 - Role Intelligence'!AL35="","⬜",IF('04 - Role Intelligence'!AL35&gt;=0.5,"🟩",IF('04 - Role Intelligence'!AL35&gt;=0.15,"🟨",IF('04 - Role Intelligence'!AL35&gt;0,"🟥","⬜"))))</f>
        <v>⬜</v>
      </c>
      <c r="AM17" s="83" t="str">
        <f aca="false">IF('04 - Role Intelligence'!AM35="","⬜",IF('04 - Role Intelligence'!AM35&gt;=0.5,"🟩",IF('04 - Role Intelligence'!AM35&gt;=0.15,"🟨",IF('04 - Role Intelligence'!AM35&gt;0,"🟥","⬜"))))</f>
        <v>⬜</v>
      </c>
      <c r="AN17" s="83" t="str">
        <f aca="false">IF('04 - Role Intelligence'!AN35="","⬜",IF('04 - Role Intelligence'!AN35&gt;=0.5,"🟩",IF('04 - Role Intelligence'!AN35&gt;=0.15,"🟨",IF('04 - Role Intelligence'!AN35&gt;0,"🟥","⬜"))))</f>
        <v>⬜</v>
      </c>
      <c r="AO17" s="83" t="str">
        <f aca="false">IF('04 - Role Intelligence'!AO35="","⬜",IF('04 - Role Intelligence'!AO35&gt;=0.5,"🟩",IF('04 - Role Intelligence'!AO35&gt;=0.15,"🟨",IF('04 - Role Intelligence'!AO35&gt;0,"🟥","⬜"))))</f>
        <v>⬜</v>
      </c>
      <c r="AP17" s="83" t="str">
        <f aca="false">IF('04 - Role Intelligence'!AP35="","⬜",IF('04 - Role Intelligence'!AP35&gt;=0.5,"🟩",IF('04 - Role Intelligence'!AP35&gt;=0.15,"🟨",IF('04 - Role Intelligence'!AP35&gt;0,"🟥","⬜"))))</f>
        <v>⬜</v>
      </c>
      <c r="AQ17" s="83" t="str">
        <f aca="false">IF('04 - Role Intelligence'!AQ35="","⬜",IF('04 - Role Intelligence'!AQ35&gt;=0.5,"🟩",IF('04 - Role Intelligence'!AQ35&gt;=0.15,"🟨",IF('04 - Role Intelligence'!AQ35&gt;0,"🟥","⬜"))))</f>
        <v>⬜</v>
      </c>
      <c r="AR17" s="83" t="str">
        <f aca="false">IF('04 - Role Intelligence'!AR35="","⬜",IF('04 - Role Intelligence'!AR35&gt;=0.5,"🟩",IF('04 - Role Intelligence'!AR35&gt;=0.15,"🟨",IF('04 - Role Intelligence'!AR35&gt;0,"🟥","⬜"))))</f>
        <v>⬜</v>
      </c>
    </row>
    <row r="18" customFormat="false" ht="15" hidden="false" customHeight="true" outlineLevel="0" collapsed="false">
      <c r="A18" s="81" t="s">
        <v>242</v>
      </c>
      <c r="B18" s="82" t="str">
        <f aca="false">IF('04 - Role Intelligence'!B36="","⬜",IF('04 - Role Intelligence'!B36&gt;=0.5,"🟩",IF('04 - Role Intelligence'!B36&gt;=0.15,"🟨",IF('04 - Role Intelligence'!B36&gt;0,"🟥","⬜"))))</f>
        <v>⬜</v>
      </c>
      <c r="C18" s="82" t="str">
        <f aca="false">IF('04 - Role Intelligence'!C36="","⬜",IF('04 - Role Intelligence'!C36&gt;=0.5,"🟩",IF('04 - Role Intelligence'!C36&gt;=0.15,"🟨",IF('04 - Role Intelligence'!C36&gt;0,"🟥","⬜"))))</f>
        <v>⬜</v>
      </c>
      <c r="D18" s="82" t="str">
        <f aca="false">IF('04 - Role Intelligence'!D36="","⬜",IF('04 - Role Intelligence'!D36&gt;=0.5,"🟩",IF('04 - Role Intelligence'!D36&gt;=0.15,"🟨",IF('04 - Role Intelligence'!D36&gt;0,"🟥","⬜"))))</f>
        <v>⬜</v>
      </c>
      <c r="E18" s="82" t="str">
        <f aca="false">IF('04 - Role Intelligence'!E36="","⬜",IF('04 - Role Intelligence'!E36&gt;=0.5,"🟩",IF('04 - Role Intelligence'!E36&gt;=0.15,"🟨",IF('04 - Role Intelligence'!E36&gt;0,"🟥","⬜"))))</f>
        <v>⬜</v>
      </c>
      <c r="F18" s="82" t="str">
        <f aca="false">IF('04 - Role Intelligence'!F36="","⬜",IF('04 - Role Intelligence'!F36&gt;=0.5,"🟩",IF('04 - Role Intelligence'!F36&gt;=0.15,"🟨",IF('04 - Role Intelligence'!F36&gt;0,"🟥","⬜"))))</f>
        <v>⬜</v>
      </c>
      <c r="G18" s="82" t="str">
        <f aca="false">IF('04 - Role Intelligence'!G36="","⬜",IF('04 - Role Intelligence'!G36&gt;=0.5,"🟩",IF('04 - Role Intelligence'!G36&gt;=0.15,"🟨",IF('04 - Role Intelligence'!G36&gt;0,"🟥","⬜"))))</f>
        <v>⬜</v>
      </c>
      <c r="H18" s="82" t="str">
        <f aca="false">IF('04 - Role Intelligence'!H36="","⬜",IF('04 - Role Intelligence'!H36&gt;=0.5,"🟩",IF('04 - Role Intelligence'!H36&gt;=0.15,"🟨",IF('04 - Role Intelligence'!H36&gt;0,"🟥","⬜"))))</f>
        <v>⬜</v>
      </c>
      <c r="I18" s="82" t="str">
        <f aca="false">IF('04 - Role Intelligence'!I36="","⬜",IF('04 - Role Intelligence'!I36&gt;=0.5,"🟩",IF('04 - Role Intelligence'!I36&gt;=0.15,"🟨",IF('04 - Role Intelligence'!I36&gt;0,"🟥","⬜"))))</f>
        <v>⬜</v>
      </c>
      <c r="J18" s="82" t="str">
        <f aca="false">IF('04 - Role Intelligence'!J36="","⬜",IF('04 - Role Intelligence'!J36&gt;=0.5,"🟩",IF('04 - Role Intelligence'!J36&gt;=0.15,"🟨",IF('04 - Role Intelligence'!J36&gt;0,"🟥","⬜"))))</f>
        <v>⬜</v>
      </c>
      <c r="K18" s="82" t="str">
        <f aca="false">IF('04 - Role Intelligence'!K36="","⬜",IF('04 - Role Intelligence'!K36&gt;=0.5,"🟩",IF('04 - Role Intelligence'!K36&gt;=0.15,"🟨",IF('04 - Role Intelligence'!K36&gt;0,"🟥","⬜"))))</f>
        <v>⬜</v>
      </c>
      <c r="L18" s="82" t="str">
        <f aca="false">IF('04 - Role Intelligence'!L36="","⬜",IF('04 - Role Intelligence'!L36&gt;=0.5,"🟩",IF('04 - Role Intelligence'!L36&gt;=0.15,"🟨",IF('04 - Role Intelligence'!L36&gt;0,"🟥","⬜"))))</f>
        <v>⬜</v>
      </c>
      <c r="M18" s="82" t="str">
        <f aca="false">IF('04 - Role Intelligence'!M36="","⬜",IF('04 - Role Intelligence'!M36&gt;=0.5,"🟩",IF('04 - Role Intelligence'!M36&gt;=0.15,"🟨",IF('04 - Role Intelligence'!M36&gt;0,"🟥","⬜"))))</f>
        <v>⬜</v>
      </c>
      <c r="N18" s="82" t="str">
        <f aca="false">IF('04 - Role Intelligence'!N36="","⬜",IF('04 - Role Intelligence'!N36&gt;=0.5,"🟩",IF('04 - Role Intelligence'!N36&gt;=0.15,"🟨",IF('04 - Role Intelligence'!N36&gt;0,"🟥","⬜"))))</f>
        <v>⬜</v>
      </c>
      <c r="O18" s="82" t="str">
        <f aca="false">IF('04 - Role Intelligence'!O36="","⬜",IF('04 - Role Intelligence'!O36&gt;=0.5,"🟩",IF('04 - Role Intelligence'!O36&gt;=0.15,"🟨",IF('04 - Role Intelligence'!O36&gt;0,"🟥","⬜"))))</f>
        <v>⬜</v>
      </c>
      <c r="P18" s="82" t="str">
        <f aca="false">IF('04 - Role Intelligence'!P36="","⬜",IF('04 - Role Intelligence'!P36&gt;=0.5,"🟩",IF('04 - Role Intelligence'!P36&gt;=0.15,"🟨",IF('04 - Role Intelligence'!P36&gt;0,"🟥","⬜"))))</f>
        <v>⬜</v>
      </c>
      <c r="Q18" s="82" t="str">
        <f aca="false">IF('04 - Role Intelligence'!Q36="","⬜",IF('04 - Role Intelligence'!Q36&gt;=0.5,"🟩",IF('04 - Role Intelligence'!Q36&gt;=0.15,"🟨",IF('04 - Role Intelligence'!Q36&gt;0,"🟥","⬜"))))</f>
        <v>⬜</v>
      </c>
      <c r="R18" s="82" t="str">
        <f aca="false">IF('04 - Role Intelligence'!R36="","⬜",IF('04 - Role Intelligence'!R36&gt;=0.5,"🟩",IF('04 - Role Intelligence'!R36&gt;=0.15,"🟨",IF('04 - Role Intelligence'!R36&gt;0,"🟥","⬜"))))</f>
        <v>⬜</v>
      </c>
      <c r="S18" s="82" t="str">
        <f aca="false">IF('04 - Role Intelligence'!S36="","⬜",IF('04 - Role Intelligence'!S36&gt;=0.5,"🟩",IF('04 - Role Intelligence'!S36&gt;=0.15,"🟨",IF('04 - Role Intelligence'!S36&gt;0,"🟥","⬜"))))</f>
        <v>⬜</v>
      </c>
      <c r="T18" s="82" t="str">
        <f aca="false">IF('04 - Role Intelligence'!T36="","⬜",IF('04 - Role Intelligence'!T36&gt;=0.5,"🟩",IF('04 - Role Intelligence'!T36&gt;=0.15,"🟨",IF('04 - Role Intelligence'!T36&gt;0,"🟥","⬜"))))</f>
        <v>⬜</v>
      </c>
      <c r="U18" s="82" t="str">
        <f aca="false">IF('04 - Role Intelligence'!U36="","⬜",IF('04 - Role Intelligence'!U36&gt;=0.5,"🟩",IF('04 - Role Intelligence'!U36&gt;=0.15,"🟨",IF('04 - Role Intelligence'!U36&gt;0,"🟥","⬜"))))</f>
        <v>⬜</v>
      </c>
      <c r="V18" s="82" t="str">
        <f aca="false">IF('04 - Role Intelligence'!V36="","⬜",IF('04 - Role Intelligence'!V36&gt;=0.5,"🟩",IF('04 - Role Intelligence'!V36&gt;=0.15,"🟨",IF('04 - Role Intelligence'!V36&gt;0,"🟥","⬜"))))</f>
        <v>⬜</v>
      </c>
      <c r="W18" s="82" t="str">
        <f aca="false">IF('04 - Role Intelligence'!W36="","⬜",IF('04 - Role Intelligence'!W36&gt;=0.5,"🟩",IF('04 - Role Intelligence'!W36&gt;=0.15,"🟨",IF('04 - Role Intelligence'!W36&gt;0,"🟥","⬜"))))</f>
        <v>⬜</v>
      </c>
      <c r="X18" s="82" t="str">
        <f aca="false">IF('04 - Role Intelligence'!X36="","⬜",IF('04 - Role Intelligence'!X36&gt;=0.5,"🟩",IF('04 - Role Intelligence'!X36&gt;=0.15,"🟨",IF('04 - Role Intelligence'!X36&gt;0,"🟥","⬜"))))</f>
        <v>⬜</v>
      </c>
      <c r="Y18" s="82" t="str">
        <f aca="false">IF('04 - Role Intelligence'!Y36="","⬜",IF('04 - Role Intelligence'!Y36&gt;=0.5,"🟩",IF('04 - Role Intelligence'!Y36&gt;=0.15,"🟨",IF('04 - Role Intelligence'!Y36&gt;0,"🟥","⬜"))))</f>
        <v>⬜</v>
      </c>
      <c r="Z18" s="82" t="str">
        <f aca="false">IF('04 - Role Intelligence'!Z36="","⬜",IF('04 - Role Intelligence'!Z36&gt;=0.5,"🟩",IF('04 - Role Intelligence'!Z36&gt;=0.15,"🟨",IF('04 - Role Intelligence'!Z36&gt;0,"🟥","⬜"))))</f>
        <v>⬜</v>
      </c>
      <c r="AA18" s="82" t="str">
        <f aca="false">IF('04 - Role Intelligence'!AA36="","⬜",IF('04 - Role Intelligence'!AA36&gt;=0.5,"🟩",IF('04 - Role Intelligence'!AA36&gt;=0.15,"🟨",IF('04 - Role Intelligence'!AA36&gt;0,"🟥","⬜"))))</f>
        <v>⬜</v>
      </c>
      <c r="AB18" s="82" t="str">
        <f aca="false">IF('04 - Role Intelligence'!AB36="","⬜",IF('04 - Role Intelligence'!AB36&gt;=0.5,"🟩",IF('04 - Role Intelligence'!AB36&gt;=0.15,"🟨",IF('04 - Role Intelligence'!AB36&gt;0,"🟥","⬜"))))</f>
        <v>⬜</v>
      </c>
      <c r="AC18" s="82" t="str">
        <f aca="false">IF('04 - Role Intelligence'!AC36="","⬜",IF('04 - Role Intelligence'!AC36&gt;=0.5,"🟩",IF('04 - Role Intelligence'!AC36&gt;=0.15,"🟨",IF('04 - Role Intelligence'!AC36&gt;0,"🟥","⬜"))))</f>
        <v>⬜</v>
      </c>
      <c r="AD18" s="82" t="str">
        <f aca="false">IF('04 - Role Intelligence'!AD36="","⬜",IF('04 - Role Intelligence'!AD36&gt;=0.5,"🟩",IF('04 - Role Intelligence'!AD36&gt;=0.15,"🟨",IF('04 - Role Intelligence'!AD36&gt;0,"🟥","⬜"))))</f>
        <v>⬜</v>
      </c>
      <c r="AE18" s="82" t="str">
        <f aca="false">IF('04 - Role Intelligence'!AE36="","⬜",IF('04 - Role Intelligence'!AE36&gt;=0.5,"🟩",IF('04 - Role Intelligence'!AE36&gt;=0.15,"🟨",IF('04 - Role Intelligence'!AE36&gt;0,"🟥","⬜"))))</f>
        <v>⬜</v>
      </c>
      <c r="AF18" s="82" t="str">
        <f aca="false">IF('04 - Role Intelligence'!AF36="","⬜",IF('04 - Role Intelligence'!AF36&gt;=0.5,"🟩",IF('04 - Role Intelligence'!AF36&gt;=0.15,"🟨",IF('04 - Role Intelligence'!AF36&gt;0,"🟥","⬜"))))</f>
        <v>⬜</v>
      </c>
      <c r="AG18" s="82" t="str">
        <f aca="false">IF('04 - Role Intelligence'!AG36="","⬜",IF('04 - Role Intelligence'!AG36&gt;=0.5,"🟩",IF('04 - Role Intelligence'!AG36&gt;=0.15,"🟨",IF('04 - Role Intelligence'!AG36&gt;0,"🟥","⬜"))))</f>
        <v>⬜</v>
      </c>
      <c r="AH18" s="83" t="str">
        <f aca="false">IF('04 - Role Intelligence'!AH36="","⬜",IF('04 - Role Intelligence'!AH36&gt;=0.5,"🟩",IF('04 - Role Intelligence'!AH36&gt;=0.15,"🟨",IF('04 - Role Intelligence'!AH36&gt;0,"🟥","⬜"))))</f>
        <v>⬜</v>
      </c>
      <c r="AI18" s="83" t="str">
        <f aca="false">IF('04 - Role Intelligence'!AI36="","⬜",IF('04 - Role Intelligence'!AI36&gt;=0.5,"🟩",IF('04 - Role Intelligence'!AI36&gt;=0.15,"🟨",IF('04 - Role Intelligence'!AI36&gt;0,"🟥","⬜"))))</f>
        <v>⬜</v>
      </c>
      <c r="AJ18" s="83" t="str">
        <f aca="false">IF('04 - Role Intelligence'!AJ36="","⬜",IF('04 - Role Intelligence'!AJ36&gt;=0.5,"🟩",IF('04 - Role Intelligence'!AJ36&gt;=0.15,"🟨",IF('04 - Role Intelligence'!AJ36&gt;0,"🟥","⬜"))))</f>
        <v>⬜</v>
      </c>
      <c r="AK18" s="83" t="str">
        <f aca="false">IF('04 - Role Intelligence'!AK36="","⬜",IF('04 - Role Intelligence'!AK36&gt;=0.5,"🟩",IF('04 - Role Intelligence'!AK36&gt;=0.15,"🟨",IF('04 - Role Intelligence'!AK36&gt;0,"🟥","⬜"))))</f>
        <v>⬜</v>
      </c>
      <c r="AL18" s="83" t="str">
        <f aca="false">IF('04 - Role Intelligence'!AL36="","⬜",IF('04 - Role Intelligence'!AL36&gt;=0.5,"🟩",IF('04 - Role Intelligence'!AL36&gt;=0.15,"🟨",IF('04 - Role Intelligence'!AL36&gt;0,"🟥","⬜"))))</f>
        <v>⬜</v>
      </c>
      <c r="AM18" s="83" t="str">
        <f aca="false">IF('04 - Role Intelligence'!AM36="","⬜",IF('04 - Role Intelligence'!AM36&gt;=0.5,"🟩",IF('04 - Role Intelligence'!AM36&gt;=0.15,"🟨",IF('04 - Role Intelligence'!AM36&gt;0,"🟥","⬜"))))</f>
        <v>⬜</v>
      </c>
      <c r="AN18" s="83" t="str">
        <f aca="false">IF('04 - Role Intelligence'!AN36="","⬜",IF('04 - Role Intelligence'!AN36&gt;=0.5,"🟩",IF('04 - Role Intelligence'!AN36&gt;=0.15,"🟨",IF('04 - Role Intelligence'!AN36&gt;0,"🟥","⬜"))))</f>
        <v>⬜</v>
      </c>
      <c r="AO18" s="83" t="str">
        <f aca="false">IF('04 - Role Intelligence'!AO36="","⬜",IF('04 - Role Intelligence'!AO36&gt;=0.5,"🟩",IF('04 - Role Intelligence'!AO36&gt;=0.15,"🟨",IF('04 - Role Intelligence'!AO36&gt;0,"🟥","⬜"))))</f>
        <v>⬜</v>
      </c>
      <c r="AP18" s="83" t="str">
        <f aca="false">IF('04 - Role Intelligence'!AP36="","⬜",IF('04 - Role Intelligence'!AP36&gt;=0.5,"🟩",IF('04 - Role Intelligence'!AP36&gt;=0.15,"🟨",IF('04 - Role Intelligence'!AP36&gt;0,"🟥","⬜"))))</f>
        <v>⬜</v>
      </c>
      <c r="AQ18" s="83" t="str">
        <f aca="false">IF('04 - Role Intelligence'!AQ36="","⬜",IF('04 - Role Intelligence'!AQ36&gt;=0.5,"🟩",IF('04 - Role Intelligence'!AQ36&gt;=0.15,"🟨",IF('04 - Role Intelligence'!AQ36&gt;0,"🟥","⬜"))))</f>
        <v>⬜</v>
      </c>
      <c r="AR18" s="83" t="str">
        <f aca="false">IF('04 - Role Intelligence'!AR36="","⬜",IF('04 - Role Intelligence'!AR36&gt;=0.5,"🟩",IF('04 - Role Intelligence'!AR36&gt;=0.15,"🟨",IF('04 - Role Intelligence'!AR36&gt;0,"🟥","⬜"))))</f>
        <v>⬜</v>
      </c>
    </row>
    <row r="19" customFormat="false" ht="15" hidden="false" customHeight="true" outlineLevel="0" collapsed="false">
      <c r="A19" s="81" t="s">
        <v>243</v>
      </c>
      <c r="B19" s="82" t="str">
        <f aca="false">IF('04 - Role Intelligence'!B37="","⬜",IF('04 - Role Intelligence'!B37&gt;=0.5,"🟩",IF('04 - Role Intelligence'!B37&gt;=0.15,"🟨",IF('04 - Role Intelligence'!B37&gt;0,"🟥","⬜"))))</f>
        <v>⬜</v>
      </c>
      <c r="C19" s="82" t="str">
        <f aca="false">IF('04 - Role Intelligence'!C37="","⬜",IF('04 - Role Intelligence'!C37&gt;=0.5,"🟩",IF('04 - Role Intelligence'!C37&gt;=0.15,"🟨",IF('04 - Role Intelligence'!C37&gt;0,"🟥","⬜"))))</f>
        <v>⬜</v>
      </c>
      <c r="D19" s="82" t="str">
        <f aca="false">IF('04 - Role Intelligence'!D37="","⬜",IF('04 - Role Intelligence'!D37&gt;=0.5,"🟩",IF('04 - Role Intelligence'!D37&gt;=0.15,"🟨",IF('04 - Role Intelligence'!D37&gt;0,"🟥","⬜"))))</f>
        <v>⬜</v>
      </c>
      <c r="E19" s="82" t="str">
        <f aca="false">IF('04 - Role Intelligence'!E37="","⬜",IF('04 - Role Intelligence'!E37&gt;=0.5,"🟩",IF('04 - Role Intelligence'!E37&gt;=0.15,"🟨",IF('04 - Role Intelligence'!E37&gt;0,"🟥","⬜"))))</f>
        <v>⬜</v>
      </c>
      <c r="F19" s="82" t="str">
        <f aca="false">IF('04 - Role Intelligence'!F37="","⬜",IF('04 - Role Intelligence'!F37&gt;=0.5,"🟩",IF('04 - Role Intelligence'!F37&gt;=0.15,"🟨",IF('04 - Role Intelligence'!F37&gt;0,"🟥","⬜"))))</f>
        <v>⬜</v>
      </c>
      <c r="G19" s="82" t="str">
        <f aca="false">IF('04 - Role Intelligence'!G37="","⬜",IF('04 - Role Intelligence'!G37&gt;=0.5,"🟩",IF('04 - Role Intelligence'!G37&gt;=0.15,"🟨",IF('04 - Role Intelligence'!G37&gt;0,"🟥","⬜"))))</f>
        <v>⬜</v>
      </c>
      <c r="H19" s="82" t="str">
        <f aca="false">IF('04 - Role Intelligence'!H37="","⬜",IF('04 - Role Intelligence'!H37&gt;=0.5,"🟩",IF('04 - Role Intelligence'!H37&gt;=0.15,"🟨",IF('04 - Role Intelligence'!H37&gt;0,"🟥","⬜"))))</f>
        <v>⬜</v>
      </c>
      <c r="I19" s="82" t="str">
        <f aca="false">IF('04 - Role Intelligence'!I37="","⬜",IF('04 - Role Intelligence'!I37&gt;=0.5,"🟩",IF('04 - Role Intelligence'!I37&gt;=0.15,"🟨",IF('04 - Role Intelligence'!I37&gt;0,"🟥","⬜"))))</f>
        <v>⬜</v>
      </c>
      <c r="J19" s="82" t="str">
        <f aca="false">IF('04 - Role Intelligence'!J37="","⬜",IF('04 - Role Intelligence'!J37&gt;=0.5,"🟩",IF('04 - Role Intelligence'!J37&gt;=0.15,"🟨",IF('04 - Role Intelligence'!J37&gt;0,"🟥","⬜"))))</f>
        <v>⬜</v>
      </c>
      <c r="K19" s="82" t="str">
        <f aca="false">IF('04 - Role Intelligence'!K37="","⬜",IF('04 - Role Intelligence'!K37&gt;=0.5,"🟩",IF('04 - Role Intelligence'!K37&gt;=0.15,"🟨",IF('04 - Role Intelligence'!K37&gt;0,"🟥","⬜"))))</f>
        <v>⬜</v>
      </c>
      <c r="L19" s="82" t="str">
        <f aca="false">IF('04 - Role Intelligence'!L37="","⬜",IF('04 - Role Intelligence'!L37&gt;=0.5,"🟩",IF('04 - Role Intelligence'!L37&gt;=0.15,"🟨",IF('04 - Role Intelligence'!L37&gt;0,"🟥","⬜"))))</f>
        <v>⬜</v>
      </c>
      <c r="M19" s="82" t="str">
        <f aca="false">IF('04 - Role Intelligence'!M37="","⬜",IF('04 - Role Intelligence'!M37&gt;=0.5,"🟩",IF('04 - Role Intelligence'!M37&gt;=0.15,"🟨",IF('04 - Role Intelligence'!M37&gt;0,"🟥","⬜"))))</f>
        <v>⬜</v>
      </c>
      <c r="N19" s="82" t="str">
        <f aca="false">IF('04 - Role Intelligence'!N37="","⬜",IF('04 - Role Intelligence'!N37&gt;=0.5,"🟩",IF('04 - Role Intelligence'!N37&gt;=0.15,"🟨",IF('04 - Role Intelligence'!N37&gt;0,"🟥","⬜"))))</f>
        <v>⬜</v>
      </c>
      <c r="O19" s="82" t="str">
        <f aca="false">IF('04 - Role Intelligence'!O37="","⬜",IF('04 - Role Intelligence'!O37&gt;=0.5,"🟩",IF('04 - Role Intelligence'!O37&gt;=0.15,"🟨",IF('04 - Role Intelligence'!O37&gt;0,"🟥","⬜"))))</f>
        <v>⬜</v>
      </c>
      <c r="P19" s="82" t="str">
        <f aca="false">IF('04 - Role Intelligence'!P37="","⬜",IF('04 - Role Intelligence'!P37&gt;=0.5,"🟩",IF('04 - Role Intelligence'!P37&gt;=0.15,"🟨",IF('04 - Role Intelligence'!P37&gt;0,"🟥","⬜"))))</f>
        <v>⬜</v>
      </c>
      <c r="Q19" s="82" t="str">
        <f aca="false">IF('04 - Role Intelligence'!Q37="","⬜",IF('04 - Role Intelligence'!Q37&gt;=0.5,"🟩",IF('04 - Role Intelligence'!Q37&gt;=0.15,"🟨",IF('04 - Role Intelligence'!Q37&gt;0,"🟥","⬜"))))</f>
        <v>⬜</v>
      </c>
      <c r="R19" s="82" t="str">
        <f aca="false">IF('04 - Role Intelligence'!R37="","⬜",IF('04 - Role Intelligence'!R37&gt;=0.5,"🟩",IF('04 - Role Intelligence'!R37&gt;=0.15,"🟨",IF('04 - Role Intelligence'!R37&gt;0,"🟥","⬜"))))</f>
        <v>⬜</v>
      </c>
      <c r="S19" s="82" t="str">
        <f aca="false">IF('04 - Role Intelligence'!S37="","⬜",IF('04 - Role Intelligence'!S37&gt;=0.5,"🟩",IF('04 - Role Intelligence'!S37&gt;=0.15,"🟨",IF('04 - Role Intelligence'!S37&gt;0,"🟥","⬜"))))</f>
        <v>⬜</v>
      </c>
      <c r="T19" s="82" t="str">
        <f aca="false">IF('04 - Role Intelligence'!T37="","⬜",IF('04 - Role Intelligence'!T37&gt;=0.5,"🟩",IF('04 - Role Intelligence'!T37&gt;=0.15,"🟨",IF('04 - Role Intelligence'!T37&gt;0,"🟥","⬜"))))</f>
        <v>⬜</v>
      </c>
      <c r="U19" s="82" t="str">
        <f aca="false">IF('04 - Role Intelligence'!U37="","⬜",IF('04 - Role Intelligence'!U37&gt;=0.5,"🟩",IF('04 - Role Intelligence'!U37&gt;=0.15,"🟨",IF('04 - Role Intelligence'!U37&gt;0,"🟥","⬜"))))</f>
        <v>⬜</v>
      </c>
      <c r="V19" s="82" t="str">
        <f aca="false">IF('04 - Role Intelligence'!V37="","⬜",IF('04 - Role Intelligence'!V37&gt;=0.5,"🟩",IF('04 - Role Intelligence'!V37&gt;=0.15,"🟨",IF('04 - Role Intelligence'!V37&gt;0,"🟥","⬜"))))</f>
        <v>⬜</v>
      </c>
      <c r="W19" s="82" t="str">
        <f aca="false">IF('04 - Role Intelligence'!W37="","⬜",IF('04 - Role Intelligence'!W37&gt;=0.5,"🟩",IF('04 - Role Intelligence'!W37&gt;=0.15,"🟨",IF('04 - Role Intelligence'!W37&gt;0,"🟥","⬜"))))</f>
        <v>⬜</v>
      </c>
      <c r="X19" s="82" t="str">
        <f aca="false">IF('04 - Role Intelligence'!X37="","⬜",IF('04 - Role Intelligence'!X37&gt;=0.5,"🟩",IF('04 - Role Intelligence'!X37&gt;=0.15,"🟨",IF('04 - Role Intelligence'!X37&gt;0,"🟥","⬜"))))</f>
        <v>⬜</v>
      </c>
      <c r="Y19" s="82" t="str">
        <f aca="false">IF('04 - Role Intelligence'!Y37="","⬜",IF('04 - Role Intelligence'!Y37&gt;=0.5,"🟩",IF('04 - Role Intelligence'!Y37&gt;=0.15,"🟨",IF('04 - Role Intelligence'!Y37&gt;0,"🟥","⬜"))))</f>
        <v>⬜</v>
      </c>
      <c r="Z19" s="82" t="str">
        <f aca="false">IF('04 - Role Intelligence'!Z37="","⬜",IF('04 - Role Intelligence'!Z37&gt;=0.5,"🟩",IF('04 - Role Intelligence'!Z37&gt;=0.15,"🟨",IF('04 - Role Intelligence'!Z37&gt;0,"🟥","⬜"))))</f>
        <v>⬜</v>
      </c>
      <c r="AA19" s="82" t="str">
        <f aca="false">IF('04 - Role Intelligence'!AA37="","⬜",IF('04 - Role Intelligence'!AA37&gt;=0.5,"🟩",IF('04 - Role Intelligence'!AA37&gt;=0.15,"🟨",IF('04 - Role Intelligence'!AA37&gt;0,"🟥","⬜"))))</f>
        <v>⬜</v>
      </c>
      <c r="AB19" s="82" t="str">
        <f aca="false">IF('04 - Role Intelligence'!AB37="","⬜",IF('04 - Role Intelligence'!AB37&gt;=0.5,"🟩",IF('04 - Role Intelligence'!AB37&gt;=0.15,"🟨",IF('04 - Role Intelligence'!AB37&gt;0,"🟥","⬜"))))</f>
        <v>⬜</v>
      </c>
      <c r="AC19" s="82" t="str">
        <f aca="false">IF('04 - Role Intelligence'!AC37="","⬜",IF('04 - Role Intelligence'!AC37&gt;=0.5,"🟩",IF('04 - Role Intelligence'!AC37&gt;=0.15,"🟨",IF('04 - Role Intelligence'!AC37&gt;0,"🟥","⬜"))))</f>
        <v>⬜</v>
      </c>
      <c r="AD19" s="82" t="str">
        <f aca="false">IF('04 - Role Intelligence'!AD37="","⬜",IF('04 - Role Intelligence'!AD37&gt;=0.5,"🟩",IF('04 - Role Intelligence'!AD37&gt;=0.15,"🟨",IF('04 - Role Intelligence'!AD37&gt;0,"🟥","⬜"))))</f>
        <v>⬜</v>
      </c>
      <c r="AE19" s="82" t="str">
        <f aca="false">IF('04 - Role Intelligence'!AE37="","⬜",IF('04 - Role Intelligence'!AE37&gt;=0.5,"🟩",IF('04 - Role Intelligence'!AE37&gt;=0.15,"🟨",IF('04 - Role Intelligence'!AE37&gt;0,"🟥","⬜"))))</f>
        <v>⬜</v>
      </c>
      <c r="AF19" s="82" t="str">
        <f aca="false">IF('04 - Role Intelligence'!AF37="","⬜",IF('04 - Role Intelligence'!AF37&gt;=0.5,"🟩",IF('04 - Role Intelligence'!AF37&gt;=0.15,"🟨",IF('04 - Role Intelligence'!AF37&gt;0,"🟥","⬜"))))</f>
        <v>⬜</v>
      </c>
      <c r="AG19" s="82" t="str">
        <f aca="false">IF('04 - Role Intelligence'!AG37="","⬜",IF('04 - Role Intelligence'!AG37&gt;=0.5,"🟩",IF('04 - Role Intelligence'!AG37&gt;=0.15,"🟨",IF('04 - Role Intelligence'!AG37&gt;0,"🟥","⬜"))))</f>
        <v>⬜</v>
      </c>
      <c r="AH19" s="83" t="str">
        <f aca="false">IF('04 - Role Intelligence'!AH37="","⬜",IF('04 - Role Intelligence'!AH37&gt;=0.5,"🟩",IF('04 - Role Intelligence'!AH37&gt;=0.15,"🟨",IF('04 - Role Intelligence'!AH37&gt;0,"🟥","⬜"))))</f>
        <v>⬜</v>
      </c>
      <c r="AI19" s="83" t="str">
        <f aca="false">IF('04 - Role Intelligence'!AI37="","⬜",IF('04 - Role Intelligence'!AI37&gt;=0.5,"🟩",IF('04 - Role Intelligence'!AI37&gt;=0.15,"🟨",IF('04 - Role Intelligence'!AI37&gt;0,"🟥","⬜"))))</f>
        <v>⬜</v>
      </c>
      <c r="AJ19" s="83" t="str">
        <f aca="false">IF('04 - Role Intelligence'!AJ37="","⬜",IF('04 - Role Intelligence'!AJ37&gt;=0.5,"🟩",IF('04 - Role Intelligence'!AJ37&gt;=0.15,"🟨",IF('04 - Role Intelligence'!AJ37&gt;0,"🟥","⬜"))))</f>
        <v>⬜</v>
      </c>
      <c r="AK19" s="83" t="str">
        <f aca="false">IF('04 - Role Intelligence'!AK37="","⬜",IF('04 - Role Intelligence'!AK37&gt;=0.5,"🟩",IF('04 - Role Intelligence'!AK37&gt;=0.15,"🟨",IF('04 - Role Intelligence'!AK37&gt;0,"🟥","⬜"))))</f>
        <v>⬜</v>
      </c>
      <c r="AL19" s="83" t="str">
        <f aca="false">IF('04 - Role Intelligence'!AL37="","⬜",IF('04 - Role Intelligence'!AL37&gt;=0.5,"🟩",IF('04 - Role Intelligence'!AL37&gt;=0.15,"🟨",IF('04 - Role Intelligence'!AL37&gt;0,"🟥","⬜"))))</f>
        <v>⬜</v>
      </c>
      <c r="AM19" s="83" t="str">
        <f aca="false">IF('04 - Role Intelligence'!AM37="","⬜",IF('04 - Role Intelligence'!AM37&gt;=0.5,"🟩",IF('04 - Role Intelligence'!AM37&gt;=0.15,"🟨",IF('04 - Role Intelligence'!AM37&gt;0,"🟥","⬜"))))</f>
        <v>⬜</v>
      </c>
      <c r="AN19" s="83" t="str">
        <f aca="false">IF('04 - Role Intelligence'!AN37="","⬜",IF('04 - Role Intelligence'!AN37&gt;=0.5,"🟩",IF('04 - Role Intelligence'!AN37&gt;=0.15,"🟨",IF('04 - Role Intelligence'!AN37&gt;0,"🟥","⬜"))))</f>
        <v>⬜</v>
      </c>
      <c r="AO19" s="83" t="str">
        <f aca="false">IF('04 - Role Intelligence'!AO37="","⬜",IF('04 - Role Intelligence'!AO37&gt;=0.5,"🟩",IF('04 - Role Intelligence'!AO37&gt;=0.15,"🟨",IF('04 - Role Intelligence'!AO37&gt;0,"🟥","⬜"))))</f>
        <v>⬜</v>
      </c>
      <c r="AP19" s="83" t="str">
        <f aca="false">IF('04 - Role Intelligence'!AP37="","⬜",IF('04 - Role Intelligence'!AP37&gt;=0.5,"🟩",IF('04 - Role Intelligence'!AP37&gt;=0.15,"🟨",IF('04 - Role Intelligence'!AP37&gt;0,"🟥","⬜"))))</f>
        <v>⬜</v>
      </c>
      <c r="AQ19" s="83" t="str">
        <f aca="false">IF('04 - Role Intelligence'!AQ37="","⬜",IF('04 - Role Intelligence'!AQ37&gt;=0.5,"🟩",IF('04 - Role Intelligence'!AQ37&gt;=0.15,"🟨",IF('04 - Role Intelligence'!AQ37&gt;0,"🟥","⬜"))))</f>
        <v>⬜</v>
      </c>
      <c r="AR19" s="83" t="str">
        <f aca="false">IF('04 - Role Intelligence'!AR37="","⬜",IF('04 - Role Intelligence'!AR37&gt;=0.5,"🟩",IF('04 - Role Intelligence'!AR37&gt;=0.15,"🟨",IF('04 - Role Intelligence'!AR37&gt;0,"🟥","⬜"))))</f>
        <v>⬜</v>
      </c>
    </row>
    <row r="20" customFormat="false" ht="15" hidden="false" customHeight="true" outlineLevel="0" collapsed="false">
      <c r="A20" s="81" t="s">
        <v>244</v>
      </c>
      <c r="B20" s="82" t="str">
        <f aca="false">IF('04 - Role Intelligence'!B38="","⬜",IF('04 - Role Intelligence'!B38&gt;=0.5,"🟩",IF('04 - Role Intelligence'!B38&gt;=0.15,"🟨",IF('04 - Role Intelligence'!B38&gt;0,"🟥","⬜"))))</f>
        <v>⬜</v>
      </c>
      <c r="C20" s="82" t="str">
        <f aca="false">IF('04 - Role Intelligence'!C38="","⬜",IF('04 - Role Intelligence'!C38&gt;=0.5,"🟩",IF('04 - Role Intelligence'!C38&gt;=0.15,"🟨",IF('04 - Role Intelligence'!C38&gt;0,"🟥","⬜"))))</f>
        <v>⬜</v>
      </c>
      <c r="D20" s="82" t="str">
        <f aca="false">IF('04 - Role Intelligence'!D38="","⬜",IF('04 - Role Intelligence'!D38&gt;=0.5,"🟩",IF('04 - Role Intelligence'!D38&gt;=0.15,"🟨",IF('04 - Role Intelligence'!D38&gt;0,"🟥","⬜"))))</f>
        <v>⬜</v>
      </c>
      <c r="E20" s="82" t="str">
        <f aca="false">IF('04 - Role Intelligence'!E38="","⬜",IF('04 - Role Intelligence'!E38&gt;=0.5,"🟩",IF('04 - Role Intelligence'!E38&gt;=0.15,"🟨",IF('04 - Role Intelligence'!E38&gt;0,"🟥","⬜"))))</f>
        <v>⬜</v>
      </c>
      <c r="F20" s="82" t="str">
        <f aca="false">IF('04 - Role Intelligence'!F38="","⬜",IF('04 - Role Intelligence'!F38&gt;=0.5,"🟩",IF('04 - Role Intelligence'!F38&gt;=0.15,"🟨",IF('04 - Role Intelligence'!F38&gt;0,"🟥","⬜"))))</f>
        <v>⬜</v>
      </c>
      <c r="G20" s="82" t="str">
        <f aca="false">IF('04 - Role Intelligence'!G38="","⬜",IF('04 - Role Intelligence'!G38&gt;=0.5,"🟩",IF('04 - Role Intelligence'!G38&gt;=0.15,"🟨",IF('04 - Role Intelligence'!G38&gt;0,"🟥","⬜"))))</f>
        <v>⬜</v>
      </c>
      <c r="H20" s="82" t="str">
        <f aca="false">IF('04 - Role Intelligence'!H38="","⬜",IF('04 - Role Intelligence'!H38&gt;=0.5,"🟩",IF('04 - Role Intelligence'!H38&gt;=0.15,"🟨",IF('04 - Role Intelligence'!H38&gt;0,"🟥","⬜"))))</f>
        <v>⬜</v>
      </c>
      <c r="I20" s="82" t="str">
        <f aca="false">IF('04 - Role Intelligence'!I38="","⬜",IF('04 - Role Intelligence'!I38&gt;=0.5,"🟩",IF('04 - Role Intelligence'!I38&gt;=0.15,"🟨",IF('04 - Role Intelligence'!I38&gt;0,"🟥","⬜"))))</f>
        <v>⬜</v>
      </c>
      <c r="J20" s="82" t="str">
        <f aca="false">IF('04 - Role Intelligence'!J38="","⬜",IF('04 - Role Intelligence'!J38&gt;=0.5,"🟩",IF('04 - Role Intelligence'!J38&gt;=0.15,"🟨",IF('04 - Role Intelligence'!J38&gt;0,"🟥","⬜"))))</f>
        <v>⬜</v>
      </c>
      <c r="K20" s="82" t="str">
        <f aca="false">IF('04 - Role Intelligence'!K38="","⬜",IF('04 - Role Intelligence'!K38&gt;=0.5,"🟩",IF('04 - Role Intelligence'!K38&gt;=0.15,"🟨",IF('04 - Role Intelligence'!K38&gt;0,"🟥","⬜"))))</f>
        <v>⬜</v>
      </c>
      <c r="L20" s="82" t="str">
        <f aca="false">IF('04 - Role Intelligence'!L38="","⬜",IF('04 - Role Intelligence'!L38&gt;=0.5,"🟩",IF('04 - Role Intelligence'!L38&gt;=0.15,"🟨",IF('04 - Role Intelligence'!L38&gt;0,"🟥","⬜"))))</f>
        <v>⬜</v>
      </c>
      <c r="M20" s="82" t="str">
        <f aca="false">IF('04 - Role Intelligence'!M38="","⬜",IF('04 - Role Intelligence'!M38&gt;=0.5,"🟩",IF('04 - Role Intelligence'!M38&gt;=0.15,"🟨",IF('04 - Role Intelligence'!M38&gt;0,"🟥","⬜"))))</f>
        <v>⬜</v>
      </c>
      <c r="N20" s="82" t="str">
        <f aca="false">IF('04 - Role Intelligence'!N38="","⬜",IF('04 - Role Intelligence'!N38&gt;=0.5,"🟩",IF('04 - Role Intelligence'!N38&gt;=0.15,"🟨",IF('04 - Role Intelligence'!N38&gt;0,"🟥","⬜"))))</f>
        <v>⬜</v>
      </c>
      <c r="O20" s="82" t="str">
        <f aca="false">IF('04 - Role Intelligence'!O38="","⬜",IF('04 - Role Intelligence'!O38&gt;=0.5,"🟩",IF('04 - Role Intelligence'!O38&gt;=0.15,"🟨",IF('04 - Role Intelligence'!O38&gt;0,"🟥","⬜"))))</f>
        <v>⬜</v>
      </c>
      <c r="P20" s="82" t="str">
        <f aca="false">IF('04 - Role Intelligence'!P38="","⬜",IF('04 - Role Intelligence'!P38&gt;=0.5,"🟩",IF('04 - Role Intelligence'!P38&gt;=0.15,"🟨",IF('04 - Role Intelligence'!P38&gt;0,"🟥","⬜"))))</f>
        <v>⬜</v>
      </c>
      <c r="Q20" s="82" t="str">
        <f aca="false">IF('04 - Role Intelligence'!Q38="","⬜",IF('04 - Role Intelligence'!Q38&gt;=0.5,"🟩",IF('04 - Role Intelligence'!Q38&gt;=0.15,"🟨",IF('04 - Role Intelligence'!Q38&gt;0,"🟥","⬜"))))</f>
        <v>⬜</v>
      </c>
      <c r="R20" s="82" t="str">
        <f aca="false">IF('04 - Role Intelligence'!R38="","⬜",IF('04 - Role Intelligence'!R38&gt;=0.5,"🟩",IF('04 - Role Intelligence'!R38&gt;=0.15,"🟨",IF('04 - Role Intelligence'!R38&gt;0,"🟥","⬜"))))</f>
        <v>⬜</v>
      </c>
      <c r="S20" s="82" t="str">
        <f aca="false">IF('04 - Role Intelligence'!S38="","⬜",IF('04 - Role Intelligence'!S38&gt;=0.5,"🟩",IF('04 - Role Intelligence'!S38&gt;=0.15,"🟨",IF('04 - Role Intelligence'!S38&gt;0,"🟥","⬜"))))</f>
        <v>⬜</v>
      </c>
      <c r="T20" s="82" t="str">
        <f aca="false">IF('04 - Role Intelligence'!T38="","⬜",IF('04 - Role Intelligence'!T38&gt;=0.5,"🟩",IF('04 - Role Intelligence'!T38&gt;=0.15,"🟨",IF('04 - Role Intelligence'!T38&gt;0,"🟥","⬜"))))</f>
        <v>⬜</v>
      </c>
      <c r="U20" s="82" t="str">
        <f aca="false">IF('04 - Role Intelligence'!U38="","⬜",IF('04 - Role Intelligence'!U38&gt;=0.5,"🟩",IF('04 - Role Intelligence'!U38&gt;=0.15,"🟨",IF('04 - Role Intelligence'!U38&gt;0,"🟥","⬜"))))</f>
        <v>⬜</v>
      </c>
      <c r="V20" s="82" t="str">
        <f aca="false">IF('04 - Role Intelligence'!V38="","⬜",IF('04 - Role Intelligence'!V38&gt;=0.5,"🟩",IF('04 - Role Intelligence'!V38&gt;=0.15,"🟨",IF('04 - Role Intelligence'!V38&gt;0,"🟥","⬜"))))</f>
        <v>⬜</v>
      </c>
      <c r="W20" s="82" t="str">
        <f aca="false">IF('04 - Role Intelligence'!W38="","⬜",IF('04 - Role Intelligence'!W38&gt;=0.5,"🟩",IF('04 - Role Intelligence'!W38&gt;=0.15,"🟨",IF('04 - Role Intelligence'!W38&gt;0,"🟥","⬜"))))</f>
        <v>⬜</v>
      </c>
      <c r="X20" s="82" t="str">
        <f aca="false">IF('04 - Role Intelligence'!X38="","⬜",IF('04 - Role Intelligence'!X38&gt;=0.5,"🟩",IF('04 - Role Intelligence'!X38&gt;=0.15,"🟨",IF('04 - Role Intelligence'!X38&gt;0,"🟥","⬜"))))</f>
        <v>⬜</v>
      </c>
      <c r="Y20" s="82" t="str">
        <f aca="false">IF('04 - Role Intelligence'!Y38="","⬜",IF('04 - Role Intelligence'!Y38&gt;=0.5,"🟩",IF('04 - Role Intelligence'!Y38&gt;=0.15,"🟨",IF('04 - Role Intelligence'!Y38&gt;0,"🟥","⬜"))))</f>
        <v>⬜</v>
      </c>
      <c r="Z20" s="82" t="str">
        <f aca="false">IF('04 - Role Intelligence'!Z38="","⬜",IF('04 - Role Intelligence'!Z38&gt;=0.5,"🟩",IF('04 - Role Intelligence'!Z38&gt;=0.15,"🟨",IF('04 - Role Intelligence'!Z38&gt;0,"🟥","⬜"))))</f>
        <v>⬜</v>
      </c>
      <c r="AA20" s="82" t="str">
        <f aca="false">IF('04 - Role Intelligence'!AA38="","⬜",IF('04 - Role Intelligence'!AA38&gt;=0.5,"🟩",IF('04 - Role Intelligence'!AA38&gt;=0.15,"🟨",IF('04 - Role Intelligence'!AA38&gt;0,"🟥","⬜"))))</f>
        <v>⬜</v>
      </c>
      <c r="AB20" s="82" t="str">
        <f aca="false">IF('04 - Role Intelligence'!AB38="","⬜",IF('04 - Role Intelligence'!AB38&gt;=0.5,"🟩",IF('04 - Role Intelligence'!AB38&gt;=0.15,"🟨",IF('04 - Role Intelligence'!AB38&gt;0,"🟥","⬜"))))</f>
        <v>⬜</v>
      </c>
      <c r="AC20" s="82" t="str">
        <f aca="false">IF('04 - Role Intelligence'!AC38="","⬜",IF('04 - Role Intelligence'!AC38&gt;=0.5,"🟩",IF('04 - Role Intelligence'!AC38&gt;=0.15,"🟨",IF('04 - Role Intelligence'!AC38&gt;0,"🟥","⬜"))))</f>
        <v>⬜</v>
      </c>
      <c r="AD20" s="82" t="str">
        <f aca="false">IF('04 - Role Intelligence'!AD38="","⬜",IF('04 - Role Intelligence'!AD38&gt;=0.5,"🟩",IF('04 - Role Intelligence'!AD38&gt;=0.15,"🟨",IF('04 - Role Intelligence'!AD38&gt;0,"🟥","⬜"))))</f>
        <v>⬜</v>
      </c>
      <c r="AE20" s="82" t="str">
        <f aca="false">IF('04 - Role Intelligence'!AE38="","⬜",IF('04 - Role Intelligence'!AE38&gt;=0.5,"🟩",IF('04 - Role Intelligence'!AE38&gt;=0.15,"🟨",IF('04 - Role Intelligence'!AE38&gt;0,"🟥","⬜"))))</f>
        <v>⬜</v>
      </c>
      <c r="AF20" s="82" t="str">
        <f aca="false">IF('04 - Role Intelligence'!AF38="","⬜",IF('04 - Role Intelligence'!AF38&gt;=0.5,"🟩",IF('04 - Role Intelligence'!AF38&gt;=0.15,"🟨",IF('04 - Role Intelligence'!AF38&gt;0,"🟥","⬜"))))</f>
        <v>⬜</v>
      </c>
      <c r="AG20" s="82" t="str">
        <f aca="false">IF('04 - Role Intelligence'!AG38="","⬜",IF('04 - Role Intelligence'!AG38&gt;=0.5,"🟩",IF('04 - Role Intelligence'!AG38&gt;=0.15,"🟨",IF('04 - Role Intelligence'!AG38&gt;0,"🟥","⬜"))))</f>
        <v>⬜</v>
      </c>
      <c r="AH20" s="83" t="str">
        <f aca="false">IF('04 - Role Intelligence'!AH38="","⬜",IF('04 - Role Intelligence'!AH38&gt;=0.5,"🟩",IF('04 - Role Intelligence'!AH38&gt;=0.15,"🟨",IF('04 - Role Intelligence'!AH38&gt;0,"🟥","⬜"))))</f>
        <v>⬜</v>
      </c>
      <c r="AI20" s="83" t="str">
        <f aca="false">IF('04 - Role Intelligence'!AI38="","⬜",IF('04 - Role Intelligence'!AI38&gt;=0.5,"🟩",IF('04 - Role Intelligence'!AI38&gt;=0.15,"🟨",IF('04 - Role Intelligence'!AI38&gt;0,"🟥","⬜"))))</f>
        <v>⬜</v>
      </c>
      <c r="AJ20" s="83" t="str">
        <f aca="false">IF('04 - Role Intelligence'!AJ38="","⬜",IF('04 - Role Intelligence'!AJ38&gt;=0.5,"🟩",IF('04 - Role Intelligence'!AJ38&gt;=0.15,"🟨",IF('04 - Role Intelligence'!AJ38&gt;0,"🟥","⬜"))))</f>
        <v>⬜</v>
      </c>
      <c r="AK20" s="83" t="str">
        <f aca="false">IF('04 - Role Intelligence'!AK38="","⬜",IF('04 - Role Intelligence'!AK38&gt;=0.5,"🟩",IF('04 - Role Intelligence'!AK38&gt;=0.15,"🟨",IF('04 - Role Intelligence'!AK38&gt;0,"🟥","⬜"))))</f>
        <v>⬜</v>
      </c>
      <c r="AL20" s="83" t="str">
        <f aca="false">IF('04 - Role Intelligence'!AL38="","⬜",IF('04 - Role Intelligence'!AL38&gt;=0.5,"🟩",IF('04 - Role Intelligence'!AL38&gt;=0.15,"🟨",IF('04 - Role Intelligence'!AL38&gt;0,"🟥","⬜"))))</f>
        <v>⬜</v>
      </c>
      <c r="AM20" s="83" t="str">
        <f aca="false">IF('04 - Role Intelligence'!AM38="","⬜",IF('04 - Role Intelligence'!AM38&gt;=0.5,"🟩",IF('04 - Role Intelligence'!AM38&gt;=0.15,"🟨",IF('04 - Role Intelligence'!AM38&gt;0,"🟥","⬜"))))</f>
        <v>⬜</v>
      </c>
      <c r="AN20" s="83" t="str">
        <f aca="false">IF('04 - Role Intelligence'!AN38="","⬜",IF('04 - Role Intelligence'!AN38&gt;=0.5,"🟩",IF('04 - Role Intelligence'!AN38&gt;=0.15,"🟨",IF('04 - Role Intelligence'!AN38&gt;0,"🟥","⬜"))))</f>
        <v>⬜</v>
      </c>
      <c r="AO20" s="83" t="str">
        <f aca="false">IF('04 - Role Intelligence'!AO38="","⬜",IF('04 - Role Intelligence'!AO38&gt;=0.5,"🟩",IF('04 - Role Intelligence'!AO38&gt;=0.15,"🟨",IF('04 - Role Intelligence'!AO38&gt;0,"🟥","⬜"))))</f>
        <v>⬜</v>
      </c>
      <c r="AP20" s="83" t="str">
        <f aca="false">IF('04 - Role Intelligence'!AP38="","⬜",IF('04 - Role Intelligence'!AP38&gt;=0.5,"🟩",IF('04 - Role Intelligence'!AP38&gt;=0.15,"🟨",IF('04 - Role Intelligence'!AP38&gt;0,"🟥","⬜"))))</f>
        <v>⬜</v>
      </c>
      <c r="AQ20" s="83" t="str">
        <f aca="false">IF('04 - Role Intelligence'!AQ38="","⬜",IF('04 - Role Intelligence'!AQ38&gt;=0.5,"🟩",IF('04 - Role Intelligence'!AQ38&gt;=0.15,"🟨",IF('04 - Role Intelligence'!AQ38&gt;0,"🟥","⬜"))))</f>
        <v>⬜</v>
      </c>
      <c r="AR20" s="83" t="str">
        <f aca="false">IF('04 - Role Intelligence'!AR38="","⬜",IF('04 - Role Intelligence'!AR38&gt;=0.5,"🟩",IF('04 - Role Intelligence'!AR38&gt;=0.15,"🟨",IF('04 - Role Intelligence'!AR38&gt;0,"🟥","⬜"))))</f>
        <v>⬜</v>
      </c>
    </row>
    <row r="21" customFormat="false" ht="15" hidden="false" customHeight="true" outlineLevel="0" collapsed="false">
      <c r="A21" s="81" t="s">
        <v>245</v>
      </c>
      <c r="B21" s="82" t="str">
        <f aca="false">IF('04 - Role Intelligence'!B39="","⬜",IF('04 - Role Intelligence'!B39&gt;=0.5,"🟩",IF('04 - Role Intelligence'!B39&gt;=0.15,"🟨",IF('04 - Role Intelligence'!B39&gt;0,"🟥","⬜"))))</f>
        <v>⬜</v>
      </c>
      <c r="C21" s="82" t="str">
        <f aca="false">IF('04 - Role Intelligence'!C39="","⬜",IF('04 - Role Intelligence'!C39&gt;=0.5,"🟩",IF('04 - Role Intelligence'!C39&gt;=0.15,"🟨",IF('04 - Role Intelligence'!C39&gt;0,"🟥","⬜"))))</f>
        <v>⬜</v>
      </c>
      <c r="D21" s="82" t="str">
        <f aca="false">IF('04 - Role Intelligence'!D39="","⬜",IF('04 - Role Intelligence'!D39&gt;=0.5,"🟩",IF('04 - Role Intelligence'!D39&gt;=0.15,"🟨",IF('04 - Role Intelligence'!D39&gt;0,"🟥","⬜"))))</f>
        <v>⬜</v>
      </c>
      <c r="E21" s="82" t="str">
        <f aca="false">IF('04 - Role Intelligence'!E39="","⬜",IF('04 - Role Intelligence'!E39&gt;=0.5,"🟩",IF('04 - Role Intelligence'!E39&gt;=0.15,"🟨",IF('04 - Role Intelligence'!E39&gt;0,"🟥","⬜"))))</f>
        <v>⬜</v>
      </c>
      <c r="F21" s="82" t="str">
        <f aca="false">IF('04 - Role Intelligence'!F39="","⬜",IF('04 - Role Intelligence'!F39&gt;=0.5,"🟩",IF('04 - Role Intelligence'!F39&gt;=0.15,"🟨",IF('04 - Role Intelligence'!F39&gt;0,"🟥","⬜"))))</f>
        <v>⬜</v>
      </c>
      <c r="G21" s="82" t="str">
        <f aca="false">IF('04 - Role Intelligence'!G39="","⬜",IF('04 - Role Intelligence'!G39&gt;=0.5,"🟩",IF('04 - Role Intelligence'!G39&gt;=0.15,"🟨",IF('04 - Role Intelligence'!G39&gt;0,"🟥","⬜"))))</f>
        <v>⬜</v>
      </c>
      <c r="H21" s="82" t="str">
        <f aca="false">IF('04 - Role Intelligence'!H39="","⬜",IF('04 - Role Intelligence'!H39&gt;=0.5,"🟩",IF('04 - Role Intelligence'!H39&gt;=0.15,"🟨",IF('04 - Role Intelligence'!H39&gt;0,"🟥","⬜"))))</f>
        <v>⬜</v>
      </c>
      <c r="I21" s="82" t="str">
        <f aca="false">IF('04 - Role Intelligence'!I39="","⬜",IF('04 - Role Intelligence'!I39&gt;=0.5,"🟩",IF('04 - Role Intelligence'!I39&gt;=0.15,"🟨",IF('04 - Role Intelligence'!I39&gt;0,"🟥","⬜"))))</f>
        <v>⬜</v>
      </c>
      <c r="J21" s="82" t="str">
        <f aca="false">IF('04 - Role Intelligence'!J39="","⬜",IF('04 - Role Intelligence'!J39&gt;=0.5,"🟩",IF('04 - Role Intelligence'!J39&gt;=0.15,"🟨",IF('04 - Role Intelligence'!J39&gt;0,"🟥","⬜"))))</f>
        <v>⬜</v>
      </c>
      <c r="K21" s="82" t="str">
        <f aca="false">IF('04 - Role Intelligence'!K39="","⬜",IF('04 - Role Intelligence'!K39&gt;=0.5,"🟩",IF('04 - Role Intelligence'!K39&gt;=0.15,"🟨",IF('04 - Role Intelligence'!K39&gt;0,"🟥","⬜"))))</f>
        <v>⬜</v>
      </c>
      <c r="L21" s="82" t="str">
        <f aca="false">IF('04 - Role Intelligence'!L39="","⬜",IF('04 - Role Intelligence'!L39&gt;=0.5,"🟩",IF('04 - Role Intelligence'!L39&gt;=0.15,"🟨",IF('04 - Role Intelligence'!L39&gt;0,"🟥","⬜"))))</f>
        <v>⬜</v>
      </c>
      <c r="M21" s="82" t="str">
        <f aca="false">IF('04 - Role Intelligence'!M39="","⬜",IF('04 - Role Intelligence'!M39&gt;=0.5,"🟩",IF('04 - Role Intelligence'!M39&gt;=0.15,"🟨",IF('04 - Role Intelligence'!M39&gt;0,"🟥","⬜"))))</f>
        <v>⬜</v>
      </c>
      <c r="N21" s="82" t="str">
        <f aca="false">IF('04 - Role Intelligence'!N39="","⬜",IF('04 - Role Intelligence'!N39&gt;=0.5,"🟩",IF('04 - Role Intelligence'!N39&gt;=0.15,"🟨",IF('04 - Role Intelligence'!N39&gt;0,"🟥","⬜"))))</f>
        <v>⬜</v>
      </c>
      <c r="O21" s="82" t="str">
        <f aca="false">IF('04 - Role Intelligence'!O39="","⬜",IF('04 - Role Intelligence'!O39&gt;=0.5,"🟩",IF('04 - Role Intelligence'!O39&gt;=0.15,"🟨",IF('04 - Role Intelligence'!O39&gt;0,"🟥","⬜"))))</f>
        <v>⬜</v>
      </c>
      <c r="P21" s="82" t="str">
        <f aca="false">IF('04 - Role Intelligence'!P39="","⬜",IF('04 - Role Intelligence'!P39&gt;=0.5,"🟩",IF('04 - Role Intelligence'!P39&gt;=0.15,"🟨",IF('04 - Role Intelligence'!P39&gt;0,"🟥","⬜"))))</f>
        <v>⬜</v>
      </c>
      <c r="Q21" s="82" t="str">
        <f aca="false">IF('04 - Role Intelligence'!Q39="","⬜",IF('04 - Role Intelligence'!Q39&gt;=0.5,"🟩",IF('04 - Role Intelligence'!Q39&gt;=0.15,"🟨",IF('04 - Role Intelligence'!Q39&gt;0,"🟥","⬜"))))</f>
        <v>⬜</v>
      </c>
      <c r="R21" s="82" t="str">
        <f aca="false">IF('04 - Role Intelligence'!R39="","⬜",IF('04 - Role Intelligence'!R39&gt;=0.5,"🟩",IF('04 - Role Intelligence'!R39&gt;=0.15,"🟨",IF('04 - Role Intelligence'!R39&gt;0,"🟥","⬜"))))</f>
        <v>⬜</v>
      </c>
      <c r="S21" s="82" t="str">
        <f aca="false">IF('04 - Role Intelligence'!S39="","⬜",IF('04 - Role Intelligence'!S39&gt;=0.5,"🟩",IF('04 - Role Intelligence'!S39&gt;=0.15,"🟨",IF('04 - Role Intelligence'!S39&gt;0,"🟥","⬜"))))</f>
        <v>⬜</v>
      </c>
      <c r="T21" s="82" t="str">
        <f aca="false">IF('04 - Role Intelligence'!T39="","⬜",IF('04 - Role Intelligence'!T39&gt;=0.5,"🟩",IF('04 - Role Intelligence'!T39&gt;=0.15,"🟨",IF('04 - Role Intelligence'!T39&gt;0,"🟥","⬜"))))</f>
        <v>⬜</v>
      </c>
      <c r="U21" s="82" t="str">
        <f aca="false">IF('04 - Role Intelligence'!U39="","⬜",IF('04 - Role Intelligence'!U39&gt;=0.5,"🟩",IF('04 - Role Intelligence'!U39&gt;=0.15,"🟨",IF('04 - Role Intelligence'!U39&gt;0,"🟥","⬜"))))</f>
        <v>⬜</v>
      </c>
      <c r="V21" s="82" t="str">
        <f aca="false">IF('04 - Role Intelligence'!V39="","⬜",IF('04 - Role Intelligence'!V39&gt;=0.5,"🟩",IF('04 - Role Intelligence'!V39&gt;=0.15,"🟨",IF('04 - Role Intelligence'!V39&gt;0,"🟥","⬜"))))</f>
        <v>⬜</v>
      </c>
      <c r="W21" s="82" t="str">
        <f aca="false">IF('04 - Role Intelligence'!W39="","⬜",IF('04 - Role Intelligence'!W39&gt;=0.5,"🟩",IF('04 - Role Intelligence'!W39&gt;=0.15,"🟨",IF('04 - Role Intelligence'!W39&gt;0,"🟥","⬜"))))</f>
        <v>⬜</v>
      </c>
      <c r="X21" s="82" t="str">
        <f aca="false">IF('04 - Role Intelligence'!X39="","⬜",IF('04 - Role Intelligence'!X39&gt;=0.5,"🟩",IF('04 - Role Intelligence'!X39&gt;=0.15,"🟨",IF('04 - Role Intelligence'!X39&gt;0,"🟥","⬜"))))</f>
        <v>⬜</v>
      </c>
      <c r="Y21" s="82" t="str">
        <f aca="false">IF('04 - Role Intelligence'!Y39="","⬜",IF('04 - Role Intelligence'!Y39&gt;=0.5,"🟩",IF('04 - Role Intelligence'!Y39&gt;=0.15,"🟨",IF('04 - Role Intelligence'!Y39&gt;0,"🟥","⬜"))))</f>
        <v>⬜</v>
      </c>
      <c r="Z21" s="82" t="str">
        <f aca="false">IF('04 - Role Intelligence'!Z39="","⬜",IF('04 - Role Intelligence'!Z39&gt;=0.5,"🟩",IF('04 - Role Intelligence'!Z39&gt;=0.15,"🟨",IF('04 - Role Intelligence'!Z39&gt;0,"🟥","⬜"))))</f>
        <v>⬜</v>
      </c>
      <c r="AA21" s="82" t="str">
        <f aca="false">IF('04 - Role Intelligence'!AA39="","⬜",IF('04 - Role Intelligence'!AA39&gt;=0.5,"🟩",IF('04 - Role Intelligence'!AA39&gt;=0.15,"🟨",IF('04 - Role Intelligence'!AA39&gt;0,"🟥","⬜"))))</f>
        <v>⬜</v>
      </c>
      <c r="AB21" s="82" t="str">
        <f aca="false">IF('04 - Role Intelligence'!AB39="","⬜",IF('04 - Role Intelligence'!AB39&gt;=0.5,"🟩",IF('04 - Role Intelligence'!AB39&gt;=0.15,"🟨",IF('04 - Role Intelligence'!AB39&gt;0,"🟥","⬜"))))</f>
        <v>⬜</v>
      </c>
      <c r="AC21" s="82" t="str">
        <f aca="false">IF('04 - Role Intelligence'!AC39="","⬜",IF('04 - Role Intelligence'!AC39&gt;=0.5,"🟩",IF('04 - Role Intelligence'!AC39&gt;=0.15,"🟨",IF('04 - Role Intelligence'!AC39&gt;0,"🟥","⬜"))))</f>
        <v>⬜</v>
      </c>
      <c r="AD21" s="82" t="str">
        <f aca="false">IF('04 - Role Intelligence'!AD39="","⬜",IF('04 - Role Intelligence'!AD39&gt;=0.5,"🟩",IF('04 - Role Intelligence'!AD39&gt;=0.15,"🟨",IF('04 - Role Intelligence'!AD39&gt;0,"🟥","⬜"))))</f>
        <v>⬜</v>
      </c>
      <c r="AE21" s="82" t="str">
        <f aca="false">IF('04 - Role Intelligence'!AE39="","⬜",IF('04 - Role Intelligence'!AE39&gt;=0.5,"🟩",IF('04 - Role Intelligence'!AE39&gt;=0.15,"🟨",IF('04 - Role Intelligence'!AE39&gt;0,"🟥","⬜"))))</f>
        <v>⬜</v>
      </c>
      <c r="AF21" s="82" t="str">
        <f aca="false">IF('04 - Role Intelligence'!AF39="","⬜",IF('04 - Role Intelligence'!AF39&gt;=0.5,"🟩",IF('04 - Role Intelligence'!AF39&gt;=0.15,"🟨",IF('04 - Role Intelligence'!AF39&gt;0,"🟥","⬜"))))</f>
        <v>⬜</v>
      </c>
      <c r="AG21" s="82" t="str">
        <f aca="false">IF('04 - Role Intelligence'!AG39="","⬜",IF('04 - Role Intelligence'!AG39&gt;=0.5,"🟩",IF('04 - Role Intelligence'!AG39&gt;=0.15,"🟨",IF('04 - Role Intelligence'!AG39&gt;0,"🟥","⬜"))))</f>
        <v>⬜</v>
      </c>
      <c r="AH21" s="83" t="str">
        <f aca="false">IF('04 - Role Intelligence'!AH39="","⬜",IF('04 - Role Intelligence'!AH39&gt;=0.5,"🟩",IF('04 - Role Intelligence'!AH39&gt;=0.15,"🟨",IF('04 - Role Intelligence'!AH39&gt;0,"🟥","⬜"))))</f>
        <v>⬜</v>
      </c>
      <c r="AI21" s="83" t="str">
        <f aca="false">IF('04 - Role Intelligence'!AI39="","⬜",IF('04 - Role Intelligence'!AI39&gt;=0.5,"🟩",IF('04 - Role Intelligence'!AI39&gt;=0.15,"🟨",IF('04 - Role Intelligence'!AI39&gt;0,"🟥","⬜"))))</f>
        <v>⬜</v>
      </c>
      <c r="AJ21" s="83" t="str">
        <f aca="false">IF('04 - Role Intelligence'!AJ39="","⬜",IF('04 - Role Intelligence'!AJ39&gt;=0.5,"🟩",IF('04 - Role Intelligence'!AJ39&gt;=0.15,"🟨",IF('04 - Role Intelligence'!AJ39&gt;0,"🟥","⬜"))))</f>
        <v>⬜</v>
      </c>
      <c r="AK21" s="83" t="str">
        <f aca="false">IF('04 - Role Intelligence'!AK39="","⬜",IF('04 - Role Intelligence'!AK39&gt;=0.5,"🟩",IF('04 - Role Intelligence'!AK39&gt;=0.15,"🟨",IF('04 - Role Intelligence'!AK39&gt;0,"🟥","⬜"))))</f>
        <v>⬜</v>
      </c>
      <c r="AL21" s="83" t="str">
        <f aca="false">IF('04 - Role Intelligence'!AL39="","⬜",IF('04 - Role Intelligence'!AL39&gt;=0.5,"🟩",IF('04 - Role Intelligence'!AL39&gt;=0.15,"🟨",IF('04 - Role Intelligence'!AL39&gt;0,"🟥","⬜"))))</f>
        <v>⬜</v>
      </c>
      <c r="AM21" s="83" t="str">
        <f aca="false">IF('04 - Role Intelligence'!AM39="","⬜",IF('04 - Role Intelligence'!AM39&gt;=0.5,"🟩",IF('04 - Role Intelligence'!AM39&gt;=0.15,"🟨",IF('04 - Role Intelligence'!AM39&gt;0,"🟥","⬜"))))</f>
        <v>⬜</v>
      </c>
      <c r="AN21" s="83" t="str">
        <f aca="false">IF('04 - Role Intelligence'!AN39="","⬜",IF('04 - Role Intelligence'!AN39&gt;=0.5,"🟩",IF('04 - Role Intelligence'!AN39&gt;=0.15,"🟨",IF('04 - Role Intelligence'!AN39&gt;0,"🟥","⬜"))))</f>
        <v>⬜</v>
      </c>
      <c r="AO21" s="83" t="str">
        <f aca="false">IF('04 - Role Intelligence'!AO39="","⬜",IF('04 - Role Intelligence'!AO39&gt;=0.5,"🟩",IF('04 - Role Intelligence'!AO39&gt;=0.15,"🟨",IF('04 - Role Intelligence'!AO39&gt;0,"🟥","⬜"))))</f>
        <v>⬜</v>
      </c>
      <c r="AP21" s="83" t="str">
        <f aca="false">IF('04 - Role Intelligence'!AP39="","⬜",IF('04 - Role Intelligence'!AP39&gt;=0.5,"🟩",IF('04 - Role Intelligence'!AP39&gt;=0.15,"🟨",IF('04 - Role Intelligence'!AP39&gt;0,"🟥","⬜"))))</f>
        <v>⬜</v>
      </c>
      <c r="AQ21" s="83" t="str">
        <f aca="false">IF('04 - Role Intelligence'!AQ39="","⬜",IF('04 - Role Intelligence'!AQ39&gt;=0.5,"🟩",IF('04 - Role Intelligence'!AQ39&gt;=0.15,"🟨",IF('04 - Role Intelligence'!AQ39&gt;0,"🟥","⬜"))))</f>
        <v>⬜</v>
      </c>
      <c r="AR21" s="83" t="str">
        <f aca="false">IF('04 - Role Intelligence'!AR39="","⬜",IF('04 - Role Intelligence'!AR39&gt;=0.5,"🟩",IF('04 - Role Intelligence'!AR39&gt;=0.15,"🟨",IF('04 - Role Intelligence'!AR39&gt;0,"🟥","⬜"))))</f>
        <v>⬜</v>
      </c>
    </row>
  </sheetData>
  <mergeCells count="2">
    <mergeCell ref="A1:AG1"/>
    <mergeCell ref="A3:A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1" width="20"/>
  </cols>
  <sheetData>
    <row r="1" customFormat="false" ht="15" hidden="false" customHeight="true" outlineLevel="0" collapsed="false">
      <c r="A1" s="84" t="s">
        <v>52</v>
      </c>
      <c r="B1" s="84" t="s">
        <v>53</v>
      </c>
      <c r="C1" s="84" t="s">
        <v>56</v>
      </c>
      <c r="D1" s="84" t="s">
        <v>384</v>
      </c>
      <c r="E1" s="84" t="s">
        <v>59</v>
      </c>
      <c r="F1" s="84" t="s">
        <v>54</v>
      </c>
      <c r="G1" s="84" t="s">
        <v>50</v>
      </c>
      <c r="H1" s="84" t="s">
        <v>385</v>
      </c>
      <c r="I1" s="84" t="s">
        <v>204</v>
      </c>
      <c r="J1" s="84" t="s">
        <v>386</v>
      </c>
      <c r="L1" s="39" t="s">
        <v>387</v>
      </c>
      <c r="M1" s="39" t="s">
        <v>388</v>
      </c>
      <c r="N1" s="39" t="s">
        <v>389</v>
      </c>
      <c r="P1" s="39" t="s">
        <v>128</v>
      </c>
      <c r="Q1" s="39" t="s">
        <v>390</v>
      </c>
      <c r="R1" s="39" t="s">
        <v>133</v>
      </c>
    </row>
    <row r="2" customFormat="false" ht="15" hidden="false" customHeight="true" outlineLevel="0" collapsed="false">
      <c r="A2" s="64" t="s">
        <v>231</v>
      </c>
      <c r="B2" s="64" t="s">
        <v>391</v>
      </c>
      <c r="C2" s="64" t="s">
        <v>155</v>
      </c>
      <c r="D2" s="64" t="s">
        <v>156</v>
      </c>
      <c r="E2" s="64" t="s">
        <v>392</v>
      </c>
      <c r="F2" s="64" t="s">
        <v>261</v>
      </c>
      <c r="G2" s="64" t="s">
        <v>149</v>
      </c>
      <c r="H2" s="64" t="s">
        <v>156</v>
      </c>
      <c r="I2" s="64" t="s">
        <v>71</v>
      </c>
      <c r="J2" s="64" t="s">
        <v>219</v>
      </c>
      <c r="L2" s="85" t="s">
        <v>392</v>
      </c>
      <c r="M2" s="85" t="n">
        <v>1</v>
      </c>
      <c r="N2" s="85" t="n">
        <v>0.0115</v>
      </c>
      <c r="P2" s="64" t="s">
        <v>165</v>
      </c>
      <c r="Q2" s="64" t="s">
        <v>164</v>
      </c>
      <c r="R2" s="64" t="s">
        <v>165</v>
      </c>
    </row>
    <row r="3" customFormat="false" ht="15" hidden="false" customHeight="true" outlineLevel="0" collapsed="false">
      <c r="A3" s="64" t="s">
        <v>151</v>
      </c>
      <c r="B3" s="64" t="s">
        <v>393</v>
      </c>
      <c r="C3" s="64" t="s">
        <v>394</v>
      </c>
      <c r="D3" s="64" t="s">
        <v>160</v>
      </c>
      <c r="E3" s="64" t="s">
        <v>157</v>
      </c>
      <c r="F3" s="64" t="s">
        <v>153</v>
      </c>
      <c r="G3" s="64" t="s">
        <v>281</v>
      </c>
      <c r="H3" s="64" t="s">
        <v>160</v>
      </c>
      <c r="I3" s="64" t="s">
        <v>72</v>
      </c>
      <c r="J3" s="64" t="s">
        <v>219</v>
      </c>
      <c r="L3" s="85" t="s">
        <v>157</v>
      </c>
      <c r="M3" s="85" t="n">
        <v>87</v>
      </c>
      <c r="N3" s="85" t="n">
        <v>1</v>
      </c>
      <c r="P3" s="64" t="s">
        <v>163</v>
      </c>
      <c r="Q3" s="64" t="s">
        <v>395</v>
      </c>
      <c r="R3" s="64" t="s">
        <v>396</v>
      </c>
    </row>
    <row r="4" customFormat="false" ht="15" hidden="false" customHeight="true" outlineLevel="0" collapsed="false">
      <c r="A4" s="64" t="s">
        <v>232</v>
      </c>
      <c r="B4" s="64" t="s">
        <v>397</v>
      </c>
      <c r="C4" s="64" t="s">
        <v>398</v>
      </c>
      <c r="D4" s="64" t="s">
        <v>172</v>
      </c>
      <c r="E4" s="64" t="s">
        <v>399</v>
      </c>
      <c r="F4" s="64" t="s">
        <v>262</v>
      </c>
      <c r="G4" s="64" t="s">
        <v>169</v>
      </c>
      <c r="I4" s="64" t="s">
        <v>73</v>
      </c>
      <c r="J4" s="64" t="s">
        <v>219</v>
      </c>
      <c r="L4" s="85" t="s">
        <v>399</v>
      </c>
      <c r="M4" s="85" t="n">
        <v>94</v>
      </c>
      <c r="N4" s="85" t="n">
        <v>1.08</v>
      </c>
      <c r="P4" s="64" t="s">
        <v>327</v>
      </c>
      <c r="R4" s="64" t="s">
        <v>332</v>
      </c>
    </row>
    <row r="5" customFormat="false" ht="15" hidden="false" customHeight="true" outlineLevel="0" collapsed="false">
      <c r="A5" s="64" t="s">
        <v>233</v>
      </c>
      <c r="B5" s="64" t="s">
        <v>152</v>
      </c>
      <c r="C5" s="64" t="s">
        <v>172</v>
      </c>
      <c r="E5" s="64" t="s">
        <v>400</v>
      </c>
      <c r="F5" s="64" t="s">
        <v>263</v>
      </c>
      <c r="G5" s="64" t="s">
        <v>282</v>
      </c>
      <c r="I5" s="64" t="s">
        <v>74</v>
      </c>
      <c r="J5" s="64" t="s">
        <v>219</v>
      </c>
      <c r="L5" s="85" t="s">
        <v>400</v>
      </c>
      <c r="M5" s="85" t="n">
        <v>110</v>
      </c>
      <c r="N5" s="85" t="n">
        <v>1.264</v>
      </c>
      <c r="P5" s="64" t="s">
        <v>328</v>
      </c>
      <c r="R5" s="64" t="s">
        <v>333</v>
      </c>
    </row>
    <row r="6" customFormat="false" ht="15" hidden="false" customHeight="true" outlineLevel="0" collapsed="false">
      <c r="A6" s="64" t="s">
        <v>234</v>
      </c>
      <c r="B6" s="64" t="s">
        <v>401</v>
      </c>
      <c r="E6" s="64" t="s">
        <v>402</v>
      </c>
      <c r="F6" s="64" t="s">
        <v>264</v>
      </c>
      <c r="G6" s="64" t="s">
        <v>283</v>
      </c>
      <c r="I6" s="64" t="s">
        <v>75</v>
      </c>
      <c r="J6" s="64" t="s">
        <v>219</v>
      </c>
      <c r="L6" s="85" t="s">
        <v>402</v>
      </c>
      <c r="M6" s="85" t="n">
        <v>65</v>
      </c>
      <c r="N6" s="85" t="n">
        <v>0.747</v>
      </c>
      <c r="P6" s="64" t="s">
        <v>329</v>
      </c>
      <c r="R6" s="64" t="s">
        <v>403</v>
      </c>
    </row>
    <row r="7" customFormat="false" ht="15" hidden="false" customHeight="true" outlineLevel="0" collapsed="false">
      <c r="A7" s="64" t="s">
        <v>235</v>
      </c>
      <c r="B7" s="64" t="s">
        <v>404</v>
      </c>
      <c r="E7" s="64" t="s">
        <v>405</v>
      </c>
      <c r="F7" s="64" t="s">
        <v>265</v>
      </c>
      <c r="G7" s="64" t="s">
        <v>284</v>
      </c>
      <c r="I7" s="64" t="s">
        <v>76</v>
      </c>
      <c r="J7" s="64" t="s">
        <v>219</v>
      </c>
      <c r="L7" s="85" t="s">
        <v>405</v>
      </c>
      <c r="M7" s="85" t="n">
        <v>63</v>
      </c>
      <c r="N7" s="85" t="n">
        <v>0.724</v>
      </c>
      <c r="P7" s="64" t="s">
        <v>330</v>
      </c>
      <c r="R7" s="64" t="s">
        <v>406</v>
      </c>
    </row>
    <row r="8" customFormat="false" ht="15" hidden="false" customHeight="true" outlineLevel="0" collapsed="false">
      <c r="A8" s="64" t="s">
        <v>236</v>
      </c>
      <c r="B8" s="64" t="s">
        <v>172</v>
      </c>
      <c r="E8" s="64" t="s">
        <v>407</v>
      </c>
      <c r="F8" s="64" t="s">
        <v>266</v>
      </c>
      <c r="G8" s="64" t="s">
        <v>285</v>
      </c>
      <c r="I8" s="64" t="s">
        <v>77</v>
      </c>
      <c r="J8" s="64" t="s">
        <v>219</v>
      </c>
      <c r="L8" s="85" t="s">
        <v>407</v>
      </c>
      <c r="M8" s="85" t="n">
        <v>57</v>
      </c>
      <c r="N8" s="85" t="n">
        <v>0.655</v>
      </c>
      <c r="P8" s="1" t="s">
        <v>331</v>
      </c>
      <c r="R8" s="64" t="s">
        <v>277</v>
      </c>
    </row>
    <row r="9" customFormat="false" ht="15" hidden="false" customHeight="true" outlineLevel="0" collapsed="false">
      <c r="A9" s="64" t="s">
        <v>237</v>
      </c>
      <c r="E9" s="64" t="s">
        <v>408</v>
      </c>
      <c r="F9" s="64" t="s">
        <v>267</v>
      </c>
      <c r="G9" s="64" t="s">
        <v>286</v>
      </c>
      <c r="I9" s="64" t="s">
        <v>78</v>
      </c>
      <c r="J9" s="64" t="s">
        <v>219</v>
      </c>
      <c r="L9" s="85" t="s">
        <v>408</v>
      </c>
      <c r="M9" s="85" t="n">
        <v>23.7</v>
      </c>
      <c r="N9" s="85" t="n">
        <v>0.272</v>
      </c>
      <c r="P9" s="1" t="s">
        <v>332</v>
      </c>
    </row>
    <row r="10" customFormat="false" ht="15" hidden="false" customHeight="true" outlineLevel="0" collapsed="false">
      <c r="A10" s="64" t="s">
        <v>238</v>
      </c>
      <c r="E10" s="64" t="s">
        <v>409</v>
      </c>
      <c r="F10" s="64" t="s">
        <v>268</v>
      </c>
      <c r="G10" s="64" t="s">
        <v>287</v>
      </c>
      <c r="I10" s="64" t="s">
        <v>79</v>
      </c>
      <c r="J10" s="64" t="s">
        <v>220</v>
      </c>
      <c r="L10" s="85" t="s">
        <v>409</v>
      </c>
      <c r="M10" s="85" t="n">
        <v>0.58</v>
      </c>
      <c r="N10" s="85" t="n">
        <v>0.00667</v>
      </c>
      <c r="P10" s="1" t="s">
        <v>333</v>
      </c>
    </row>
    <row r="11" customFormat="false" ht="15" hidden="false" customHeight="true" outlineLevel="0" collapsed="false">
      <c r="A11" s="64" t="s">
        <v>239</v>
      </c>
      <c r="E11" s="64" t="s">
        <v>410</v>
      </c>
      <c r="F11" s="64" t="s">
        <v>269</v>
      </c>
      <c r="G11" s="64" t="s">
        <v>288</v>
      </c>
      <c r="I11" s="64" t="s">
        <v>80</v>
      </c>
      <c r="J11" s="64" t="s">
        <v>220</v>
      </c>
      <c r="L11" s="85" t="s">
        <v>410</v>
      </c>
      <c r="M11" s="85" t="n">
        <v>99</v>
      </c>
      <c r="N11" s="85" t="n">
        <v>1.138</v>
      </c>
      <c r="P11" s="1" t="s">
        <v>277</v>
      </c>
    </row>
    <row r="12" customFormat="false" ht="15" hidden="false" customHeight="true" outlineLevel="0" collapsed="false">
      <c r="A12" s="64" t="s">
        <v>240</v>
      </c>
      <c r="E12" s="64" t="s">
        <v>277</v>
      </c>
      <c r="F12" s="64" t="s">
        <v>270</v>
      </c>
      <c r="G12" s="64" t="s">
        <v>289</v>
      </c>
      <c r="I12" s="64" t="s">
        <v>81</v>
      </c>
      <c r="J12" s="64" t="s">
        <v>220</v>
      </c>
    </row>
    <row r="13" customFormat="false" ht="15" hidden="false" customHeight="true" outlineLevel="0" collapsed="false">
      <c r="A13" s="64" t="s">
        <v>241</v>
      </c>
      <c r="F13" s="64" t="s">
        <v>271</v>
      </c>
      <c r="G13" s="64" t="s">
        <v>290</v>
      </c>
      <c r="I13" s="64" t="s">
        <v>82</v>
      </c>
      <c r="J13" s="64" t="s">
        <v>220</v>
      </c>
      <c r="L13" s="86" t="s">
        <v>411</v>
      </c>
    </row>
    <row r="14" customFormat="false" ht="15" hidden="false" customHeight="true" outlineLevel="0" collapsed="false">
      <c r="A14" s="64" t="s">
        <v>242</v>
      </c>
      <c r="F14" s="64" t="s">
        <v>272</v>
      </c>
      <c r="G14" s="64" t="s">
        <v>291</v>
      </c>
      <c r="I14" s="64" t="s">
        <v>83</v>
      </c>
      <c r="J14" s="64" t="s">
        <v>220</v>
      </c>
    </row>
    <row r="15" customFormat="false" ht="15" hidden="false" customHeight="true" outlineLevel="0" collapsed="false">
      <c r="A15" s="64" t="s">
        <v>243</v>
      </c>
      <c r="F15" s="64" t="s">
        <v>273</v>
      </c>
      <c r="G15" s="64" t="s">
        <v>292</v>
      </c>
      <c r="I15" s="64" t="s">
        <v>84</v>
      </c>
      <c r="J15" s="64" t="s">
        <v>220</v>
      </c>
    </row>
    <row r="16" customFormat="false" ht="15" hidden="false" customHeight="true" outlineLevel="0" collapsed="false">
      <c r="A16" s="64" t="s">
        <v>244</v>
      </c>
      <c r="F16" s="64" t="s">
        <v>274</v>
      </c>
      <c r="G16" s="64" t="s">
        <v>293</v>
      </c>
      <c r="I16" s="64" t="s">
        <v>85</v>
      </c>
      <c r="J16" s="64" t="s">
        <v>221</v>
      </c>
    </row>
    <row r="17" customFormat="false" ht="15" hidden="false" customHeight="true" outlineLevel="0" collapsed="false">
      <c r="A17" s="64" t="s">
        <v>245</v>
      </c>
      <c r="F17" s="64" t="s">
        <v>275</v>
      </c>
      <c r="G17" s="64" t="s">
        <v>294</v>
      </c>
      <c r="I17" s="64" t="s">
        <v>86</v>
      </c>
      <c r="J17" s="64" t="s">
        <v>221</v>
      </c>
    </row>
    <row r="18" customFormat="false" ht="15" hidden="false" customHeight="true" outlineLevel="0" collapsed="false">
      <c r="F18" s="64" t="s">
        <v>276</v>
      </c>
      <c r="G18" s="64" t="s">
        <v>295</v>
      </c>
      <c r="I18" s="64" t="s">
        <v>87</v>
      </c>
      <c r="J18" s="64" t="s">
        <v>221</v>
      </c>
    </row>
    <row r="19" customFormat="false" ht="15" hidden="false" customHeight="true" outlineLevel="0" collapsed="false">
      <c r="F19" s="64" t="s">
        <v>277</v>
      </c>
      <c r="G19" s="64" t="s">
        <v>296</v>
      </c>
      <c r="I19" s="64" t="s">
        <v>88</v>
      </c>
      <c r="J19" s="64" t="s">
        <v>221</v>
      </c>
    </row>
    <row r="20" customFormat="false" ht="15" hidden="false" customHeight="true" outlineLevel="0" collapsed="false">
      <c r="G20" s="64" t="s">
        <v>297</v>
      </c>
      <c r="I20" s="64" t="s">
        <v>89</v>
      </c>
      <c r="J20" s="64" t="s">
        <v>221</v>
      </c>
    </row>
    <row r="21" customFormat="false" ht="15" hidden="false" customHeight="true" outlineLevel="0" collapsed="false">
      <c r="G21" s="64" t="s">
        <v>298</v>
      </c>
      <c r="I21" s="64" t="s">
        <v>90</v>
      </c>
      <c r="J21" s="64" t="s">
        <v>221</v>
      </c>
    </row>
    <row r="22" customFormat="false" ht="15" hidden="false" customHeight="true" outlineLevel="0" collapsed="false">
      <c r="G22" s="64" t="s">
        <v>299</v>
      </c>
      <c r="I22" s="64" t="s">
        <v>91</v>
      </c>
      <c r="J22" s="64" t="s">
        <v>221</v>
      </c>
    </row>
    <row r="23" customFormat="false" ht="15" hidden="false" customHeight="true" outlineLevel="0" collapsed="false">
      <c r="G23" s="64" t="s">
        <v>300</v>
      </c>
      <c r="I23" s="64" t="s">
        <v>92</v>
      </c>
      <c r="J23" s="64" t="s">
        <v>222</v>
      </c>
    </row>
    <row r="24" customFormat="false" ht="15" hidden="false" customHeight="true" outlineLevel="0" collapsed="false">
      <c r="G24" s="64" t="s">
        <v>301</v>
      </c>
      <c r="I24" s="64" t="s">
        <v>93</v>
      </c>
      <c r="J24" s="64" t="s">
        <v>222</v>
      </c>
    </row>
    <row r="25" customFormat="false" ht="15" hidden="false" customHeight="true" outlineLevel="0" collapsed="false">
      <c r="G25" s="64" t="s">
        <v>302</v>
      </c>
      <c r="I25" s="64" t="s">
        <v>94</v>
      </c>
      <c r="J25" s="64" t="s">
        <v>222</v>
      </c>
    </row>
    <row r="26" customFormat="false" ht="15" hidden="false" customHeight="true" outlineLevel="0" collapsed="false">
      <c r="G26" s="64" t="s">
        <v>303</v>
      </c>
      <c r="I26" s="64" t="s">
        <v>95</v>
      </c>
      <c r="J26" s="64" t="s">
        <v>222</v>
      </c>
    </row>
    <row r="27" customFormat="false" ht="15" hidden="false" customHeight="true" outlineLevel="0" collapsed="false">
      <c r="G27" s="64" t="s">
        <v>304</v>
      </c>
      <c r="I27" s="64" t="s">
        <v>96</v>
      </c>
      <c r="J27" s="64" t="s">
        <v>222</v>
      </c>
    </row>
    <row r="28" customFormat="false" ht="15" hidden="false" customHeight="true" outlineLevel="0" collapsed="false">
      <c r="G28" s="64" t="s">
        <v>305</v>
      </c>
      <c r="I28" s="64" t="s">
        <v>97</v>
      </c>
      <c r="J28" s="64" t="s">
        <v>222</v>
      </c>
    </row>
    <row r="29" customFormat="false" ht="15" hidden="false" customHeight="true" outlineLevel="0" collapsed="false">
      <c r="G29" s="64" t="s">
        <v>306</v>
      </c>
      <c r="I29" s="64" t="s">
        <v>98</v>
      </c>
      <c r="J29" s="64" t="s">
        <v>222</v>
      </c>
    </row>
    <row r="30" customFormat="false" ht="15" hidden="false" customHeight="true" outlineLevel="0" collapsed="false">
      <c r="G30" s="64" t="s">
        <v>307</v>
      </c>
      <c r="I30" s="64" t="s">
        <v>99</v>
      </c>
      <c r="J30" s="64" t="s">
        <v>223</v>
      </c>
    </row>
    <row r="31" customFormat="false" ht="15" hidden="false" customHeight="true" outlineLevel="0" collapsed="false">
      <c r="G31" s="64" t="s">
        <v>308</v>
      </c>
      <c r="I31" s="64" t="s">
        <v>100</v>
      </c>
      <c r="J31" s="64" t="s">
        <v>223</v>
      </c>
    </row>
    <row r="32" customFormat="false" ht="15" hidden="false" customHeight="true" outlineLevel="0" collapsed="false">
      <c r="G32" s="64" t="s">
        <v>309</v>
      </c>
      <c r="I32" s="64" t="s">
        <v>101</v>
      </c>
      <c r="J32" s="64" t="s">
        <v>223</v>
      </c>
    </row>
    <row r="33" customFormat="false" ht="15" hidden="false" customHeight="true" outlineLevel="0" collapsed="false">
      <c r="G33" s="64" t="s">
        <v>310</v>
      </c>
      <c r="I33" s="64" t="s">
        <v>102</v>
      </c>
      <c r="J33" s="64" t="s">
        <v>223</v>
      </c>
    </row>
    <row r="34" customFormat="false" ht="15" hidden="false" customHeight="true" outlineLevel="0" collapsed="false">
      <c r="G34" s="64" t="s">
        <v>311</v>
      </c>
    </row>
    <row r="35" customFormat="false" ht="15" hidden="false" customHeight="true" outlineLevel="0" collapsed="false">
      <c r="G35" s="64" t="s">
        <v>312</v>
      </c>
    </row>
    <row r="36" customFormat="false" ht="15" hidden="false" customHeight="true" outlineLevel="0" collapsed="false">
      <c r="G36" s="64" t="s">
        <v>313</v>
      </c>
    </row>
    <row r="37" customFormat="false" ht="15" hidden="false" customHeight="true" outlineLevel="0" collapsed="false">
      <c r="G37" s="64" t="s">
        <v>314</v>
      </c>
    </row>
    <row r="38" customFormat="false" ht="15" hidden="false" customHeight="true" outlineLevel="0" collapsed="false">
      <c r="G38" s="64" t="s">
        <v>315</v>
      </c>
    </row>
    <row r="39" customFormat="false" ht="15" hidden="false" customHeight="true" outlineLevel="0" collapsed="false">
      <c r="G39" s="64" t="s">
        <v>316</v>
      </c>
    </row>
    <row r="40" customFormat="false" ht="15" hidden="false" customHeight="true" outlineLevel="0" collapsed="false">
      <c r="G40" s="64" t="s">
        <v>317</v>
      </c>
    </row>
    <row r="41" customFormat="false" ht="15" hidden="false" customHeight="true" outlineLevel="0" collapsed="false">
      <c r="G41" s="64" t="s">
        <v>318</v>
      </c>
    </row>
    <row r="42" customFormat="false" ht="15" hidden="false" customHeight="true" outlineLevel="0" collapsed="false">
      <c r="G42" s="64" t="s">
        <v>319</v>
      </c>
    </row>
    <row r="43" customFormat="false" ht="15" hidden="false" customHeight="true" outlineLevel="0" collapsed="false">
      <c r="G43" s="64" t="s">
        <v>320</v>
      </c>
    </row>
    <row r="44" customFormat="false" ht="15" hidden="false" customHeight="true" outlineLevel="0" collapsed="false">
      <c r="G44" s="64" t="s">
        <v>321</v>
      </c>
    </row>
    <row r="45" customFormat="false" ht="15" hidden="false" customHeight="true" outlineLevel="0" collapsed="false">
      <c r="G45" s="64" t="s">
        <v>322</v>
      </c>
    </row>
    <row r="46" customFormat="false" ht="15" hidden="false" customHeight="true" outlineLevel="0" collapsed="false">
      <c r="G46" s="64" t="s">
        <v>323</v>
      </c>
    </row>
    <row r="47" customFormat="false" ht="15" hidden="false" customHeight="true" outlineLevel="0" collapsed="false">
      <c r="G47" s="64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2026-08-09T06:12:45Z</dcterms:created>
  <dc:creator>openpyxl</dc:creator>
  <dc:description/>
  <dc:language>en-US</dc:language>
  <cp:lastModifiedBy/>
  <dcterms:modified xsi:type="dcterms:W3CDTF">2026-08-22T22:37:55Z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